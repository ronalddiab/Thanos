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1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F29" i="4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E36" i="25" l="1"/>
  <c r="E37"/>
  <c r="E38"/>
  <c r="E39"/>
  <c r="E40"/>
  <c r="E41"/>
  <c r="E42"/>
  <c r="E43"/>
  <c r="E44"/>
  <c r="E45"/>
  <c r="E46"/>
  <c r="E7" i="24"/>
  <c r="L23" i="47"/>
  <c r="L24"/>
  <c r="L25"/>
  <c r="L26"/>
  <c r="L27"/>
  <c r="L28"/>
  <c r="L29"/>
  <c r="L30"/>
  <c r="L31"/>
  <c r="L22"/>
  <c r="L21"/>
  <c r="K21"/>
  <c r="K31"/>
  <c r="K4"/>
  <c r="K5"/>
  <c r="K10"/>
  <c r="K11"/>
  <c r="K12"/>
  <c r="K13"/>
  <c r="K18"/>
  <c r="K20"/>
  <c r="G3" i="48"/>
  <c r="K3" i="47" s="1"/>
  <c r="G4" i="48"/>
  <c r="G5"/>
  <c r="G6"/>
  <c r="K6" i="47" s="1"/>
  <c r="G7" i="48"/>
  <c r="K7" i="47" s="1"/>
  <c r="G8" i="48"/>
  <c r="K8" i="47" s="1"/>
  <c r="G9" i="48"/>
  <c r="K9" i="47" s="1"/>
  <c r="G10" i="48"/>
  <c r="G11"/>
  <c r="G12"/>
  <c r="G13"/>
  <c r="G14"/>
  <c r="K14" i="47" s="1"/>
  <c r="G15" i="48"/>
  <c r="K15" i="47" s="1"/>
  <c r="G16" i="48"/>
  <c r="K16" i="47" s="1"/>
  <c r="G17" i="48"/>
  <c r="K17" i="47" s="1"/>
  <c r="G18" i="48"/>
  <c r="G19"/>
  <c r="K19" i="47" s="1"/>
  <c r="G20" i="48"/>
  <c r="G21"/>
  <c r="G22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73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3"/>
  <c r="E84"/>
  <c r="E11"/>
  <c r="F2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8" i="5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4"/>
  <c r="G164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s="1"/>
  <c r="E168" i="8"/>
  <c r="F171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/>
  <c r="H121" i="33"/>
  <c r="H113" i="2"/>
  <c r="H113" i="3" s="1"/>
  <c r="H113" i="4" s="1"/>
  <c r="H113" i="5" s="1"/>
  <c r="H113" i="33" s="1"/>
  <c r="H113" i="7" s="1"/>
  <c r="H113" i="8" s="1"/>
  <c r="H113" i="9" s="1"/>
  <c r="H113" i="10" s="1"/>
  <c r="H113" i="11" s="1"/>
  <c r="H108" i="2"/>
  <c r="H108" i="3" s="1"/>
  <c r="H108" i="5" s="1"/>
  <c r="H108" i="33" s="1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G166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E171" i="2"/>
  <c r="E170"/>
  <c r="E169"/>
  <c r="E168"/>
  <c r="E167"/>
  <c r="E166"/>
  <c r="E165"/>
  <c r="E164"/>
  <c r="G164" s="1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L34"/>
  <c r="I34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N34" i="1" l="1"/>
  <c r="G164" i="11"/>
  <c r="G166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1" l="1"/>
  <c r="G169"/>
  <c r="G168"/>
  <c r="G167"/>
  <c r="G166"/>
  <c r="G172" s="1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E62" i="20"/>
  <c r="E87"/>
  <c r="E88"/>
  <c r="E89"/>
  <c r="G89" s="1"/>
  <c r="E90"/>
  <c r="G90" s="1"/>
  <c r="E86"/>
  <c r="E163" i="19"/>
  <c r="E162"/>
  <c r="E161"/>
  <c r="E160"/>
  <c r="E134" i="15"/>
  <c r="E135"/>
  <c r="E72"/>
  <c r="O90" i="23" l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5"/>
  <c r="G90"/>
  <c r="G89" i="29"/>
  <c r="G90"/>
  <c r="H90" s="1"/>
  <c r="J90" s="1"/>
  <c r="G90" i="3"/>
  <c r="G89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H89" i="3" l="1"/>
  <c r="H90"/>
  <c r="J89" i="19"/>
  <c r="H89" i="20"/>
  <c r="J90"/>
  <c r="H90" i="21"/>
  <c r="J89" i="9"/>
  <c r="H89" i="10"/>
  <c r="J90" i="9"/>
  <c r="H90" i="10"/>
  <c r="H90" i="11" s="1"/>
  <c r="J90" s="1"/>
  <c r="K90" i="4"/>
  <c r="J90" i="43"/>
  <c r="H90" i="31"/>
  <c r="N90" s="1"/>
  <c r="J89" i="43"/>
  <c r="H89" i="31"/>
  <c r="J89" s="1"/>
  <c r="Z8" i="44"/>
  <c r="AC5" i="49" s="1"/>
  <c r="Z6" i="44"/>
  <c r="AC3" i="49" s="1"/>
  <c r="Z7" i="44"/>
  <c r="AC4" i="49" s="1"/>
  <c r="H89" i="29"/>
  <c r="J89" s="1"/>
  <c r="H89" i="21" l="1"/>
  <c r="J89" i="20"/>
  <c r="H90" i="22"/>
  <c r="J90" i="21"/>
  <c r="Z13" i="44"/>
  <c r="AC10" i="49" s="1"/>
  <c r="J90" i="10"/>
  <c r="N89" i="3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J89" i="4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7" i="24"/>
  <c r="E7" i="23"/>
  <c r="E8"/>
  <c r="E9"/>
  <c r="G9" s="1"/>
  <c r="G88" i="31"/>
  <c r="G86"/>
  <c r="G88" i="43"/>
  <c r="G86"/>
  <c r="Y33" i="44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5"/>
  <c r="G86"/>
  <c r="E86" i="4"/>
  <c r="G86" s="1"/>
  <c r="G87" i="3"/>
  <c r="G88"/>
  <c r="G86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7" i="5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G87" i="2"/>
  <c r="G88"/>
  <c r="G86"/>
  <c r="O9" i="23" l="1"/>
  <c r="O86"/>
  <c r="H89"/>
  <c r="J89" s="1"/>
  <c r="J89" i="22"/>
  <c r="O88" i="23"/>
  <c r="O87"/>
  <c r="Y13" i="44"/>
  <c r="AB10" i="49" s="1"/>
  <c r="H89" i="33"/>
  <c r="J89" i="5"/>
  <c r="Y8" i="44"/>
  <c r="AB5" i="49" s="1"/>
  <c r="H90" i="33"/>
  <c r="J90" i="5"/>
  <c r="X27" i="44"/>
  <c r="AA24" i="49" s="1"/>
  <c r="Z27" i="44"/>
  <c r="AC24" i="49" s="1"/>
  <c r="Z28" i="44"/>
  <c r="AC25" i="49" s="1"/>
  <c r="X28" i="44"/>
  <c r="AA25" i="49" s="1"/>
  <c r="X35" i="44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H87" i="2"/>
  <c r="J87" s="1"/>
  <c r="X5" i="44"/>
  <c r="AA2" i="49" s="1"/>
  <c r="X7" i="44"/>
  <c r="AA4" i="49" s="1"/>
  <c r="W6" i="44"/>
  <c r="Z3" i="49" s="1"/>
  <c r="H86" i="2"/>
  <c r="J86" s="1"/>
  <c r="W5" i="44"/>
  <c r="Z2" i="49" s="1"/>
  <c r="H88" i="2"/>
  <c r="J88" s="1"/>
  <c r="Y5" i="44"/>
  <c r="AB2" i="49" s="1"/>
  <c r="H86" i="43"/>
  <c r="J86" s="1"/>
  <c r="W34" i="44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H87" i="43"/>
  <c r="J87" s="1"/>
  <c r="Z34" i="44"/>
  <c r="X34"/>
  <c r="Z1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H87" i="18"/>
  <c r="J87" s="1"/>
  <c r="Z21" i="44"/>
  <c r="AC18" i="49" s="1"/>
  <c r="X21" i="44"/>
  <c r="AA18" i="49" s="1"/>
  <c r="H88" i="12"/>
  <c r="J88" s="1"/>
  <c r="Y15" i="44"/>
  <c r="AB12" i="49" s="1"/>
  <c r="Z35" i="44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H88" i="43"/>
  <c r="J88" s="1"/>
  <c r="Y34" i="44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X33"/>
  <c r="X2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7" i="3" l="1"/>
  <c r="H88"/>
  <c r="H86"/>
  <c r="H88" i="20"/>
  <c r="H86"/>
  <c r="H87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6" i="4" l="1"/>
  <c r="J86" i="3"/>
  <c r="H86" i="21"/>
  <c r="J86" i="20"/>
  <c r="H87" i="21"/>
  <c r="J87" i="20"/>
  <c r="H88" i="21"/>
  <c r="J88" i="20"/>
  <c r="J87" i="4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6" i="4" l="1"/>
  <c r="H86" i="5"/>
  <c r="J87" i="21"/>
  <c r="H87" i="22"/>
  <c r="J88" i="21"/>
  <c r="H88" i="22"/>
  <c r="H86"/>
  <c r="J86" i="21"/>
  <c r="H87" i="33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4"/>
  <c r="E100"/>
  <c r="E93"/>
  <c r="E95"/>
  <c r="E96"/>
  <c r="E97"/>
  <c r="E98"/>
  <c r="E99"/>
  <c r="E93" i="10"/>
  <c r="G93" s="1"/>
  <c r="E94"/>
  <c r="E95"/>
  <c r="G95" s="1"/>
  <c r="E96"/>
  <c r="G96" s="1"/>
  <c r="E97"/>
  <c r="G97" s="1"/>
  <c r="E98"/>
  <c r="G98" s="1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AQ13" i="44" s="1"/>
  <c r="G140" i="10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G15" s="1"/>
  <c r="E8"/>
  <c r="E105" i="8"/>
  <c r="E115" i="7"/>
  <c r="E114"/>
  <c r="E123" i="8"/>
  <c r="E115"/>
  <c r="E114"/>
  <c r="E106"/>
  <c r="E13" i="44" l="1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6" i="5"/>
  <c r="J87" i="22"/>
  <c r="H87" i="23"/>
  <c r="J87" s="1"/>
  <c r="J88" i="22"/>
  <c r="H88" i="23"/>
  <c r="J88" s="1"/>
  <c r="H86"/>
  <c r="J86" s="1"/>
  <c r="J86" i="22"/>
  <c r="H87" i="7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H86" l="1"/>
  <c r="J86" s="1"/>
  <c r="J86" i="33"/>
  <c r="G120" i="10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G8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AQ35" i="44" s="1"/>
  <c r="G140" i="31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H35" i="44" s="1"/>
  <c r="G51" i="31"/>
  <c r="G53"/>
  <c r="G54"/>
  <c r="G55"/>
  <c r="G57"/>
  <c r="G58"/>
  <c r="G49"/>
  <c r="G36"/>
  <c r="I35" i="44" s="1"/>
  <c r="G37" i="31"/>
  <c r="C35" i="44" s="1"/>
  <c r="G38" i="31"/>
  <c r="G39"/>
  <c r="G41"/>
  <c r="G42"/>
  <c r="G43"/>
  <c r="G35" i="44" s="1"/>
  <c r="G45" i="31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35" i="44" l="1"/>
  <c r="F35"/>
  <c r="D35"/>
  <c r="B35"/>
  <c r="E28" i="31"/>
  <c r="G28" s="1"/>
  <c r="E28" i="2"/>
  <c r="G28" s="1"/>
  <c r="E31" i="31"/>
  <c r="G31" s="1"/>
  <c r="AH13" i="45"/>
  <c r="E27" i="31"/>
  <c r="G27" s="1"/>
  <c r="AR35" i="44"/>
  <c r="AH14" i="45"/>
  <c r="E30" i="31"/>
  <c r="G30" s="1"/>
  <c r="AA35" i="44"/>
  <c r="AB35"/>
  <c r="H27" i="2"/>
  <c r="G68" i="31"/>
  <c r="G170"/>
  <c r="G67"/>
  <c r="G66"/>
  <c r="G168"/>
  <c r="G64"/>
  <c r="G166"/>
  <c r="U35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F2" i="47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U15" i="44"/>
  <c r="X12" i="49" s="1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6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H116" s="1"/>
  <c r="G115"/>
  <c r="G114"/>
  <c r="J113"/>
  <c r="G111"/>
  <c r="H111" s="1"/>
  <c r="G110"/>
  <c r="H110" s="1"/>
  <c r="G109"/>
  <c r="H109" s="1"/>
  <c r="G106"/>
  <c r="H106" s="1"/>
  <c r="G105"/>
  <c r="H105" s="1"/>
  <c r="G104"/>
  <c r="H104" s="1"/>
  <c r="J113" i="3"/>
  <c r="G116"/>
  <c r="H116" s="1"/>
  <c r="H116" i="4" s="1"/>
  <c r="H116" i="5" s="1"/>
  <c r="H116" i="33" s="1"/>
  <c r="G115" i="3"/>
  <c r="G114"/>
  <c r="G111"/>
  <c r="G110"/>
  <c r="G109"/>
  <c r="G106"/>
  <c r="G105"/>
  <c r="G104"/>
  <c r="G190" i="11"/>
  <c r="G191"/>
  <c r="G189"/>
  <c r="G185"/>
  <c r="G186"/>
  <c r="G184"/>
  <c r="G180"/>
  <c r="G181"/>
  <c r="G179"/>
  <c r="H116" i="7" l="1"/>
  <c r="H116" i="8" s="1"/>
  <c r="H116" i="9" s="1"/>
  <c r="H116" i="10" s="1"/>
  <c r="H116" i="11" s="1"/>
  <c r="W20" i="45"/>
  <c r="X21"/>
  <c r="W18"/>
  <c r="V16"/>
  <c r="V14"/>
  <c r="X20"/>
  <c r="W17"/>
  <c r="X18"/>
  <c r="W16"/>
  <c r="W14"/>
  <c r="W21"/>
  <c r="X17"/>
  <c r="V22"/>
  <c r="V18"/>
  <c r="V17"/>
  <c r="X16"/>
  <c r="X14"/>
  <c r="V21"/>
  <c r="X22"/>
  <c r="W22"/>
  <c r="V20"/>
  <c r="D14"/>
  <c r="H115" i="2"/>
  <c r="H115" i="3" s="1"/>
  <c r="H115" i="4" s="1"/>
  <c r="H115" i="5" s="1"/>
  <c r="H115" i="33" s="1"/>
  <c r="H115" i="7" s="1"/>
  <c r="H115" i="8" s="1"/>
  <c r="H115" i="9" s="1"/>
  <c r="H115" i="10" s="1"/>
  <c r="H115" i="11" s="1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H108" i="4" s="1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F13"/>
  <c r="E17"/>
  <c r="H105" i="3"/>
  <c r="H105" i="4" s="1"/>
  <c r="H105" i="5" s="1"/>
  <c r="H105" i="33" s="1"/>
  <c r="H105" i="7" s="1"/>
  <c r="H105" i="8" s="1"/>
  <c r="H105" i="9" s="1"/>
  <c r="H105" i="10" s="1"/>
  <c r="H105" i="11" s="1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F22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X13" i="45"/>
  <c r="W13"/>
  <c r="V13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s="1"/>
  <c r="G112" i="23"/>
  <c r="O112" s="1"/>
  <c r="Y20" i="45"/>
  <c r="G117" i="4"/>
  <c r="G117" i="13"/>
  <c r="G193" i="11"/>
  <c r="G107" i="2"/>
  <c r="H107" s="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G112" i="2"/>
  <c r="H112" s="1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G112"/>
  <c r="G187" i="11"/>
  <c r="G182"/>
  <c r="H114" i="20" l="1"/>
  <c r="H104" i="5"/>
  <c r="H104" i="33" s="1"/>
  <c r="H104" i="7" s="1"/>
  <c r="H104" i="8" s="1"/>
  <c r="H104" i="9" s="1"/>
  <c r="H104" i="10" s="1"/>
  <c r="H104" i="11" s="1"/>
  <c r="H104" i="4"/>
  <c r="J114" i="3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F120"/>
  <c r="G120" i="4"/>
  <c r="G120" i="2"/>
  <c r="H120" s="1"/>
  <c r="G8" i="11"/>
  <c r="G8" i="9"/>
  <c r="I8" i="20"/>
  <c r="I8" i="19"/>
  <c r="I8" i="18"/>
  <c r="I8" i="17"/>
  <c r="I7" i="16"/>
  <c r="I8"/>
  <c r="I8" i="14"/>
  <c r="I8" i="13"/>
  <c r="J114" i="20" l="1"/>
  <c r="H114" i="21"/>
  <c r="H114" i="5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H114" i="22" l="1"/>
  <c r="J114" s="1"/>
  <c r="J114" i="21"/>
  <c r="H114" i="33"/>
  <c r="J114" i="5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G8" i="25"/>
  <c r="G8" i="40"/>
  <c r="G8" i="27"/>
  <c r="G8" i="28"/>
  <c r="G8" i="29"/>
  <c r="E8" i="4"/>
  <c r="G8" s="1"/>
  <c r="K9" i="43"/>
  <c r="M8"/>
  <c r="O8" i="23" l="1"/>
  <c r="H114" i="7"/>
  <c r="J114" i="33"/>
  <c r="E27" i="3"/>
  <c r="G27" s="1"/>
  <c r="L8" i="22"/>
  <c r="E27" i="7"/>
  <c r="G27" s="1"/>
  <c r="E27" i="8"/>
  <c r="G27" s="1"/>
  <c r="E27" i="33"/>
  <c r="G27" s="1"/>
  <c r="E27" i="4"/>
  <c r="G27" s="1"/>
  <c r="H8" i="2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J8" i="2"/>
  <c r="I9" s="1"/>
  <c r="G27" i="30"/>
  <c r="H8" i="3"/>
  <c r="J8" s="1"/>
  <c r="I9" s="1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V28" i="44" s="1"/>
  <c r="Y25" i="49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H28" i="44" l="1"/>
  <c r="K25" i="49" s="1"/>
  <c r="G172" i="25"/>
  <c r="E35" i="13"/>
  <c r="I7" i="9"/>
  <c r="E92" i="8"/>
  <c r="E93"/>
  <c r="I7"/>
  <c r="I7" i="5" l="1"/>
  <c r="E69" i="4"/>
  <c r="E171" s="1"/>
  <c r="G171" s="1"/>
  <c r="E132" i="43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G72"/>
  <c r="G69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G12"/>
  <c r="G11"/>
  <c r="G10"/>
  <c r="E28" l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29" i="45"/>
  <c r="AA30" s="1"/>
  <c r="E31" i="25"/>
  <c r="G31" s="1"/>
  <c r="AA5" i="45"/>
  <c r="G28" i="25"/>
  <c r="H137"/>
  <c r="J137" s="1"/>
  <c r="AS28" i="44"/>
  <c r="AU28" s="1"/>
  <c r="AA24" i="45"/>
  <c r="E30" i="25"/>
  <c r="G30" s="1"/>
  <c r="AA6" i="45"/>
  <c r="F119" i="25"/>
  <c r="G119"/>
  <c r="F118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G32" i="25"/>
  <c r="I13"/>
  <c r="G60"/>
  <c r="I60" s="1"/>
  <c r="G143"/>
  <c r="G147"/>
  <c r="G149"/>
  <c r="E123" i="30"/>
  <c r="E35" i="28"/>
  <c r="G35" s="1"/>
  <c r="AW28" i="44" l="1"/>
  <c r="BM25" i="49"/>
  <c r="I59" i="25"/>
  <c r="E45" i="21"/>
  <c r="G133" i="2" l="1"/>
  <c r="E36" i="23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O43" i="23" l="1"/>
  <c r="G172" i="16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S35" i="44"/>
  <c r="AT35"/>
  <c r="AL35"/>
  <c r="AM35"/>
  <c r="AN35"/>
  <c r="AO35"/>
  <c r="AH9" i="45"/>
  <c r="AH10"/>
  <c r="AH12"/>
  <c r="AH26" s="1"/>
  <c r="AH8"/>
  <c r="AH28" s="1"/>
  <c r="AH7"/>
  <c r="K35" i="44"/>
  <c r="N35"/>
  <c r="O35"/>
  <c r="P35"/>
  <c r="Q35"/>
  <c r="R35"/>
  <c r="S35"/>
  <c r="T35"/>
  <c r="V35"/>
  <c r="J35"/>
  <c r="AC35"/>
  <c r="AD35"/>
  <c r="AE35"/>
  <c r="AF35"/>
  <c r="AG35"/>
  <c r="AH35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E125" i="43"/>
  <c r="G125" s="1"/>
  <c r="AM34" i="44" s="1"/>
  <c r="E126" i="43"/>
  <c r="G126" s="1"/>
  <c r="AN34" i="44" s="1"/>
  <c r="E127" i="43"/>
  <c r="G127" s="1"/>
  <c r="AO34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K34" i="44" s="1"/>
  <c r="E74" i="43"/>
  <c r="G74" s="1"/>
  <c r="L34" i="44" s="1"/>
  <c r="E75" i="43"/>
  <c r="G75" s="1"/>
  <c r="M34" i="44" s="1"/>
  <c r="E76" i="43"/>
  <c r="G76" s="1"/>
  <c r="N34" i="44" s="1"/>
  <c r="E77" i="43"/>
  <c r="G77" s="1"/>
  <c r="O34" i="44" s="1"/>
  <c r="E78" i="43"/>
  <c r="G78" s="1"/>
  <c r="P34" i="44" s="1"/>
  <c r="E79" i="43"/>
  <c r="G79" s="1"/>
  <c r="Q34" i="44" s="1"/>
  <c r="E80" i="43"/>
  <c r="G80" s="1"/>
  <c r="R34" i="44" s="1"/>
  <c r="E81" i="43"/>
  <c r="G81" s="1"/>
  <c r="S34" i="44" s="1"/>
  <c r="E82" i="43"/>
  <c r="G82" s="1"/>
  <c r="T34" i="44" s="1"/>
  <c r="E83" i="43"/>
  <c r="G83" s="1"/>
  <c r="V34" i="44" s="1"/>
  <c r="E84" i="43"/>
  <c r="G84" s="1"/>
  <c r="AI34" i="44" s="1"/>
  <c r="E72" i="43"/>
  <c r="G72" s="1"/>
  <c r="J34" i="44" s="1"/>
  <c r="E63" i="43"/>
  <c r="E64"/>
  <c r="E65"/>
  <c r="E66"/>
  <c r="E67"/>
  <c r="E68"/>
  <c r="E69"/>
  <c r="E62"/>
  <c r="G50"/>
  <c r="H34" i="44" s="1"/>
  <c r="G51" i="43"/>
  <c r="C34" i="44" s="1"/>
  <c r="G52" i="43"/>
  <c r="D34" i="44" s="1"/>
  <c r="G53" i="43"/>
  <c r="E34" i="44" s="1"/>
  <c r="G54" i="43"/>
  <c r="G55"/>
  <c r="G56"/>
  <c r="G57"/>
  <c r="G58"/>
  <c r="E49"/>
  <c r="G49" s="1"/>
  <c r="B34" i="44" s="1"/>
  <c r="G36" i="43"/>
  <c r="I34" i="44" s="1"/>
  <c r="G37" i="43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E24" i="5"/>
  <c r="E23"/>
  <c r="E22"/>
  <c r="G22" s="1"/>
  <c r="H24" i="4"/>
  <c r="G22"/>
  <c r="E19" i="5"/>
  <c r="G19" s="1"/>
  <c r="E18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E9"/>
  <c r="G9" s="1"/>
  <c r="E10"/>
  <c r="G10" s="1"/>
  <c r="E11"/>
  <c r="G11" s="1"/>
  <c r="E12"/>
  <c r="G12" s="1"/>
  <c r="E15"/>
  <c r="G15" s="1"/>
  <c r="E18"/>
  <c r="G18"/>
  <c r="E19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U7" i="44" s="1"/>
  <c r="X4" i="49" s="1"/>
  <c r="E62" i="4"/>
  <c r="E164" s="1"/>
  <c r="E63"/>
  <c r="E64"/>
  <c r="E65"/>
  <c r="G66"/>
  <c r="AE7" i="44" s="1"/>
  <c r="AH4" i="49" s="1"/>
  <c r="E67" i="4"/>
  <c r="E68"/>
  <c r="G69"/>
  <c r="E72"/>
  <c r="G72" s="1"/>
  <c r="J7" i="44" s="1"/>
  <c r="M4" i="49" s="1"/>
  <c r="E73" i="4"/>
  <c r="G73" s="1"/>
  <c r="K7" i="44" s="1"/>
  <c r="N4" i="49" s="1"/>
  <c r="E74" i="4"/>
  <c r="G74" s="1"/>
  <c r="L7" i="44" s="1"/>
  <c r="O4" i="49" s="1"/>
  <c r="E75" i="4"/>
  <c r="G75" s="1"/>
  <c r="M7" i="44" s="1"/>
  <c r="P4" i="49" s="1"/>
  <c r="E76" i="4"/>
  <c r="G76" s="1"/>
  <c r="N7" i="44" s="1"/>
  <c r="Q4" i="49" s="1"/>
  <c r="E77" i="4"/>
  <c r="G77" s="1"/>
  <c r="O7" i="44" s="1"/>
  <c r="R4" i="49" s="1"/>
  <c r="E78" i="4"/>
  <c r="G78" s="1"/>
  <c r="P7" i="44" s="1"/>
  <c r="S4" i="49" s="1"/>
  <c r="E79" i="4"/>
  <c r="G79" s="1"/>
  <c r="Q7" i="44" s="1"/>
  <c r="T4" i="49" s="1"/>
  <c r="E80" i="4"/>
  <c r="G80" s="1"/>
  <c r="R7" i="44" s="1"/>
  <c r="U4" i="49" s="1"/>
  <c r="G81" i="4"/>
  <c r="S7" i="44" s="1"/>
  <c r="V4" i="49" s="1"/>
  <c r="E82" i="4"/>
  <c r="G82" s="1"/>
  <c r="T7" i="44" s="1"/>
  <c r="W4" i="49" s="1"/>
  <c r="E83" i="4"/>
  <c r="G83" s="1"/>
  <c r="V7" i="44" s="1"/>
  <c r="Y4" i="49" s="1"/>
  <c r="E84" i="4"/>
  <c r="G84" s="1"/>
  <c r="AI7" i="44" s="1"/>
  <c r="AL4" i="49" s="1"/>
  <c r="E92" i="4"/>
  <c r="G92" s="1"/>
  <c r="F7" i="45" s="1"/>
  <c r="E93" i="4"/>
  <c r="G93" s="1"/>
  <c r="E123"/>
  <c r="G123" s="1"/>
  <c r="E124"/>
  <c r="G124" s="1"/>
  <c r="AL7" i="44" s="1"/>
  <c r="BI4" i="49" s="1"/>
  <c r="E125" i="4"/>
  <c r="G125" s="1"/>
  <c r="AM7" i="44" s="1"/>
  <c r="BJ4" i="49" s="1"/>
  <c r="E126" i="4"/>
  <c r="G126" s="1"/>
  <c r="AN7" i="44" s="1"/>
  <c r="BK4" i="49" s="1"/>
  <c r="E127" i="4"/>
  <c r="G127" s="1"/>
  <c r="AO7" i="44" s="1"/>
  <c r="BL4" i="49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R7" i="44" s="1"/>
  <c r="E137" i="4"/>
  <c r="G137" s="1"/>
  <c r="AS7" i="44" s="1"/>
  <c r="E138" i="4"/>
  <c r="G138" s="1"/>
  <c r="E139"/>
  <c r="G139" s="1"/>
  <c r="E140"/>
  <c r="G140" s="1"/>
  <c r="E70" i="14"/>
  <c r="G70" s="1"/>
  <c r="J16" i="35" s="1"/>
  <c r="E64" i="9"/>
  <c r="G64" s="1"/>
  <c r="AC12" i="44" s="1"/>
  <c r="AF9" i="49" s="1"/>
  <c r="G37" i="5"/>
  <c r="E43"/>
  <c r="G43" s="1"/>
  <c r="E15"/>
  <c r="G15" s="1"/>
  <c r="E10"/>
  <c r="G10" s="1"/>
  <c r="E11"/>
  <c r="G11" s="1"/>
  <c r="E12"/>
  <c r="G12" s="1"/>
  <c r="G9"/>
  <c r="E7"/>
  <c r="G7" s="1"/>
  <c r="G18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AQ16" i="44" s="1"/>
  <c r="G140" i="13"/>
  <c r="G96"/>
  <c r="G97"/>
  <c r="G98"/>
  <c r="G99"/>
  <c r="G100"/>
  <c r="G93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H70" i="5"/>
  <c r="J70" s="1"/>
  <c r="E84"/>
  <c r="G84" s="1"/>
  <c r="AI8" i="44" s="1"/>
  <c r="AL5" i="49" s="1"/>
  <c r="E83" i="5"/>
  <c r="G83" s="1"/>
  <c r="V8" i="44" s="1"/>
  <c r="Y5" i="49" s="1"/>
  <c r="E82" i="5"/>
  <c r="G82" s="1"/>
  <c r="T8" i="44" s="1"/>
  <c r="W5" i="49" s="1"/>
  <c r="E81" i="5"/>
  <c r="G81" s="1"/>
  <c r="S8" i="44" s="1"/>
  <c r="V5" i="49" s="1"/>
  <c r="E80" i="5"/>
  <c r="G80" s="1"/>
  <c r="R8" i="44" s="1"/>
  <c r="U5" i="49" s="1"/>
  <c r="E79" i="5"/>
  <c r="G79" s="1"/>
  <c r="Q8" i="44" s="1"/>
  <c r="T5" i="49" s="1"/>
  <c r="E78" i="5"/>
  <c r="G78" s="1"/>
  <c r="P8" i="44" s="1"/>
  <c r="S5" i="49" s="1"/>
  <c r="E77" i="5"/>
  <c r="G77" s="1"/>
  <c r="O8" i="44" s="1"/>
  <c r="R5" i="49" s="1"/>
  <c r="E76" i="5"/>
  <c r="G76" s="1"/>
  <c r="N8" i="44" s="1"/>
  <c r="Q5" i="49" s="1"/>
  <c r="E75" i="5"/>
  <c r="G75" s="1"/>
  <c r="E74"/>
  <c r="G74" s="1"/>
  <c r="E73"/>
  <c r="G73" s="1"/>
  <c r="K8" i="44" s="1"/>
  <c r="N5" i="49" s="1"/>
  <c r="E72" i="5"/>
  <c r="G72" s="1"/>
  <c r="J8" i="44" s="1"/>
  <c r="M5" i="49" s="1"/>
  <c r="E84" i="3"/>
  <c r="G84" s="1"/>
  <c r="E83"/>
  <c r="G83" s="1"/>
  <c r="V6" i="44" s="1"/>
  <c r="Y3" i="49" s="1"/>
  <c r="G82" i="3"/>
  <c r="T6" i="44" s="1"/>
  <c r="W3" i="49" s="1"/>
  <c r="E81" i="3"/>
  <c r="G81" s="1"/>
  <c r="S6" i="44" s="1"/>
  <c r="V3" i="49" s="1"/>
  <c r="E80" i="3"/>
  <c r="G80" s="1"/>
  <c r="R6" i="44" s="1"/>
  <c r="U3" i="49" s="1"/>
  <c r="E79" i="3"/>
  <c r="G79" s="1"/>
  <c r="Q6" i="44" s="1"/>
  <c r="T3" i="49" s="1"/>
  <c r="E78" i="3"/>
  <c r="G78" s="1"/>
  <c r="P6" i="44" s="1"/>
  <c r="S3" i="49" s="1"/>
  <c r="E77" i="3"/>
  <c r="G77" s="1"/>
  <c r="O6" i="44" s="1"/>
  <c r="R3" i="49" s="1"/>
  <c r="E76" i="3"/>
  <c r="G76" s="1"/>
  <c r="N6" i="44" s="1"/>
  <c r="Q3" i="49" s="1"/>
  <c r="E75" i="3"/>
  <c r="G75" s="1"/>
  <c r="M6" i="44" s="1"/>
  <c r="P3" i="49" s="1"/>
  <c r="E74" i="3"/>
  <c r="G74" s="1"/>
  <c r="L6" i="44" s="1"/>
  <c r="O3" i="49" s="1"/>
  <c r="E73" i="3"/>
  <c r="G73" s="1"/>
  <c r="K6" i="44" s="1"/>
  <c r="N3" i="49" s="1"/>
  <c r="E72" i="3"/>
  <c r="G72" s="1"/>
  <c r="J6" i="44" s="1"/>
  <c r="M3" i="49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AB33" i="44" s="1"/>
  <c r="E62" i="30"/>
  <c r="G58"/>
  <c r="G57"/>
  <c r="G56"/>
  <c r="G55"/>
  <c r="G54"/>
  <c r="G53"/>
  <c r="G52"/>
  <c r="G51"/>
  <c r="G50"/>
  <c r="H33" i="44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3" i="44" s="1"/>
  <c r="E38" i="30"/>
  <c r="G38" s="1"/>
  <c r="E37"/>
  <c r="G37" s="1"/>
  <c r="C33" i="44" s="1"/>
  <c r="E36" i="30"/>
  <c r="G36" s="1"/>
  <c r="I33" i="44" s="1"/>
  <c r="E35" i="30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G92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E138"/>
  <c r="G138" s="1"/>
  <c r="E137"/>
  <c r="G137" s="1"/>
  <c r="E136"/>
  <c r="G136" s="1"/>
  <c r="AR27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O27" i="44" s="1"/>
  <c r="BL24" i="49" s="1"/>
  <c r="E126" i="24"/>
  <c r="G126" s="1"/>
  <c r="AN27" i="44" s="1"/>
  <c r="BK24" i="49" s="1"/>
  <c r="E125" i="24"/>
  <c r="G125" s="1"/>
  <c r="AM27" i="44" s="1"/>
  <c r="BJ24" i="49" s="1"/>
  <c r="E124" i="24"/>
  <c r="G124" s="1"/>
  <c r="AL27" i="44" s="1"/>
  <c r="BI24" i="49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V27" i="44" s="1"/>
  <c r="Y24" i="49" s="1"/>
  <c r="E82" i="24"/>
  <c r="G82" s="1"/>
  <c r="T27" i="44" s="1"/>
  <c r="W24" i="49" s="1"/>
  <c r="E81" i="24"/>
  <c r="G81" s="1"/>
  <c r="S27" i="44" s="1"/>
  <c r="V24" i="49" s="1"/>
  <c r="E80" i="24"/>
  <c r="G80" s="1"/>
  <c r="R27" i="44" s="1"/>
  <c r="U24" i="49" s="1"/>
  <c r="E79" i="24"/>
  <c r="G79" s="1"/>
  <c r="Q27" i="44" s="1"/>
  <c r="T24" i="49" s="1"/>
  <c r="E78" i="24"/>
  <c r="G78" s="1"/>
  <c r="P27" i="44" s="1"/>
  <c r="S24" i="49" s="1"/>
  <c r="G77" i="24"/>
  <c r="O27" i="44" s="1"/>
  <c r="R24" i="49" s="1"/>
  <c r="E76" i="24"/>
  <c r="G76" s="1"/>
  <c r="N27" i="44" s="1"/>
  <c r="Q24" i="49" s="1"/>
  <c r="E75" i="24"/>
  <c r="G75" s="1"/>
  <c r="M27" i="44" s="1"/>
  <c r="P24" i="49" s="1"/>
  <c r="E74" i="24"/>
  <c r="G74" s="1"/>
  <c r="L27" i="44" s="1"/>
  <c r="O24" i="49" s="1"/>
  <c r="E73" i="24"/>
  <c r="G73" s="1"/>
  <c r="E72"/>
  <c r="G72" s="1"/>
  <c r="E69"/>
  <c r="E68"/>
  <c r="E67"/>
  <c r="E66"/>
  <c r="E65"/>
  <c r="E64"/>
  <c r="E63"/>
  <c r="E62"/>
  <c r="E58"/>
  <c r="G58" s="1"/>
  <c r="U27" i="44" s="1"/>
  <c r="X24" i="49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G9"/>
  <c r="G7"/>
  <c r="E139" i="23"/>
  <c r="G139" s="1"/>
  <c r="AQ26" i="44" s="1"/>
  <c r="E138" i="23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O46" s="1"/>
  <c r="G45"/>
  <c r="O45" s="1"/>
  <c r="G44"/>
  <c r="G42"/>
  <c r="O42" s="1"/>
  <c r="G41"/>
  <c r="G40"/>
  <c r="O40" s="1"/>
  <c r="G39"/>
  <c r="G38"/>
  <c r="G37"/>
  <c r="G36"/>
  <c r="E35"/>
  <c r="G35" s="1"/>
  <c r="E24"/>
  <c r="E23"/>
  <c r="E22"/>
  <c r="G22" s="1"/>
  <c r="O22" s="1"/>
  <c r="E19"/>
  <c r="G19" s="1"/>
  <c r="E18"/>
  <c r="E15"/>
  <c r="G15" s="1"/>
  <c r="E12"/>
  <c r="G12" s="1"/>
  <c r="O12" s="1"/>
  <c r="E11"/>
  <c r="G11" s="1"/>
  <c r="O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E138"/>
  <c r="G138" s="1"/>
  <c r="AT24" i="44" s="1"/>
  <c r="E137" i="21"/>
  <c r="G137" s="1"/>
  <c r="E136"/>
  <c r="G136" s="1"/>
  <c r="AR24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E77" i="21"/>
  <c r="G77" s="1"/>
  <c r="O24" i="44" s="1"/>
  <c r="R21" i="49" s="1"/>
  <c r="E76" i="21"/>
  <c r="G76" s="1"/>
  <c r="N24" i="44" s="1"/>
  <c r="Q21" i="49" s="1"/>
  <c r="E75" i="21"/>
  <c r="G75" s="1"/>
  <c r="M24" i="44" s="1"/>
  <c r="P21" i="49" s="1"/>
  <c r="E74" i="21"/>
  <c r="G74" s="1"/>
  <c r="L24" i="44" s="1"/>
  <c r="O21" i="49" s="1"/>
  <c r="E73" i="21"/>
  <c r="G73" s="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E43"/>
  <c r="G43" s="1"/>
  <c r="G42"/>
  <c r="G41"/>
  <c r="G40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E92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N23" i="44" s="1"/>
  <c r="Q20" i="49" s="1"/>
  <c r="G75" i="20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E125" i="16"/>
  <c r="G125" s="1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AG12" i="44" s="1"/>
  <c r="AJ9" i="49" s="1"/>
  <c r="E67" i="9"/>
  <c r="G67" s="1"/>
  <c r="AF12" i="44" s="1"/>
  <c r="AI9" i="49" s="1"/>
  <c r="E66" i="9"/>
  <c r="G66" s="1"/>
  <c r="AE12" i="44" s="1"/>
  <c r="AH9" i="49" s="1"/>
  <c r="E65" i="9"/>
  <c r="G65" s="1"/>
  <c r="AD12" i="44" s="1"/>
  <c r="AG9" i="49" s="1"/>
  <c r="E63" i="9"/>
  <c r="G63" s="1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E12"/>
  <c r="G12" s="1"/>
  <c r="G11"/>
  <c r="E10"/>
  <c r="G10" s="1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R8" i="44" s="1"/>
  <c r="E137" i="5"/>
  <c r="G137" s="1"/>
  <c r="AS8" i="44" s="1"/>
  <c r="E138" i="5"/>
  <c r="G138" s="1"/>
  <c r="E139"/>
  <c r="G139" s="1"/>
  <c r="E140"/>
  <c r="G140" s="1"/>
  <c r="E130"/>
  <c r="G130" s="1"/>
  <c r="E124"/>
  <c r="G124" s="1"/>
  <c r="AL8" i="44" s="1"/>
  <c r="BI5" i="49" s="1"/>
  <c r="E125" i="5"/>
  <c r="G125" s="1"/>
  <c r="AM8" i="44" s="1"/>
  <c r="BJ5" i="49" s="1"/>
  <c r="E126" i="5"/>
  <c r="G126" s="1"/>
  <c r="AN8" i="44" s="1"/>
  <c r="BK5" i="49" s="1"/>
  <c r="E127" i="5"/>
  <c r="G127" s="1"/>
  <c r="AO8" i="44" s="1"/>
  <c r="BL5" i="49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164" s="1"/>
  <c r="E50"/>
  <c r="G50" s="1"/>
  <c r="E51"/>
  <c r="G51" s="1"/>
  <c r="E52"/>
  <c r="G52" s="1"/>
  <c r="BC7" i="1" s="1"/>
  <c r="E53" i="5"/>
  <c r="G53" s="1"/>
  <c r="E54"/>
  <c r="G54" s="1"/>
  <c r="BE7" i="1" s="1"/>
  <c r="E55" i="5"/>
  <c r="G55" s="1"/>
  <c r="BF7" i="1" s="1"/>
  <c r="E56" i="5"/>
  <c r="G56" s="1"/>
  <c r="E57"/>
  <c r="G57" s="1"/>
  <c r="BH7" i="1" s="1"/>
  <c r="E58" i="5"/>
  <c r="G58" s="1"/>
  <c r="U8" i="44" s="1"/>
  <c r="X5" i="49" s="1"/>
  <c r="E49" i="5"/>
  <c r="G49" s="1"/>
  <c r="E36"/>
  <c r="G36" s="1"/>
  <c r="E38"/>
  <c r="G38" s="1"/>
  <c r="G39"/>
  <c r="E8" i="44" s="1"/>
  <c r="H5" i="49" s="1"/>
  <c r="E40" i="5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S6" i="44" s="1"/>
  <c r="E136" i="3"/>
  <c r="G136" s="1"/>
  <c r="AR6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O6" i="44" s="1"/>
  <c r="BL3" i="49" s="1"/>
  <c r="E126" i="3"/>
  <c r="G126" s="1"/>
  <c r="AN6" i="44" s="1"/>
  <c r="BK3" i="49" s="1"/>
  <c r="E125" i="3"/>
  <c r="G125" s="1"/>
  <c r="AM6" i="44" s="1"/>
  <c r="BJ3" i="49" s="1"/>
  <c r="E124" i="3"/>
  <c r="G124" s="1"/>
  <c r="AL6" i="44" s="1"/>
  <c r="BI3" i="49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AA6" i="44" s="1"/>
  <c r="AD3" i="49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G138"/>
  <c r="G137"/>
  <c r="G136"/>
  <c r="AR5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I5" i="44" s="1"/>
  <c r="L2" i="49" s="1"/>
  <c r="H23" i="2"/>
  <c r="G12"/>
  <c r="G11"/>
  <c r="G10"/>
  <c r="H9"/>
  <c r="I111" i="41"/>
  <c r="H24" i="3"/>
  <c r="J24" s="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0" i="44" l="1"/>
  <c r="J7" i="49" s="1"/>
  <c r="C25" i="44"/>
  <c r="F22" i="49" s="1"/>
  <c r="A6" i="46"/>
  <c r="O7" i="23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I9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O19" i="23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O18" i="23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G33"/>
  <c r="F20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D22"/>
  <c r="G19" i="49" s="1"/>
  <c r="C23" i="44"/>
  <c r="F20" i="49" s="1"/>
  <c r="O15" i="23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O10" i="23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O44" i="23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BI18" i="1"/>
  <c r="H19" i="44"/>
  <c r="K16" i="49" s="1"/>
  <c r="I22" i="44"/>
  <c r="L19" i="49" s="1"/>
  <c r="I21" i="44"/>
  <c r="L18" i="49" s="1"/>
  <c r="AL22" i="1"/>
  <c r="AQ23" i="44"/>
  <c r="O35" i="23"/>
  <c r="B26" i="44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O36" i="23"/>
  <c r="I26" i="44"/>
  <c r="L23" i="49" s="1"/>
  <c r="F33" i="44"/>
  <c r="G17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O37" i="23"/>
  <c r="C26" i="44"/>
  <c r="F23" i="49" s="1"/>
  <c r="AL18" i="1"/>
  <c r="AQ19" i="44"/>
  <c r="H21"/>
  <c r="K18" i="49" s="1"/>
  <c r="H22" i="44"/>
  <c r="K19" i="49" s="1"/>
  <c r="O38" i="23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O39" i="23"/>
  <c r="E26" i="44"/>
  <c r="H23" i="49" s="1"/>
  <c r="O50" i="23"/>
  <c r="H26" i="44"/>
  <c r="K23" i="49" s="1"/>
  <c r="AL28" i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O41" i="23"/>
  <c r="F26" i="44"/>
  <c r="I23" i="49" s="1"/>
  <c r="E27" i="44"/>
  <c r="H24" i="49" s="1"/>
  <c r="AL29" i="1"/>
  <c r="AQ30" i="44"/>
  <c r="F31"/>
  <c r="I28" i="49" s="1"/>
  <c r="AL31" i="1"/>
  <c r="AQ32" i="44"/>
  <c r="D33"/>
  <c r="D17"/>
  <c r="G14" i="49" s="1"/>
  <c r="C8" i="44"/>
  <c r="F5" i="49" s="1"/>
  <c r="AL10" i="1"/>
  <c r="AQ11" i="44"/>
  <c r="C11"/>
  <c r="F8" i="49" s="1"/>
  <c r="AQ15" i="44"/>
  <c r="D29"/>
  <c r="G26" i="49" s="1"/>
  <c r="F34" i="44"/>
  <c r="BG33" i="1"/>
  <c r="G34" i="44"/>
  <c r="AL6" i="1"/>
  <c r="AQ7" i="44"/>
  <c r="AL11" i="1"/>
  <c r="AQ12" i="44"/>
  <c r="C37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F118" i="29"/>
  <c r="N118" s="1"/>
  <c r="G63" i="3"/>
  <c r="AB6" i="44" s="1"/>
  <c r="AE3" i="49" s="1"/>
  <c r="E165" i="3"/>
  <c r="G165" s="1"/>
  <c r="G62" i="5"/>
  <c r="AA8" i="44" s="1"/>
  <c r="AD5" i="49" s="1"/>
  <c r="G164" i="5"/>
  <c r="G66"/>
  <c r="AE8" i="44" s="1"/>
  <c r="AH5" i="49" s="1"/>
  <c r="E168" i="5"/>
  <c r="G168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E168" i="7"/>
  <c r="G168" s="1"/>
  <c r="G136" i="17"/>
  <c r="AR20" i="44" s="1"/>
  <c r="G65" i="4"/>
  <c r="AD7" i="44" s="1"/>
  <c r="AG4" i="49" s="1"/>
  <c r="E167" i="4"/>
  <c r="G167" s="1"/>
  <c r="E170" i="12"/>
  <c r="G170" s="1"/>
  <c r="E165"/>
  <c r="G165" s="1"/>
  <c r="G67" i="3"/>
  <c r="AF6" i="44" s="1"/>
  <c r="AI3" i="49" s="1"/>
  <c r="E169" i="3"/>
  <c r="G169" s="1"/>
  <c r="G66"/>
  <c r="AE6" i="44" s="1"/>
  <c r="AH3" i="49" s="1"/>
  <c r="E168" i="3"/>
  <c r="G168" s="1"/>
  <c r="G67" i="5"/>
  <c r="AF8" i="44" s="1"/>
  <c r="AI5" i="49" s="1"/>
  <c r="E169" i="5"/>
  <c r="G169" s="1"/>
  <c r="G63"/>
  <c r="AB8" i="44" s="1"/>
  <c r="AE5" i="49" s="1"/>
  <c r="E165" i="5"/>
  <c r="G165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E167" i="7"/>
  <c r="G167" s="1"/>
  <c r="G69"/>
  <c r="E171"/>
  <c r="G171" s="1"/>
  <c r="G62" i="4"/>
  <c r="AA7" i="44" s="1"/>
  <c r="AD4" i="49" s="1"/>
  <c r="G164" i="4"/>
  <c r="E166" i="12"/>
  <c r="G166" s="1"/>
  <c r="F118" i="5"/>
  <c r="G65" i="3"/>
  <c r="AD6" i="44" s="1"/>
  <c r="AG3" i="49" s="1"/>
  <c r="E167" i="3"/>
  <c r="G167" s="1"/>
  <c r="G69"/>
  <c r="E171"/>
  <c r="G171" s="1"/>
  <c r="G68" i="5"/>
  <c r="AG8" i="44" s="1"/>
  <c r="AJ5" i="49" s="1"/>
  <c r="E170" i="5"/>
  <c r="G170" s="1"/>
  <c r="G64"/>
  <c r="AC8" i="44" s="1"/>
  <c r="AF5" i="49" s="1"/>
  <c r="E166" i="5"/>
  <c r="G166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E166" i="7"/>
  <c r="G166" s="1"/>
  <c r="G68"/>
  <c r="AG10" i="44" s="1"/>
  <c r="AJ7" i="49" s="1"/>
  <c r="E170" i="7"/>
  <c r="G170" s="1"/>
  <c r="G67" i="4"/>
  <c r="AF7" i="44" s="1"/>
  <c r="AI4" i="49" s="1"/>
  <c r="E169" i="4"/>
  <c r="G169" s="1"/>
  <c r="G63"/>
  <c r="AB7" i="44" s="1"/>
  <c r="AE4" i="49" s="1"/>
  <c r="E165" i="4"/>
  <c r="G165" s="1"/>
  <c r="E167" i="12"/>
  <c r="G167" s="1"/>
  <c r="G64" i="3"/>
  <c r="AC6" i="44" s="1"/>
  <c r="AF3" i="49" s="1"/>
  <c r="E166" i="3"/>
  <c r="G166" s="1"/>
  <c r="G68"/>
  <c r="AG6" i="44" s="1"/>
  <c r="AJ3" i="49" s="1"/>
  <c r="E170" i="3"/>
  <c r="G170" s="1"/>
  <c r="G69" i="5"/>
  <c r="AH8" i="44" s="1"/>
  <c r="AK5" i="49" s="1"/>
  <c r="E171" i="5"/>
  <c r="G171" s="1"/>
  <c r="G65"/>
  <c r="AD8" i="44" s="1"/>
  <c r="AG5" i="49" s="1"/>
  <c r="E167" i="5"/>
  <c r="G167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E165" i="7"/>
  <c r="G165" s="1"/>
  <c r="G67"/>
  <c r="AF10" i="44" s="1"/>
  <c r="AI7" i="49" s="1"/>
  <c r="E169" i="7"/>
  <c r="G169" s="1"/>
  <c r="G68" i="4"/>
  <c r="AG7" i="44" s="1"/>
  <c r="AJ4" i="49" s="1"/>
  <c r="E170" i="4"/>
  <c r="G170" s="1"/>
  <c r="G64"/>
  <c r="AC7" i="44" s="1"/>
  <c r="AF4" i="49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J28" i="44"/>
  <c r="M25" i="49" s="1"/>
  <c r="K28" i="44"/>
  <c r="N25" i="49" s="1"/>
  <c r="J27" i="44"/>
  <c r="M24" i="49" s="1"/>
  <c r="K27" i="44"/>
  <c r="N24" i="49" s="1"/>
  <c r="G7" i="33"/>
  <c r="A7" i="46" s="1"/>
  <c r="G15" i="13"/>
  <c r="M15" i="1" s="1"/>
  <c r="AW33"/>
  <c r="AT33"/>
  <c r="AQ33"/>
  <c r="U30" i="44"/>
  <c r="X27" i="49" s="1"/>
  <c r="U31" i="44"/>
  <c r="X28" i="49" s="1"/>
  <c r="AW30" i="1"/>
  <c r="U29" i="44"/>
  <c r="X26" i="49" s="1"/>
  <c r="O100" i="23"/>
  <c r="G119"/>
  <c r="U17" i="44"/>
  <c r="X14" i="49" s="1"/>
  <c r="U18" i="44"/>
  <c r="X15" i="49" s="1"/>
  <c r="BC17" i="1"/>
  <c r="BC16"/>
  <c r="AW17"/>
  <c r="AW16"/>
  <c r="U6" i="44"/>
  <c r="X3" i="49" s="1"/>
  <c r="AW5" i="1"/>
  <c r="E31" i="2"/>
  <c r="N31" i="29" s="1"/>
  <c r="A4" i="46"/>
  <c r="AM5" i="1"/>
  <c r="AM8"/>
  <c r="AM11"/>
  <c r="AO11" s="1"/>
  <c r="G63" i="15"/>
  <c r="AB18" i="44" s="1"/>
  <c r="AE15" i="49" s="1"/>
  <c r="E165" i="15"/>
  <c r="G165" s="1"/>
  <c r="AM18" i="1"/>
  <c r="AO18" s="1"/>
  <c r="AM19"/>
  <c r="AO19" s="1"/>
  <c r="G49" i="18"/>
  <c r="B21" i="44" s="1"/>
  <c r="E18" i="49" s="1"/>
  <c r="K49" i="18"/>
  <c r="G62"/>
  <c r="AA21" i="44" s="1"/>
  <c r="AD18" i="49" s="1"/>
  <c r="E164" i="18"/>
  <c r="G164" s="1"/>
  <c r="T28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E169" i="20"/>
  <c r="G169"/>
  <c r="BB23" i="1"/>
  <c r="L51" i="21"/>
  <c r="G62"/>
  <c r="AA24" i="44" s="1"/>
  <c r="AD21" i="49" s="1"/>
  <c r="E164" i="21"/>
  <c r="G164" s="1"/>
  <c r="BG25" i="1"/>
  <c r="O56" i="23"/>
  <c r="G63"/>
  <c r="E165"/>
  <c r="G165" s="1"/>
  <c r="AN26" i="44"/>
  <c r="BK23" i="49" s="1"/>
  <c r="O126" i="23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G42" i="18"/>
  <c r="AW20" i="1" s="1"/>
  <c r="G62" i="19"/>
  <c r="E164"/>
  <c r="G164" s="1"/>
  <c r="E169"/>
  <c r="G169"/>
  <c r="G67"/>
  <c r="AF22" i="44" s="1"/>
  <c r="AI19" i="49" s="1"/>
  <c r="G132" i="19"/>
  <c r="AA21" i="1" s="1"/>
  <c r="G140" i="19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AA33" i="44" s="1"/>
  <c r="E164" i="30"/>
  <c r="G164" s="1"/>
  <c r="G172" s="1"/>
  <c r="BG24" i="1"/>
  <c r="L56" i="22"/>
  <c r="G62" i="43"/>
  <c r="AA34" i="44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E167" i="20"/>
  <c r="G167"/>
  <c r="E171"/>
  <c r="G171"/>
  <c r="BH23" i="1"/>
  <c r="L57" i="21"/>
  <c r="BE25" i="1"/>
  <c r="O54" i="23"/>
  <c r="AL26" i="44"/>
  <c r="BI23" i="49" s="1"/>
  <c r="O124" i="23"/>
  <c r="AC25" i="1"/>
  <c r="O134" i="23"/>
  <c r="AM13" i="1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G42" i="4"/>
  <c r="AW6" i="1" s="1"/>
  <c r="G63" i="43"/>
  <c r="AB34" i="44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E166" i="20"/>
  <c r="G166"/>
  <c r="E17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O57" i="23"/>
  <c r="AO26" i="44"/>
  <c r="BL23" i="49" s="1"/>
  <c r="O127" i="23"/>
  <c r="P136" i="12"/>
  <c r="AR15" i="44"/>
  <c r="G63" i="13"/>
  <c r="AB16" i="44" s="1"/>
  <c r="AE13" i="49" s="1"/>
  <c r="E165" i="13"/>
  <c r="G165" s="1"/>
  <c r="AM33" i="1"/>
  <c r="BA19"/>
  <c r="AM31"/>
  <c r="AO31" s="1"/>
  <c r="AM30"/>
  <c r="AM29"/>
  <c r="N7" i="40"/>
  <c r="N11" s="1"/>
  <c r="AM26" i="1"/>
  <c r="AM25"/>
  <c r="O140" i="23"/>
  <c r="AT26" i="44"/>
  <c r="O138" i="23"/>
  <c r="AR26" i="44"/>
  <c r="O136" i="23"/>
  <c r="AB25" i="1"/>
  <c r="O133" i="23"/>
  <c r="AA25" i="1"/>
  <c r="O132" i="23"/>
  <c r="AM26" i="44"/>
  <c r="BJ23" i="49" s="1"/>
  <c r="O125" i="23"/>
  <c r="Y12" i="45"/>
  <c r="Y26" s="1"/>
  <c r="O98" i="23"/>
  <c r="Y8" i="45"/>
  <c r="Y28" s="1"/>
  <c r="O95" i="23"/>
  <c r="Y7" i="45"/>
  <c r="O92" i="23"/>
  <c r="V26" i="44"/>
  <c r="Y23" i="49" s="1"/>
  <c r="O83" i="23"/>
  <c r="T26" i="44"/>
  <c r="W23" i="49" s="1"/>
  <c r="O82" i="23"/>
  <c r="S26" i="44"/>
  <c r="V23" i="49" s="1"/>
  <c r="O81" i="23"/>
  <c r="R26" i="44"/>
  <c r="U23" i="49" s="1"/>
  <c r="O80" i="23"/>
  <c r="Q26" i="44"/>
  <c r="T23" i="49" s="1"/>
  <c r="O79" i="23"/>
  <c r="P26" i="44"/>
  <c r="S23" i="49" s="1"/>
  <c r="O78" i="23"/>
  <c r="O26" i="44"/>
  <c r="R23" i="49" s="1"/>
  <c r="O77" i="23"/>
  <c r="N26" i="44"/>
  <c r="Q23" i="49" s="1"/>
  <c r="O76" i="23"/>
  <c r="M26" i="44"/>
  <c r="P23" i="49" s="1"/>
  <c r="O75" i="23"/>
  <c r="L26" i="44"/>
  <c r="O23" i="49" s="1"/>
  <c r="O74" i="23"/>
  <c r="K26" i="44"/>
  <c r="N23" i="49" s="1"/>
  <c r="O73" i="23"/>
  <c r="J26" i="44"/>
  <c r="M23" i="49" s="1"/>
  <c r="O72" i="23"/>
  <c r="U26" i="44"/>
  <c r="X23" i="49" s="1"/>
  <c r="O58" i="23"/>
  <c r="BD25" i="1"/>
  <c r="O53" i="23"/>
  <c r="BC25" i="1"/>
  <c r="O52" i="23"/>
  <c r="BA25" i="1"/>
  <c r="O49" i="23"/>
  <c r="AM24" i="1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AO22" s="1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G20" i="3"/>
  <c r="H11" i="2"/>
  <c r="J11" s="1"/>
  <c r="H45"/>
  <c r="BH4" i="1"/>
  <c r="H131" i="2"/>
  <c r="H135"/>
  <c r="H135" i="3" s="1"/>
  <c r="H39" i="2"/>
  <c r="AY4" i="1"/>
  <c r="BI4"/>
  <c r="BG4"/>
  <c r="AC5" i="44"/>
  <c r="AF2" i="49" s="1"/>
  <c r="H130" i="2"/>
  <c r="H130" i="3" s="1"/>
  <c r="AO5" i="44"/>
  <c r="BL2" i="49" s="1"/>
  <c r="AD5" i="44"/>
  <c r="AG2" i="49" s="1"/>
  <c r="J104" i="10"/>
  <c r="H40" i="2"/>
  <c r="J40" s="1"/>
  <c r="AF5" i="44"/>
  <c r="AI2" i="49" s="1"/>
  <c r="J117" i="10"/>
  <c r="F119" i="2"/>
  <c r="F118"/>
  <c r="N30" i="31"/>
  <c r="H38" i="2"/>
  <c r="J38" s="1"/>
  <c r="AX4" i="1"/>
  <c r="H49" i="2"/>
  <c r="H49" i="3" s="1"/>
  <c r="H53" i="2"/>
  <c r="AB5" i="44"/>
  <c r="AE2" i="49" s="1"/>
  <c r="AM4" i="1"/>
  <c r="H58" i="2"/>
  <c r="H58" i="3" s="1"/>
  <c r="U5" i="44"/>
  <c r="X2" i="49" s="1"/>
  <c r="AZ4" i="1"/>
  <c r="H51" i="2"/>
  <c r="J51" s="1"/>
  <c r="AE5" i="44"/>
  <c r="AH2" i="49" s="1"/>
  <c r="H12" i="2"/>
  <c r="H12" i="3" s="1"/>
  <c r="J12" s="1"/>
  <c r="H52" i="2"/>
  <c r="H52" i="3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E171" i="43"/>
  <c r="G171" s="1"/>
  <c r="G68"/>
  <c r="AG34" i="44" s="1"/>
  <c r="E170" i="43"/>
  <c r="G170" s="1"/>
  <c r="G67"/>
  <c r="AF34" i="44" s="1"/>
  <c r="E169" i="43"/>
  <c r="G169" s="1"/>
  <c r="G66"/>
  <c r="AE34" i="44" s="1"/>
  <c r="E168" i="43"/>
  <c r="G168" s="1"/>
  <c r="G65"/>
  <c r="AD34" i="44" s="1"/>
  <c r="E167" i="43"/>
  <c r="G167" s="1"/>
  <c r="G64"/>
  <c r="AC34" i="44" s="1"/>
  <c r="E166" i="43"/>
  <c r="G166" s="1"/>
  <c r="U34" i="44"/>
  <c r="U33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8" i="45"/>
  <c r="M28" s="1"/>
  <c r="F196" i="11"/>
  <c r="M7" i="45"/>
  <c r="F194" i="11"/>
  <c r="F119" i="3"/>
  <c r="BH32" i="1"/>
  <c r="AC33" i="44"/>
  <c r="AG33"/>
  <c r="AF12" i="45"/>
  <c r="AF26" s="1"/>
  <c r="AL33" i="44"/>
  <c r="AC32" i="1"/>
  <c r="AT33" i="44"/>
  <c r="J110" i="10"/>
  <c r="J105"/>
  <c r="R33" i="44"/>
  <c r="N33"/>
  <c r="J107" i="10"/>
  <c r="AW32" i="1"/>
  <c r="BG32"/>
  <c r="AF33" i="44"/>
  <c r="AF7" i="45"/>
  <c r="AF10"/>
  <c r="AO33" i="44"/>
  <c r="AB32" i="1"/>
  <c r="AS33" i="44"/>
  <c r="J111" i="10"/>
  <c r="J106"/>
  <c r="S33" i="44"/>
  <c r="O33"/>
  <c r="K33"/>
  <c r="D5" i="45"/>
  <c r="H10" i="2"/>
  <c r="J10" s="1"/>
  <c r="G13"/>
  <c r="I13" s="1"/>
  <c r="BB32" i="1"/>
  <c r="AE33" i="44"/>
  <c r="J33"/>
  <c r="AF9" i="45"/>
  <c r="AN33" i="44"/>
  <c r="T33"/>
  <c r="P33"/>
  <c r="L33"/>
  <c r="J116" i="10"/>
  <c r="BH36" i="1"/>
  <c r="AD33" i="44"/>
  <c r="AH33"/>
  <c r="AM33"/>
  <c r="AL32" i="1"/>
  <c r="J109" i="10"/>
  <c r="V33" i="44"/>
  <c r="Q33"/>
  <c r="M33"/>
  <c r="J112" i="10"/>
  <c r="G128" i="2"/>
  <c r="H128" s="1"/>
  <c r="J128" s="1"/>
  <c r="P15" i="12"/>
  <c r="P44"/>
  <c r="R16" i="44"/>
  <c r="U13" i="49" s="1"/>
  <c r="N16" i="44"/>
  <c r="Q13" i="49" s="1"/>
  <c r="AM16" i="44"/>
  <c r="BJ13" i="49" s="1"/>
  <c r="AU24" i="1"/>
  <c r="BA15"/>
  <c r="BD15"/>
  <c r="BH15"/>
  <c r="O8" i="45"/>
  <c r="O28" s="1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2"/>
  <c r="O26" s="1"/>
  <c r="E28" i="5"/>
  <c r="G28" s="1"/>
  <c r="E30"/>
  <c r="G30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N8" i="5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2" i="45"/>
  <c r="N26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S22" i="44"/>
  <c r="AH22" i="1"/>
  <c r="E28" i="22"/>
  <c r="G28" s="1"/>
  <c r="AH24" i="1"/>
  <c r="AI25"/>
  <c r="AS26" i="44"/>
  <c r="E28" i="24"/>
  <c r="G28" s="1"/>
  <c r="AI26" i="1"/>
  <c r="AS27" i="44"/>
  <c r="AF8" i="45"/>
  <c r="AF28" s="1"/>
  <c r="F119" i="30"/>
  <c r="AH13" i="1"/>
  <c r="X15"/>
  <c r="O9" i="45"/>
  <c r="AI15" i="1"/>
  <c r="AS16" i="44"/>
  <c r="E31" i="5"/>
  <c r="G31" s="1"/>
  <c r="G5" i="45"/>
  <c r="F118" i="4"/>
  <c r="E30" i="8"/>
  <c r="G30" s="1"/>
  <c r="J6" i="45"/>
  <c r="Y13" i="1"/>
  <c r="M10" i="45"/>
  <c r="M29" s="1"/>
  <c r="G67" i="12"/>
  <c r="AH14" i="1"/>
  <c r="AJ12"/>
  <c r="AT13" i="44"/>
  <c r="G15" i="3"/>
  <c r="E28" i="43"/>
  <c r="G28" s="1"/>
  <c r="AS33" i="1"/>
  <c r="E31" i="11"/>
  <c r="M5" i="45"/>
  <c r="E31" i="28"/>
  <c r="G31" s="1"/>
  <c r="AD5" i="45"/>
  <c r="Y8" i="1"/>
  <c r="H10" i="45"/>
  <c r="AJ17" i="1"/>
  <c r="AT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0" i="45"/>
  <c r="K24" s="1"/>
  <c r="AJ11" i="1"/>
  <c r="AT12" i="44"/>
  <c r="E30" i="12"/>
  <c r="G30" s="1"/>
  <c r="P30" s="1"/>
  <c r="N6" i="45"/>
  <c r="E30" i="14"/>
  <c r="G30" s="1"/>
  <c r="P6" i="45"/>
  <c r="Y17" i="1"/>
  <c r="Q10" i="45"/>
  <c r="AI17" i="1"/>
  <c r="AS18" i="44"/>
  <c r="E28" i="16"/>
  <c r="G28" s="1"/>
  <c r="AJ20" i="1"/>
  <c r="AT21" i="44"/>
  <c r="X21" i="1"/>
  <c r="U9" i="45"/>
  <c r="AH21" i="1"/>
  <c r="AI23"/>
  <c r="AS24" i="44"/>
  <c r="AU24" s="1"/>
  <c r="AH25" i="1"/>
  <c r="AH26"/>
  <c r="E28" i="40"/>
  <c r="G28" s="1"/>
  <c r="AH31" i="1"/>
  <c r="G118" i="30"/>
  <c r="F118"/>
  <c r="AI13" i="1"/>
  <c r="AS14" i="44"/>
  <c r="Y15" i="1"/>
  <c r="O10" i="45"/>
  <c r="AJ15" i="1"/>
  <c r="AT16" i="44"/>
  <c r="E28" i="4"/>
  <c r="G28" s="1"/>
  <c r="AH10" i="1"/>
  <c r="X10"/>
  <c r="J9" i="45"/>
  <c r="E28" i="8"/>
  <c r="G28" s="1"/>
  <c r="G68" i="12"/>
  <c r="G63"/>
  <c r="AB15" i="44" s="1"/>
  <c r="AE12" i="49" s="1"/>
  <c r="AI14" i="1"/>
  <c r="AS15" i="44"/>
  <c r="E31" i="3"/>
  <c r="G31" s="1"/>
  <c r="E31" i="14"/>
  <c r="G31" s="1"/>
  <c r="P5" i="45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0" i="45"/>
  <c r="I29" s="1"/>
  <c r="I30" s="1"/>
  <c r="AI11" i="1"/>
  <c r="AS12" i="44"/>
  <c r="Y12" i="1"/>
  <c r="L10" i="45"/>
  <c r="E30" i="11"/>
  <c r="M6" i="45"/>
  <c r="Y14" i="1"/>
  <c r="N10" i="45"/>
  <c r="AI16" i="1"/>
  <c r="AS17" i="44"/>
  <c r="E28" i="15"/>
  <c r="G28" s="1"/>
  <c r="X17" i="1"/>
  <c r="Q9" i="45"/>
  <c r="AH17" i="1"/>
  <c r="AW18"/>
  <c r="Y18"/>
  <c r="R10" i="45"/>
  <c r="AJ18" i="1"/>
  <c r="AT19" i="44"/>
  <c r="E28" i="17"/>
  <c r="G28" s="1"/>
  <c r="AJ19" i="1"/>
  <c r="AT20" i="44"/>
  <c r="E28" i="18"/>
  <c r="G28" s="1"/>
  <c r="Y20" i="1"/>
  <c r="T10" i="45"/>
  <c r="AI20" i="1"/>
  <c r="AS21" i="44"/>
  <c r="E28" i="19"/>
  <c r="G28" s="1"/>
  <c r="AJ22" i="1"/>
  <c r="AT23" i="44"/>
  <c r="E28" i="21"/>
  <c r="G28" s="1"/>
  <c r="AH23" i="1"/>
  <c r="E28" i="23"/>
  <c r="G28" s="1"/>
  <c r="O28" s="1"/>
  <c r="AH30" i="1"/>
  <c r="AJ13"/>
  <c r="AT14" i="44"/>
  <c r="E30" i="17"/>
  <c r="G30" s="1"/>
  <c r="S6" i="45"/>
  <c r="BF24" i="1"/>
  <c r="Y10"/>
  <c r="J10" i="45"/>
  <c r="G64" i="12"/>
  <c r="AJ14" i="1"/>
  <c r="AT15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S19" i="44"/>
  <c r="AI19" i="1"/>
  <c r="AS20" i="44"/>
  <c r="X20" i="1"/>
  <c r="T9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G65" i="12"/>
  <c r="AI12" i="1"/>
  <c r="AS13" i="44"/>
  <c r="G66" i="12"/>
  <c r="AV33" i="1"/>
  <c r="AR33"/>
  <c r="G100" i="43"/>
  <c r="G119" s="1"/>
  <c r="H119" s="1"/>
  <c r="BG6" i="1"/>
  <c r="BG7"/>
  <c r="AJ7"/>
  <c r="AT8" i="44"/>
  <c r="AU8" s="1"/>
  <c r="X7" i="1"/>
  <c r="G9" i="45"/>
  <c r="G6"/>
  <c r="Y7" i="1"/>
  <c r="G10" i="45"/>
  <c r="E31" i="4"/>
  <c r="G31" s="1"/>
  <c r="E30"/>
  <c r="G30" s="1"/>
  <c r="F6" i="45"/>
  <c r="X6" i="1"/>
  <c r="F9" i="45"/>
  <c r="AJ6" i="1"/>
  <c r="AT7" i="44"/>
  <c r="AU7" s="1"/>
  <c r="Y6" i="1"/>
  <c r="F10" i="45"/>
  <c r="H22" i="2"/>
  <c r="J22" s="1"/>
  <c r="G24"/>
  <c r="H120" i="43"/>
  <c r="D7" i="45"/>
  <c r="H137" i="2"/>
  <c r="AS5" i="44"/>
  <c r="D8" i="45"/>
  <c r="D28" s="1"/>
  <c r="AJ5" i="1"/>
  <c r="AT6" i="44"/>
  <c r="AU6" s="1"/>
  <c r="AH4" i="1"/>
  <c r="D9" i="45"/>
  <c r="H104" i="30"/>
  <c r="J104" s="1"/>
  <c r="D12" i="45"/>
  <c r="D26" s="1"/>
  <c r="AX33" i="1"/>
  <c r="AH5" i="45"/>
  <c r="AU35" i="44"/>
  <c r="E31" i="43"/>
  <c r="G31" s="1"/>
  <c r="AG5" i="45"/>
  <c r="AH6"/>
  <c r="AH24"/>
  <c r="AG8"/>
  <c r="AG28" s="1"/>
  <c r="AH33" i="1"/>
  <c r="E31" i="30"/>
  <c r="G31" s="1"/>
  <c r="AF5" i="45"/>
  <c r="AJ33" i="1"/>
  <c r="AT34" i="44"/>
  <c r="AI33" i="1"/>
  <c r="AS34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T32" i="44"/>
  <c r="Y31" i="1"/>
  <c r="AE10" i="45"/>
  <c r="X31" i="1"/>
  <c r="AE9" i="45"/>
  <c r="BF31" i="1"/>
  <c r="E30" i="29"/>
  <c r="G30" s="1"/>
  <c r="AE6" i="45"/>
  <c r="E28" i="29"/>
  <c r="G28" s="1"/>
  <c r="AJ30" i="1"/>
  <c r="AT31" i="44"/>
  <c r="AI30" i="1"/>
  <c r="AS31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0" i="45"/>
  <c r="X29" i="1"/>
  <c r="AC9" i="45"/>
  <c r="E30" i="27"/>
  <c r="G30" s="1"/>
  <c r="AC6" i="45"/>
  <c r="AU29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E5"/>
  <c r="X5" i="1"/>
  <c r="E9" i="45"/>
  <c r="E6"/>
  <c r="H18" i="2"/>
  <c r="J18" s="1"/>
  <c r="H107" i="12"/>
  <c r="J107" s="1"/>
  <c r="H107" i="43"/>
  <c r="J107" i="2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J109" i="2"/>
  <c r="H109" i="19"/>
  <c r="J109" i="4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J104" i="5"/>
  <c r="H104" i="19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J110" i="2"/>
  <c r="J110" i="3"/>
  <c r="J110" i="5"/>
  <c r="H110" i="13"/>
  <c r="J110" s="1"/>
  <c r="H110" i="25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12"/>
  <c r="J115" s="1"/>
  <c r="H115" i="18"/>
  <c r="J115" s="1"/>
  <c r="J115" i="2"/>
  <c r="J115" i="3"/>
  <c r="H115" i="19"/>
  <c r="H115" i="14"/>
  <c r="J115" s="1"/>
  <c r="H115" i="40"/>
  <c r="J115" s="1"/>
  <c r="J115" i="33"/>
  <c r="H115" i="27"/>
  <c r="J115" s="1"/>
  <c r="J115" i="11"/>
  <c r="J115" i="4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J111" i="2"/>
  <c r="J111" i="11"/>
  <c r="H111" i="28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9" s="1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J117" i="4"/>
  <c r="H117" i="14"/>
  <c r="J117" s="1"/>
  <c r="H117" i="30"/>
  <c r="J117" s="1"/>
  <c r="J117" i="9"/>
  <c r="H117" i="40"/>
  <c r="J117" s="1"/>
  <c r="J117" i="11"/>
  <c r="H117" i="19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18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i="4"/>
  <c r="J116" i="5"/>
  <c r="H116" i="17"/>
  <c r="J116" s="1"/>
  <c r="J116" i="2"/>
  <c r="H116" i="15"/>
  <c r="J116" s="1"/>
  <c r="J116" i="9"/>
  <c r="J116" i="3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J106" i="2"/>
  <c r="J106" i="5"/>
  <c r="J106" i="3"/>
  <c r="AI5" i="44"/>
  <c r="AL2" i="49" s="1"/>
  <c r="H112" i="24"/>
  <c r="J112" s="1"/>
  <c r="H112" i="14"/>
  <c r="J112" s="1"/>
  <c r="H112" i="23"/>
  <c r="J112" s="1"/>
  <c r="J112" i="5"/>
  <c r="J112" i="2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J112" i="4"/>
  <c r="J112" i="3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K34" i="44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I9" i="35"/>
  <c r="AH10" i="44"/>
  <c r="AK7" i="49" s="1"/>
  <c r="AS11" i="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AR9"/>
  <c r="I11"/>
  <c r="AZ1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AJ22" i="44"/>
  <c r="BG19" i="49" s="1"/>
  <c r="J21" i="44"/>
  <c r="M18" i="49" s="1"/>
  <c r="J22" i="44"/>
  <c r="M19" i="49" s="1"/>
  <c r="BK21" i="1"/>
  <c r="AI22" i="44"/>
  <c r="AL19" i="49" s="1"/>
  <c r="M23" i="1"/>
  <c r="AJ24" i="44"/>
  <c r="BG21" i="49" s="1"/>
  <c r="M25" i="1"/>
  <c r="AJ26" i="44"/>
  <c r="BG23" i="49" s="1"/>
  <c r="BK25" i="1"/>
  <c r="AI26" i="44"/>
  <c r="AL23" i="49" s="1"/>
  <c r="BK26" i="1"/>
  <c r="AI27" i="44"/>
  <c r="AL24" i="49" s="1"/>
  <c r="M29" i="1"/>
  <c r="AJ30" i="44"/>
  <c r="BG27" i="49" s="1"/>
  <c r="H80" i="2"/>
  <c r="J80" s="1"/>
  <c r="R5" i="44"/>
  <c r="U2" i="49" s="1"/>
  <c r="H73" i="2"/>
  <c r="H73" i="3" s="1"/>
  <c r="H73" i="4" s="1"/>
  <c r="J73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L35"/>
  <c r="M35"/>
  <c r="H66" i="2"/>
  <c r="H79"/>
  <c r="J79" s="1"/>
  <c r="Q5" i="44"/>
  <c r="T2" i="49" s="1"/>
  <c r="H62" i="2"/>
  <c r="J62" s="1"/>
  <c r="AP5" i="1"/>
  <c r="AK6" i="44"/>
  <c r="BH3" i="49" s="1"/>
  <c r="AJ20" i="44"/>
  <c r="BG17" i="49" s="1"/>
  <c r="M19" i="1"/>
  <c r="M20"/>
  <c r="AJ21" i="44"/>
  <c r="BG18" i="49" s="1"/>
  <c r="G128" i="18"/>
  <c r="G57"/>
  <c r="BH20" i="1" s="1"/>
  <c r="AP20"/>
  <c r="AK21" i="44"/>
  <c r="BH18" i="49" s="1"/>
  <c r="G7" i="19"/>
  <c r="G37"/>
  <c r="M22" i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H81" i="2"/>
  <c r="J81" s="1"/>
  <c r="S5" i="44"/>
  <c r="V2" i="49" s="1"/>
  <c r="H75" i="2"/>
  <c r="H75" i="3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AJ34" i="44"/>
  <c r="H65" i="2"/>
  <c r="J65" s="1"/>
  <c r="H76"/>
  <c r="H76" i="3" s="1"/>
  <c r="N5" i="44"/>
  <c r="Q2" i="49" s="1"/>
  <c r="H67" i="2"/>
  <c r="J67" s="1"/>
  <c r="H127"/>
  <c r="H127" i="3" s="1"/>
  <c r="J127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AJ25" i="44"/>
  <c r="BG22" i="49" s="1"/>
  <c r="AP25" i="1"/>
  <c r="AK26" i="44"/>
  <c r="BH23" i="49" s="1"/>
  <c r="M26" i="1"/>
  <c r="AJ27" i="44"/>
  <c r="BG24" i="49" s="1"/>
  <c r="AP26" i="1"/>
  <c r="AK27" i="44"/>
  <c r="BH24" i="49" s="1"/>
  <c r="BK28" i="1"/>
  <c r="AI29" i="44"/>
  <c r="AL26" i="49" s="1"/>
  <c r="M31" i="1"/>
  <c r="AJ32" i="44"/>
  <c r="AP32" i="1"/>
  <c r="AK33" i="44"/>
  <c r="H82" i="2"/>
  <c r="J82" s="1"/>
  <c r="T5" i="44"/>
  <c r="W2" i="49" s="1"/>
  <c r="H77" i="2"/>
  <c r="J77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BK33" i="1"/>
  <c r="AI35" i="44"/>
  <c r="AK35"/>
  <c r="H74" i="2"/>
  <c r="J74" s="1"/>
  <c r="L5" i="44"/>
  <c r="O2" i="49" s="1"/>
  <c r="H64" i="2"/>
  <c r="J64" s="1"/>
  <c r="H126"/>
  <c r="H126" i="3" s="1"/>
  <c r="J126" s="1"/>
  <c r="AN5" i="44"/>
  <c r="BK2" i="49" s="1"/>
  <c r="AP4" i="1"/>
  <c r="AK5" i="44"/>
  <c r="BH2" i="49" s="1"/>
  <c r="AJ5" i="44"/>
  <c r="BG2" i="49" s="1"/>
  <c r="H9" i="35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AJ29" i="44"/>
  <c r="BG26" i="49" s="1"/>
  <c r="AP29" i="1"/>
  <c r="AK30" i="44"/>
  <c r="BH27" i="49" s="1"/>
  <c r="M30" i="1"/>
  <c r="AJ31" i="44"/>
  <c r="BG28" i="49" s="1"/>
  <c r="BK30" i="1"/>
  <c r="AI31" i="44"/>
  <c r="AL28" i="49" s="1"/>
  <c r="M32" i="1"/>
  <c r="AJ33" i="44"/>
  <c r="AP11" i="1"/>
  <c r="AK12" i="44"/>
  <c r="BH9" i="49" s="1"/>
  <c r="H83" i="2"/>
  <c r="J83" s="1"/>
  <c r="V5" i="44"/>
  <c r="Y2" i="49" s="1"/>
  <c r="H78" i="2"/>
  <c r="H78" i="3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H124" i="2"/>
  <c r="J124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52" i="20"/>
  <c r="D23" i="44" s="1"/>
  <c r="G20" i="49" s="1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C5" i="44" s="1"/>
  <c r="F2" i="49" s="1"/>
  <c r="H43" i="2"/>
  <c r="H43" i="3" s="1"/>
  <c r="J43" s="1"/>
  <c r="H36" i="2"/>
  <c r="J36" s="1"/>
  <c r="G142"/>
  <c r="G150"/>
  <c r="H44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M4" i="35"/>
  <c r="O4" s="1"/>
  <c r="G85" i="2"/>
  <c r="H72"/>
  <c r="H69"/>
  <c r="H55"/>
  <c r="BF4" i="1"/>
  <c r="BE4"/>
  <c r="H54" i="2"/>
  <c r="H53" i="3"/>
  <c r="J53" i="2"/>
  <c r="G59"/>
  <c r="G148"/>
  <c r="BC4" i="1"/>
  <c r="H42" i="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F37" i="44" l="1"/>
  <c r="I16" i="49"/>
  <c r="E28" i="13"/>
  <c r="G28" s="1"/>
  <c r="E37" i="44"/>
  <c r="H16" i="49"/>
  <c r="E22" i="44"/>
  <c r="H19" i="49" s="1"/>
  <c r="C22" i="44"/>
  <c r="F19" i="49" s="1"/>
  <c r="I13" i="33"/>
  <c r="AJ16" i="44"/>
  <c r="BG13" i="49" s="1"/>
  <c r="AO30" i="1"/>
  <c r="D37" i="44"/>
  <c r="G16" i="49"/>
  <c r="E21" i="44"/>
  <c r="H18" i="49" s="1"/>
  <c r="AP32" i="44"/>
  <c r="BG29" i="49"/>
  <c r="B37" i="44"/>
  <c r="G37"/>
  <c r="G128" i="13"/>
  <c r="AO29" i="1"/>
  <c r="H38" i="3"/>
  <c r="J35" i="2"/>
  <c r="B22" i="44"/>
  <c r="E19" i="49" s="1"/>
  <c r="F23" i="44"/>
  <c r="I20" i="49" s="1"/>
  <c r="AL21" i="1"/>
  <c r="AL35" s="1"/>
  <c r="AQ22" i="44"/>
  <c r="AL20" i="1"/>
  <c r="AQ21" i="44"/>
  <c r="AO10" i="1"/>
  <c r="E36" i="44"/>
  <c r="D36"/>
  <c r="C36"/>
  <c r="AO13" i="1"/>
  <c r="F7" i="44"/>
  <c r="I4" i="49" s="1"/>
  <c r="G21" i="44"/>
  <c r="J18" i="49" s="1"/>
  <c r="F21" i="44"/>
  <c r="I18" i="49" s="1"/>
  <c r="H119" i="21"/>
  <c r="H119" i="22" s="1"/>
  <c r="J119" s="1"/>
  <c r="J111" i="19"/>
  <c r="H111" i="20"/>
  <c r="J115" i="19"/>
  <c r="H115" i="20"/>
  <c r="H66" i="3"/>
  <c r="H66" i="4" s="1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H6"/>
  <c r="H63" i="3"/>
  <c r="H63" i="4" s="1"/>
  <c r="J76" i="2"/>
  <c r="J49"/>
  <c r="J58"/>
  <c r="I138" i="19"/>
  <c r="I133" i="18"/>
  <c r="H68" i="3"/>
  <c r="H68" i="4" s="1"/>
  <c r="H68" i="5" s="1"/>
  <c r="AO7" i="1"/>
  <c r="AH19"/>
  <c r="AH35" s="1"/>
  <c r="H5" i="35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N31" i="31"/>
  <c r="H10" i="3"/>
  <c r="J10" s="1"/>
  <c r="AO25" i="1"/>
  <c r="AO8"/>
  <c r="AV35"/>
  <c r="BF35"/>
  <c r="E2" i="47"/>
  <c r="BE35" i="1"/>
  <c r="AU35"/>
  <c r="BA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H12" i="5" s="1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AH17" i="44"/>
  <c r="AK14" i="49" s="1"/>
  <c r="AH16" i="44"/>
  <c r="AK13" i="49" s="1"/>
  <c r="Z14" i="1"/>
  <c r="AO5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AA26" i="44"/>
  <c r="AD23" i="49" s="1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AB26" i="44"/>
  <c r="AE23" i="49" s="1"/>
  <c r="O63" i="23"/>
  <c r="F29" i="45"/>
  <c r="F30" s="1"/>
  <c r="AM21" i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AH26" i="44"/>
  <c r="AK23" i="49" s="1"/>
  <c r="O69" i="23"/>
  <c r="AG26" i="44"/>
  <c r="AJ23" i="49" s="1"/>
  <c r="O68" i="23"/>
  <c r="AF26" i="44"/>
  <c r="AI23" i="49" s="1"/>
  <c r="O67" i="23"/>
  <c r="AE26" i="44"/>
  <c r="AH23" i="49" s="1"/>
  <c r="O66" i="23"/>
  <c r="AD26" i="44"/>
  <c r="AG23" i="49" s="1"/>
  <c r="O65" i="23"/>
  <c r="AC26" i="44"/>
  <c r="AF23" i="49" s="1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R25" s="1"/>
  <c r="O20" i="23"/>
  <c r="H118"/>
  <c r="J118" s="1"/>
  <c r="O118"/>
  <c r="I13"/>
  <c r="O13"/>
  <c r="BJ24" i="1"/>
  <c r="AP5" i="44"/>
  <c r="BM2" i="49" s="1"/>
  <c r="Z21" i="1"/>
  <c r="Y36"/>
  <c r="G32" i="16"/>
  <c r="AW16" i="44"/>
  <c r="M24" i="45"/>
  <c r="I14" i="35"/>
  <c r="AH15" i="44"/>
  <c r="AK12" i="49" s="1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G172" i="43"/>
  <c r="BJ33" i="1"/>
  <c r="AF33"/>
  <c r="BJ29"/>
  <c r="G172" i="28"/>
  <c r="G172" i="27"/>
  <c r="AU32" i="44"/>
  <c r="G172" i="40"/>
  <c r="G172" i="23"/>
  <c r="G172" i="22"/>
  <c r="U24" i="45"/>
  <c r="Z22" i="1"/>
  <c r="BJ21"/>
  <c r="G172" i="20"/>
  <c r="AU22" i="44"/>
  <c r="G172" i="19"/>
  <c r="Z20" i="1"/>
  <c r="G172" i="18"/>
  <c r="AK17" i="1"/>
  <c r="Z18"/>
  <c r="AH18" i="44"/>
  <c r="AK15" i="49" s="1"/>
  <c r="G172" i="15"/>
  <c r="O24" i="45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4" i="45"/>
  <c r="AH36" i="1"/>
  <c r="G32" i="4"/>
  <c r="AK26" i="1"/>
  <c r="AF24" i="45"/>
  <c r="AU33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J100" s="1"/>
  <c r="H18"/>
  <c r="J18" s="1"/>
  <c r="Z6" i="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J6" i="44"/>
  <c r="AU5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4" i="45"/>
  <c r="G32" i="33"/>
  <c r="G32" i="14"/>
  <c r="P13" i="12"/>
  <c r="AK15" i="1"/>
  <c r="AU16" i="44"/>
  <c r="N24" i="45"/>
  <c r="AK14" i="1"/>
  <c r="G32" i="12"/>
  <c r="P32" s="1"/>
  <c r="AK13" i="1"/>
  <c r="BN13"/>
  <c r="L13"/>
  <c r="BM13"/>
  <c r="AK12"/>
  <c r="Z12"/>
  <c r="AP12" i="44"/>
  <c r="BM9" i="49" s="1"/>
  <c r="L24" i="45"/>
  <c r="AK9" i="1"/>
  <c r="J24" i="45"/>
  <c r="H24"/>
  <c r="AK22" i="1"/>
  <c r="G32" i="15"/>
  <c r="X24" i="45"/>
  <c r="AU11" i="44"/>
  <c r="G32" i="19"/>
  <c r="AP8" i="44"/>
  <c r="BM5" i="49" s="1"/>
  <c r="AU9" i="44"/>
  <c r="I15" i="1"/>
  <c r="H14" i="35"/>
  <c r="G32" i="27"/>
  <c r="Z29" i="1"/>
  <c r="AK29"/>
  <c r="G32" i="28"/>
  <c r="AG24" i="45"/>
  <c r="AU25" i="44"/>
  <c r="AU23"/>
  <c r="AU19"/>
  <c r="Z9" i="1"/>
  <c r="Z15"/>
  <c r="Z10"/>
  <c r="L18"/>
  <c r="AE24" i="45"/>
  <c r="AU20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U13" i="44"/>
  <c r="AU27"/>
  <c r="G32" i="43"/>
  <c r="AU15" i="44"/>
  <c r="AU14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4" i="45"/>
  <c r="BN30" i="1"/>
  <c r="AU30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P34" i="44"/>
  <c r="AW34" s="1"/>
  <c r="AF21" i="1"/>
  <c r="BG20"/>
  <c r="BL20" s="1"/>
  <c r="G145" i="13"/>
  <c r="G147"/>
  <c r="G151"/>
  <c r="G143"/>
  <c r="I13"/>
  <c r="G149"/>
  <c r="Z19" i="1"/>
  <c r="AK5"/>
  <c r="AP33" i="44"/>
  <c r="AW33" s="1"/>
  <c r="BP24" i="1"/>
  <c r="BQ24" s="1"/>
  <c r="AV36"/>
  <c r="BL28"/>
  <c r="AF28"/>
  <c r="AG28" s="1"/>
  <c r="BP28"/>
  <c r="BQ28" s="1"/>
  <c r="G47" i="19"/>
  <c r="AX36" i="1"/>
  <c r="AP17" i="44"/>
  <c r="K18" i="35"/>
  <c r="G145" i="19"/>
  <c r="BP21" i="1"/>
  <c r="G149" i="19"/>
  <c r="BP23" i="1"/>
  <c r="BQ23" s="1"/>
  <c r="K5" i="35"/>
  <c r="AK6" i="1"/>
  <c r="AF19"/>
  <c r="AG19" s="1"/>
  <c r="AF15"/>
  <c r="AP18" i="44"/>
  <c r="AP20"/>
  <c r="G151" i="19"/>
  <c r="Z30" i="1"/>
  <c r="AP9" i="44"/>
  <c r="BM6" i="49" s="1"/>
  <c r="AU36" i="1"/>
  <c r="K12" i="35"/>
  <c r="AT36" i="1"/>
  <c r="AP16" i="44"/>
  <c r="BM13" i="49" s="1"/>
  <c r="O17" i="35"/>
  <c r="AP14" i="44"/>
  <c r="BM11" i="49" s="1"/>
  <c r="BP13" i="1"/>
  <c r="BQ13" s="1"/>
  <c r="BP14"/>
  <c r="AP25" i="44"/>
  <c r="AP7"/>
  <c r="BM4" i="49" s="1"/>
  <c r="K7" i="35"/>
  <c r="AF16" i="1"/>
  <c r="AG16" s="1"/>
  <c r="G153" i="3"/>
  <c r="AP11" i="44"/>
  <c r="BM8" i="49" s="1"/>
  <c r="BJ32" i="1"/>
  <c r="BM18"/>
  <c r="AP19" i="44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AW35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AF30" i="1"/>
  <c r="AG30" s="1"/>
  <c r="BJ30"/>
  <c r="AP29" i="44"/>
  <c r="AP27"/>
  <c r="AP23"/>
  <c r="G152" i="19"/>
  <c r="G153" s="1"/>
  <c r="I13"/>
  <c r="BN20" i="1"/>
  <c r="G59" i="18"/>
  <c r="P4" i="1"/>
  <c r="AP21" i="44"/>
  <c r="AP30"/>
  <c r="AP24"/>
  <c r="AP26"/>
  <c r="AP22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J73" i="3"/>
  <c r="H35"/>
  <c r="H35" i="4" s="1"/>
  <c r="W36" i="1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H23" i="4"/>
  <c r="J23" i="3"/>
  <c r="I13" i="16"/>
  <c r="P7" i="1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99"/>
  <c r="J99" i="3"/>
  <c r="J98"/>
  <c r="H98" i="4"/>
  <c r="H95" i="3"/>
  <c r="J95" i="2"/>
  <c r="H93" i="3"/>
  <c r="J93" i="2"/>
  <c r="H84" i="3"/>
  <c r="H85"/>
  <c r="J84" i="2"/>
  <c r="J82" i="3"/>
  <c r="H82" i="4"/>
  <c r="J82" s="1"/>
  <c r="J78" i="3"/>
  <c r="H78" i="4"/>
  <c r="J78" s="1"/>
  <c r="J76" i="3"/>
  <c r="H76" i="4"/>
  <c r="J76" s="1"/>
  <c r="H75"/>
  <c r="J75" s="1"/>
  <c r="J75" i="3"/>
  <c r="H73" i="5"/>
  <c r="H72" i="3"/>
  <c r="J72" i="2"/>
  <c r="J69"/>
  <c r="H69" i="3"/>
  <c r="J58"/>
  <c r="H58" i="4"/>
  <c r="G145" i="2"/>
  <c r="H55" i="3"/>
  <c r="J55" i="2"/>
  <c r="H54" i="3"/>
  <c r="J54" i="2"/>
  <c r="J53" i="3"/>
  <c r="H53" i="4"/>
  <c r="H52"/>
  <c r="J52" i="3"/>
  <c r="G149" i="2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H27" i="3"/>
  <c r="L4" i="1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J118" i="21" l="1"/>
  <c r="H118" i="22"/>
  <c r="J118" s="1"/>
  <c r="AW24" i="44"/>
  <c r="BM21" i="49"/>
  <c r="AW23" i="44"/>
  <c r="BM20" i="49"/>
  <c r="AW20" i="44"/>
  <c r="BM17" i="49"/>
  <c r="J118" i="20"/>
  <c r="F36" i="44"/>
  <c r="G36"/>
  <c r="AW21"/>
  <c r="BM18" i="49"/>
  <c r="AW26" i="44"/>
  <c r="BM23" i="49"/>
  <c r="AP6" i="44"/>
  <c r="BM3" i="49" s="1"/>
  <c r="BG3"/>
  <c r="AW18" i="44"/>
  <c r="BM15" i="49"/>
  <c r="AW22" i="44"/>
  <c r="BM19" i="49"/>
  <c r="AW29" i="44"/>
  <c r="BM26" i="49"/>
  <c r="AW30" i="44"/>
  <c r="BM27" i="49"/>
  <c r="AW31" i="44"/>
  <c r="BM28" i="49"/>
  <c r="AW27" i="44"/>
  <c r="BM24" i="49"/>
  <c r="AW19" i="44"/>
  <c r="BM16" i="49"/>
  <c r="AW25" i="44"/>
  <c r="BM22" i="49"/>
  <c r="AW17" i="44"/>
  <c r="BM14" i="49"/>
  <c r="AW32" i="44"/>
  <c r="BM29" i="49"/>
  <c r="B36" i="44"/>
  <c r="J63" i="3"/>
  <c r="J119" i="21"/>
  <c r="AO21" i="1"/>
  <c r="AJ35"/>
  <c r="H100" i="4"/>
  <c r="J100" s="1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J66" i="3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77" i="3"/>
  <c r="H31"/>
  <c r="H31" i="4" s="1"/>
  <c r="H31" i="5" s="1"/>
  <c r="J31" i="2"/>
  <c r="J110" i="31"/>
  <c r="J68" i="3"/>
  <c r="J148" i="2"/>
  <c r="H18" i="4"/>
  <c r="J18" s="1"/>
  <c r="AK19" i="1"/>
  <c r="AK35" s="1"/>
  <c r="J12" i="4"/>
  <c r="H119"/>
  <c r="H119" i="5" s="1"/>
  <c r="J119" s="1"/>
  <c r="J80" i="3"/>
  <c r="M17" i="47"/>
  <c r="M27"/>
  <c r="N116" i="31"/>
  <c r="J109"/>
  <c r="J115"/>
  <c r="J118" i="5"/>
  <c r="H118" i="33"/>
  <c r="BO24" i="1"/>
  <c r="J118" i="4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BO23" s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BM15" i="1"/>
  <c r="H83" i="4"/>
  <c r="L36" i="1"/>
  <c r="BN15"/>
  <c r="H81" i="4"/>
  <c r="J81" s="1"/>
  <c r="H128"/>
  <c r="J128" s="1"/>
  <c r="H22"/>
  <c r="J22" s="1"/>
  <c r="J74" i="3"/>
  <c r="H64" i="4"/>
  <c r="H64" i="5" s="1"/>
  <c r="J65" i="3"/>
  <c r="H27" i="4"/>
  <c r="J27" i="3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I59" i="13"/>
  <c r="I60"/>
  <c r="I59" i="24"/>
  <c r="I59" i="33"/>
  <c r="I60"/>
  <c r="AG6" i="1"/>
  <c r="J94" i="4"/>
  <c r="I60"/>
  <c r="J94" i="5"/>
  <c r="H94" i="33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99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H120" i="22" l="1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0" i="5"/>
  <c r="H106" i="22"/>
  <c r="J106" s="1"/>
  <c r="J106" i="21"/>
  <c r="H119" i="33"/>
  <c r="J119" s="1"/>
  <c r="J31" i="4"/>
  <c r="J31" i="3"/>
  <c r="J119" i="4"/>
  <c r="J144"/>
  <c r="H18" i="5"/>
  <c r="J18" s="1"/>
  <c r="J147" i="3"/>
  <c r="H83" i="5"/>
  <c r="H83" i="33" s="1"/>
  <c r="J83" i="4"/>
  <c r="J118" i="33"/>
  <c r="H118" i="7"/>
  <c r="H31" i="33"/>
  <c r="J31" i="5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J82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H150" i="33" l="1"/>
  <c r="J150" s="1"/>
  <c r="H119" i="7"/>
  <c r="H119" i="8" s="1"/>
  <c r="H18" i="33"/>
  <c r="H18" i="7" s="1"/>
  <c r="J10" i="5"/>
  <c r="H29" i="4"/>
  <c r="J29" s="1"/>
  <c r="H31" i="7"/>
  <c r="J31" i="33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H145" i="33"/>
  <c r="J145" i="5"/>
  <c r="H147" i="33"/>
  <c r="J147" i="5"/>
  <c r="H29" l="1"/>
  <c r="J29" s="1"/>
  <c r="H150" i="7"/>
  <c r="H150" i="8" s="1"/>
  <c r="J119" i="7"/>
  <c r="J151" i="5"/>
  <c r="J18" i="33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H32" i="5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32" i="5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60" l="1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<sst xmlns="http://schemas.openxmlformats.org/spreadsheetml/2006/main" count="10276" uniqueCount="360">
  <si>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</si>
  <si>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</si>
  <si>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</si>
  <si>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</si>
  <si>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</si>
  <si>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</si>
  <si>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</si>
  <si>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</si>
  <si>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</si>
  <si>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</si>
  <si>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</si>
  <si>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</si>
  <si>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</si>
  <si>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</si>
  <si>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</si>
  <si>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</si>
  <si>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</si>
  <si>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</si>
  <si>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</si>
  <si>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</si>
  <si>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</si>
  <si>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</si>
  <si>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</si>
  <si>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</si>
  <si>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</si>
  <si>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</si>
  <si>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</si>
  <si>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</si>
  <si>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</si>
  <si>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</si>
  <si>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</si>
  <si>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</si>
  <si>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</si>
  <si>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</si>
  <si>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</si>
  <si>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</si>
  <si>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</si>
  <si>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</si>
  <si>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</si>
  <si>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</si>
  <si>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</si>
  <si>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</si>
  <si>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</si>
  <si>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</si>
  <si>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</si>
  <si>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</si>
  <si>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</si>
  <si>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</si>
  <si>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</si>
  <si>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</si>
  <si>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</si>
  <si>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</si>
  <si>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</si>
  <si>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</si>
  <si>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</si>
  <si>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</si>
  <si>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</si>
  <si>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</si>
  <si>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</si>
  <si>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</si>
  <si>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</si>
  <si>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</si>
  <si>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</si>
  <si>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</si>
  <si>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</si>
  <si>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</si>
  <si>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</si>
  <si>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</si>
  <si>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</si>
  <si>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</si>
  <si>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</si>
  <si>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</si>
  <si>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</si>
  <si>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</si>
  <si>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</si>
  <si>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</si>
  <si>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</si>
  <si>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</si>
  <si>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</si>
  <si>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</si>
  <si>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</si>
  <si>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</si>
  <si>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</si>
  <si>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</si>
  <si>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</si>
  <si>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</si>
  <si>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</si>
  <si>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</si>
  <si>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</si>
  <si>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</si>
  <si>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</si>
  <si>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</si>
  <si>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</si>
  <si>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</si>
  <si>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</si>
  <si>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</si>
  <si>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</si>
  <si>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</si>
  <si>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</si>
  <si>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</si>
  <si>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</si>
  <si>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</si>
  <si>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</si>
  <si>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</si>
  <si>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</si>
  <si>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</si>
  <si>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</si>
  <si>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</si>
  <si>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</si>
  <si>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</si>
  <si>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</si>
  <si>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</si>
  <si>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</si>
  <si>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</si>
  <si>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</si>
  <si>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</si>
  <si>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</si>
  <si>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</si>
  <si>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</si>
  <si>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</si>
  <si>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</si>
  <si>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</si>
  <si>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</si>
  <si>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</si>
  <si>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</si>
  <si>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</si>
  <si>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</si>
  <si>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</si>
  <si>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</si>
  <si>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</si>
  <si>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</si>
  <si>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</si>
  <si>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</si>
  <si>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</si>
  <si>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</si>
  <si>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</si>
  <si>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</si>
  <si>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</si>
  <si>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</si>
  <si>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</si>
  <si>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</si>
  <si>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</si>
  <si>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</si>
  <si>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</si>
  <si>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</si>
  <si>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</si>
  <si>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</si>
  <si>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</si>
  <si>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</si>
  <si>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</si>
  <si>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</si>
  <si>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</si>
  <si>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</si>
  <si>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</si>
  <si>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</si>
  <si>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</si>
  <si>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</si>
  <si>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</si>
  <si>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</si>
  <si>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</si>
  <si>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</si>
  <si>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</si>
  <si>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</si>
  <si>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</si>
  <si>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</si>
  <si>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</si>
  <si>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</si>
  <si>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</si>
  <si>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</si>
  <si>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</si>
  <si>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</si>
  <si>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</si>
  <si>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</si>
  <si>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</si>
  <si>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</si>
  <si>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</si>
  <si>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</si>
  <si>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</si>
  <si>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</si>
  <si>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</si>
  <si>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</si>
  <si>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</si>
  <si>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</si>
  <si>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</si>
  <si>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</si>
  <si>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</si>
  <si>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</si>
  <si>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</si>
  <si>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</si>
  <si>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</si>
  <si>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</si>
  <si>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</si>
  <si>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</si>
  <si>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</si>
  <si>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</si>
  <si>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</si>
  <si>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</si>
  <si>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</si>
  <si>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</si>
  <si>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</si>
  <si>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</si>
  <si>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</si>
  <si>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</si>
  <si>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</si>
  <si>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</si>
  <si>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</si>
  <si>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</si>
  <si>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</si>
  <si>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</si>
  <si>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</si>
  <si>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</si>
  <si>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</si>
  <si>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</si>
  <si>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</si>
  <si>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</si>
  <si>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</si>
  <si>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</si>
  <si>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</si>
  <si>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</si>
  <si>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</si>
  <si>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</si>
  <si>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</si>
  <si>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</si>
  <si>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</si>
  <si>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</si>
  <si>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</si>
  <si>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</si>
  <si>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</si>
  <si>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</si>
  <si>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</si>
  <si>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</si>
  <si>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</si>
  <si>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</si>
  <si>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</si>
  <si>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</si>
  <si>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</si>
  <si>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</si>
  <si>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</si>
  <si>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</si>
  <si>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</si>
  <si>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</si>
  <si>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</si>
  <si>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</si>
  <si>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</si>
  <si>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</si>
  <si>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</si>
  <si>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</si>
  <si>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</si>
  <si>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</si>
  <si>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</si>
  <si>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</si>
  <si>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</si>
  <si>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</si>
  <si>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</si>
  <si>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</si>
  <si>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</si>
  <si>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</si>
  <si>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</si>
  <si>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</si>
  <si>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</si>
  <si>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</si>
  <si>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</si>
  <si>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</si>
  <si>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</si>
  <si>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</si>
  <si>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</si>
  <si>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</si>
  <si>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</si>
  <si>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</si>
  <si>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</si>
  <si>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</si>
  <si>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</si>
  <si>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</si>
  <si>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</si>
  <si>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</si>
  <si>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</si>
  <si>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</si>
  <si>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</si>
  <si>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</si>
  <si>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</si>
  <si>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</si>
  <si>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</si>
  <si>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</si>
  <si>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</si>
  <si>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</si>
  <si>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</si>
  <si>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</si>
  <si>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</si>
  <si>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</si>
  <si>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</si>
  <si>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</si>
  <si>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</si>
  <si>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</si>
  <si>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</si>
  <si>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</si>
  <si>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</si>
  <si>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</si>
  <si>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</si>
  <si>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</si>
  <si>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</si>
  <si>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</si>
  <si>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</si>
  <si>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</si>
  <si>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</si>
  <si>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</si>
  <si>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</si>
  <si>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</si>
  <si>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</si>
  <si>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</si>
  <si>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</si>
  <si>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</si>
  <si>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</si>
  <si>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</si>
  <si>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</si>
  <si>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</si>
  <si>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</si>
  <si>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</si>
  <si>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</si>
  <si>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</si>
  <si>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</si>
  <si>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</si>
  <si>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</si>
  <si>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</si>
  <si>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</si>
  <si>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</si>
  <si>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</si>
  <si>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</si>
  <si>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</si>
  <si>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</si>
  <si>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</si>
  <si>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</si>
  <si>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</si>
  <si>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</si>
  <si>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</si>
  <si>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</si>
  <si>
    <t xml:space="preserve">Prepaired by----Devendra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</si>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</sst>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35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9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6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40" fillId="2" borderId="6" xfId="3" applyFont="1" applyFill="1" applyBorder="1" applyAlignment="1">
      <alignment horizontal="center" vertical="center"/>
    </xf>
    <xf numFmtId="0" fontId="38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164" fontId="40" fillId="2" borderId="6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2" fontId="41" fillId="8" borderId="7" xfId="3" applyNumberFormat="1" applyFont="1" applyFill="1" applyBorder="1" applyAlignment="1">
      <alignment horizontal="right" vertical="center"/>
    </xf>
    <xf numFmtId="1" fontId="41" fillId="8" borderId="7" xfId="3" applyNumberFormat="1" applyFont="1" applyFill="1" applyBorder="1" applyAlignment="1">
      <alignment horizontal="center" vertical="center"/>
    </xf>
    <xf numFmtId="164" fontId="35" fillId="2" borderId="6" xfId="3" applyNumberFormat="1" applyFont="1" applyFill="1" applyBorder="1" applyAlignment="1">
      <alignment horizontal="center" vertical="center" wrapText="1" shrinkToFit="1"/>
    </xf>
    <xf numFmtId="0" fontId="35" fillId="2" borderId="6" xfId="3" applyFont="1" applyFill="1" applyBorder="1" applyAlignment="1">
      <alignment horizontal="center" vertical="center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1" fontId="35" fillId="2" borderId="6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2" borderId="6" xfId="3" applyFont="1" applyFill="1" applyBorder="1" applyAlignment="1">
      <alignment horizont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1" fontId="35" fillId="2" borderId="8" xfId="3" applyNumberFormat="1" applyFont="1" applyFill="1" applyBorder="1" applyAlignment="1">
      <alignment horizontal="center"/>
    </xf>
    <xf numFmtId="1" fontId="35" fillId="2" borderId="2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1" fontId="34" fillId="12" borderId="1" xfId="5" applyNumberFormat="1" applyFont="1" applyFill="1" applyBorder="1" applyAlignment="1" applyProtection="1">
      <alignment horizontal="center"/>
    </xf>
    <xf numFmtId="0" fontId="45" fillId="0" borderId="1" xfId="4" applyFont="1" applyBorder="1" applyAlignment="1">
      <alignment horizontal="center"/>
    </xf>
    <xf numFmtId="0" fontId="48" fillId="2" borderId="2" xfId="3" applyFont="1" applyFill="1" applyBorder="1" applyAlignment="1">
      <alignment horizontal="center"/>
    </xf>
    <xf numFmtId="0" fontId="48" fillId="2" borderId="3" xfId="3" applyFont="1" applyFill="1" applyBorder="1" applyAlignment="1">
      <alignment horizontal="center"/>
    </xf>
    <xf numFmtId="0" fontId="48" fillId="2" borderId="4" xfId="3" applyFont="1" applyFill="1" applyBorder="1" applyAlignment="1">
      <alignment horizontal="center"/>
    </xf>
    <xf numFmtId="44" fontId="48" fillId="8" borderId="1" xfId="8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164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" fontId="46" fillId="2" borderId="1" xfId="3" applyNumberFormat="1" applyFont="1" applyFill="1" applyBorder="1" applyAlignment="1">
      <alignment horizontal="center" vertical="top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164" fontId="34" fillId="2" borderId="1" xfId="5" applyNumberFormat="1" applyFont="1" applyFill="1" applyBorder="1" applyAlignment="1" applyProtection="1">
      <alignment horizontal="center" vertical="center"/>
    </xf>
    <xf numFmtId="164" fontId="34" fillId="8" borderId="1" xfId="5" applyNumberFormat="1" applyFont="1" applyFill="1" applyBorder="1" applyAlignment="1" applyProtection="1">
      <alignment horizontal="center" vertical="top"/>
    </xf>
    <xf numFmtId="2" fontId="35" fillId="2" borderId="6" xfId="5" applyNumberFormat="1" applyFont="1" applyFill="1" applyBorder="1" applyAlignment="1" applyProtection="1">
      <alignment horizontal="center"/>
    </xf>
    <xf numFmtId="165" fontId="35" fillId="2" borderId="6" xfId="6" applyNumberFormat="1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1" fontId="35" fillId="2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164" fontId="35" fillId="2" borderId="6" xfId="5" applyNumberFormat="1" applyFont="1" applyFill="1" applyBorder="1" applyAlignment="1" applyProtection="1">
      <alignment horizontal="center"/>
    </xf>
    <xf numFmtId="0" fontId="35" fillId="0" borderId="1" xfId="4" applyFont="1" applyBorder="1"/>
    <xf numFmtId="0" fontId="34" fillId="0" borderId="0" xfId="0" applyFont="1" applyBorder="1"/>
    <xf numFmtId="0" fontId="34" fillId="0" borderId="0" xfId="0" applyFont="1"/>
    <xf numFmtId="164" fontId="35" fillId="2" borderId="6" xfId="3" applyNumberFormat="1" applyFont="1" applyFill="1" applyBorder="1" applyAlignment="1">
      <alignment horizontal="center"/>
    </xf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8" xfId="7" applyFont="1" applyFill="1" applyBorder="1" applyAlignment="1">
      <alignment horizontal="right" wrapText="1"/>
    </xf>
    <xf numFmtId="43" fontId="34" fillId="8" borderId="1" xfId="7" applyFont="1" applyFill="1" applyBorder="1" applyAlignment="1">
      <alignment horizontal="right" wrapText="1"/>
    </xf>
    <xf numFmtId="165" fontId="34" fillId="0" borderId="1" xfId="6" applyNumberFormat="1" applyFont="1" applyFill="1" applyBorder="1" applyAlignment="1"/>
    <xf numFmtId="164" fontId="35" fillId="2" borderId="0" xfId="5" applyNumberFormat="1" applyFont="1" applyFill="1" applyBorder="1" applyAlignment="1" applyProtection="1">
      <alignment horizontal="center"/>
    </xf>
    <xf numFmtId="1" fontId="34" fillId="8" borderId="1" xfId="5" applyNumberFormat="1" applyFont="1" applyFill="1" applyBorder="1" applyAlignment="1">
      <alignment horizontal="right"/>
    </xf>
    <xf numFmtId="0" fontId="50" fillId="0" borderId="0" xfId="4" applyFont="1"/>
    <xf numFmtId="1" fontId="38" fillId="0" borderId="0" xfId="0" applyNumberFormat="1" applyFont="1" applyAlignment="1">
      <alignment horizontal="center"/>
    </xf>
    <xf numFmtId="1" fontId="38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2" fontId="34" fillId="12" borderId="8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51" fillId="0" borderId="0" xfId="0" applyFont="1"/>
    <xf numFmtId="0" fontId="51" fillId="0" borderId="0" xfId="0" applyFont="1" applyBorder="1"/>
    <xf numFmtId="0" fontId="53" fillId="0" borderId="0" xfId="0" applyFont="1" applyBorder="1"/>
    <xf numFmtId="0" fontId="53" fillId="0" borderId="0" xfId="0" applyFont="1"/>
    <xf numFmtId="164" fontId="52" fillId="2" borderId="0" xfId="5" applyNumberFormat="1" applyFont="1" applyFill="1" applyBorder="1" applyAlignment="1" applyProtection="1">
      <alignment horizontal="center"/>
    </xf>
    <xf numFmtId="0" fontId="55" fillId="0" borderId="0" xfId="4" applyFont="1"/>
    <xf numFmtId="1" fontId="51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1" fontId="38" fillId="0" borderId="0" xfId="0" applyNumberFormat="1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1" fontId="56" fillId="2" borderId="1" xfId="5" applyNumberFormat="1" applyFont="1" applyFill="1" applyBorder="1" applyAlignment="1">
      <alignment horizontal="center" vertical="center"/>
    </xf>
    <xf numFmtId="1" fontId="56" fillId="8" borderId="1" xfId="5" applyNumberFormat="1" applyFont="1" applyFill="1" applyBorder="1" applyAlignment="1">
      <alignment horizontal="center" vertical="center"/>
    </xf>
    <xf numFmtId="0" fontId="35" fillId="15" borderId="1" xfId="3" applyFont="1" applyFill="1" applyBorder="1" applyAlignment="1">
      <alignment horizontal="center" vertical="center"/>
    </xf>
    <xf numFmtId="1" fontId="35" fillId="15" borderId="1" xfId="3" applyNumberFormat="1" applyFont="1" applyFill="1" applyBorder="1" applyAlignment="1">
      <alignment horizontal="center" vertical="center"/>
    </xf>
    <xf numFmtId="1" fontId="35" fillId="15" borderId="2" xfId="3" applyNumberFormat="1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7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8" fillId="16" borderId="2" xfId="3" applyFont="1" applyFill="1" applyBorder="1" applyAlignment="1">
      <alignment horizontal="center"/>
    </xf>
    <xf numFmtId="0" fontId="48" fillId="16" borderId="3" xfId="3" applyFont="1" applyFill="1" applyBorder="1" applyAlignment="1">
      <alignment horizontal="center"/>
    </xf>
    <xf numFmtId="0" fontId="48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7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5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6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>
      <alignment horizontal="left"/>
    </xf>
    <xf numFmtId="0" fontId="39" fillId="2" borderId="1" xfId="4" applyFont="1" applyFill="1" applyBorder="1" applyAlignment="1"/>
    <xf numFmtId="2" fontId="34" fillId="2" borderId="1" xfId="3" applyNumberFormat="1" applyFont="1" applyFill="1" applyBorder="1" applyAlignment="1">
      <alignment horizontal="right"/>
    </xf>
    <xf numFmtId="0" fontId="39" fillId="2" borderId="8" xfId="4" applyFont="1" applyFill="1" applyBorder="1" applyAlignment="1">
      <alignment horizontal="left"/>
    </xf>
    <xf numFmtId="2" fontId="53" fillId="8" borderId="1" xfId="3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 vertical="center" wrapText="1" shrinkToFit="1"/>
    </xf>
    <xf numFmtId="0" fontId="52" fillId="2" borderId="0" xfId="3" applyFont="1" applyFill="1" applyBorder="1" applyAlignment="1">
      <alignment horizontal="center" vertical="center"/>
    </xf>
    <xf numFmtId="1" fontId="52" fillId="2" borderId="0" xfId="5" applyNumberFormat="1" applyFont="1" applyFill="1" applyBorder="1" applyAlignment="1" applyProtection="1">
      <alignment horizontal="center"/>
    </xf>
    <xf numFmtId="0" fontId="52" fillId="2" borderId="0" xfId="3" applyFont="1" applyFill="1" applyBorder="1" applyAlignment="1">
      <alignment horizontal="center"/>
    </xf>
    <xf numFmtId="2" fontId="52" fillId="2" borderId="0" xfId="5" applyNumberFormat="1" applyFont="1" applyFill="1" applyBorder="1" applyAlignment="1" applyProtection="1">
      <alignment horizontal="center"/>
    </xf>
    <xf numFmtId="165" fontId="52" fillId="2" borderId="0" xfId="6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/>
    </xf>
    <xf numFmtId="0" fontId="58" fillId="0" borderId="30" xfId="4" applyFont="1" applyBorder="1" applyAlignment="1">
      <alignment vertical="center" wrapText="1"/>
    </xf>
    <xf numFmtId="0" fontId="58" fillId="0" borderId="25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9" fillId="2" borderId="1" xfId="1" applyNumberFormat="1" applyFont="1" applyFill="1" applyBorder="1" applyAlignment="1">
      <alignment vertical="center" wrapText="1"/>
    </xf>
    <xf numFmtId="2" fontId="51" fillId="0" borderId="0" xfId="0" applyNumberFormat="1" applyFont="1"/>
    <xf numFmtId="0" fontId="51" fillId="0" borderId="0" xfId="0" applyFont="1" applyFill="1"/>
    <xf numFmtId="0" fontId="62" fillId="0" borderId="0" xfId="0" applyFont="1"/>
    <xf numFmtId="1" fontId="35" fillId="0" borderId="1" xfId="3" applyNumberFormat="1" applyFont="1" applyFill="1" applyBorder="1" applyAlignment="1">
      <alignment horizontal="center"/>
    </xf>
    <xf numFmtId="0" fontId="61" fillId="0" borderId="1" xfId="0" applyFont="1" applyFill="1" applyBorder="1"/>
    <xf numFmtId="0" fontId="62" fillId="0" borderId="0" xfId="0" applyFont="1" applyBorder="1"/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/>
    </xf>
    <xf numFmtId="1" fontId="35" fillId="0" borderId="1" xfId="5" applyNumberFormat="1" applyFont="1" applyFill="1" applyBorder="1" applyAlignment="1" applyProtection="1">
      <alignment horizontal="center"/>
    </xf>
    <xf numFmtId="1" fontId="62" fillId="0" borderId="1" xfId="0" applyNumberFormat="1" applyFont="1" applyFill="1" applyBorder="1" applyAlignment="1">
      <alignment horizontal="center"/>
    </xf>
    <xf numFmtId="1" fontId="62" fillId="0" borderId="0" xfId="0" applyNumberFormat="1" applyFont="1" applyAlignment="1">
      <alignment horizontal="center"/>
    </xf>
    <xf numFmtId="1" fontId="62" fillId="0" borderId="0" xfId="0" applyNumberFormat="1" applyFont="1"/>
    <xf numFmtId="0" fontId="62" fillId="0" borderId="0" xfId="0" applyFont="1" applyFill="1"/>
    <xf numFmtId="0" fontId="61" fillId="0" borderId="0" xfId="0" applyFont="1" applyFill="1"/>
    <xf numFmtId="1" fontId="61" fillId="0" borderId="1" xfId="0" applyNumberFormat="1" applyFont="1" applyFill="1" applyBorder="1"/>
    <xf numFmtId="0" fontId="35" fillId="0" borderId="32" xfId="3" applyFont="1" applyFill="1" applyBorder="1" applyAlignment="1">
      <alignment horizontal="center" vertical="center"/>
    </xf>
    <xf numFmtId="0" fontId="35" fillId="0" borderId="25" xfId="3" applyFont="1" applyFill="1" applyBorder="1" applyAlignment="1">
      <alignment horizontal="center" vertical="center"/>
    </xf>
    <xf numFmtId="2" fontId="34" fillId="0" borderId="25" xfId="3" applyNumberFormat="1" applyFont="1" applyFill="1" applyBorder="1" applyAlignment="1">
      <alignment horizontal="center" vertical="center"/>
    </xf>
    <xf numFmtId="0" fontId="36" fillId="0" borderId="25" xfId="4" applyFont="1" applyFill="1" applyBorder="1" applyAlignment="1">
      <alignment horizontal="center" vertical="center"/>
    </xf>
    <xf numFmtId="1" fontId="35" fillId="0" borderId="25" xfId="5" applyNumberFormat="1" applyFont="1" applyFill="1" applyBorder="1" applyAlignment="1">
      <alignment horizontal="center" vertical="center"/>
    </xf>
    <xf numFmtId="1" fontId="35" fillId="0" borderId="25" xfId="3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" fontId="35" fillId="0" borderId="30" xfId="5" applyNumberFormat="1" applyFont="1" applyFill="1" applyBorder="1" applyAlignment="1" applyProtection="1">
      <alignment horizontal="center" vertical="center"/>
    </xf>
    <xf numFmtId="0" fontId="35" fillId="10" borderId="32" xfId="3" applyFont="1" applyFill="1" applyBorder="1" applyAlignment="1">
      <alignment horizontal="center" vertical="center"/>
    </xf>
    <xf numFmtId="2" fontId="34" fillId="10" borderId="25" xfId="3" applyNumberFormat="1" applyFont="1" applyFill="1" applyBorder="1" applyAlignment="1">
      <alignment horizontal="center" vertical="center"/>
    </xf>
    <xf numFmtId="0" fontId="36" fillId="10" borderId="25" xfId="4" applyFont="1" applyFill="1" applyBorder="1" applyAlignment="1">
      <alignment horizontal="center" vertical="center"/>
    </xf>
    <xf numFmtId="1" fontId="35" fillId="10" borderId="25" xfId="5" applyNumberFormat="1" applyFont="1" applyFill="1" applyBorder="1" applyAlignment="1">
      <alignment horizontal="center" vertical="center"/>
    </xf>
    <xf numFmtId="1" fontId="35" fillId="10" borderId="25" xfId="3" applyNumberFormat="1" applyFont="1" applyFill="1" applyBorder="1" applyAlignment="1">
      <alignment horizontal="center" vertical="center"/>
    </xf>
    <xf numFmtId="0" fontId="62" fillId="10" borderId="0" xfId="0" applyFont="1" applyFill="1" applyBorder="1" applyAlignment="1">
      <alignment horizontal="center" vertical="center"/>
    </xf>
    <xf numFmtId="1" fontId="35" fillId="10" borderId="30" xfId="5" applyNumberFormat="1" applyFont="1" applyFill="1" applyBorder="1" applyAlignment="1" applyProtection="1">
      <alignment horizontal="center" vertical="center"/>
    </xf>
    <xf numFmtId="1" fontId="61" fillId="0" borderId="1" xfId="0" applyNumberFormat="1" applyFont="1" applyFill="1" applyBorder="1" applyAlignment="1">
      <alignment horizontal="center"/>
    </xf>
    <xf numFmtId="0" fontId="62" fillId="0" borderId="1" xfId="0" applyFont="1" applyFill="1" applyBorder="1"/>
    <xf numFmtId="0" fontId="35" fillId="10" borderId="24" xfId="3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61" fillId="0" borderId="4" xfId="0" applyFont="1" applyFill="1" applyBorder="1"/>
    <xf numFmtId="0" fontId="62" fillId="0" borderId="4" xfId="0" applyFont="1" applyFill="1" applyBorder="1" applyAlignment="1">
      <alignment horizontal="center"/>
    </xf>
    <xf numFmtId="0" fontId="35" fillId="10" borderId="0" xfId="3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/>
    </xf>
    <xf numFmtId="0" fontId="34" fillId="0" borderId="1" xfId="0" applyFont="1" applyFill="1" applyBorder="1"/>
    <xf numFmtId="1" fontId="62" fillId="0" borderId="0" xfId="0" applyNumberFormat="1" applyFont="1" applyFill="1" applyAlignment="1">
      <alignment horizontal="center"/>
    </xf>
    <xf numFmtId="1" fontId="62" fillId="0" borderId="0" xfId="0" applyNumberFormat="1" applyFont="1" applyFill="1"/>
    <xf numFmtId="1" fontId="34" fillId="2" borderId="1" xfId="3" applyNumberFormat="1" applyFont="1" applyFill="1" applyBorder="1" applyAlignment="1">
      <alignment horizontal="center"/>
    </xf>
    <xf numFmtId="0" fontId="60" fillId="0" borderId="1" xfId="0" applyFont="1" applyBorder="1"/>
    <xf numFmtId="9" fontId="60" fillId="0" borderId="1" xfId="0" applyNumberFormat="1" applyFont="1" applyBorder="1"/>
    <xf numFmtId="1" fontId="60" fillId="0" borderId="1" xfId="0" applyNumberFormat="1" applyFont="1" applyBorder="1"/>
    <xf numFmtId="0" fontId="0" fillId="0" borderId="0" xfId="0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3" fillId="15" borderId="1" xfId="3" applyFont="1" applyFill="1" applyBorder="1" applyAlignment="1"/>
    <xf numFmtId="0" fontId="69" fillId="0" borderId="0" xfId="0" applyFont="1"/>
    <xf numFmtId="2" fontId="70" fillId="8" borderId="1" xfId="3" applyNumberFormat="1" applyFont="1" applyFill="1" applyBorder="1" applyAlignment="1">
      <alignment horizontal="center"/>
    </xf>
    <xf numFmtId="0" fontId="73" fillId="0" borderId="0" xfId="0" applyFont="1"/>
    <xf numFmtId="0" fontId="71" fillId="0" borderId="0" xfId="0" applyFont="1"/>
    <xf numFmtId="0" fontId="63" fillId="15" borderId="1" xfId="3" applyFont="1" applyFill="1" applyBorder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64" fillId="9" borderId="1" xfId="3" applyFont="1" applyFill="1" applyBorder="1" applyAlignment="1">
      <alignment horizontal="center" vertical="center"/>
    </xf>
    <xf numFmtId="10" fontId="64" fillId="9" borderId="1" xfId="3" applyNumberFormat="1" applyFont="1" applyFill="1" applyBorder="1" applyAlignment="1">
      <alignment horizontal="center"/>
    </xf>
    <xf numFmtId="1" fontId="64" fillId="9" borderId="1" xfId="3" applyNumberFormat="1" applyFont="1" applyFill="1" applyBorder="1" applyAlignment="1">
      <alignment horizontal="center"/>
    </xf>
    <xf numFmtId="2" fontId="64" fillId="9" borderId="1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center"/>
    </xf>
    <xf numFmtId="0" fontId="72" fillId="0" borderId="0" xfId="0" applyFont="1"/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0" fontId="70" fillId="2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1" fontId="70" fillId="2" borderId="7" xfId="5" applyNumberFormat="1" applyFont="1" applyFill="1" applyBorder="1" applyAlignment="1">
      <alignment horizontal="center" vertical="center"/>
    </xf>
    <xf numFmtId="1" fontId="70" fillId="2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12" borderId="1" xfId="3" applyNumberFormat="1" applyFont="1" applyFill="1" applyBorder="1" applyAlignment="1">
      <alignment horizontal="center"/>
    </xf>
    <xf numFmtId="1" fontId="75" fillId="15" borderId="1" xfId="3" applyNumberFormat="1" applyFont="1" applyFill="1" applyBorder="1" applyAlignment="1">
      <alignment horizontal="center"/>
    </xf>
    <xf numFmtId="0" fontId="70" fillId="0" borderId="1" xfId="4" applyFont="1" applyBorder="1"/>
    <xf numFmtId="0" fontId="77" fillId="8" borderId="1" xfId="3" applyFont="1" applyFill="1" applyBorder="1" applyAlignment="1">
      <alignment horizontal="center"/>
    </xf>
    <xf numFmtId="164" fontId="77" fillId="8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0" fontId="77" fillId="2" borderId="1" xfId="4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2" fontId="79" fillId="8" borderId="1" xfId="3" applyNumberFormat="1" applyFont="1" applyFill="1" applyBorder="1" applyAlignment="1">
      <alignment horizontal="center"/>
    </xf>
    <xf numFmtId="164" fontId="75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70" fillId="8" borderId="1" xfId="9" applyNumberFormat="1" applyFont="1" applyFill="1" applyBorder="1" applyAlignment="1">
      <alignment horizontal="center"/>
    </xf>
    <xf numFmtId="168" fontId="75" fillId="8" borderId="1" xfId="5" applyNumberFormat="1" applyFont="1" applyFill="1" applyBorder="1" applyAlignment="1" applyProtection="1">
      <alignment horizontal="center" vertical="center"/>
    </xf>
    <xf numFmtId="164" fontId="78" fillId="8" borderId="1" xfId="5" applyNumberFormat="1" applyFont="1" applyFill="1" applyBorder="1" applyAlignment="1" applyProtection="1">
      <alignment horizontal="center"/>
    </xf>
    <xf numFmtId="1" fontId="79" fillId="0" borderId="1" xfId="4" applyNumberFormat="1" applyFont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1" fontId="79" fillId="8" borderId="1" xfId="3" applyNumberFormat="1" applyFont="1" applyFill="1" applyBorder="1" applyAlignment="1">
      <alignment horizontal="center" vertical="center"/>
    </xf>
    <xf numFmtId="0" fontId="77" fillId="2" borderId="1" xfId="3" applyFont="1" applyFill="1" applyBorder="1" applyAlignment="1">
      <alignment horizontal="center"/>
    </xf>
    <xf numFmtId="169" fontId="77" fillId="8" borderId="1" xfId="5" applyNumberFormat="1" applyFont="1" applyFill="1" applyBorder="1" applyAlignment="1" applyProtection="1">
      <alignment horizontal="center" vertical="center"/>
    </xf>
    <xf numFmtId="1" fontId="77" fillId="2" borderId="1" xfId="3" applyNumberFormat="1" applyFont="1" applyFill="1" applyBorder="1" applyAlignment="1">
      <alignment horizontal="center" vertical="top"/>
    </xf>
    <xf numFmtId="0" fontId="70" fillId="0" borderId="1" xfId="4" applyFont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0" fontId="70" fillId="15" borderId="1" xfId="3" applyFont="1" applyFill="1" applyBorder="1" applyAlignment="1"/>
    <xf numFmtId="1" fontId="70" fillId="2" borderId="1" xfId="3" applyNumberFormat="1" applyFont="1" applyFill="1" applyBorder="1" applyAlignment="1">
      <alignment horizontal="center" vertical="center"/>
    </xf>
    <xf numFmtId="164" fontId="70" fillId="2" borderId="1" xfId="5" applyNumberFormat="1" applyFont="1" applyFill="1" applyBorder="1" applyAlignment="1" applyProtection="1">
      <alignment horizontal="center" vertical="center"/>
    </xf>
    <xf numFmtId="164" fontId="70" fillId="8" borderId="1" xfId="5" applyNumberFormat="1" applyFont="1" applyFill="1" applyBorder="1" applyAlignment="1" applyProtection="1">
      <alignment horizontal="center" vertical="top"/>
    </xf>
    <xf numFmtId="0" fontId="70" fillId="2" borderId="1" xfId="4" applyFont="1" applyFill="1" applyBorder="1" applyAlignment="1">
      <alignment horizontal="left"/>
    </xf>
    <xf numFmtId="0" fontId="70" fillId="2" borderId="1" xfId="4" applyFont="1" applyFill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6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1" fontId="75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2" fontId="70" fillId="10" borderId="25" xfId="3" applyNumberFormat="1" applyFont="1" applyFill="1" applyBorder="1" applyAlignment="1">
      <alignment horizontal="center" vertical="center"/>
    </xf>
    <xf numFmtId="0" fontId="76" fillId="10" borderId="25" xfId="4" applyFont="1" applyFill="1" applyBorder="1" applyAlignment="1">
      <alignment horizontal="center" vertical="center"/>
    </xf>
    <xf numFmtId="1" fontId="70" fillId="10" borderId="25" xfId="5" applyNumberFormat="1" applyFont="1" applyFill="1" applyBorder="1" applyAlignment="1">
      <alignment horizontal="center" vertical="center"/>
    </xf>
    <xf numFmtId="1" fontId="70" fillId="10" borderId="25" xfId="3" applyNumberFormat="1" applyFont="1" applyFill="1" applyBorder="1" applyAlignment="1">
      <alignment horizontal="center" vertical="center"/>
    </xf>
    <xf numFmtId="0" fontId="75" fillId="10" borderId="0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5" fillId="0" borderId="1" xfId="0" applyFont="1" applyFill="1" applyBorder="1" applyAlignment="1">
      <alignment horizontal="center"/>
    </xf>
    <xf numFmtId="0" fontId="75" fillId="0" borderId="1" xfId="0" applyFont="1" applyFill="1" applyBorder="1"/>
    <xf numFmtId="1" fontId="75" fillId="0" borderId="1" xfId="0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 applyProtection="1">
      <alignment horizontal="center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1" fontId="70" fillId="15" borderId="1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75" fillId="0" borderId="1" xfId="0" applyFont="1" applyBorder="1"/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80" fillId="0" borderId="0" xfId="0" applyFont="1"/>
    <xf numFmtId="1" fontId="80" fillId="0" borderId="0" xfId="0" applyNumberFormat="1" applyFont="1" applyAlignment="1">
      <alignment horizontal="center"/>
    </xf>
    <xf numFmtId="1" fontId="80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70" fillId="8" borderId="15" xfId="3" applyNumberFormat="1" applyFont="1" applyFill="1" applyBorder="1" applyAlignment="1">
      <alignment horizontal="center" wrapText="1" shrinkToFit="1"/>
    </xf>
    <xf numFmtId="0" fontId="70" fillId="15" borderId="15" xfId="3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1" fontId="70" fillId="2" borderId="15" xfId="5" applyNumberFormat="1" applyFont="1" applyFill="1" applyBorder="1" applyAlignment="1" applyProtection="1">
      <alignment horizontal="center"/>
    </xf>
    <xf numFmtId="1" fontId="70" fillId="15" borderId="15" xfId="3" applyNumberFormat="1" applyFont="1" applyFill="1" applyBorder="1" applyAlignment="1">
      <alignment horizontal="center" vertical="center"/>
    </xf>
    <xf numFmtId="0" fontId="70" fillId="15" borderId="15" xfId="3" applyFont="1" applyFill="1" applyBorder="1" applyAlignment="1"/>
    <xf numFmtId="0" fontId="70" fillId="2" borderId="15" xfId="4" applyFont="1" applyFill="1" applyBorder="1" applyAlignment="1"/>
    <xf numFmtId="1" fontId="70" fillId="10" borderId="31" xfId="5" applyNumberFormat="1" applyFont="1" applyFill="1" applyBorder="1" applyAlignment="1" applyProtection="1">
      <alignment horizontal="center" vertical="center"/>
    </xf>
    <xf numFmtId="1" fontId="75" fillId="0" borderId="15" xfId="0" applyNumberFormat="1" applyFont="1" applyBorder="1" applyAlignment="1">
      <alignment horizontal="center"/>
    </xf>
    <xf numFmtId="1" fontId="75" fillId="0" borderId="15" xfId="0" applyNumberFormat="1" applyFont="1" applyFill="1" applyBorder="1" applyAlignment="1">
      <alignment horizontal="center"/>
    </xf>
    <xf numFmtId="0" fontId="75" fillId="0" borderId="0" xfId="0" applyFont="1" applyBorder="1"/>
    <xf numFmtId="1" fontId="75" fillId="0" borderId="0" xfId="0" applyNumberFormat="1" applyFont="1" applyBorder="1" applyAlignment="1">
      <alignment horizontal="center"/>
    </xf>
    <xf numFmtId="1" fontId="75" fillId="0" borderId="35" xfId="0" applyNumberFormat="1" applyFont="1" applyBorder="1"/>
    <xf numFmtId="0" fontId="75" fillId="15" borderId="15" xfId="3" applyFont="1" applyFill="1" applyBorder="1" applyAlignment="1">
      <alignment horizontal="center"/>
    </xf>
    <xf numFmtId="1" fontId="70" fillId="15" borderId="15" xfId="5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9" fontId="70" fillId="8" borderId="7" xfId="6" applyNumberFormat="1" applyFont="1" applyFill="1" applyBorder="1" applyAlignment="1">
      <alignment horizontal="center"/>
    </xf>
    <xf numFmtId="1" fontId="70" fillId="8" borderId="7" xfId="3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right"/>
    </xf>
    <xf numFmtId="1" fontId="70" fillId="8" borderId="23" xfId="5" applyNumberFormat="1" applyFont="1" applyFill="1" applyBorder="1" applyAlignment="1" applyProtection="1">
      <alignment horizontal="center"/>
    </xf>
    <xf numFmtId="9" fontId="64" fillId="9" borderId="21" xfId="3" applyNumberFormat="1" applyFont="1" applyFill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7" fillId="16" borderId="1" xfId="0" applyFont="1" applyFill="1" applyBorder="1"/>
    <xf numFmtId="0" fontId="69" fillId="0" borderId="0" xfId="0" applyFont="1" applyBorder="1"/>
    <xf numFmtId="0" fontId="72" fillId="0" borderId="1" xfId="0" applyFont="1" applyFill="1" applyBorder="1" applyAlignment="1">
      <alignment horizontal="left"/>
    </xf>
    <xf numFmtId="166" fontId="64" fillId="9" borderId="21" xfId="3" applyNumberFormat="1" applyFont="1" applyFill="1" applyBorder="1" applyAlignment="1">
      <alignment horizontal="left"/>
    </xf>
    <xf numFmtId="0" fontId="64" fillId="9" borderId="21" xfId="3" applyFont="1" applyFill="1" applyBorder="1"/>
    <xf numFmtId="0" fontId="64" fillId="8" borderId="21" xfId="3" applyFont="1" applyFill="1" applyBorder="1" applyAlignment="1">
      <alignment horizontal="center" vertical="center"/>
    </xf>
    <xf numFmtId="0" fontId="64" fillId="8" borderId="2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center"/>
    </xf>
    <xf numFmtId="0" fontId="64" fillId="8" borderId="28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167" fontId="64" fillId="8" borderId="21" xfId="3" applyNumberFormat="1" applyFont="1" applyFill="1" applyBorder="1" applyAlignment="1">
      <alignment vertical="center"/>
    </xf>
    <xf numFmtId="167" fontId="63" fillId="8" borderId="1" xfId="3" applyNumberFormat="1" applyFont="1" applyFill="1" applyBorder="1" applyAlignment="1">
      <alignment vertical="center"/>
    </xf>
    <xf numFmtId="0" fontId="64" fillId="16" borderId="21" xfId="3" applyFont="1" applyFill="1" applyBorder="1" applyAlignment="1">
      <alignment horizontal="center"/>
    </xf>
    <xf numFmtId="0" fontId="63" fillId="16" borderId="1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left" vertical="center"/>
    </xf>
    <xf numFmtId="0" fontId="63" fillId="2" borderId="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/>
    </xf>
    <xf numFmtId="0" fontId="64" fillId="16" borderId="21" xfId="3" applyFont="1" applyFill="1" applyBorder="1" applyAlignment="1">
      <alignment horizontal="center" vertical="center"/>
    </xf>
    <xf numFmtId="0" fontId="63" fillId="16" borderId="1" xfId="3" applyFont="1" applyFill="1" applyBorder="1" applyAlignment="1">
      <alignment horizontal="center" vertical="center"/>
    </xf>
    <xf numFmtId="0" fontId="74" fillId="2" borderId="16" xfId="3" applyFont="1" applyFill="1" applyBorder="1" applyAlignment="1">
      <alignment horizontal="center"/>
    </xf>
    <xf numFmtId="0" fontId="74" fillId="2" borderId="3" xfId="3" applyFont="1" applyFill="1" applyBorder="1" applyAlignment="1">
      <alignment horizontal="center"/>
    </xf>
    <xf numFmtId="0" fontId="74" fillId="2" borderId="4" xfId="3" applyFont="1" applyFill="1" applyBorder="1" applyAlignment="1">
      <alignment horizontal="center"/>
    </xf>
    <xf numFmtId="0" fontId="74" fillId="16" borderId="16" xfId="3" applyFont="1" applyFill="1" applyBorder="1" applyAlignment="1">
      <alignment horizontal="center"/>
    </xf>
    <xf numFmtId="0" fontId="74" fillId="16" borderId="3" xfId="3" applyFont="1" applyFill="1" applyBorder="1" applyAlignment="1">
      <alignment horizontal="center"/>
    </xf>
    <xf numFmtId="0" fontId="74" fillId="16" borderId="4" xfId="3" applyFont="1" applyFill="1" applyBorder="1" applyAlignment="1">
      <alignment horizontal="center"/>
    </xf>
    <xf numFmtId="0" fontId="64" fillId="15" borderId="21" xfId="3" applyFont="1" applyFill="1" applyBorder="1" applyAlignment="1">
      <alignment horizontal="left"/>
    </xf>
    <xf numFmtId="2" fontId="64" fillId="8" borderId="21" xfId="3" applyNumberFormat="1" applyFont="1" applyFill="1" applyBorder="1" applyAlignment="1">
      <alignment horizontal="left" vertical="center"/>
    </xf>
    <xf numFmtId="2" fontId="63" fillId="8" borderId="1" xfId="3" applyNumberFormat="1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justify"/>
    </xf>
    <xf numFmtId="0" fontId="64" fillId="15" borderId="21" xfId="3" applyFont="1" applyFill="1" applyBorder="1" applyAlignment="1"/>
    <xf numFmtId="0" fontId="64" fillId="0" borderId="21" xfId="4" applyFont="1" applyBorder="1" applyAlignment="1">
      <alignment vertical="center"/>
    </xf>
    <xf numFmtId="0" fontId="63" fillId="0" borderId="1" xfId="4" applyFont="1" applyBorder="1" applyAlignment="1">
      <alignment vertical="center"/>
    </xf>
    <xf numFmtId="0" fontId="66" fillId="16" borderId="21" xfId="4" applyFont="1" applyFill="1" applyBorder="1"/>
    <xf numFmtId="0" fontId="64" fillId="15" borderId="21" xfId="3" applyFont="1" applyFill="1" applyBorder="1" applyAlignment="1">
      <alignment horizontal="center"/>
    </xf>
    <xf numFmtId="0" fontId="64" fillId="10" borderId="33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0" borderId="21" xfId="4" applyFont="1" applyBorder="1"/>
    <xf numFmtId="0" fontId="64" fillId="15" borderId="21" xfId="3" applyFont="1" applyFill="1" applyBorder="1" applyAlignment="1">
      <alignment horizontal="center" vertic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/>
    <xf numFmtId="1" fontId="64" fillId="9" borderId="15" xfId="3" applyNumberFormat="1" applyFont="1" applyFill="1" applyBorder="1" applyAlignment="1">
      <alignment horizontal="center" vertical="center"/>
    </xf>
    <xf numFmtId="0" fontId="64" fillId="9" borderId="1" xfId="3" applyFont="1" applyFill="1" applyBorder="1" applyAlignment="1">
      <alignment horizontal="left"/>
    </xf>
    <xf numFmtId="1" fontId="64" fillId="9" borderId="15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left"/>
    </xf>
    <xf numFmtId="0" fontId="70" fillId="8" borderId="8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 vertical="center"/>
    </xf>
    <xf numFmtId="0" fontId="70" fillId="10" borderId="32" xfId="3" applyFont="1" applyFill="1" applyBorder="1" applyAlignment="1">
      <alignment horizontal="center" vertical="center"/>
    </xf>
    <xf numFmtId="0" fontId="75" fillId="0" borderId="4" xfId="0" applyFont="1" applyBorder="1" applyAlignment="1">
      <alignment horizontal="center"/>
    </xf>
    <xf numFmtId="0" fontId="80" fillId="0" borderId="4" xfId="0" applyFont="1" applyFill="1" applyBorder="1"/>
    <xf numFmtId="0" fontId="75" fillId="0" borderId="4" xfId="0" applyFont="1" applyFill="1" applyBorder="1" applyAlignment="1">
      <alignment horizontal="center"/>
    </xf>
    <xf numFmtId="0" fontId="70" fillId="8" borderId="7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/>
    </xf>
    <xf numFmtId="0" fontId="70" fillId="0" borderId="1" xfId="3" applyFont="1" applyFill="1" applyBorder="1" applyAlignment="1">
      <alignment horizontal="center"/>
    </xf>
    <xf numFmtId="1" fontId="84" fillId="12" borderId="0" xfId="0" applyNumberFormat="1" applyFont="1" applyFill="1"/>
    <xf numFmtId="1" fontId="84" fillId="0" borderId="0" xfId="0" applyNumberFormat="1" applyFont="1"/>
    <xf numFmtId="0" fontId="69" fillId="9" borderId="1" xfId="3" applyFont="1" applyFill="1" applyBorder="1" applyAlignment="1">
      <alignment horizontal="center" vertical="center"/>
    </xf>
    <xf numFmtId="2" fontId="69" fillId="9" borderId="1" xfId="3" applyNumberFormat="1" applyFont="1" applyFill="1" applyBorder="1" applyAlignment="1">
      <alignment horizontal="center"/>
    </xf>
    <xf numFmtId="2" fontId="75" fillId="2" borderId="1" xfId="3" applyNumberFormat="1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2" fontId="75" fillId="8" borderId="8" xfId="3" applyNumberFormat="1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5" fillId="2" borderId="1" xfId="4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5" fillId="8" borderId="1" xfId="9" applyNumberFormat="1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 vertical="center"/>
    </xf>
    <xf numFmtId="0" fontId="75" fillId="8" borderId="1" xfId="3" applyFont="1" applyFill="1" applyBorder="1" applyAlignment="1">
      <alignment horizontal="center" vertical="center"/>
    </xf>
    <xf numFmtId="0" fontId="75" fillId="0" borderId="1" xfId="4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vertical="center"/>
    </xf>
    <xf numFmtId="1" fontId="75" fillId="2" borderId="1" xfId="3" applyNumberFormat="1" applyFont="1" applyFill="1" applyBorder="1" applyAlignment="1">
      <alignment horizontal="center" vertical="center"/>
    </xf>
    <xf numFmtId="0" fontId="75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0" borderId="1" xfId="3" applyFont="1" applyFill="1" applyBorder="1" applyAlignment="1">
      <alignment horizontal="center"/>
    </xf>
    <xf numFmtId="0" fontId="75" fillId="10" borderId="25" xfId="4" applyFont="1" applyFill="1" applyBorder="1" applyAlignment="1">
      <alignment horizontal="center" vertical="center"/>
    </xf>
    <xf numFmtId="0" fontId="75" fillId="12" borderId="1" xfId="4" applyFont="1" applyFill="1" applyBorder="1" applyAlignment="1">
      <alignment horizontal="center"/>
    </xf>
    <xf numFmtId="2" fontId="75" fillId="8" borderId="7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10" borderId="25" xfId="4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 applyBorder="1"/>
    <xf numFmtId="0" fontId="85" fillId="0" borderId="0" xfId="0" applyFont="1"/>
    <xf numFmtId="0" fontId="70" fillId="0" borderId="0" xfId="0" applyFont="1"/>
    <xf numFmtId="1" fontId="86" fillId="20" borderId="1" xfId="5" applyNumberFormat="1" applyFont="1" applyFill="1" applyBorder="1" applyAlignment="1">
      <alignment horizontal="center" vertical="center"/>
    </xf>
    <xf numFmtId="0" fontId="82" fillId="21" borderId="2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left"/>
    </xf>
    <xf numFmtId="0" fontId="86" fillId="21" borderId="1" xfId="3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/>
    </xf>
    <xf numFmtId="1" fontId="86" fillId="21" borderId="1" xfId="5" applyNumberFormat="1" applyFont="1" applyFill="1" applyBorder="1" applyAlignment="1">
      <alignment horizontal="center" vertical="center"/>
    </xf>
    <xf numFmtId="1" fontId="86" fillId="21" borderId="1" xfId="3" applyNumberFormat="1" applyFont="1" applyFill="1" applyBorder="1" applyAlignment="1">
      <alignment horizontal="center"/>
    </xf>
    <xf numFmtId="0" fontId="86" fillId="21" borderId="1" xfId="3" applyNumberFormat="1" applyFont="1" applyFill="1" applyBorder="1" applyAlignment="1">
      <alignment horizontal="center"/>
    </xf>
    <xf numFmtId="1" fontId="86" fillId="21" borderId="15" xfId="5" applyNumberFormat="1" applyFont="1" applyFill="1" applyBorder="1" applyAlignment="1" applyProtection="1">
      <alignment horizontal="center"/>
    </xf>
    <xf numFmtId="0" fontId="82" fillId="21" borderId="21" xfId="3" applyFont="1" applyFill="1" applyBorder="1" applyAlignment="1">
      <alignment horizontal="left" vertical="center"/>
    </xf>
    <xf numFmtId="0" fontId="81" fillId="21" borderId="1" xfId="3" applyFont="1" applyFill="1" applyBorder="1" applyAlignment="1">
      <alignment horizontal="left" vertical="center"/>
    </xf>
    <xf numFmtId="2" fontId="86" fillId="21" borderId="1" xfId="3" applyNumberFormat="1" applyFont="1" applyFill="1" applyBorder="1" applyAlignment="1">
      <alignment horizontal="center"/>
    </xf>
    <xf numFmtId="0" fontId="69" fillId="8" borderId="21" xfId="3" applyFont="1" applyFill="1" applyBorder="1" applyAlignment="1">
      <alignment horizontal="left" vertical="center"/>
    </xf>
    <xf numFmtId="0" fontId="71" fillId="8" borderId="1" xfId="3" applyFont="1" applyFill="1" applyBorder="1" applyAlignment="1">
      <alignment horizontal="left" vertical="center"/>
    </xf>
    <xf numFmtId="1" fontId="75" fillId="20" borderId="1" xfId="5" applyNumberFormat="1" applyFont="1" applyFill="1" applyBorder="1" applyAlignment="1">
      <alignment horizontal="center" vertical="center"/>
    </xf>
    <xf numFmtId="1" fontId="75" fillId="8" borderId="1" xfId="3" applyNumberFormat="1" applyFont="1" applyFill="1" applyBorder="1" applyAlignment="1">
      <alignment horizontal="center"/>
    </xf>
    <xf numFmtId="0" fontId="75" fillId="2" borderId="1" xfId="3" applyNumberFormat="1" applyFont="1" applyFill="1" applyBorder="1" applyAlignment="1">
      <alignment horizontal="center"/>
    </xf>
    <xf numFmtId="1" fontId="75" fillId="8" borderId="15" xfId="5" applyNumberFormat="1" applyFont="1" applyFill="1" applyBorder="1" applyAlignment="1" applyProtection="1">
      <alignment horizontal="center"/>
    </xf>
    <xf numFmtId="0" fontId="69" fillId="8" borderId="28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3" xfId="3" applyFont="1" applyFill="1" applyBorder="1" applyAlignment="1">
      <alignment horizontal="left" vertical="center"/>
    </xf>
    <xf numFmtId="0" fontId="75" fillId="8" borderId="8" xfId="3" applyFont="1" applyFill="1" applyBorder="1" applyAlignment="1">
      <alignment horizontal="center"/>
    </xf>
    <xf numFmtId="1" fontId="75" fillId="2" borderId="8" xfId="3" applyNumberFormat="1" applyFont="1" applyFill="1" applyBorder="1" applyAlignment="1">
      <alignment horizontal="center"/>
    </xf>
    <xf numFmtId="167" fontId="69" fillId="8" borderId="21" xfId="3" applyNumberFormat="1" applyFont="1" applyFill="1" applyBorder="1" applyAlignment="1">
      <alignment vertical="center"/>
    </xf>
    <xf numFmtId="167" fontId="71" fillId="8" borderId="1" xfId="3" applyNumberFormat="1" applyFont="1" applyFill="1" applyBorder="1" applyAlignment="1">
      <alignment vertical="center"/>
    </xf>
    <xf numFmtId="1" fontId="75" fillId="2" borderId="1" xfId="5" applyNumberFormat="1" applyFont="1" applyFill="1" applyBorder="1" applyAlignment="1">
      <alignment horizontal="center" vertical="center"/>
    </xf>
    <xf numFmtId="1" fontId="75" fillId="12" borderId="1" xfId="3" applyNumberFormat="1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0" fontId="69" fillId="16" borderId="21" xfId="3" applyFont="1" applyFill="1" applyBorder="1" applyAlignment="1">
      <alignment horizontal="center"/>
    </xf>
    <xf numFmtId="0" fontId="71" fillId="16" borderId="1" xfId="3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75" fillId="2" borderId="1" xfId="3" applyNumberFormat="1" applyFont="1" applyFill="1" applyBorder="1" applyAlignment="1">
      <alignment horizontal="center"/>
    </xf>
    <xf numFmtId="0" fontId="75" fillId="0" borderId="1" xfId="4" applyFont="1" applyBorder="1"/>
    <xf numFmtId="164" fontId="75" fillId="20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 applyProtection="1">
      <alignment horizontal="center"/>
    </xf>
    <xf numFmtId="1" fontId="70" fillId="8" borderId="1" xfId="9" applyNumberFormat="1" applyFont="1" applyFill="1" applyBorder="1" applyAlignment="1">
      <alignment horizontal="center"/>
    </xf>
    <xf numFmtId="0" fontId="70" fillId="21" borderId="1" xfId="4" applyFont="1" applyFill="1" applyBorder="1" applyAlignment="1">
      <alignment horizontal="center"/>
    </xf>
    <xf numFmtId="0" fontId="76" fillId="12" borderId="1" xfId="4" applyFont="1" applyFill="1" applyBorder="1" applyAlignment="1">
      <alignment horizontal="center"/>
    </xf>
    <xf numFmtId="1" fontId="75" fillId="2" borderId="8" xfId="5" applyNumberFormat="1" applyFont="1" applyFill="1" applyBorder="1" applyAlignment="1">
      <alignment horizontal="center" vertical="center"/>
    </xf>
    <xf numFmtId="171" fontId="51" fillId="0" borderId="0" xfId="0" applyNumberFormat="1" applyFont="1"/>
    <xf numFmtId="1" fontId="84" fillId="0" borderId="5" xfId="0" applyNumberFormat="1" applyFont="1" applyBorder="1"/>
    <xf numFmtId="0" fontId="78" fillId="0" borderId="1" xfId="4" applyFont="1" applyFill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1" fontId="70" fillId="0" borderId="15" xfId="5" applyNumberFormat="1" applyFont="1" applyFill="1" applyBorder="1" applyAlignment="1" applyProtection="1">
      <alignment horizontal="center"/>
    </xf>
    <xf numFmtId="172" fontId="51" fillId="0" borderId="0" xfId="0" applyNumberFormat="1" applyFont="1"/>
    <xf numFmtId="0" fontId="70" fillId="12" borderId="1" xfId="3" applyFont="1" applyFill="1" applyBorder="1" applyAlignment="1">
      <alignment horizontal="center"/>
    </xf>
    <xf numFmtId="0" fontId="38" fillId="0" borderId="0" xfId="0" applyFont="1" applyFill="1"/>
    <xf numFmtId="172" fontId="51" fillId="0" borderId="0" xfId="0" applyNumberFormat="1" applyFont="1" applyFill="1"/>
    <xf numFmtId="171" fontId="51" fillId="0" borderId="0" xfId="0" applyNumberFormat="1" applyFont="1" applyFill="1"/>
    <xf numFmtId="1" fontId="51" fillId="0" borderId="0" xfId="0" applyNumberFormat="1" applyFont="1" applyFill="1"/>
    <xf numFmtId="1" fontId="84" fillId="0" borderId="0" xfId="0" applyNumberFormat="1" applyFont="1" applyFill="1"/>
    <xf numFmtId="1" fontId="84" fillId="0" borderId="5" xfId="0" applyNumberFormat="1" applyFont="1" applyFill="1" applyBorder="1"/>
    <xf numFmtId="0" fontId="87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87" fillId="0" borderId="0" xfId="0" applyNumberFormat="1" applyFont="1" applyFill="1" applyAlignment="1">
      <alignment horizontal="center"/>
    </xf>
    <xf numFmtId="1" fontId="89" fillId="0" borderId="0" xfId="0" applyNumberFormat="1" applyFont="1" applyFill="1" applyAlignment="1">
      <alignment horizontal="center"/>
    </xf>
    <xf numFmtId="1" fontId="89" fillId="0" borderId="5" xfId="0" applyNumberFormat="1" applyFont="1" applyFill="1" applyBorder="1" applyAlignment="1">
      <alignment horizontal="center"/>
    </xf>
    <xf numFmtId="1" fontId="51" fillId="12" borderId="0" xfId="0" applyNumberFormat="1" applyFont="1" applyFill="1"/>
    <xf numFmtId="1" fontId="87" fillId="12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51" fillId="0" borderId="0" xfId="0" applyNumberFormat="1" applyFont="1" applyAlignment="1">
      <alignment horizontal="center"/>
    </xf>
    <xf numFmtId="173" fontId="51" fillId="12" borderId="0" xfId="0" applyNumberFormat="1" applyFont="1" applyFill="1" applyAlignment="1">
      <alignment horizontal="center"/>
    </xf>
    <xf numFmtId="173" fontId="51" fillId="0" borderId="0" xfId="0" applyNumberFormat="1" applyFont="1" applyFill="1" applyAlignment="1">
      <alignment horizontal="center"/>
    </xf>
    <xf numFmtId="172" fontId="51" fillId="12" borderId="0" xfId="0" applyNumberFormat="1" applyFont="1" applyFill="1"/>
    <xf numFmtId="172" fontId="87" fillId="12" borderId="0" xfId="0" applyNumberFormat="1" applyFont="1" applyFill="1" applyAlignment="1">
      <alignment horizontal="center"/>
    </xf>
    <xf numFmtId="0" fontId="66" fillId="0" borderId="21" xfId="4" applyFont="1" applyFill="1" applyBorder="1"/>
    <xf numFmtId="0" fontId="67" fillId="0" borderId="1" xfId="0" applyFont="1" applyFill="1" applyBorder="1"/>
    <xf numFmtId="0" fontId="70" fillId="0" borderId="1" xfId="4" applyFont="1" applyFill="1" applyBorder="1"/>
    <xf numFmtId="164" fontId="52" fillId="0" borderId="0" xfId="5" applyNumberFormat="1" applyFont="1" applyFill="1" applyBorder="1" applyAlignment="1" applyProtection="1">
      <alignment horizontal="center"/>
    </xf>
    <xf numFmtId="0" fontId="53" fillId="0" borderId="0" xfId="0" applyFont="1" applyFill="1" applyBorder="1"/>
    <xf numFmtId="0" fontId="53" fillId="0" borderId="0" xfId="0" applyFont="1" applyFill="1"/>
    <xf numFmtId="1" fontId="64" fillId="9" borderId="1" xfId="3" applyNumberFormat="1" applyFont="1" applyFill="1" applyBorder="1" applyAlignment="1">
      <alignment horizontal="center" vertical="center"/>
    </xf>
    <xf numFmtId="1" fontId="70" fillId="8" borderId="8" xfId="3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1" fontId="70" fillId="21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 vertical="center"/>
    </xf>
    <xf numFmtId="1" fontId="70" fillId="0" borderId="1" xfId="4" applyNumberFormat="1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vertical="center"/>
    </xf>
    <xf numFmtId="1" fontId="70" fillId="0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/>
    <xf numFmtId="1" fontId="70" fillId="2" borderId="1" xfId="4" applyNumberFormat="1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center" wrapText="1"/>
    </xf>
    <xf numFmtId="1" fontId="70" fillId="0" borderId="1" xfId="4" applyNumberFormat="1" applyFont="1" applyBorder="1" applyAlignment="1">
      <alignment horizontal="center" wrapText="1"/>
    </xf>
    <xf numFmtId="1" fontId="75" fillId="0" borderId="1" xfId="3" applyNumberFormat="1" applyFont="1" applyFill="1" applyBorder="1" applyAlignment="1">
      <alignment horizontal="center"/>
    </xf>
    <xf numFmtId="1" fontId="70" fillId="10" borderId="25" xfId="4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/>
    </xf>
    <xf numFmtId="1" fontId="70" fillId="0" borderId="0" xfId="0" applyNumberFormat="1" applyFont="1" applyBorder="1"/>
    <xf numFmtId="1" fontId="70" fillId="12" borderId="1" xfId="4" applyNumberFormat="1" applyFont="1" applyFill="1" applyBorder="1" applyAlignment="1">
      <alignment horizontal="center"/>
    </xf>
    <xf numFmtId="1" fontId="85" fillId="0" borderId="0" xfId="0" applyNumberFormat="1" applyFont="1"/>
    <xf numFmtId="1" fontId="70" fillId="0" borderId="0" xfId="0" applyNumberFormat="1" applyFont="1"/>
    <xf numFmtId="1" fontId="86" fillId="21" borderId="1" xfId="4" applyNumberFormat="1" applyFont="1" applyFill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0" borderId="1" xfId="4" applyNumberFormat="1" applyFont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6" fillId="2" borderId="1" xfId="4" applyNumberFormat="1" applyFont="1" applyFill="1" applyBorder="1" applyAlignment="1">
      <alignment horizontal="center" wrapText="1"/>
    </xf>
    <xf numFmtId="1" fontId="76" fillId="2" borderId="1" xfId="4" applyNumberFormat="1" applyFont="1" applyFill="1" applyBorder="1" applyAlignment="1">
      <alignment horizontal="center"/>
    </xf>
    <xf numFmtId="1" fontId="76" fillId="10" borderId="25" xfId="4" applyNumberFormat="1" applyFont="1" applyFill="1" applyBorder="1" applyAlignment="1">
      <alignment horizontal="center" vertical="center"/>
    </xf>
    <xf numFmtId="1" fontId="75" fillId="0" borderId="0" xfId="0" applyNumberFormat="1" applyFont="1" applyBorder="1"/>
    <xf numFmtId="1" fontId="76" fillId="0" borderId="1" xfId="4" applyNumberFormat="1" applyFont="1" applyFill="1" applyBorder="1" applyAlignment="1">
      <alignment horizontal="center"/>
    </xf>
    <xf numFmtId="1" fontId="76" fillId="12" borderId="1" xfId="4" applyNumberFormat="1" applyFont="1" applyFill="1" applyBorder="1" applyAlignment="1">
      <alignment horizontal="center"/>
    </xf>
    <xf numFmtId="0" fontId="91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90" fillId="0" borderId="0" xfId="16" applyAlignment="1" applyProtection="1"/>
    <xf numFmtId="1" fontId="14" fillId="0" borderId="0" xfId="2" applyNumberFormat="1" applyAlignment="1" applyProtection="1"/>
    <xf numFmtId="1" fontId="70" fillId="12" borderId="1" xfId="5" applyNumberFormat="1" applyFont="1" applyFill="1" applyBorder="1" applyAlignment="1">
      <alignment horizontal="center" vertical="center"/>
    </xf>
    <xf numFmtId="1" fontId="70" fillId="12" borderId="15" xfId="5" applyNumberFormat="1" applyFont="1" applyFill="1" applyBorder="1" applyAlignment="1" applyProtection="1">
      <alignment horizontal="center"/>
    </xf>
    <xf numFmtId="0" fontId="51" fillId="12" borderId="0" xfId="0" applyFont="1" applyFill="1"/>
    <xf numFmtId="1" fontId="53" fillId="0" borderId="0" xfId="0" applyNumberFormat="1" applyFont="1"/>
    <xf numFmtId="1" fontId="53" fillId="0" borderId="0" xfId="0" applyNumberFormat="1" applyFont="1" applyFill="1"/>
    <xf numFmtId="1" fontId="61" fillId="0" borderId="0" xfId="0" applyNumberFormat="1" applyFont="1" applyFill="1"/>
    <xf numFmtId="1" fontId="78" fillId="12" borderId="1" xfId="5" applyNumberFormat="1" applyFont="1" applyFill="1" applyBorder="1" applyAlignment="1">
      <alignment horizontal="center" vertical="center"/>
    </xf>
    <xf numFmtId="0" fontId="75" fillId="0" borderId="4" xfId="0" applyFont="1" applyFill="1" applyBorder="1"/>
    <xf numFmtId="1" fontId="93" fillId="0" borderId="1" xfId="0" applyNumberFormat="1" applyFont="1" applyFill="1" applyBorder="1" applyAlignment="1">
      <alignment horizontal="center" wrapText="1"/>
    </xf>
    <xf numFmtId="0" fontId="76" fillId="12" borderId="1" xfId="4" applyFont="1" applyFill="1" applyBorder="1" applyAlignment="1">
      <alignment horizontal="center" wrapText="1"/>
    </xf>
    <xf numFmtId="0" fontId="70" fillId="12" borderId="1" xfId="4" applyFont="1" applyFill="1" applyBorder="1" applyAlignment="1">
      <alignment horizontal="center" wrapText="1"/>
    </xf>
    <xf numFmtId="0" fontId="70" fillId="12" borderId="1" xfId="0" applyFont="1" applyFill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/>
    <xf numFmtId="0" fontId="64" fillId="0" borderId="1" xfId="4" applyFont="1" applyBorder="1" applyAlignment="1">
      <alignment vertical="center"/>
    </xf>
    <xf numFmtId="0" fontId="81" fillId="2" borderId="1" xfId="3" applyFont="1" applyFill="1" applyBorder="1" applyAlignment="1">
      <alignment horizontal="left"/>
    </xf>
    <xf numFmtId="0" fontId="86" fillId="2" borderId="1" xfId="3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82" fillId="2" borderId="21" xfId="3" applyFont="1" applyFill="1" applyBorder="1" applyAlignment="1">
      <alignment horizontal="left" vertical="center"/>
    </xf>
    <xf numFmtId="0" fontId="81" fillId="2" borderId="1" xfId="3" applyFont="1" applyFill="1" applyBorder="1" applyAlignment="1">
      <alignment horizontal="left" vertical="center"/>
    </xf>
    <xf numFmtId="0" fontId="64" fillId="2" borderId="21" xfId="3" applyFont="1" applyFill="1" applyBorder="1" applyAlignment="1">
      <alignment horizontal="left"/>
    </xf>
    <xf numFmtId="0" fontId="63" fillId="2" borderId="1" xfId="3" applyFont="1" applyFill="1" applyBorder="1" applyAlignment="1">
      <alignment horizontal="left"/>
    </xf>
    <xf numFmtId="0" fontId="69" fillId="2" borderId="1" xfId="0" applyFont="1" applyFill="1" applyBorder="1"/>
    <xf numFmtId="0" fontId="71" fillId="2" borderId="1" xfId="0" applyFont="1" applyFill="1" applyBorder="1"/>
    <xf numFmtId="0" fontId="64" fillId="2" borderId="1" xfId="4" applyFont="1" applyFill="1" applyBorder="1" applyAlignment="1">
      <alignment vertical="center"/>
    </xf>
    <xf numFmtId="0" fontId="63" fillId="2" borderId="1" xfId="4" applyFont="1" applyFill="1" applyBorder="1" applyAlignment="1">
      <alignment vertical="center"/>
    </xf>
    <xf numFmtId="0" fontId="69" fillId="2" borderId="0" xfId="0" applyFont="1" applyFill="1"/>
    <xf numFmtId="0" fontId="71" fillId="2" borderId="0" xfId="0" applyFont="1" applyFill="1"/>
    <xf numFmtId="0" fontId="75" fillId="2" borderId="0" xfId="0" applyFont="1" applyFill="1"/>
    <xf numFmtId="0" fontId="70" fillId="2" borderId="0" xfId="0" applyFont="1" applyFill="1"/>
    <xf numFmtId="1" fontId="75" fillId="2" borderId="0" xfId="0" applyNumberFormat="1" applyFont="1" applyFill="1"/>
    <xf numFmtId="0" fontId="70" fillId="2" borderId="1" xfId="0" applyFont="1" applyFill="1" applyBorder="1" applyAlignment="1">
      <alignment horizontal="center"/>
    </xf>
    <xf numFmtId="0" fontId="62" fillId="0" borderId="25" xfId="0" applyFont="1" applyFill="1" applyBorder="1" applyAlignment="1">
      <alignment horizontal="center"/>
    </xf>
    <xf numFmtId="1" fontId="51" fillId="0" borderId="0" xfId="0" applyNumberFormat="1" applyFont="1" applyBorder="1"/>
    <xf numFmtId="0" fontId="95" fillId="0" borderId="0" xfId="0" applyFont="1"/>
    <xf numFmtId="166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center"/>
    </xf>
    <xf numFmtId="9" fontId="96" fillId="9" borderId="1" xfId="4" applyNumberFormat="1" applyFont="1" applyFill="1" applyBorder="1"/>
    <xf numFmtId="0" fontId="96" fillId="9" borderId="1" xfId="3" applyFont="1" applyFill="1" applyBorder="1" applyAlignment="1">
      <alignment horizontal="center" vertical="center"/>
    </xf>
    <xf numFmtId="1" fontId="96" fillId="9" borderId="15" xfId="3" applyNumberFormat="1" applyFont="1" applyFill="1" applyBorder="1" applyAlignment="1">
      <alignment horizontal="center" vertical="center"/>
    </xf>
    <xf numFmtId="9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left"/>
    </xf>
    <xf numFmtId="0" fontId="96" fillId="9" borderId="1" xfId="3" applyFont="1" applyFill="1" applyBorder="1" applyAlignment="1"/>
    <xf numFmtId="10" fontId="96" fillId="9" borderId="1" xfId="3" applyNumberFormat="1" applyFont="1" applyFill="1" applyBorder="1" applyAlignment="1">
      <alignment horizontal="center"/>
    </xf>
    <xf numFmtId="1" fontId="96" fillId="9" borderId="1" xfId="3" applyNumberFormat="1" applyFont="1" applyFill="1" applyBorder="1" applyAlignment="1">
      <alignment horizontal="center"/>
    </xf>
    <xf numFmtId="1" fontId="96" fillId="9" borderId="15" xfId="3" applyNumberFormat="1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0" borderId="0" xfId="0" applyFont="1" applyBorder="1"/>
    <xf numFmtId="0" fontId="96" fillId="9" borderId="21" xfId="3" applyFont="1" applyFill="1" applyBorder="1"/>
    <xf numFmtId="9" fontId="96" fillId="9" borderId="1" xfId="3" applyNumberFormat="1" applyFont="1" applyFill="1" applyBorder="1" applyAlignment="1">
      <alignment horizontal="left"/>
    </xf>
    <xf numFmtId="2" fontId="96" fillId="9" borderId="1" xfId="3" applyNumberFormat="1" applyFont="1" applyFill="1" applyBorder="1" applyAlignment="1">
      <alignment horizontal="center"/>
    </xf>
    <xf numFmtId="9" fontId="96" fillId="9" borderId="1" xfId="3" applyNumberFormat="1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0" fontId="96" fillId="8" borderId="21" xfId="3" applyFont="1" applyFill="1" applyBorder="1" applyAlignment="1">
      <alignment horizontal="center" vertical="center"/>
    </xf>
    <xf numFmtId="0" fontId="96" fillId="8" borderId="1" xfId="3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 vertical="center"/>
    </xf>
    <xf numFmtId="164" fontId="96" fillId="8" borderId="1" xfId="3" applyNumberFormat="1" applyFont="1" applyFill="1" applyBorder="1" applyAlignment="1">
      <alignment horizontal="center" wrapText="1" shrinkToFit="1"/>
    </xf>
    <xf numFmtId="2" fontId="96" fillId="8" borderId="1" xfId="3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 vertical="center"/>
    </xf>
    <xf numFmtId="164" fontId="96" fillId="8" borderId="15" xfId="3" applyNumberFormat="1" applyFont="1" applyFill="1" applyBorder="1" applyAlignment="1">
      <alignment horizontal="center" wrapText="1" shrinkToFit="1"/>
    </xf>
    <xf numFmtId="164" fontId="98" fillId="2" borderId="0" xfId="3" applyNumberFormat="1" applyFont="1" applyFill="1" applyBorder="1" applyAlignment="1">
      <alignment horizontal="center" vertical="center" wrapText="1" shrinkToFit="1"/>
    </xf>
    <xf numFmtId="0" fontId="96" fillId="15" borderId="1" xfId="3" applyFont="1" applyFill="1" applyBorder="1" applyAlignment="1">
      <alignment horizontal="center" vertical="center"/>
    </xf>
    <xf numFmtId="0" fontId="96" fillId="15" borderId="1" xfId="3" applyFont="1" applyFill="1" applyBorder="1" applyAlignment="1">
      <alignment horizontal="center"/>
    </xf>
    <xf numFmtId="0" fontId="96" fillId="15" borderId="15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 vertical="center"/>
    </xf>
    <xf numFmtId="0" fontId="96" fillId="8" borderId="2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1" fontId="96" fillId="2" borderId="1" xfId="5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/>
    </xf>
    <xf numFmtId="0" fontId="96" fillId="2" borderId="1" xfId="3" applyNumberFormat="1" applyFont="1" applyFill="1" applyBorder="1" applyAlignment="1">
      <alignment horizontal="center"/>
    </xf>
    <xf numFmtId="1" fontId="96" fillId="8" borderId="15" xfId="5" applyNumberFormat="1" applyFont="1" applyFill="1" applyBorder="1" applyAlignment="1" applyProtection="1">
      <alignment horizontal="center"/>
    </xf>
    <xf numFmtId="2" fontId="100" fillId="8" borderId="11" xfId="3" applyNumberFormat="1" applyFont="1" applyFill="1" applyBorder="1" applyAlignment="1">
      <alignment horizontal="center"/>
    </xf>
    <xf numFmtId="1" fontId="95" fillId="0" borderId="0" xfId="0" applyNumberFormat="1" applyFont="1"/>
    <xf numFmtId="0" fontId="96" fillId="8" borderId="28" xfId="3" applyFont="1" applyFill="1" applyBorder="1" applyAlignment="1">
      <alignment horizontal="left" vertical="center"/>
    </xf>
    <xf numFmtId="0" fontId="96" fillId="8" borderId="5" xfId="3" applyFont="1" applyFill="1" applyBorder="1" applyAlignment="1">
      <alignment horizontal="left" vertical="center"/>
    </xf>
    <xf numFmtId="0" fontId="96" fillId="8" borderId="13" xfId="3" applyFont="1" applyFill="1" applyBorder="1" applyAlignment="1">
      <alignment horizontal="left" vertical="center"/>
    </xf>
    <xf numFmtId="0" fontId="96" fillId="8" borderId="8" xfId="3" applyFont="1" applyFill="1" applyBorder="1" applyAlignment="1">
      <alignment horizontal="center"/>
    </xf>
    <xf numFmtId="2" fontId="96" fillId="8" borderId="8" xfId="3" applyNumberFormat="1" applyFont="1" applyFill="1" applyBorder="1" applyAlignment="1">
      <alignment horizontal="center"/>
    </xf>
    <xf numFmtId="1" fontId="96" fillId="2" borderId="7" xfId="5" applyNumberFormat="1" applyFont="1" applyFill="1" applyBorder="1" applyAlignment="1">
      <alignment horizontal="center" vertical="center"/>
    </xf>
    <xf numFmtId="1" fontId="96" fillId="2" borderId="8" xfId="3" applyNumberFormat="1" applyFont="1" applyFill="1" applyBorder="1" applyAlignment="1">
      <alignment horizontal="center"/>
    </xf>
    <xf numFmtId="2" fontId="100" fillId="8" borderId="1" xfId="3" applyNumberFormat="1" applyFont="1" applyFill="1" applyBorder="1" applyAlignment="1">
      <alignment horizontal="center"/>
    </xf>
    <xf numFmtId="2" fontId="95" fillId="0" borderId="0" xfId="0" applyNumberFormat="1" applyFont="1"/>
    <xf numFmtId="167" fontId="96" fillId="8" borderId="21" xfId="3" applyNumberFormat="1" applyFont="1" applyFill="1" applyBorder="1" applyAlignment="1">
      <alignment vertical="center"/>
    </xf>
    <xf numFmtId="167" fontId="96" fillId="8" borderId="1" xfId="3" applyNumberFormat="1" applyFont="1" applyFill="1" applyBorder="1" applyAlignment="1">
      <alignment vertical="center"/>
    </xf>
    <xf numFmtId="0" fontId="96" fillId="0" borderId="1" xfId="4" applyFont="1" applyBorder="1" applyAlignment="1">
      <alignment horizontal="center"/>
    </xf>
    <xf numFmtId="1" fontId="96" fillId="12" borderId="1" xfId="3" applyNumberFormat="1" applyFont="1" applyFill="1" applyBorder="1" applyAlignment="1">
      <alignment horizontal="center"/>
    </xf>
    <xf numFmtId="1" fontId="98" fillId="2" borderId="0" xfId="5" applyNumberFormat="1" applyFont="1" applyFill="1" applyBorder="1" applyAlignment="1" applyProtection="1">
      <alignment horizontal="center"/>
    </xf>
    <xf numFmtId="2" fontId="96" fillId="8" borderId="1" xfId="3" applyNumberFormat="1" applyFont="1" applyFill="1" applyBorder="1" applyAlignment="1">
      <alignment horizontal="right"/>
    </xf>
    <xf numFmtId="0" fontId="96" fillId="16" borderId="21" xfId="3" applyFont="1" applyFill="1" applyBorder="1" applyAlignment="1">
      <alignment horizontal="center"/>
    </xf>
    <xf numFmtId="0" fontId="96" fillId="16" borderId="1" xfId="3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/>
    </xf>
    <xf numFmtId="0" fontId="96" fillId="8" borderId="21" xfId="3" applyFont="1" applyFill="1" applyBorder="1" applyAlignment="1">
      <alignment horizontal="left"/>
    </xf>
    <xf numFmtId="0" fontId="96" fillId="8" borderId="1" xfId="3" applyFont="1" applyFill="1" applyBorder="1" applyAlignment="1">
      <alignment horizontal="left"/>
    </xf>
    <xf numFmtId="0" fontId="102" fillId="0" borderId="1" xfId="4" applyFont="1" applyBorder="1" applyAlignment="1">
      <alignment horizontal="center"/>
    </xf>
    <xf numFmtId="0" fontId="96" fillId="2" borderId="2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center"/>
    </xf>
    <xf numFmtId="0" fontId="96" fillId="2" borderId="1" xfId="4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2" fontId="96" fillId="12" borderId="1" xfId="3" applyNumberFormat="1" applyFont="1" applyFill="1" applyBorder="1" applyAlignment="1">
      <alignment horizontal="center"/>
    </xf>
    <xf numFmtId="1" fontId="96" fillId="2" borderId="15" xfId="5" applyNumberFormat="1" applyFont="1" applyFill="1" applyBorder="1" applyAlignment="1" applyProtection="1">
      <alignment horizontal="center"/>
    </xf>
    <xf numFmtId="1" fontId="101" fillId="15" borderId="1" xfId="3" applyNumberFormat="1" applyFont="1" applyFill="1" applyBorder="1" applyAlignment="1">
      <alignment horizontal="center"/>
    </xf>
    <xf numFmtId="0" fontId="96" fillId="0" borderId="1" xfId="4" applyFont="1" applyBorder="1"/>
    <xf numFmtId="0" fontId="103" fillId="8" borderId="1" xfId="3" applyFont="1" applyFill="1" applyBorder="1" applyAlignment="1">
      <alignment horizontal="center"/>
    </xf>
    <xf numFmtId="164" fontId="103" fillId="8" borderId="1" xfId="5" applyNumberFormat="1" applyFont="1" applyFill="1" applyBorder="1" applyAlignment="1">
      <alignment horizontal="center" vertical="center"/>
    </xf>
    <xf numFmtId="1" fontId="96" fillId="12" borderId="1" xfId="5" applyNumberFormat="1" applyFont="1" applyFill="1" applyBorder="1" applyAlignment="1" applyProtection="1">
      <alignment horizontal="center"/>
    </xf>
    <xf numFmtId="0" fontId="96" fillId="16" borderId="21" xfId="3" applyFont="1" applyFill="1" applyBorder="1" applyAlignment="1">
      <alignment horizontal="center" vertical="center"/>
    </xf>
    <xf numFmtId="0" fontId="96" fillId="16" borderId="1" xfId="3" applyFont="1" applyFill="1" applyBorder="1" applyAlignment="1">
      <alignment horizontal="center" vertical="center"/>
    </xf>
    <xf numFmtId="0" fontId="103" fillId="2" borderId="1" xfId="4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 vertical="center"/>
    </xf>
    <xf numFmtId="1" fontId="96" fillId="15" borderId="1" xfId="3" applyNumberFormat="1" applyFont="1" applyFill="1" applyBorder="1" applyAlignment="1">
      <alignment horizontal="center" vertical="center"/>
    </xf>
    <xf numFmtId="0" fontId="104" fillId="15" borderId="1" xfId="3" applyFont="1" applyFill="1" applyBorder="1" applyAlignment="1">
      <alignment horizontal="center" vertical="center"/>
    </xf>
    <xf numFmtId="1" fontId="96" fillId="15" borderId="15" xfId="3" applyNumberFormat="1" applyFont="1" applyFill="1" applyBorder="1" applyAlignment="1">
      <alignment horizontal="center" vertical="center"/>
    </xf>
    <xf numFmtId="0" fontId="105" fillId="0" borderId="0" xfId="0" applyFont="1" applyBorder="1"/>
    <xf numFmtId="0" fontId="105" fillId="0" borderId="0" xfId="0" applyFont="1"/>
    <xf numFmtId="0" fontId="106" fillId="2" borderId="16" xfId="3" applyFont="1" applyFill="1" applyBorder="1" applyAlignment="1">
      <alignment horizontal="center"/>
    </xf>
    <xf numFmtId="0" fontId="106" fillId="2" borderId="3" xfId="3" applyFont="1" applyFill="1" applyBorder="1" applyAlignment="1">
      <alignment horizontal="center"/>
    </xf>
    <xf numFmtId="0" fontId="106" fillId="2" borderId="4" xfId="3" applyFont="1" applyFill="1" applyBorder="1" applyAlignment="1">
      <alignment horizontal="center"/>
    </xf>
    <xf numFmtId="44" fontId="106" fillId="8" borderId="1" xfId="8" applyFont="1" applyFill="1" applyBorder="1" applyAlignment="1">
      <alignment horizontal="center"/>
    </xf>
    <xf numFmtId="2" fontId="106" fillId="8" borderId="1" xfId="3" applyNumberFormat="1" applyFont="1" applyFill="1" applyBorder="1" applyAlignment="1">
      <alignment horizontal="center"/>
    </xf>
    <xf numFmtId="164" fontId="101" fillId="8" borderId="1" xfId="3" applyNumberFormat="1" applyFont="1" applyFill="1" applyBorder="1" applyAlignment="1">
      <alignment horizontal="center"/>
    </xf>
    <xf numFmtId="1" fontId="104" fillId="8" borderId="1" xfId="3" applyNumberFormat="1" applyFont="1" applyFill="1" applyBorder="1" applyAlignment="1">
      <alignment horizontal="center"/>
    </xf>
    <xf numFmtId="0" fontId="106" fillId="8" borderId="1" xfId="3" applyFont="1" applyFill="1" applyBorder="1" applyAlignment="1">
      <alignment horizontal="center"/>
    </xf>
    <xf numFmtId="1" fontId="106" fillId="8" borderId="1" xfId="5" applyNumberFormat="1" applyFont="1" applyFill="1" applyBorder="1" applyAlignment="1">
      <alignment horizontal="center" vertical="center"/>
    </xf>
    <xf numFmtId="2" fontId="96" fillId="8" borderId="1" xfId="9" applyNumberFormat="1" applyFont="1" applyFill="1" applyBorder="1" applyAlignment="1">
      <alignment horizontal="center"/>
    </xf>
    <xf numFmtId="168" fontId="101" fillId="8" borderId="1" xfId="5" applyNumberFormat="1" applyFont="1" applyFill="1" applyBorder="1" applyAlignment="1" applyProtection="1">
      <alignment horizontal="center" vertical="center"/>
    </xf>
    <xf numFmtId="164" fontId="104" fillId="8" borderId="1" xfId="5" applyNumberFormat="1" applyFont="1" applyFill="1" applyBorder="1" applyAlignment="1" applyProtection="1">
      <alignment horizontal="center"/>
    </xf>
    <xf numFmtId="2" fontId="104" fillId="8" borderId="1" xfId="3" applyNumberFormat="1" applyFont="1" applyFill="1" applyBorder="1" applyAlignment="1">
      <alignment horizontal="right"/>
    </xf>
    <xf numFmtId="0" fontId="106" fillId="16" borderId="16" xfId="3" applyFont="1" applyFill="1" applyBorder="1" applyAlignment="1">
      <alignment horizontal="center"/>
    </xf>
    <xf numFmtId="0" fontId="106" fillId="16" borderId="3" xfId="3" applyFont="1" applyFill="1" applyBorder="1" applyAlignment="1">
      <alignment horizontal="center"/>
    </xf>
    <xf numFmtId="0" fontId="106" fillId="16" borderId="4" xfId="3" applyFont="1" applyFill="1" applyBorder="1" applyAlignment="1">
      <alignment horizontal="center"/>
    </xf>
    <xf numFmtId="0" fontId="103" fillId="2" borderId="1" xfId="3" applyFont="1" applyFill="1" applyBorder="1" applyAlignment="1">
      <alignment horizontal="center"/>
    </xf>
    <xf numFmtId="169" fontId="103" fillId="8" borderId="1" xfId="5" applyNumberFormat="1" applyFont="1" applyFill="1" applyBorder="1" applyAlignment="1" applyProtection="1">
      <alignment horizontal="center" vertical="center"/>
    </xf>
    <xf numFmtId="1" fontId="103" fillId="2" borderId="1" xfId="3" applyNumberFormat="1" applyFont="1" applyFill="1" applyBorder="1" applyAlignment="1">
      <alignment horizontal="center" vertical="top"/>
    </xf>
    <xf numFmtId="0" fontId="96" fillId="15" borderId="21" xfId="3" applyFont="1" applyFill="1" applyBorder="1" applyAlignment="1">
      <alignment horizontal="left"/>
    </xf>
    <xf numFmtId="0" fontId="96" fillId="15" borderId="1" xfId="3" applyFont="1" applyFill="1" applyBorder="1" applyAlignment="1">
      <alignment horizontal="left"/>
    </xf>
    <xf numFmtId="0" fontId="96" fillId="0" borderId="1" xfId="4" applyFont="1" applyBorder="1" applyAlignment="1">
      <alignment horizontal="center" vertical="center"/>
    </xf>
    <xf numFmtId="2" fontId="96" fillId="8" borderId="21" xfId="3" applyNumberFormat="1" applyFont="1" applyFill="1" applyBorder="1" applyAlignment="1">
      <alignment horizontal="left" vertical="center"/>
    </xf>
    <xf numFmtId="2" fontId="96" fillId="8" borderId="1" xfId="3" applyNumberFormat="1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justify"/>
    </xf>
    <xf numFmtId="0" fontId="96" fillId="15" borderId="21" xfId="3" applyFont="1" applyFill="1" applyBorder="1" applyAlignment="1"/>
    <xf numFmtId="0" fontId="96" fillId="15" borderId="1" xfId="3" applyFont="1" applyFill="1" applyBorder="1" applyAlignment="1"/>
    <xf numFmtId="0" fontId="96" fillId="15" borderId="1" xfId="3" applyFont="1" applyFill="1" applyBorder="1" applyAlignment="1">
      <alignment vertical="center"/>
    </xf>
    <xf numFmtId="0" fontId="96" fillId="15" borderId="15" xfId="3" applyFont="1" applyFill="1" applyBorder="1" applyAlignment="1"/>
    <xf numFmtId="0" fontId="96" fillId="0" borderId="21" xfId="4" applyFont="1" applyBorder="1" applyAlignment="1">
      <alignment vertical="center"/>
    </xf>
    <xf numFmtId="0" fontId="96" fillId="0" borderId="1" xfId="4" applyFont="1" applyBorder="1" applyAlignment="1">
      <alignment vertical="center"/>
    </xf>
    <xf numFmtId="1" fontId="96" fillId="2" borderId="1" xfId="3" applyNumberFormat="1" applyFont="1" applyFill="1" applyBorder="1" applyAlignment="1">
      <alignment horizontal="center" vertical="center"/>
    </xf>
    <xf numFmtId="164" fontId="96" fillId="2" borderId="1" xfId="5" applyNumberFormat="1" applyFont="1" applyFill="1" applyBorder="1" applyAlignment="1" applyProtection="1">
      <alignment horizontal="center" vertical="center"/>
    </xf>
    <xf numFmtId="164" fontId="96" fillId="8" borderId="1" xfId="5" applyNumberFormat="1" applyFont="1" applyFill="1" applyBorder="1" applyAlignment="1" applyProtection="1">
      <alignment horizontal="center" vertical="top"/>
    </xf>
    <xf numFmtId="2" fontId="98" fillId="2" borderId="0" xfId="5" applyNumberFormat="1" applyFont="1" applyFill="1" applyBorder="1" applyAlignment="1" applyProtection="1">
      <alignment horizontal="center"/>
    </xf>
    <xf numFmtId="165" fontId="98" fillId="2" borderId="0" xfId="6" applyNumberFormat="1" applyFont="1" applyFill="1" applyBorder="1" applyAlignment="1">
      <alignment horizontal="center"/>
    </xf>
    <xf numFmtId="0" fontId="96" fillId="2" borderId="1" xfId="4" applyFont="1" applyFill="1" applyBorder="1" applyAlignment="1">
      <alignment horizontal="left"/>
    </xf>
    <xf numFmtId="0" fontId="96" fillId="2" borderId="1" xfId="4" applyFont="1" applyFill="1" applyBorder="1" applyAlignment="1"/>
    <xf numFmtId="0" fontId="96" fillId="2" borderId="15" xfId="4" applyFont="1" applyFill="1" applyBorder="1" applyAlignment="1"/>
    <xf numFmtId="0" fontId="102" fillId="2" borderId="1" xfId="4" applyFont="1" applyFill="1" applyBorder="1" applyAlignment="1">
      <alignment horizontal="center" wrapText="1"/>
    </xf>
    <xf numFmtId="0" fontId="102" fillId="0" borderId="1" xfId="4" applyFont="1" applyFill="1" applyBorder="1" applyAlignment="1">
      <alignment horizontal="center" wrapText="1"/>
    </xf>
    <xf numFmtId="0" fontId="102" fillId="0" borderId="1" xfId="4" applyFont="1" applyBorder="1" applyAlignment="1">
      <alignment horizontal="center" wrapText="1"/>
    </xf>
    <xf numFmtId="0" fontId="96" fillId="0" borderId="21" xfId="4" applyFont="1" applyBorder="1" applyAlignment="1">
      <alignment horizontal="left"/>
    </xf>
    <xf numFmtId="0" fontId="102" fillId="2" borderId="1" xfId="4" applyFont="1" applyFill="1" applyBorder="1" applyAlignment="1">
      <alignment horizontal="center"/>
    </xf>
    <xf numFmtId="0" fontId="96" fillId="2" borderId="1" xfId="3" applyFont="1" applyFill="1" applyBorder="1" applyAlignment="1">
      <alignment horizontal="center" vertical="center"/>
    </xf>
    <xf numFmtId="0" fontId="102" fillId="0" borderId="21" xfId="4" applyFont="1" applyBorder="1" applyAlignment="1">
      <alignment horizontal="left"/>
    </xf>
    <xf numFmtId="0" fontId="102" fillId="0" borderId="1" xfId="4" applyFont="1" applyBorder="1" applyAlignment="1">
      <alignment horizontal="left"/>
    </xf>
    <xf numFmtId="0" fontId="96" fillId="0" borderId="1" xfId="3" applyFont="1" applyFill="1" applyBorder="1" applyAlignment="1">
      <alignment horizontal="center"/>
    </xf>
    <xf numFmtId="164" fontId="98" fillId="2" borderId="0" xfId="5" applyNumberFormat="1" applyFont="1" applyFill="1" applyBorder="1" applyAlignment="1" applyProtection="1">
      <alignment horizontal="center"/>
    </xf>
    <xf numFmtId="0" fontId="104" fillId="16" borderId="21" xfId="4" applyFont="1" applyFill="1" applyBorder="1"/>
    <xf numFmtId="0" fontId="104" fillId="16" borderId="1" xfId="0" applyFont="1" applyFill="1" applyBorder="1"/>
    <xf numFmtId="0" fontId="100" fillId="0" borderId="0" xfId="0" applyFont="1" applyBorder="1"/>
    <xf numFmtId="0" fontId="100" fillId="0" borderId="0" xfId="0" applyFont="1"/>
    <xf numFmtId="0" fontId="104" fillId="0" borderId="21" xfId="4" applyFont="1" applyFill="1" applyBorder="1"/>
    <xf numFmtId="0" fontId="104" fillId="0" borderId="1" xfId="0" applyFont="1" applyFill="1" applyBorder="1"/>
    <xf numFmtId="0" fontId="96" fillId="0" borderId="1" xfId="4" applyFont="1" applyFill="1" applyBorder="1"/>
    <xf numFmtId="0" fontId="101" fillId="0" borderId="1" xfId="3" applyFont="1" applyFill="1" applyBorder="1" applyAlignment="1">
      <alignment horizontal="center"/>
    </xf>
    <xf numFmtId="1" fontId="96" fillId="0" borderId="1" xfId="3" applyNumberFormat="1" applyFont="1" applyFill="1" applyBorder="1" applyAlignment="1">
      <alignment horizontal="center"/>
    </xf>
    <xf numFmtId="1" fontId="96" fillId="0" borderId="1" xfId="5" applyNumberFormat="1" applyFont="1" applyFill="1" applyBorder="1" applyAlignment="1">
      <alignment horizontal="center" vertical="center"/>
    </xf>
    <xf numFmtId="1" fontId="96" fillId="0" borderId="15" xfId="5" applyNumberFormat="1" applyFont="1" applyFill="1" applyBorder="1" applyAlignment="1" applyProtection="1">
      <alignment horizontal="center"/>
    </xf>
    <xf numFmtId="164" fontId="98" fillId="0" borderId="0" xfId="5" applyNumberFormat="1" applyFont="1" applyFill="1" applyBorder="1" applyAlignment="1" applyProtection="1">
      <alignment horizontal="center"/>
    </xf>
    <xf numFmtId="0" fontId="100" fillId="0" borderId="0" xfId="0" applyFont="1" applyFill="1" applyBorder="1"/>
    <xf numFmtId="0" fontId="100" fillId="0" borderId="0" xfId="0" applyFont="1" applyFill="1"/>
    <xf numFmtId="0" fontId="96" fillId="15" borderId="21" xfId="3" applyFont="1" applyFill="1" applyBorder="1" applyAlignment="1">
      <alignment horizontal="center"/>
    </xf>
    <xf numFmtId="164" fontId="98" fillId="2" borderId="0" xfId="3" applyNumberFormat="1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43" fontId="96" fillId="8" borderId="1" xfId="7" applyFont="1" applyFill="1" applyBorder="1" applyAlignment="1">
      <alignment horizontal="right" wrapText="1"/>
    </xf>
    <xf numFmtId="0" fontId="96" fillId="10" borderId="33" xfId="3" applyFont="1" applyFill="1" applyBorder="1" applyAlignment="1">
      <alignment horizontal="center" vertical="center"/>
    </xf>
    <xf numFmtId="0" fontId="96" fillId="10" borderId="0" xfId="3" applyFont="1" applyFill="1" applyBorder="1" applyAlignment="1">
      <alignment horizontal="center" vertical="center"/>
    </xf>
    <xf numFmtId="0" fontId="96" fillId="10" borderId="32" xfId="3" applyFont="1" applyFill="1" applyBorder="1" applyAlignment="1">
      <alignment horizontal="center" vertical="center"/>
    </xf>
    <xf numFmtId="2" fontId="96" fillId="10" borderId="25" xfId="3" applyNumberFormat="1" applyFont="1" applyFill="1" applyBorder="1" applyAlignment="1">
      <alignment horizontal="center" vertical="center"/>
    </xf>
    <xf numFmtId="0" fontId="102" fillId="10" borderId="25" xfId="4" applyFont="1" applyFill="1" applyBorder="1" applyAlignment="1">
      <alignment horizontal="center" vertical="center"/>
    </xf>
    <xf numFmtId="1" fontId="96" fillId="10" borderId="25" xfId="5" applyNumberFormat="1" applyFont="1" applyFill="1" applyBorder="1" applyAlignment="1">
      <alignment horizontal="center" vertical="center"/>
    </xf>
    <xf numFmtId="1" fontId="96" fillId="10" borderId="25" xfId="3" applyNumberFormat="1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  <xf numFmtId="1" fontId="96" fillId="10" borderId="31" xfId="5" applyNumberFormat="1" applyFont="1" applyFill="1" applyBorder="1" applyAlignment="1" applyProtection="1">
      <alignment horizontal="center" vertical="center"/>
    </xf>
    <xf numFmtId="0" fontId="101" fillId="0" borderId="0" xfId="0" applyFont="1" applyBorder="1"/>
    <xf numFmtId="0" fontId="101" fillId="0" borderId="4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1" fillId="0" borderId="15" xfId="0" applyNumberFormat="1" applyFont="1" applyBorder="1" applyAlignment="1">
      <alignment horizontal="center"/>
    </xf>
    <xf numFmtId="0" fontId="101" fillId="0" borderId="1" xfId="0" applyFont="1" applyBorder="1" applyAlignment="1">
      <alignment horizontal="left"/>
    </xf>
    <xf numFmtId="0" fontId="101" fillId="0" borderId="1" xfId="0" applyFont="1" applyFill="1" applyBorder="1" applyAlignment="1">
      <alignment horizontal="center"/>
    </xf>
    <xf numFmtId="0" fontId="92" fillId="0" borderId="1" xfId="0" applyFont="1" applyFill="1" applyBorder="1" applyAlignment="1">
      <alignment horizontal="left"/>
    </xf>
    <xf numFmtId="0" fontId="92" fillId="0" borderId="4" xfId="0" applyFont="1" applyFill="1" applyBorder="1"/>
    <xf numFmtId="0" fontId="105" fillId="0" borderId="0" xfId="0" applyFont="1" applyFill="1"/>
    <xf numFmtId="0" fontId="101" fillId="0" borderId="1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center"/>
    </xf>
    <xf numFmtId="0" fontId="101" fillId="0" borderId="1" xfId="0" applyFont="1" applyFill="1" applyBorder="1"/>
    <xf numFmtId="1" fontId="101" fillId="0" borderId="1" xfId="0" applyNumberFormat="1" applyFont="1" applyFill="1" applyBorder="1" applyAlignment="1">
      <alignment horizontal="center"/>
    </xf>
    <xf numFmtId="1" fontId="101" fillId="0" borderId="15" xfId="0" applyNumberFormat="1" applyFont="1" applyFill="1" applyBorder="1" applyAlignment="1">
      <alignment horizontal="center"/>
    </xf>
    <xf numFmtId="1" fontId="101" fillId="0" borderId="0" xfId="0" applyNumberFormat="1" applyFont="1" applyBorder="1" applyAlignment="1">
      <alignment horizontal="center"/>
    </xf>
    <xf numFmtId="1" fontId="101" fillId="0" borderId="35" xfId="0" applyNumberFormat="1" applyFont="1" applyBorder="1"/>
    <xf numFmtId="0" fontId="101" fillId="15" borderId="15" xfId="3" applyFont="1" applyFill="1" applyBorder="1" applyAlignment="1">
      <alignment horizontal="center"/>
    </xf>
    <xf numFmtId="0" fontId="96" fillId="12" borderId="1" xfId="4" applyFont="1" applyFill="1" applyBorder="1" applyAlignment="1">
      <alignment horizontal="center"/>
    </xf>
    <xf numFmtId="0" fontId="96" fillId="0" borderId="21" xfId="4" applyFont="1" applyBorder="1"/>
    <xf numFmtId="0" fontId="96" fillId="15" borderId="21" xfId="3" applyFont="1" applyFill="1" applyBorder="1" applyAlignment="1">
      <alignment horizontal="center" vertical="center"/>
    </xf>
    <xf numFmtId="1" fontId="96" fillId="15" borderId="1" xfId="5" applyNumberFormat="1" applyFont="1" applyFill="1" applyBorder="1" applyAlignment="1">
      <alignment horizontal="center"/>
    </xf>
    <xf numFmtId="1" fontId="96" fillId="15" borderId="15" xfId="5" applyNumberFormat="1" applyFont="1" applyFill="1" applyBorder="1" applyAlignment="1">
      <alignment horizontal="center"/>
    </xf>
    <xf numFmtId="0" fontId="102" fillId="0" borderId="1" xfId="4" applyFont="1" applyFill="1" applyBorder="1" applyAlignment="1">
      <alignment horizontal="center"/>
    </xf>
    <xf numFmtId="0" fontId="101" fillId="0" borderId="1" xfId="0" applyFont="1" applyBorder="1"/>
    <xf numFmtId="9" fontId="96" fillId="8" borderId="1" xfId="6" applyNumberFormat="1" applyFont="1" applyFill="1" applyBorder="1" applyAlignment="1">
      <alignment horizontal="center"/>
    </xf>
    <xf numFmtId="165" fontId="96" fillId="0" borderId="1" xfId="6" applyNumberFormat="1" applyFont="1" applyFill="1" applyBorder="1" applyAlignment="1"/>
    <xf numFmtId="1" fontId="96" fillId="8" borderId="1" xfId="5" applyNumberFormat="1" applyFont="1" applyFill="1" applyBorder="1" applyAlignment="1">
      <alignment horizontal="right"/>
    </xf>
    <xf numFmtId="0" fontId="108" fillId="0" borderId="0" xfId="4" applyFont="1"/>
    <xf numFmtId="0" fontId="96" fillId="8" borderId="7" xfId="3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center"/>
    </xf>
    <xf numFmtId="9" fontId="96" fillId="8" borderId="7" xfId="6" applyNumberFormat="1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right"/>
    </xf>
    <xf numFmtId="1" fontId="96" fillId="8" borderId="23" xfId="5" applyNumberFormat="1" applyFont="1" applyFill="1" applyBorder="1" applyAlignment="1" applyProtection="1">
      <alignment horizontal="center"/>
    </xf>
    <xf numFmtId="0" fontId="92" fillId="0" borderId="0" xfId="0" applyFont="1"/>
    <xf numFmtId="1" fontId="92" fillId="0" borderId="0" xfId="0" applyNumberFormat="1" applyFont="1" applyAlignment="1">
      <alignment horizontal="center"/>
    </xf>
    <xf numFmtId="1" fontId="92" fillId="0" borderId="0" xfId="0" applyNumberFormat="1" applyFont="1"/>
    <xf numFmtId="0" fontId="101" fillId="0" borderId="0" xfId="0" applyFont="1"/>
    <xf numFmtId="1" fontId="101" fillId="0" borderId="0" xfId="0" applyNumberFormat="1" applyFont="1" applyAlignment="1">
      <alignment horizontal="center"/>
    </xf>
    <xf numFmtId="1" fontId="101" fillId="0" borderId="0" xfId="0" applyNumberFormat="1" applyFont="1"/>
    <xf numFmtId="0" fontId="95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" fontId="100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12" borderId="1" xfId="5" applyNumberFormat="1" applyFont="1" applyFill="1" applyBorder="1" applyAlignment="1">
      <alignment horizontal="center" vertical="center"/>
    </xf>
    <xf numFmtId="174" fontId="100" fillId="0" borderId="0" xfId="0" applyNumberFormat="1" applyFont="1" applyFill="1" applyAlignment="1">
      <alignment horizontal="center" vertical="center"/>
    </xf>
    <xf numFmtId="171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9" fontId="96" fillId="9" borderId="1" xfId="4" applyNumberFormat="1" applyFont="1" applyFill="1" applyBorder="1" applyAlignment="1">
      <alignment horizontal="center"/>
    </xf>
    <xf numFmtId="164" fontId="77" fillId="12" borderId="1" xfId="5" applyNumberFormat="1" applyFont="1" applyFill="1" applyBorder="1" applyAlignment="1">
      <alignment horizontal="center" vertical="center"/>
    </xf>
    <xf numFmtId="2" fontId="75" fillId="8" borderId="0" xfId="3" applyNumberFormat="1" applyFont="1" applyFill="1" applyBorder="1" applyAlignment="1">
      <alignment horizontal="center"/>
    </xf>
    <xf numFmtId="2" fontId="51" fillId="0" borderId="0" xfId="0" applyNumberFormat="1" applyFont="1" applyBorder="1"/>
    <xf numFmtId="168" fontId="75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0" fillId="12" borderId="1" xfId="0" applyFont="1" applyFill="1" applyBorder="1"/>
    <xf numFmtId="1" fontId="84" fillId="0" borderId="0" xfId="0" applyNumberFormat="1" applyFont="1" applyBorder="1"/>
    <xf numFmtId="1" fontId="70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10" fillId="9" borderId="1" xfId="3" applyNumberFormat="1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 vertical="center"/>
    </xf>
    <xf numFmtId="164" fontId="77" fillId="2" borderId="1" xfId="5" applyNumberFormat="1" applyFont="1" applyFill="1" applyBorder="1" applyAlignment="1">
      <alignment horizontal="center" vertical="center"/>
    </xf>
    <xf numFmtId="1" fontId="86" fillId="2" borderId="1" xfId="5" applyNumberFormat="1" applyFont="1" applyFill="1" applyBorder="1" applyAlignment="1">
      <alignment horizontal="center" vertical="center"/>
    </xf>
    <xf numFmtId="0" fontId="111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11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12" fillId="0" borderId="1" xfId="0" applyNumberFormat="1" applyFont="1" applyFill="1" applyBorder="1" applyAlignment="1">
      <alignment horizontal="center" wrapText="1"/>
    </xf>
    <xf numFmtId="1" fontId="111" fillId="0" borderId="0" xfId="0" applyNumberFormat="1" applyFont="1"/>
    <xf numFmtId="1" fontId="111" fillId="0" borderId="0" xfId="0" applyNumberFormat="1" applyFont="1" applyFill="1"/>
    <xf numFmtId="0" fontId="75" fillId="2" borderId="1" xfId="0" applyFont="1" applyFill="1" applyBorder="1" applyAlignment="1">
      <alignment horizontal="center"/>
    </xf>
    <xf numFmtId="164" fontId="75" fillId="12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 wrapText="1"/>
    </xf>
    <xf numFmtId="1" fontId="86" fillId="2" borderId="1" xfId="3" applyNumberFormat="1" applyFont="1" applyFill="1" applyBorder="1" applyAlignment="1">
      <alignment horizontal="center"/>
    </xf>
    <xf numFmtId="1" fontId="86" fillId="2" borderId="15" xfId="5" applyNumberFormat="1" applyFont="1" applyFill="1" applyBorder="1" applyAlignment="1" applyProtection="1">
      <alignment horizontal="center"/>
    </xf>
    <xf numFmtId="169" fontId="77" fillId="8" borderId="1" xfId="5" applyNumberFormat="1" applyFont="1" applyFill="1" applyBorder="1" applyAlignment="1" applyProtection="1">
      <alignment vertical="center"/>
    </xf>
    <xf numFmtId="1" fontId="70" fillId="22" borderId="1" xfId="5" applyNumberFormat="1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vertical="center"/>
    </xf>
    <xf numFmtId="0" fontId="70" fillId="10" borderId="1" xfId="4" applyFont="1" applyFill="1" applyBorder="1" applyAlignment="1">
      <alignment horizontal="center"/>
    </xf>
    <xf numFmtId="1" fontId="70" fillId="10" borderId="1" xfId="5" applyNumberFormat="1" applyFont="1" applyFill="1" applyBorder="1" applyAlignment="1">
      <alignment horizontal="center" vertical="center"/>
    </xf>
    <xf numFmtId="1" fontId="70" fillId="17" borderId="1" xfId="5" applyNumberFormat="1" applyFont="1" applyFill="1" applyBorder="1" applyAlignment="1">
      <alignment horizontal="center" vertical="center"/>
    </xf>
    <xf numFmtId="0" fontId="76" fillId="10" borderId="1" xfId="4" applyFont="1" applyFill="1" applyBorder="1" applyAlignment="1">
      <alignment horizontal="center"/>
    </xf>
    <xf numFmtId="0" fontId="76" fillId="22" borderId="1" xfId="4" applyFont="1" applyFill="1" applyBorder="1" applyAlignment="1">
      <alignment horizontal="center"/>
    </xf>
    <xf numFmtId="0" fontId="70" fillId="22" borderId="1" xfId="4" applyFont="1" applyFill="1" applyBorder="1" applyAlignment="1">
      <alignment horizontal="center"/>
    </xf>
    <xf numFmtId="0" fontId="70" fillId="17" borderId="1" xfId="4" applyFont="1" applyFill="1" applyBorder="1" applyAlignment="1">
      <alignment horizontal="center"/>
    </xf>
    <xf numFmtId="0" fontId="63" fillId="2" borderId="1" xfId="3" applyFont="1" applyFill="1" applyBorder="1" applyAlignment="1">
      <alignment horizontal="left" vertical="justify"/>
    </xf>
    <xf numFmtId="0" fontId="70" fillId="12" borderId="1" xfId="3" applyNumberFormat="1" applyFont="1" applyFill="1" applyBorder="1" applyAlignment="1">
      <alignment horizontal="center"/>
    </xf>
    <xf numFmtId="1" fontId="93" fillId="2" borderId="1" xfId="0" applyNumberFormat="1" applyFont="1" applyFill="1" applyBorder="1" applyAlignment="1">
      <alignment horizontal="center" wrapText="1"/>
    </xf>
    <xf numFmtId="1" fontId="93" fillId="12" borderId="1" xfId="0" applyNumberFormat="1" applyFont="1" applyFill="1" applyBorder="1" applyAlignment="1">
      <alignment horizont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1" xfId="0" applyFont="1" applyFill="1" applyBorder="1"/>
    <xf numFmtId="0" fontId="64" fillId="0" borderId="21" xfId="3" applyFont="1" applyFill="1" applyBorder="1" applyAlignment="1">
      <alignment horizontal="left"/>
    </xf>
    <xf numFmtId="0" fontId="64" fillId="0" borderId="1" xfId="3" applyFont="1" applyFill="1" applyBorder="1" applyAlignment="1">
      <alignment horizontal="left"/>
    </xf>
    <xf numFmtId="2" fontId="70" fillId="0" borderId="1" xfId="3" applyNumberFormat="1" applyFont="1" applyFill="1" applyBorder="1" applyAlignment="1">
      <alignment horizontal="right"/>
    </xf>
    <xf numFmtId="1" fontId="113" fillId="0" borderId="0" xfId="0" applyNumberFormat="1" applyFont="1"/>
    <xf numFmtId="1" fontId="114" fillId="0" borderId="0" xfId="0" applyNumberFormat="1" applyFont="1"/>
    <xf numFmtId="49" fontId="101" fillId="0" borderId="0" xfId="0" applyNumberFormat="1" applyFont="1"/>
    <xf numFmtId="1" fontId="115" fillId="0" borderId="1" xfId="0" applyNumberFormat="1" applyFont="1" applyFill="1" applyBorder="1" applyAlignment="1">
      <alignment horizontal="center" wrapText="1"/>
    </xf>
    <xf numFmtId="170" fontId="100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11" fillId="15" borderId="0" xfId="0" applyFont="1" applyFill="1"/>
    <xf numFmtId="1" fontId="111" fillId="15" borderId="0" xfId="0" applyNumberFormat="1" applyFont="1" applyFill="1"/>
    <xf numFmtId="16" fontId="16" fillId="0" borderId="25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11" fillId="0" borderId="0" xfId="0" applyFont="1" applyBorder="1"/>
    <xf numFmtId="0" fontId="117" fillId="0" borderId="1" xfId="0" applyFont="1" applyBorder="1"/>
    <xf numFmtId="0" fontId="111" fillId="0" borderId="1" xfId="0" applyFont="1" applyBorder="1"/>
    <xf numFmtId="0" fontId="111" fillId="22" borderId="1" xfId="0" applyFont="1" applyFill="1" applyBorder="1"/>
    <xf numFmtId="0" fontId="116" fillId="0" borderId="1" xfId="0" applyFont="1" applyBorder="1"/>
    <xf numFmtId="1" fontId="118" fillId="21" borderId="1" xfId="3" applyNumberFormat="1" applyFont="1" applyFill="1" applyBorder="1" applyAlignment="1">
      <alignment horizontal="center"/>
    </xf>
    <xf numFmtId="0" fontId="118" fillId="21" borderId="1" xfId="3" applyNumberFormat="1" applyFont="1" applyFill="1" applyBorder="1" applyAlignment="1">
      <alignment horizontal="center"/>
    </xf>
    <xf numFmtId="1" fontId="118" fillId="21" borderId="15" xfId="5" applyNumberFormat="1" applyFont="1" applyFill="1" applyBorder="1" applyAlignment="1" applyProtection="1">
      <alignment horizontal="center"/>
    </xf>
    <xf numFmtId="2" fontId="118" fillId="21" borderId="1" xfId="3" applyNumberFormat="1" applyFont="1" applyFill="1" applyBorder="1" applyAlignment="1">
      <alignment horizontal="center"/>
    </xf>
    <xf numFmtId="1" fontId="118" fillId="8" borderId="1" xfId="3" applyNumberFormat="1" applyFont="1" applyFill="1" applyBorder="1" applyAlignment="1">
      <alignment horizontal="center"/>
    </xf>
    <xf numFmtId="2" fontId="118" fillId="2" borderId="1" xfId="3" applyNumberFormat="1" applyFont="1" applyFill="1" applyBorder="1" applyAlignment="1">
      <alignment horizontal="center"/>
    </xf>
    <xf numFmtId="1" fontId="118" fillId="8" borderId="15" xfId="5" applyNumberFormat="1" applyFont="1" applyFill="1" applyBorder="1" applyAlignment="1" applyProtection="1">
      <alignment horizontal="center"/>
    </xf>
    <xf numFmtId="0" fontId="118" fillId="15" borderId="1" xfId="3" applyFont="1" applyFill="1" applyBorder="1" applyAlignment="1">
      <alignment horizontal="center"/>
    </xf>
    <xf numFmtId="0" fontId="118" fillId="15" borderId="15" xfId="3" applyFont="1" applyFill="1" applyBorder="1" applyAlignment="1">
      <alignment horizontal="center"/>
    </xf>
    <xf numFmtId="0" fontId="118" fillId="2" borderId="1" xfId="3" applyNumberFormat="1" applyFont="1" applyFill="1" applyBorder="1" applyAlignment="1">
      <alignment horizontal="center"/>
    </xf>
    <xf numFmtId="0" fontId="118" fillId="8" borderId="1" xfId="3" applyFont="1" applyFill="1" applyBorder="1" applyAlignment="1">
      <alignment horizontal="center"/>
    </xf>
    <xf numFmtId="1" fontId="118" fillId="15" borderId="1" xfId="3" applyNumberFormat="1" applyFont="1" applyFill="1" applyBorder="1" applyAlignment="1">
      <alignment horizontal="center"/>
    </xf>
    <xf numFmtId="0" fontId="118" fillId="21" borderId="1" xfId="3" applyFont="1" applyFill="1" applyBorder="1" applyAlignment="1">
      <alignment horizontal="center"/>
    </xf>
    <xf numFmtId="1" fontId="118" fillId="21" borderId="1" xfId="4" applyNumberFormat="1" applyFont="1" applyFill="1" applyBorder="1" applyAlignment="1">
      <alignment horizontal="center"/>
    </xf>
    <xf numFmtId="0" fontId="119" fillId="0" borderId="0" xfId="2" applyFont="1" applyAlignment="1" applyProtection="1"/>
    <xf numFmtId="2" fontId="119" fillId="0" borderId="0" xfId="2" applyNumberFormat="1" applyFont="1" applyAlignment="1" applyProtection="1"/>
    <xf numFmtId="0" fontId="64" fillId="0" borderId="21" xfId="3" applyFont="1" applyFill="1" applyBorder="1" applyAlignment="1">
      <alignment horizontal="left" vertical="center"/>
    </xf>
    <xf numFmtId="0" fontId="63" fillId="0" borderId="1" xfId="3" applyFont="1" applyFill="1" applyBorder="1" applyAlignment="1">
      <alignment horizontal="left" vertical="justify"/>
    </xf>
    <xf numFmtId="1" fontId="52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63" fillId="0" borderId="1" xfId="3" applyFont="1" applyFill="1" applyBorder="1" applyAlignment="1">
      <alignment horizontal="left" vertical="center"/>
    </xf>
    <xf numFmtId="1" fontId="70" fillId="0" borderId="1" xfId="3" applyNumberFormat="1" applyFont="1" applyFill="1" applyBorder="1" applyAlignment="1">
      <alignment horizontal="center" vertical="center"/>
    </xf>
    <xf numFmtId="2" fontId="64" fillId="0" borderId="21" xfId="3" applyNumberFormat="1" applyFont="1" applyFill="1" applyBorder="1" applyAlignment="1">
      <alignment horizontal="left" vertical="center"/>
    </xf>
    <xf numFmtId="2" fontId="63" fillId="0" borderId="1" xfId="3" applyNumberFormat="1" applyFont="1" applyFill="1" applyBorder="1" applyAlignment="1">
      <alignment horizontal="left" vertical="center"/>
    </xf>
    <xf numFmtId="0" fontId="52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1" fillId="17" borderId="5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6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36" xfId="17" applyFont="1" applyBorder="1" applyAlignment="1">
      <alignment horizontal="center"/>
    </xf>
    <xf numFmtId="0" fontId="121" fillId="0" borderId="36" xfId="17" applyFont="1" applyBorder="1" applyAlignment="1">
      <alignment horizontal="center"/>
    </xf>
    <xf numFmtId="1" fontId="121" fillId="0" borderId="36" xfId="17" applyNumberFormat="1" applyFont="1" applyBorder="1" applyAlignment="1">
      <alignment horizontal="center"/>
    </xf>
    <xf numFmtId="1" fontId="120" fillId="0" borderId="36" xfId="17" applyNumberFormat="1" applyFont="1" applyBorder="1" applyAlignment="1">
      <alignment horizontal="center" wrapText="1"/>
    </xf>
    <xf numFmtId="0" fontId="120" fillId="0" borderId="36" xfId="17" applyFont="1" applyBorder="1" applyAlignment="1">
      <alignment horizontal="center" wrapText="1"/>
    </xf>
    <xf numFmtId="0" fontId="120" fillId="0" borderId="0" xfId="17" applyFont="1" applyAlignment="1">
      <alignment wrapText="1"/>
    </xf>
    <xf numFmtId="0" fontId="120" fillId="0" borderId="0" xfId="17" applyFont="1"/>
    <xf numFmtId="0" fontId="16" fillId="0" borderId="0" xfId="17" applyFont="1" applyAlignment="1">
      <alignment horizontal="center"/>
    </xf>
    <xf numFmtId="0" fontId="93" fillId="0" borderId="0" xfId="17" applyFont="1" applyAlignment="1">
      <alignment horizontal="center"/>
    </xf>
    <xf numFmtId="1" fontId="93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24" fillId="21" borderId="1" xfId="3" applyFont="1" applyFill="1" applyBorder="1" applyAlignment="1">
      <alignment horizontal="center"/>
    </xf>
    <xf numFmtId="0" fontId="124" fillId="21" borderId="1" xfId="4" applyFont="1" applyFill="1" applyBorder="1" applyAlignment="1">
      <alignment horizontal="center"/>
    </xf>
    <xf numFmtId="1" fontId="54" fillId="2" borderId="0" xfId="5" applyNumberFormat="1" applyFont="1" applyFill="1" applyBorder="1" applyAlignment="1" applyProtection="1">
      <alignment horizontal="center"/>
    </xf>
    <xf numFmtId="0" fontId="125" fillId="0" borderId="0" xfId="0" applyFont="1" applyBorder="1"/>
    <xf numFmtId="0" fontId="125" fillId="0" borderId="0" xfId="0" applyFont="1"/>
    <xf numFmtId="1" fontId="125" fillId="0" borderId="0" xfId="0" applyNumberFormat="1" applyFont="1"/>
    <xf numFmtId="0" fontId="122" fillId="21" borderId="21" xfId="3" applyFont="1" applyFill="1" applyBorder="1" applyAlignment="1">
      <alignment horizontal="left" vertical="center"/>
    </xf>
    <xf numFmtId="0" fontId="123" fillId="21" borderId="1" xfId="3" applyFont="1" applyFill="1" applyBorder="1" applyAlignment="1">
      <alignment horizontal="left" vertical="center"/>
    </xf>
    <xf numFmtId="1" fontId="126" fillId="21" borderId="1" xfId="3" applyNumberFormat="1" applyFont="1" applyFill="1" applyBorder="1" applyAlignment="1">
      <alignment horizontal="center"/>
    </xf>
    <xf numFmtId="0" fontId="126" fillId="21" borderId="1" xfId="3" applyNumberFormat="1" applyFont="1" applyFill="1" applyBorder="1" applyAlignment="1">
      <alignment horizontal="center"/>
    </xf>
    <xf numFmtId="1" fontId="126" fillId="21" borderId="15" xfId="5" applyNumberFormat="1" applyFont="1" applyFill="1" applyBorder="1" applyAlignment="1" applyProtection="1">
      <alignment horizontal="center"/>
    </xf>
    <xf numFmtId="1" fontId="126" fillId="21" borderId="1" xfId="5" applyNumberFormat="1" applyFont="1" applyFill="1" applyBorder="1" applyAlignment="1">
      <alignment horizontal="center" vertical="center"/>
    </xf>
    <xf numFmtId="2" fontId="126" fillId="21" borderId="1" xfId="3" applyNumberFormat="1" applyFont="1" applyFill="1" applyBorder="1" applyAlignment="1">
      <alignment horizontal="center"/>
    </xf>
    <xf numFmtId="0" fontId="69" fillId="21" borderId="2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left"/>
    </xf>
    <xf numFmtId="0" fontId="75" fillId="21" borderId="1" xfId="3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2" fontId="52" fillId="12" borderId="0" xfId="5" applyNumberFormat="1" applyFont="1" applyFill="1" applyBorder="1" applyAlignment="1" applyProtection="1">
      <alignment horizontal="center"/>
    </xf>
    <xf numFmtId="0" fontId="51" fillId="12" borderId="0" xfId="0" applyFont="1" applyFill="1" applyBorder="1"/>
    <xf numFmtId="0" fontId="64" fillId="15" borderId="15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/>
    </xf>
    <xf numFmtId="0" fontId="102" fillId="12" borderId="1" xfId="4" applyFont="1" applyFill="1" applyBorder="1" applyAlignment="1">
      <alignment horizontal="center" wrapText="1"/>
    </xf>
    <xf numFmtId="1" fontId="70" fillId="2" borderId="1" xfId="4" applyNumberFormat="1" applyFont="1" applyFill="1" applyBorder="1" applyAlignment="1">
      <alignment horizontal="center" vertical="center"/>
    </xf>
    <xf numFmtId="1" fontId="120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7" fillId="0" borderId="1" xfId="0" applyNumberFormat="1" applyFont="1" applyBorder="1" applyAlignment="1">
      <alignment horizontal="center"/>
    </xf>
    <xf numFmtId="0" fontId="64" fillId="2" borderId="1" xfId="3" applyFont="1" applyFill="1" applyBorder="1" applyAlignment="1">
      <alignment horizontal="left"/>
    </xf>
    <xf numFmtId="2" fontId="70" fillId="2" borderId="1" xfId="3" applyNumberFormat="1" applyFont="1" applyFill="1" applyBorder="1" applyAlignment="1">
      <alignment horizontal="right"/>
    </xf>
    <xf numFmtId="0" fontId="118" fillId="0" borderId="1" xfId="4" applyFont="1" applyBorder="1" applyAlignment="1">
      <alignment horizontal="center" vertical="center"/>
    </xf>
    <xf numFmtId="2" fontId="118" fillId="8" borderId="1" xfId="3" applyNumberFormat="1" applyFont="1" applyFill="1" applyBorder="1" applyAlignment="1">
      <alignment horizontal="center" vertical="center"/>
    </xf>
    <xf numFmtId="0" fontId="118" fillId="8" borderId="1" xfId="3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horizontal="center" vertical="center"/>
    </xf>
    <xf numFmtId="0" fontId="118" fillId="0" borderId="1" xfId="4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vertical="center"/>
    </xf>
    <xf numFmtId="1" fontId="118" fillId="2" borderId="1" xfId="3" applyNumberFormat="1" applyFont="1" applyFill="1" applyBorder="1" applyAlignment="1">
      <alignment horizontal="center" vertical="center"/>
    </xf>
    <xf numFmtId="0" fontId="118" fillId="0" borderId="1" xfId="4" applyFont="1" applyBorder="1" applyAlignment="1">
      <alignment horizontal="center"/>
    </xf>
    <xf numFmtId="0" fontId="118" fillId="0" borderId="1" xfId="4" applyFont="1" applyFill="1" applyBorder="1" applyAlignment="1">
      <alignment horizontal="center"/>
    </xf>
    <xf numFmtId="0" fontId="118" fillId="2" borderId="1" xfId="4" applyFont="1" applyFill="1" applyBorder="1" applyAlignment="1"/>
    <xf numFmtId="2" fontId="118" fillId="8" borderId="1" xfId="3" applyNumberFormat="1" applyFont="1" applyFill="1" applyBorder="1" applyAlignment="1">
      <alignment horizontal="center"/>
    </xf>
    <xf numFmtId="2" fontId="118" fillId="8" borderId="8" xfId="3" applyNumberFormat="1" applyFont="1" applyFill="1" applyBorder="1" applyAlignment="1">
      <alignment horizontal="center"/>
    </xf>
    <xf numFmtId="0" fontId="118" fillId="23" borderId="1" xfId="4" applyFont="1" applyFill="1" applyBorder="1" applyAlignment="1">
      <alignment horizontal="center" vertical="center"/>
    </xf>
    <xf numFmtId="0" fontId="82" fillId="2" borderId="21" xfId="3" applyFont="1" applyFill="1" applyBorder="1" applyAlignment="1">
      <alignment horizontal="left"/>
    </xf>
    <xf numFmtId="0" fontId="118" fillId="2" borderId="1" xfId="4" applyFont="1" applyFill="1" applyBorder="1" applyAlignment="1">
      <alignment horizontal="center"/>
    </xf>
    <xf numFmtId="1" fontId="118" fillId="2" borderId="1" xfId="5" applyNumberFormat="1" applyFont="1" applyFill="1" applyBorder="1" applyAlignment="1">
      <alignment horizontal="center" vertical="center"/>
    </xf>
    <xf numFmtId="1" fontId="118" fillId="2" borderId="1" xfId="3" applyNumberFormat="1" applyFont="1" applyFill="1" applyBorder="1" applyAlignment="1">
      <alignment horizontal="center"/>
    </xf>
    <xf numFmtId="1" fontId="118" fillId="2" borderId="15" xfId="5" applyNumberFormat="1" applyFont="1" applyFill="1" applyBorder="1" applyAlignment="1" applyProtection="1">
      <alignment horizontal="center"/>
    </xf>
    <xf numFmtId="0" fontId="118" fillId="2" borderId="1" xfId="3" applyFont="1" applyFill="1" applyBorder="1" applyAlignment="1">
      <alignment horizontal="center"/>
    </xf>
    <xf numFmtId="164" fontId="118" fillId="2" borderId="1" xfId="5" applyNumberFormat="1" applyFont="1" applyFill="1" applyBorder="1" applyAlignment="1">
      <alignment horizontal="center" vertical="center"/>
    </xf>
    <xf numFmtId="0" fontId="118" fillId="2" borderId="1" xfId="4" applyFont="1" applyFill="1" applyBorder="1" applyAlignment="1">
      <alignment horizontal="center" wrapText="1"/>
    </xf>
    <xf numFmtId="0" fontId="118" fillId="0" borderId="1" xfId="4" applyFont="1" applyFill="1" applyBorder="1" applyAlignment="1">
      <alignment horizontal="center" wrapText="1"/>
    </xf>
    <xf numFmtId="0" fontId="118" fillId="0" borderId="1" xfId="4" applyFont="1" applyBorder="1" applyAlignment="1">
      <alignment horizontal="center" wrapText="1"/>
    </xf>
    <xf numFmtId="0" fontId="118" fillId="0" borderId="1" xfId="3" applyFont="1" applyFill="1" applyBorder="1" applyAlignment="1">
      <alignment horizontal="center"/>
    </xf>
    <xf numFmtId="0" fontId="118" fillId="10" borderId="25" xfId="4" applyFont="1" applyFill="1" applyBorder="1" applyAlignment="1">
      <alignment horizontal="center" vertical="center"/>
    </xf>
    <xf numFmtId="0" fontId="118" fillId="0" borderId="1" xfId="0" applyFont="1" applyBorder="1" applyAlignment="1">
      <alignment horizontal="center"/>
    </xf>
    <xf numFmtId="0" fontId="118" fillId="0" borderId="1" xfId="0" applyFont="1" applyFill="1" applyBorder="1" applyAlignment="1">
      <alignment horizontal="center"/>
    </xf>
    <xf numFmtId="1" fontId="118" fillId="0" borderId="1" xfId="0" applyNumberFormat="1" applyFont="1" applyFill="1" applyBorder="1" applyAlignment="1">
      <alignment horizontal="center"/>
    </xf>
    <xf numFmtId="0" fontId="118" fillId="0" borderId="0" xfId="0" applyFont="1" applyBorder="1"/>
    <xf numFmtId="0" fontId="118" fillId="12" borderId="1" xfId="4" applyFont="1" applyFill="1" applyBorder="1" applyAlignment="1">
      <alignment horizontal="center"/>
    </xf>
    <xf numFmtId="2" fontId="118" fillId="8" borderId="7" xfId="3" applyNumberFormat="1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02" fillId="12" borderId="1" xfId="4" applyFont="1" applyFill="1" applyBorder="1" applyAlignment="1">
      <alignment horizontal="center"/>
    </xf>
    <xf numFmtId="0" fontId="96" fillId="12" borderId="1" xfId="3" applyFont="1" applyFill="1" applyBorder="1" applyAlignment="1">
      <alignment horizontal="center" vertical="center"/>
    </xf>
    <xf numFmtId="0" fontId="101" fillId="12" borderId="1" xfId="0" applyFont="1" applyFill="1" applyBorder="1" applyAlignment="1">
      <alignment horizontal="center"/>
    </xf>
    <xf numFmtId="0" fontId="120" fillId="0" borderId="5" xfId="18" applyFont="1" applyBorder="1"/>
    <xf numFmtId="0" fontId="121" fillId="0" borderId="5" xfId="18" applyFont="1" applyBorder="1" applyAlignment="1">
      <alignment horizontal="center"/>
    </xf>
    <xf numFmtId="0" fontId="120" fillId="0" borderId="0" xfId="18" applyFont="1"/>
    <xf numFmtId="0" fontId="16" fillId="0" borderId="0" xfId="19" applyFont="1" applyAlignment="1">
      <alignment horizontal="center"/>
    </xf>
    <xf numFmtId="0" fontId="90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101" fillId="12" borderId="1" xfId="3" applyFont="1" applyFill="1" applyBorder="1" applyAlignment="1">
      <alignment horizontal="center"/>
    </xf>
    <xf numFmtId="1" fontId="86" fillId="24" borderId="15" xfId="5" applyNumberFormat="1" applyFont="1" applyFill="1" applyBorder="1" applyAlignment="1" applyProtection="1">
      <alignment horizontal="center"/>
    </xf>
    <xf numFmtId="0" fontId="111" fillId="19" borderId="5" xfId="0" applyFont="1" applyFill="1" applyBorder="1" applyAlignment="1">
      <alignment horizontal="center"/>
    </xf>
    <xf numFmtId="0" fontId="3" fillId="0" borderId="28" xfId="1" applyFont="1" applyFill="1" applyBorder="1" applyAlignment="1">
      <alignment horizontal="center" vertical="center" wrapText="1"/>
    </xf>
    <xf numFmtId="0" fontId="3" fillId="0" borderId="37" xfId="1" applyFont="1" applyFill="1" applyBorder="1" applyAlignment="1">
      <alignment horizontal="center" vertical="center" wrapText="1"/>
    </xf>
    <xf numFmtId="0" fontId="111" fillId="19" borderId="0" xfId="0" applyFont="1" applyFill="1" applyBorder="1" applyAlignment="1">
      <alignment horizontal="center"/>
    </xf>
    <xf numFmtId="0" fontId="134" fillId="0" borderId="21" xfId="1" applyFont="1" applyFill="1" applyBorder="1" applyAlignment="1">
      <alignment vertical="top" wrapText="1"/>
    </xf>
    <xf numFmtId="0" fontId="134" fillId="0" borderId="1" xfId="1" applyFont="1" applyFill="1" applyBorder="1" applyAlignment="1">
      <alignment horizontal="center" vertical="top" wrapText="1"/>
    </xf>
    <xf numFmtId="0" fontId="134" fillId="0" borderId="15" xfId="1" applyFont="1" applyFill="1" applyBorder="1" applyAlignment="1">
      <alignment horizontal="center" vertical="top" wrapText="1"/>
    </xf>
    <xf numFmtId="1" fontId="128" fillId="0" borderId="5" xfId="18" applyNumberFormat="1" applyFont="1" applyFill="1" applyBorder="1" applyAlignment="1">
      <alignment horizontal="center" wrapText="1"/>
    </xf>
    <xf numFmtId="1" fontId="129" fillId="0" borderId="5" xfId="18" applyNumberFormat="1" applyFont="1" applyFill="1" applyBorder="1" applyAlignment="1">
      <alignment horizontal="center" wrapText="1"/>
    </xf>
    <xf numFmtId="1" fontId="130" fillId="0" borderId="5" xfId="18" applyNumberFormat="1" applyFont="1" applyFill="1" applyBorder="1" applyAlignment="1">
      <alignment horizontal="center" wrapText="1"/>
    </xf>
    <xf numFmtId="1" fontId="131" fillId="0" borderId="0" xfId="18" applyNumberFormat="1" applyFont="1" applyFill="1" applyAlignment="1">
      <alignment horizontal="center"/>
    </xf>
    <xf numFmtId="1" fontId="132" fillId="0" borderId="0" xfId="18" applyNumberFormat="1" applyFont="1" applyFill="1" applyAlignment="1">
      <alignment horizontal="center"/>
    </xf>
    <xf numFmtId="1" fontId="133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111" fillId="16" borderId="5" xfId="0" applyFont="1" applyFill="1" applyBorder="1" applyAlignment="1">
      <alignment horizontal="center"/>
    </xf>
    <xf numFmtId="0" fontId="111" fillId="17" borderId="5" xfId="0" applyFont="1" applyFill="1" applyBorder="1" applyAlignment="1">
      <alignment horizontal="center"/>
    </xf>
    <xf numFmtId="0" fontId="111" fillId="19" borderId="5" xfId="0" applyFont="1" applyFill="1" applyBorder="1" applyAlignment="1">
      <alignment horizontal="center"/>
    </xf>
    <xf numFmtId="0" fontId="111" fillId="17" borderId="3" xfId="0" applyFont="1" applyFill="1" applyBorder="1" applyAlignment="1">
      <alignment horizontal="center"/>
    </xf>
    <xf numFmtId="0" fontId="111" fillId="16" borderId="3" xfId="0" applyFont="1" applyFill="1" applyBorder="1" applyAlignment="1">
      <alignment horizontal="center"/>
    </xf>
    <xf numFmtId="0" fontId="63" fillId="15" borderId="16" xfId="3" applyFont="1" applyFill="1" applyBorder="1" applyAlignment="1">
      <alignment horizontal="left"/>
    </xf>
    <xf numFmtId="0" fontId="63" fillId="15" borderId="3" xfId="3" applyFont="1" applyFill="1" applyBorder="1" applyAlignment="1">
      <alignment horizontal="left"/>
    </xf>
    <xf numFmtId="0" fontId="63" fillId="15" borderId="4" xfId="3" applyFont="1" applyFill="1" applyBorder="1" applyAlignment="1">
      <alignment horizontal="left"/>
    </xf>
    <xf numFmtId="0" fontId="63" fillId="16" borderId="16" xfId="3" applyFont="1" applyFill="1" applyBorder="1" applyAlignment="1">
      <alignment horizontal="left"/>
    </xf>
    <xf numFmtId="0" fontId="63" fillId="16" borderId="3" xfId="3" applyFont="1" applyFill="1" applyBorder="1" applyAlignment="1">
      <alignment horizontal="left"/>
    </xf>
    <xf numFmtId="0" fontId="63" fillId="16" borderId="4" xfId="3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28" xfId="0" applyFont="1" applyFill="1" applyBorder="1" applyAlignment="1">
      <alignment horizontal="center"/>
    </xf>
    <xf numFmtId="0" fontId="64" fillId="17" borderId="5" xfId="0" applyFont="1" applyFill="1" applyBorder="1" applyAlignment="1">
      <alignment horizontal="center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83" fillId="8" borderId="19" xfId="3" applyFont="1" applyFill="1" applyBorder="1" applyAlignment="1">
      <alignment horizontal="center"/>
    </xf>
    <xf numFmtId="0" fontId="83" fillId="8" borderId="14" xfId="3" applyFont="1" applyFill="1" applyBorder="1" applyAlignment="1">
      <alignment horizontal="center"/>
    </xf>
    <xf numFmtId="0" fontId="83" fillId="8" borderId="20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81" fillId="15" borderId="16" xfId="3" applyFont="1" applyFill="1" applyBorder="1" applyAlignment="1">
      <alignment horizontal="center"/>
    </xf>
    <xf numFmtId="0" fontId="81" fillId="15" borderId="3" xfId="3" applyFont="1" applyFill="1" applyBorder="1" applyAlignment="1">
      <alignment horizontal="center"/>
    </xf>
    <xf numFmtId="0" fontId="81" fillId="15" borderId="4" xfId="3" applyFont="1" applyFill="1" applyBorder="1" applyAlignment="1">
      <alignment horizontal="center"/>
    </xf>
    <xf numFmtId="0" fontId="64" fillId="9" borderId="2" xfId="3" applyFont="1" applyFill="1" applyBorder="1" applyAlignment="1">
      <alignment horizontal="center"/>
    </xf>
    <xf numFmtId="0" fontId="64" fillId="9" borderId="4" xfId="3" applyFont="1" applyFill="1" applyBorder="1" applyAlignment="1">
      <alignment horizontal="center"/>
    </xf>
    <xf numFmtId="0" fontId="82" fillId="15" borderId="16" xfId="3" applyFont="1" applyFill="1" applyBorder="1" applyAlignment="1">
      <alignment horizontal="center" vertical="center"/>
    </xf>
    <xf numFmtId="0" fontId="82" fillId="15" borderId="3" xfId="3" applyFont="1" applyFill="1" applyBorder="1" applyAlignment="1">
      <alignment horizontal="center" vertical="center"/>
    </xf>
    <xf numFmtId="0" fontId="82" fillId="15" borderId="4" xfId="3" applyFont="1" applyFill="1" applyBorder="1" applyAlignment="1">
      <alignment horizontal="center" vertical="center"/>
    </xf>
    <xf numFmtId="0" fontId="52" fillId="2" borderId="16" xfId="3" applyFont="1" applyFill="1" applyBorder="1" applyAlignment="1">
      <alignment horizontal="center" vertical="justify"/>
    </xf>
    <xf numFmtId="0" fontId="52" fillId="2" borderId="3" xfId="3" applyFont="1" applyFill="1" applyBorder="1" applyAlignment="1">
      <alignment horizontal="center" vertical="justify"/>
    </xf>
    <xf numFmtId="0" fontId="52" fillId="2" borderId="29" xfId="3" applyFont="1" applyFill="1" applyBorder="1" applyAlignment="1">
      <alignment horizontal="center" vertical="justify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8" borderId="27" xfId="3" applyFont="1" applyFill="1" applyBorder="1" applyAlignment="1">
      <alignment horizontal="left"/>
    </xf>
    <xf numFmtId="0" fontId="64" fillId="8" borderId="10" xfId="3" applyFont="1" applyFill="1" applyBorder="1" applyAlignment="1">
      <alignment horizontal="left"/>
    </xf>
    <xf numFmtId="0" fontId="64" fillId="8" borderId="11" xfId="3" applyFont="1" applyFill="1" applyBorder="1" applyAlignment="1">
      <alignment horizontal="left"/>
    </xf>
    <xf numFmtId="0" fontId="63" fillId="15" borderId="16" xfId="3" applyFont="1" applyFill="1" applyBorder="1" applyAlignment="1">
      <alignment horizontal="center"/>
    </xf>
    <xf numFmtId="0" fontId="63" fillId="15" borderId="4" xfId="3" applyFont="1" applyFill="1" applyBorder="1" applyAlignment="1">
      <alignment horizontal="center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9" fillId="0" borderId="16" xfId="0" applyFont="1" applyFill="1" applyBorder="1" applyAlignment="1">
      <alignment horizontal="left"/>
    </xf>
    <xf numFmtId="0" fontId="69" fillId="0" borderId="4" xfId="0" applyFont="1" applyFill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57" fillId="15" borderId="16" xfId="4" applyFont="1" applyFill="1" applyBorder="1" applyAlignment="1">
      <alignment horizontal="left"/>
    </xf>
    <xf numFmtId="0" fontId="57" fillId="15" borderId="3" xfId="4" applyFont="1" applyFill="1" applyBorder="1" applyAlignment="1">
      <alignment horizontal="left"/>
    </xf>
    <xf numFmtId="0" fontId="57" fillId="15" borderId="29" xfId="4" applyFont="1" applyFill="1" applyBorder="1" applyAlignment="1">
      <alignment horizontal="left"/>
    </xf>
    <xf numFmtId="0" fontId="68" fillId="0" borderId="16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109" fillId="0" borderId="2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4" fillId="2" borderId="1" xfId="4" applyFont="1" applyFill="1" applyBorder="1" applyAlignment="1">
      <alignment horizontal="left"/>
    </xf>
    <xf numFmtId="0" fontId="68" fillId="2" borderId="16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2" borderId="16" xfId="4" applyFont="1" applyFill="1" applyBorder="1" applyAlignment="1">
      <alignment horizontal="left"/>
    </xf>
    <xf numFmtId="0" fontId="68" fillId="12" borderId="3" xfId="4" applyFont="1" applyFill="1" applyBorder="1" applyAlignment="1">
      <alignment horizontal="left"/>
    </xf>
    <xf numFmtId="0" fontId="68" fillId="12" borderId="4" xfId="4" applyFont="1" applyFill="1" applyBorder="1" applyAlignment="1">
      <alignment horizontal="left"/>
    </xf>
    <xf numFmtId="0" fontId="37" fillId="8" borderId="5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center" vertical="justify"/>
    </xf>
    <xf numFmtId="0" fontId="35" fillId="2" borderId="3" xfId="3" applyFont="1" applyFill="1" applyBorder="1" applyAlignment="1">
      <alignment horizontal="center" vertical="justify"/>
    </xf>
    <xf numFmtId="0" fontId="35" fillId="2" borderId="4" xfId="3" applyFont="1" applyFill="1" applyBorder="1" applyAlignment="1">
      <alignment horizontal="center" vertical="justify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9" fillId="0" borderId="2" xfId="4" applyFont="1" applyBorder="1" applyAlignment="1">
      <alignment horizontal="left"/>
    </xf>
    <xf numFmtId="0" fontId="49" fillId="0" borderId="3" xfId="4" applyFont="1" applyBorder="1" applyAlignment="1">
      <alignment horizontal="left"/>
    </xf>
    <xf numFmtId="0" fontId="49" fillId="0" borderId="4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4" fillId="17" borderId="6" xfId="0" applyFont="1" applyFill="1" applyBorder="1" applyAlignment="1">
      <alignment horizontal="center"/>
    </xf>
    <xf numFmtId="0" fontId="34" fillId="17" borderId="0" xfId="0" applyFont="1" applyFill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17" borderId="1" xfId="0" applyFont="1" applyFill="1" applyBorder="1" applyAlignment="1">
      <alignment horizontal="left"/>
    </xf>
    <xf numFmtId="0" fontId="62" fillId="18" borderId="1" xfId="0" applyFont="1" applyFill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96" fillId="0" borderId="16" xfId="4" applyFont="1" applyBorder="1" applyAlignment="1">
      <alignment horizontal="left"/>
    </xf>
    <xf numFmtId="0" fontId="96" fillId="0" borderId="3" xfId="4" applyFont="1" applyBorder="1" applyAlignment="1">
      <alignment horizontal="left"/>
    </xf>
    <xf numFmtId="0" fontId="96" fillId="0" borderId="4" xfId="4" applyFont="1" applyBorder="1" applyAlignment="1">
      <alignment horizontal="left"/>
    </xf>
    <xf numFmtId="0" fontId="96" fillId="8" borderId="16" xfId="3" applyFont="1" applyFill="1" applyBorder="1" applyAlignment="1">
      <alignment horizontal="left"/>
    </xf>
    <xf numFmtId="0" fontId="96" fillId="8" borderId="3" xfId="3" applyFont="1" applyFill="1" applyBorder="1" applyAlignment="1">
      <alignment horizontal="left"/>
    </xf>
    <xf numFmtId="0" fontId="96" fillId="8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3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8" fillId="2" borderId="16" xfId="3" applyFont="1" applyFill="1" applyBorder="1" applyAlignment="1">
      <alignment horizontal="center" vertical="justify"/>
    </xf>
    <xf numFmtId="0" fontId="98" fillId="2" borderId="3" xfId="3" applyFont="1" applyFill="1" applyBorder="1" applyAlignment="1">
      <alignment horizontal="center" vertical="justify"/>
    </xf>
    <xf numFmtId="0" fontId="98" fillId="2" borderId="29" xfId="3" applyFont="1" applyFill="1" applyBorder="1" applyAlignment="1">
      <alignment horizontal="center" vertical="justify"/>
    </xf>
    <xf numFmtId="0" fontId="99" fillId="15" borderId="16" xfId="3" applyFont="1" applyFill="1" applyBorder="1" applyAlignment="1">
      <alignment horizontal="center" vertical="center"/>
    </xf>
    <xf numFmtId="0" fontId="99" fillId="15" borderId="3" xfId="3" applyFont="1" applyFill="1" applyBorder="1" applyAlignment="1">
      <alignment horizontal="center" vertical="center"/>
    </xf>
    <xf numFmtId="0" fontId="99" fillId="15" borderId="4" xfId="3" applyFont="1" applyFill="1" applyBorder="1" applyAlignment="1">
      <alignment horizontal="center" vertical="center"/>
    </xf>
    <xf numFmtId="0" fontId="94" fillId="8" borderId="19" xfId="3" applyFont="1" applyFill="1" applyBorder="1" applyAlignment="1">
      <alignment horizontal="center"/>
    </xf>
    <xf numFmtId="0" fontId="94" fillId="8" borderId="14" xfId="3" applyFont="1" applyFill="1" applyBorder="1" applyAlignment="1">
      <alignment horizontal="center"/>
    </xf>
    <xf numFmtId="0" fontId="94" fillId="8" borderId="20" xfId="3" applyFont="1" applyFill="1" applyBorder="1" applyAlignment="1">
      <alignment horizontal="center"/>
    </xf>
    <xf numFmtId="0" fontId="96" fillId="9" borderId="2" xfId="3" applyFont="1" applyFill="1" applyBorder="1" applyAlignment="1">
      <alignment horizontal="center"/>
    </xf>
    <xf numFmtId="0" fontId="96" fillId="9" borderId="4" xfId="3" applyFont="1" applyFill="1" applyBorder="1" applyAlignment="1">
      <alignment horizontal="center"/>
    </xf>
    <xf numFmtId="0" fontId="107" fillId="15" borderId="16" xfId="4" applyFont="1" applyFill="1" applyBorder="1" applyAlignment="1">
      <alignment horizontal="left"/>
    </xf>
    <xf numFmtId="0" fontId="107" fillId="15" borderId="3" xfId="4" applyFont="1" applyFill="1" applyBorder="1" applyAlignment="1">
      <alignment horizontal="left"/>
    </xf>
    <xf numFmtId="0" fontId="107" fillId="15" borderId="29" xfId="4" applyFont="1" applyFill="1" applyBorder="1" applyAlignment="1">
      <alignment horizontal="left"/>
    </xf>
    <xf numFmtId="0" fontId="96" fillId="2" borderId="16" xfId="4" applyFont="1" applyFill="1" applyBorder="1" applyAlignment="1">
      <alignment horizontal="left"/>
    </xf>
    <xf numFmtId="0" fontId="96" fillId="2" borderId="3" xfId="4" applyFont="1" applyFill="1" applyBorder="1" applyAlignment="1">
      <alignment horizontal="left"/>
    </xf>
    <xf numFmtId="0" fontId="96" fillId="2" borderId="4" xfId="4" applyFont="1" applyFill="1" applyBorder="1" applyAlignment="1">
      <alignment horizontal="left"/>
    </xf>
    <xf numFmtId="0" fontId="102" fillId="0" borderId="16" xfId="4" applyFont="1" applyBorder="1" applyAlignment="1">
      <alignment horizontal="left"/>
    </xf>
    <xf numFmtId="0" fontId="102" fillId="0" borderId="3" xfId="4" applyFont="1" applyBorder="1" applyAlignment="1">
      <alignment horizontal="left"/>
    </xf>
    <xf numFmtId="0" fontId="102" fillId="0" borderId="4" xfId="4" applyFont="1" applyBorder="1" applyAlignment="1">
      <alignment horizontal="left"/>
    </xf>
    <xf numFmtId="0" fontId="96" fillId="16" borderId="16" xfId="3" applyFont="1" applyFill="1" applyBorder="1" applyAlignment="1">
      <alignment horizontal="left"/>
    </xf>
    <xf numFmtId="0" fontId="96" fillId="16" borderId="3" xfId="3" applyFont="1" applyFill="1" applyBorder="1" applyAlignment="1">
      <alignment horizontal="left"/>
    </xf>
    <xf numFmtId="0" fontId="96" fillId="16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left"/>
    </xf>
    <xf numFmtId="0" fontId="96" fillId="15" borderId="3" xfId="3" applyFont="1" applyFill="1" applyBorder="1" applyAlignment="1">
      <alignment horizontal="left"/>
    </xf>
    <xf numFmtId="0" fontId="96" fillId="15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6" fillId="17" borderId="28" xfId="0" applyFont="1" applyFill="1" applyBorder="1" applyAlignment="1">
      <alignment horizontal="center"/>
    </xf>
    <xf numFmtId="0" fontId="96" fillId="17" borderId="5" xfId="0" applyFont="1" applyFill="1" applyBorder="1" applyAlignment="1">
      <alignment horizontal="center"/>
    </xf>
    <xf numFmtId="0" fontId="92" fillId="0" borderId="16" xfId="0" applyFont="1" applyBorder="1" applyAlignment="1">
      <alignment horizontal="left"/>
    </xf>
    <xf numFmtId="0" fontId="92" fillId="0" borderId="4" xfId="0" applyFont="1" applyBorder="1" applyAlignment="1">
      <alignment horizontal="left"/>
    </xf>
    <xf numFmtId="0" fontId="92" fillId="0" borderId="3" xfId="0" applyFont="1" applyBorder="1" applyAlignment="1">
      <alignment horizontal="left"/>
    </xf>
    <xf numFmtId="0" fontId="92" fillId="18" borderId="16" xfId="0" applyFont="1" applyFill="1" applyBorder="1" applyAlignment="1">
      <alignment horizontal="left"/>
    </xf>
    <xf numFmtId="0" fontId="92" fillId="18" borderId="4" xfId="0" applyFont="1" applyFill="1" applyBorder="1" applyAlignment="1">
      <alignment horizontal="left"/>
    </xf>
    <xf numFmtId="0" fontId="92" fillId="17" borderId="16" xfId="0" applyFont="1" applyFill="1" applyBorder="1" applyAlignment="1">
      <alignment horizontal="left"/>
    </xf>
    <xf numFmtId="0" fontId="92" fillId="17" borderId="4" xfId="0" applyFont="1" applyFill="1" applyBorder="1" applyAlignment="1">
      <alignment horizontal="left"/>
    </xf>
    <xf numFmtId="0" fontId="96" fillId="8" borderId="27" xfId="3" applyFont="1" applyFill="1" applyBorder="1" applyAlignment="1">
      <alignment horizontal="left"/>
    </xf>
    <xf numFmtId="0" fontId="96" fillId="8" borderId="10" xfId="3" applyFont="1" applyFill="1" applyBorder="1" applyAlignment="1">
      <alignment horizontal="left"/>
    </xf>
    <xf numFmtId="0" fontId="96" fillId="8" borderId="11" xfId="3" applyFont="1" applyFill="1" applyBorder="1" applyAlignment="1">
      <alignment horizontal="left"/>
    </xf>
    <xf numFmtId="0" fontId="101" fillId="18" borderId="16" xfId="0" applyFont="1" applyFill="1" applyBorder="1" applyAlignment="1">
      <alignment horizontal="left"/>
    </xf>
    <xf numFmtId="0" fontId="101" fillId="18" borderId="4" xfId="0" applyFont="1" applyFill="1" applyBorder="1" applyAlignment="1">
      <alignment horizontal="left"/>
    </xf>
    <xf numFmtId="0" fontId="101" fillId="0" borderId="16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101" fillId="0" borderId="16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left"/>
    </xf>
    <xf numFmtId="0" fontId="96" fillId="0" borderId="1" xfId="4" applyFont="1" applyBorder="1" applyAlignment="1">
      <alignment horizontal="left"/>
    </xf>
    <xf numFmtId="0" fontId="64" fillId="8" borderId="22" xfId="3" applyFont="1" applyFill="1" applyBorder="1" applyAlignment="1">
      <alignment horizontal="left"/>
    </xf>
    <xf numFmtId="0" fontId="64" fillId="8" borderId="7" xfId="3" applyFont="1" applyFill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left"/>
    </xf>
    <xf numFmtId="0" fontId="63" fillId="16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21" xfId="3" applyFont="1" applyFill="1" applyBorder="1" applyAlignment="1">
      <alignment horizontal="center"/>
    </xf>
    <xf numFmtId="0" fontId="63" fillId="15" borderId="1" xfId="3" applyFont="1" applyFill="1" applyBorder="1" applyAlignment="1">
      <alignment horizontal="center"/>
    </xf>
    <xf numFmtId="0" fontId="64" fillId="17" borderId="34" xfId="0" applyFont="1" applyFill="1" applyBorder="1" applyAlignment="1">
      <alignment horizontal="center"/>
    </xf>
    <xf numFmtId="0" fontId="64" fillId="17" borderId="0" xfId="0" applyFont="1" applyFill="1" applyBorder="1" applyAlignment="1">
      <alignment horizontal="center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57" fillId="15" borderId="21" xfId="4" applyFont="1" applyFill="1" applyBorder="1" applyAlignment="1">
      <alignment horizontal="left"/>
    </xf>
    <xf numFmtId="0" fontId="57" fillId="15" borderId="1" xfId="4" applyFont="1" applyFill="1" applyBorder="1" applyAlignment="1">
      <alignment horizontal="left"/>
    </xf>
    <xf numFmtId="0" fontId="57" fillId="15" borderId="15" xfId="4" applyFont="1" applyFill="1" applyBorder="1" applyAlignment="1">
      <alignment horizontal="left"/>
    </xf>
    <xf numFmtId="0" fontId="81" fillId="15" borderId="21" xfId="3" applyFont="1" applyFill="1" applyBorder="1" applyAlignment="1">
      <alignment horizontal="center"/>
    </xf>
    <xf numFmtId="0" fontId="81" fillId="15" borderId="1" xfId="3" applyFont="1" applyFill="1" applyBorder="1" applyAlignment="1">
      <alignment horizontal="center"/>
    </xf>
    <xf numFmtId="0" fontId="52" fillId="2" borderId="21" xfId="3" applyFont="1" applyFill="1" applyBorder="1" applyAlignment="1">
      <alignment horizontal="center" vertical="justify"/>
    </xf>
    <xf numFmtId="0" fontId="52" fillId="2" borderId="1" xfId="3" applyFont="1" applyFill="1" applyBorder="1" applyAlignment="1">
      <alignment horizontal="center" vertical="justify"/>
    </xf>
    <xf numFmtId="0" fontId="52" fillId="2" borderId="15" xfId="3" applyFont="1" applyFill="1" applyBorder="1" applyAlignment="1">
      <alignment horizontal="center" vertical="justify"/>
    </xf>
    <xf numFmtId="0" fontId="64" fillId="2" borderId="21" xfId="4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81" fillId="15" borderId="21" xfId="3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17" borderId="21" xfId="0" applyFont="1" applyFill="1" applyBorder="1" applyAlignment="1">
      <alignment horizontal="left"/>
    </xf>
    <xf numFmtId="0" fontId="72" fillId="17" borderId="1" xfId="0" applyFont="1" applyFill="1" applyBorder="1" applyAlignment="1">
      <alignment horizontal="left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9" fillId="0" borderId="21" xfId="0" applyFont="1" applyFill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24.479999999999563</c:v>
                </c:pt>
                <c:pt idx="23">
                  <c:v>26.920000000001892</c:v>
                </c:pt>
                <c:pt idx="24">
                  <c:v>24.080000000001746</c:v>
                </c:pt>
                <c:pt idx="25">
                  <c:v>24.120000000002619</c:v>
                </c:pt>
                <c:pt idx="26">
                  <c:v>23.879999999997381</c:v>
                </c:pt>
                <c:pt idx="27">
                  <c:v>24.139999999996235</c:v>
                </c:pt>
                <c:pt idx="28">
                  <c:v>-337.59999999999854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59981568"/>
        <c:axId val="159983104"/>
      </c:lineChart>
      <c:catAx>
        <c:axId val="1599815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83104"/>
        <c:crosses val="autoZero"/>
        <c:auto val="1"/>
        <c:lblAlgn val="ctr"/>
        <c:lblOffset val="100"/>
      </c:catAx>
      <c:valAx>
        <c:axId val="15998310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5998156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15.220000000012078</c:v>
                </c:pt>
                <c:pt idx="22">
                  <c:v>15.450000000000728</c:v>
                </c:pt>
                <c:pt idx="23">
                  <c:v>8.8999999999941792</c:v>
                </c:pt>
                <c:pt idx="24">
                  <c:v>8.8999999999941792</c:v>
                </c:pt>
                <c:pt idx="25">
                  <c:v>13.719999999997526</c:v>
                </c:pt>
                <c:pt idx="26">
                  <c:v>16.029999999998836</c:v>
                </c:pt>
                <c:pt idx="27">
                  <c:v>15.110000000000582</c:v>
                </c:pt>
                <c:pt idx="28">
                  <c:v>-345.40999999999985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-3.9400000000023283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/>
        <c:dropLines/>
        <c:marker val="1"/>
        <c:axId val="160028544"/>
        <c:axId val="160030080"/>
      </c:lineChart>
      <c:catAx>
        <c:axId val="1600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0080"/>
        <c:crosses val="autoZero"/>
        <c:auto val="1"/>
        <c:lblAlgn val="ctr"/>
        <c:lblOffset val="100"/>
      </c:catAx>
      <c:valAx>
        <c:axId val="16003008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285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84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201</c:v>
                </c:pt>
                <c:pt idx="22">
                  <c:v>211</c:v>
                </c:pt>
                <c:pt idx="23">
                  <c:v>192</c:v>
                </c:pt>
                <c:pt idx="24">
                  <c:v>192</c:v>
                </c:pt>
                <c:pt idx="25">
                  <c:v>171</c:v>
                </c:pt>
                <c:pt idx="26">
                  <c:v>234</c:v>
                </c:pt>
                <c:pt idx="27">
                  <c:v>222</c:v>
                </c:pt>
                <c:pt idx="28">
                  <c:v>-1425</c:v>
                </c:pt>
                <c:pt idx="29">
                  <c:v>171</c:v>
                </c:pt>
                <c:pt idx="30">
                  <c:v>184</c:v>
                </c:pt>
                <c:pt idx="31">
                  <c:v>4850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/>
        <c:upDownBars>
          <c:gapWidth val="150"/>
          <c:upBars/>
          <c:downBars/>
        </c:upDownBars>
        <c:marker val="1"/>
        <c:axId val="161046912"/>
        <c:axId val="161048448"/>
      </c:lineChart>
      <c:catAx>
        <c:axId val="1610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48448"/>
        <c:crosses val="autoZero"/>
        <c:auto val="1"/>
        <c:lblAlgn val="ctr"/>
        <c:lblOffset val="100"/>
      </c:catAx>
      <c:valAx>
        <c:axId val="16104844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4691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59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935</c:v>
                </c:pt>
                <c:pt idx="22">
                  <c:v>972.81000000005588</c:v>
                </c:pt>
                <c:pt idx="23">
                  <c:v>787.75</c:v>
                </c:pt>
                <c:pt idx="24">
                  <c:v>861.98999999999069</c:v>
                </c:pt>
                <c:pt idx="25">
                  <c:v>838.44999999995343</c:v>
                </c:pt>
                <c:pt idx="26">
                  <c:v>961.60299999988638</c:v>
                </c:pt>
                <c:pt idx="27">
                  <c:v>1060.0070000002161</c:v>
                </c:pt>
                <c:pt idx="28">
                  <c:v>-26977.64000000013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/>
        <c:marker val="1"/>
        <c:axId val="161089408"/>
        <c:axId val="161090944"/>
      </c:lineChart>
      <c:catAx>
        <c:axId val="16108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90944"/>
        <c:crosses val="autoZero"/>
        <c:auto val="1"/>
        <c:lblAlgn val="ctr"/>
        <c:lblOffset val="100"/>
      </c:catAx>
      <c:valAx>
        <c:axId val="16109094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940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629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4115</c:v>
                </c:pt>
                <c:pt idx="22">
                  <c:v>4149.8300000000017</c:v>
                </c:pt>
                <c:pt idx="23">
                  <c:v>4084.1699999999983</c:v>
                </c:pt>
                <c:pt idx="24">
                  <c:v>4098</c:v>
                </c:pt>
                <c:pt idx="25">
                  <c:v>4202</c:v>
                </c:pt>
                <c:pt idx="26">
                  <c:v>4175.4499999999971</c:v>
                </c:pt>
                <c:pt idx="27">
                  <c:v>4370.9400000000023</c:v>
                </c:pt>
                <c:pt idx="28">
                  <c:v>821804.61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-0.48999999999068677</c:v>
                </c:pt>
                <c:pt idx="27">
                  <c:v>0</c:v>
                </c:pt>
                <c:pt idx="28">
                  <c:v>-35921.540000000037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/>
        <c:dropLines/>
        <c:marker val="1"/>
        <c:axId val="161158272"/>
        <c:axId val="161159808"/>
      </c:lineChart>
      <c:catAx>
        <c:axId val="1611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9808"/>
        <c:crosses val="autoZero"/>
        <c:auto val="1"/>
        <c:lblAlgn val="ctr"/>
        <c:lblOffset val="100"/>
      </c:catAx>
      <c:valAx>
        <c:axId val="16115980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827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2796</c:v>
                </c:pt>
                <c:pt idx="22">
                  <c:v>3006</c:v>
                </c:pt>
                <c:pt idx="23">
                  <c:v>3198</c:v>
                </c:pt>
                <c:pt idx="24">
                  <c:v>3189</c:v>
                </c:pt>
                <c:pt idx="25">
                  <c:v>3115</c:v>
                </c:pt>
                <c:pt idx="26">
                  <c:v>3121.3499999999767</c:v>
                </c:pt>
                <c:pt idx="27">
                  <c:v>3316.2399999999907</c:v>
                </c:pt>
                <c:pt idx="28">
                  <c:v>-64059.589999999967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/>
        <c:marker val="1"/>
        <c:axId val="161197056"/>
        <c:axId val="161202944"/>
      </c:lineChart>
      <c:catAx>
        <c:axId val="1611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2944"/>
        <c:crosses val="autoZero"/>
        <c:auto val="1"/>
        <c:lblAlgn val="ctr"/>
        <c:lblOffset val="100"/>
      </c:catAx>
      <c:valAx>
        <c:axId val="1612029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70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0.98</c:v>
                </c:pt>
                <c:pt idx="20">
                  <c:v>0.48</c:v>
                </c:pt>
                <c:pt idx="21">
                  <c:v>0.38</c:v>
                </c:pt>
                <c:pt idx="22">
                  <c:v>0.57999999999999996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1.5223483870967742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/>
        <c:marker val="1"/>
        <c:axId val="161243904"/>
        <c:axId val="161245440"/>
      </c:lineChart>
      <c:catAx>
        <c:axId val="16124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5440"/>
        <c:crosses val="autoZero"/>
        <c:auto val="1"/>
        <c:lblAlgn val="ctr"/>
        <c:lblOffset val="100"/>
      </c:catAx>
      <c:valAx>
        <c:axId val="1612454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12439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01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01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01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20271</c:v>
                </c:pt>
                <c:pt idx="22">
                  <c:v>21273</c:v>
                </c:pt>
                <c:pt idx="23">
                  <c:v>22810</c:v>
                </c:pt>
                <c:pt idx="24">
                  <c:v>20603</c:v>
                </c:pt>
                <c:pt idx="25">
                  <c:v>20278</c:v>
                </c:pt>
                <c:pt idx="26">
                  <c:v>20601</c:v>
                </c:pt>
                <c:pt idx="27">
                  <c:v>21818</c:v>
                </c:pt>
                <c:pt idx="28">
                  <c:v>-594257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/>
        <c:dropLines/>
        <c:marker val="1"/>
        <c:axId val="161282688"/>
        <c:axId val="161300864"/>
      </c:lineChart>
      <c:catAx>
        <c:axId val="16128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0864"/>
        <c:crosses val="autoZero"/>
        <c:auto val="1"/>
        <c:lblAlgn val="ctr"/>
        <c:lblOffset val="100"/>
      </c:catAx>
      <c:valAx>
        <c:axId val="16130086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8268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7.2999999999999545</c:v>
                </c:pt>
                <c:pt idx="22">
                  <c:v>7.2300000000000182</c:v>
                </c:pt>
                <c:pt idx="23">
                  <c:v>7.5999999999999091</c:v>
                </c:pt>
                <c:pt idx="24">
                  <c:v>7.2300000000000182</c:v>
                </c:pt>
                <c:pt idx="25">
                  <c:v>7.2400000000000091</c:v>
                </c:pt>
                <c:pt idx="26">
                  <c:v>7.2999999999999545</c:v>
                </c:pt>
                <c:pt idx="27">
                  <c:v>8.3100000000004002</c:v>
                </c:pt>
                <c:pt idx="28">
                  <c:v>-238.72000000000003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/>
        <c:marker val="1"/>
        <c:axId val="161341440"/>
        <c:axId val="161342976"/>
      </c:lineChart>
      <c:catAx>
        <c:axId val="16134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2976"/>
        <c:crosses val="autoZero"/>
        <c:auto val="1"/>
        <c:lblAlgn val="ctr"/>
        <c:lblOffset val="100"/>
      </c:catAx>
      <c:valAx>
        <c:axId val="16134297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14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30"/>
      <c:perspective val="30"/>
    </c:view3D>
    <c:plotArea>
      <c:layout/>
      <c:pie3DChart>
        <c:varyColors val="1"/>
        <c:dLbls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7149E-2"/>
          <c:w val="0.84489954093856323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252</c:v>
                </c:pt>
                <c:pt idx="19">
                  <c:v>252</c:v>
                </c:pt>
                <c:pt idx="20">
                  <c:v>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587</c:v>
                </c:pt>
                <c:pt idx="19">
                  <c:v>619.81000000005588</c:v>
                </c:pt>
                <c:pt idx="20">
                  <c:v>435.75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76</c:v>
                </c:pt>
                <c:pt idx="19">
                  <c:v>77</c:v>
                </c:pt>
                <c:pt idx="20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/>
        <c:marker val="1"/>
        <c:axId val="161884800"/>
        <c:axId val="161907072"/>
      </c:lineChart>
      <c:catAx>
        <c:axId val="16188480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1907072"/>
        <c:crosses val="autoZero"/>
        <c:auto val="1"/>
        <c:lblAlgn val="ctr"/>
        <c:lblOffset val="100"/>
      </c:catAx>
      <c:valAx>
        <c:axId val="16190707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18848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60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/>
        <c:dropLines/>
        <c:marker val="1"/>
        <c:axId val="165689984"/>
        <c:axId val="16569587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/>
        <c:marker val="1"/>
        <c:axId val="165697408"/>
        <c:axId val="165698944"/>
      </c:lineChart>
      <c:catAx>
        <c:axId val="16568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95872"/>
        <c:crosses val="autoZero"/>
        <c:auto val="1"/>
        <c:lblAlgn val="ctr"/>
        <c:lblOffset val="100"/>
      </c:catAx>
      <c:valAx>
        <c:axId val="1656958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9984"/>
        <c:crosses val="autoZero"/>
        <c:crossBetween val="between"/>
        <c:minorUnit val="50"/>
      </c:valAx>
      <c:catAx>
        <c:axId val="165697408"/>
        <c:scaling>
          <c:orientation val="minMax"/>
        </c:scaling>
        <c:delete val="1"/>
        <c:axPos val="b"/>
        <c:tickLblPos val="none"/>
        <c:crossAx val="165698944"/>
        <c:crosses val="autoZero"/>
        <c:auto val="1"/>
        <c:lblAlgn val="ctr"/>
        <c:lblOffset val="100"/>
      </c:catAx>
      <c:valAx>
        <c:axId val="1656989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9740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/>
        <c:marker val="1"/>
        <c:axId val="165731712"/>
        <c:axId val="165733504"/>
      </c:lineChart>
      <c:catAx>
        <c:axId val="1657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3504"/>
        <c:crosses val="autoZero"/>
        <c:auto val="1"/>
        <c:lblAlgn val="ctr"/>
        <c:lblOffset val="100"/>
      </c:catAx>
      <c:valAx>
        <c:axId val="16573350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1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/>
        <c:dropLines/>
        <c:marker val="1"/>
        <c:axId val="165631488"/>
        <c:axId val="165633024"/>
      </c:lineChart>
      <c:catAx>
        <c:axId val="1656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3024"/>
        <c:crosses val="autoZero"/>
        <c:auto val="1"/>
        <c:lblAlgn val="ctr"/>
        <c:lblOffset val="100"/>
      </c:catAx>
      <c:valAx>
        <c:axId val="165633024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14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800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/>
        <c:marker val="1"/>
        <c:axId val="165672448"/>
        <c:axId val="16567398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/>
        <c:marker val="1"/>
        <c:axId val="166343424"/>
        <c:axId val="166344960"/>
      </c:lineChart>
      <c:catAx>
        <c:axId val="16567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73984"/>
        <c:crosses val="autoZero"/>
        <c:auto val="1"/>
        <c:lblAlgn val="ctr"/>
        <c:lblOffset val="100"/>
      </c:catAx>
      <c:valAx>
        <c:axId val="16567398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72448"/>
        <c:crosses val="autoZero"/>
        <c:crossBetween val="between"/>
      </c:valAx>
      <c:catAx>
        <c:axId val="166343424"/>
        <c:scaling>
          <c:orientation val="minMax"/>
        </c:scaling>
        <c:delete val="1"/>
        <c:axPos val="b"/>
        <c:tickLblPos val="none"/>
        <c:crossAx val="166344960"/>
        <c:crosses val="autoZero"/>
        <c:auto val="1"/>
        <c:lblAlgn val="ctr"/>
        <c:lblOffset val="100"/>
      </c:catAx>
      <c:valAx>
        <c:axId val="1663449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3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/>
        <c:marker val="1"/>
        <c:axId val="166406016"/>
        <c:axId val="16640755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/>
        <c:marker val="1"/>
        <c:axId val="166421632"/>
        <c:axId val="166423168"/>
      </c:lineChart>
      <c:catAx>
        <c:axId val="16640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07552"/>
        <c:crosses val="autoZero"/>
        <c:auto val="1"/>
        <c:lblAlgn val="ctr"/>
        <c:lblOffset val="100"/>
      </c:catAx>
      <c:valAx>
        <c:axId val="16640755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06016"/>
        <c:crosses val="autoZero"/>
        <c:crossBetween val="between"/>
        <c:majorUnit val="2"/>
      </c:valAx>
      <c:catAx>
        <c:axId val="166421632"/>
        <c:scaling>
          <c:orientation val="minMax"/>
        </c:scaling>
        <c:delete val="1"/>
        <c:axPos val="b"/>
        <c:tickLblPos val="none"/>
        <c:crossAx val="166423168"/>
        <c:crosses val="autoZero"/>
        <c:auto val="1"/>
        <c:lblAlgn val="ctr"/>
        <c:lblOffset val="100"/>
      </c:catAx>
      <c:valAx>
        <c:axId val="1664231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16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92">
          <cell r="H92">
            <v>87</v>
          </cell>
        </row>
        <row r="93">
          <cell r="H93">
            <v>200</v>
          </cell>
        </row>
        <row r="95">
          <cell r="H95">
            <v>72</v>
          </cell>
        </row>
        <row r="96">
          <cell r="H96">
            <v>23</v>
          </cell>
        </row>
        <row r="97">
          <cell r="H97">
            <v>18</v>
          </cell>
        </row>
        <row r="98">
          <cell r="H98">
            <v>83</v>
          </cell>
        </row>
        <row r="99">
          <cell r="H99">
            <v>13</v>
          </cell>
        </row>
        <row r="100">
          <cell r="H100">
            <v>6</v>
          </cell>
        </row>
        <row r="104">
          <cell r="H104">
            <v>0</v>
          </cell>
        </row>
        <row r="105">
          <cell r="H105">
            <v>8</v>
          </cell>
        </row>
        <row r="106">
          <cell r="H106">
            <v>7</v>
          </cell>
        </row>
        <row r="109">
          <cell r="H109">
            <v>41</v>
          </cell>
        </row>
        <row r="110">
          <cell r="H110">
            <v>79</v>
          </cell>
        </row>
        <row r="111">
          <cell r="H111">
            <v>0</v>
          </cell>
        </row>
        <row r="114">
          <cell r="H114">
            <v>16</v>
          </cell>
        </row>
        <row r="115">
          <cell r="H115">
            <v>5</v>
          </cell>
        </row>
        <row r="116">
          <cell r="H116">
            <v>0</v>
          </cell>
        </row>
        <row r="118">
          <cell r="H118">
            <v>138</v>
          </cell>
        </row>
        <row r="119">
          <cell r="H119">
            <v>132</v>
          </cell>
        </row>
        <row r="120">
          <cell r="H120">
            <v>120</v>
          </cell>
        </row>
      </sheetData>
      <sheetData sheetId="7">
        <row r="35">
          <cell r="H35">
            <v>0</v>
          </cell>
        </row>
        <row r="92">
          <cell r="H92">
            <v>162</v>
          </cell>
        </row>
        <row r="93">
          <cell r="H93">
            <v>351</v>
          </cell>
        </row>
        <row r="95">
          <cell r="H95">
            <v>142</v>
          </cell>
        </row>
        <row r="96">
          <cell r="H96">
            <v>53</v>
          </cell>
        </row>
        <row r="97">
          <cell r="H97">
            <v>34</v>
          </cell>
        </row>
        <row r="98">
          <cell r="H98">
            <v>150</v>
          </cell>
        </row>
        <row r="99">
          <cell r="H99">
            <v>21</v>
          </cell>
        </row>
        <row r="100">
          <cell r="H100">
            <v>11</v>
          </cell>
        </row>
        <row r="104">
          <cell r="H104">
            <v>0</v>
          </cell>
        </row>
        <row r="105">
          <cell r="H105">
            <v>16</v>
          </cell>
        </row>
        <row r="106">
          <cell r="H106">
            <v>12</v>
          </cell>
        </row>
        <row r="109">
          <cell r="H109">
            <v>102</v>
          </cell>
        </row>
        <row r="110">
          <cell r="H110">
            <v>118</v>
          </cell>
        </row>
        <row r="111">
          <cell r="H111">
            <v>16</v>
          </cell>
        </row>
        <row r="114">
          <cell r="H114">
            <v>27</v>
          </cell>
        </row>
        <row r="115">
          <cell r="H115">
            <v>8</v>
          </cell>
        </row>
        <row r="116">
          <cell r="H116">
            <v>0</v>
          </cell>
        </row>
        <row r="118">
          <cell r="H118">
            <v>264</v>
          </cell>
        </row>
        <row r="119">
          <cell r="H119">
            <v>261</v>
          </cell>
        </row>
        <row r="120">
          <cell r="H120">
            <v>236</v>
          </cell>
        </row>
      </sheetData>
      <sheetData sheetId="8">
        <row r="35">
          <cell r="H35">
            <v>2568.3299999999581</v>
          </cell>
        </row>
        <row r="92">
          <cell r="H92">
            <v>250</v>
          </cell>
        </row>
        <row r="93">
          <cell r="H93">
            <v>501</v>
          </cell>
        </row>
        <row r="95">
          <cell r="H95">
            <v>206</v>
          </cell>
        </row>
        <row r="96">
          <cell r="H96">
            <v>89</v>
          </cell>
        </row>
        <row r="97">
          <cell r="H97">
            <v>65</v>
          </cell>
        </row>
        <row r="98">
          <cell r="H98">
            <v>222</v>
          </cell>
        </row>
        <row r="99">
          <cell r="H99">
            <v>31</v>
          </cell>
        </row>
        <row r="100">
          <cell r="H100">
            <v>16</v>
          </cell>
        </row>
        <row r="104">
          <cell r="H104">
            <v>0</v>
          </cell>
        </row>
        <row r="105">
          <cell r="H105">
            <v>22</v>
          </cell>
        </row>
        <row r="106">
          <cell r="H106">
            <v>17</v>
          </cell>
        </row>
        <row r="109">
          <cell r="H109">
            <v>160</v>
          </cell>
        </row>
        <row r="110">
          <cell r="H110">
            <v>211</v>
          </cell>
        </row>
        <row r="111">
          <cell r="H111">
            <v>16</v>
          </cell>
        </row>
        <row r="114">
          <cell r="H114">
            <v>39</v>
          </cell>
        </row>
        <row r="115">
          <cell r="H115">
            <v>14</v>
          </cell>
        </row>
        <row r="116">
          <cell r="H116">
            <v>0</v>
          </cell>
        </row>
        <row r="118">
          <cell r="H118">
            <v>403</v>
          </cell>
        </row>
        <row r="119">
          <cell r="H119">
            <v>407</v>
          </cell>
        </row>
        <row r="120">
          <cell r="H120">
            <v>387</v>
          </cell>
        </row>
      </sheetData>
      <sheetData sheetId="9">
        <row r="35">
          <cell r="H35">
            <v>5175.3299999999581</v>
          </cell>
        </row>
        <row r="92">
          <cell r="H92">
            <v>352</v>
          </cell>
        </row>
        <row r="93">
          <cell r="H93">
            <v>641</v>
          </cell>
        </row>
        <row r="95">
          <cell r="H95">
            <v>284</v>
          </cell>
        </row>
        <row r="96">
          <cell r="H96">
            <v>124</v>
          </cell>
        </row>
        <row r="97">
          <cell r="H97">
            <v>110</v>
          </cell>
        </row>
        <row r="98">
          <cell r="H98">
            <v>289</v>
          </cell>
        </row>
        <row r="99">
          <cell r="H99">
            <v>41</v>
          </cell>
        </row>
        <row r="100">
          <cell r="H100">
            <v>23</v>
          </cell>
        </row>
        <row r="104">
          <cell r="H104">
            <v>0</v>
          </cell>
        </row>
        <row r="105">
          <cell r="H105">
            <v>28</v>
          </cell>
        </row>
        <row r="106">
          <cell r="H106">
            <v>23</v>
          </cell>
        </row>
        <row r="109">
          <cell r="H109">
            <v>215</v>
          </cell>
        </row>
        <row r="110">
          <cell r="H110">
            <v>258</v>
          </cell>
        </row>
        <row r="111">
          <cell r="H111">
            <v>30</v>
          </cell>
        </row>
        <row r="114">
          <cell r="H114">
            <v>53</v>
          </cell>
        </row>
        <row r="115">
          <cell r="H115">
            <v>21</v>
          </cell>
        </row>
        <row r="116">
          <cell r="H116">
            <v>0</v>
          </cell>
        </row>
        <row r="118">
          <cell r="H118">
            <v>555</v>
          </cell>
        </row>
        <row r="119">
          <cell r="H119">
            <v>582</v>
          </cell>
        </row>
        <row r="120">
          <cell r="H120">
            <v>503</v>
          </cell>
        </row>
      </sheetData>
      <sheetData sheetId="10">
        <row r="35">
          <cell r="H35">
            <v>5175.3299999999581</v>
          </cell>
        </row>
        <row r="92">
          <cell r="H92">
            <v>462</v>
          </cell>
        </row>
        <row r="93">
          <cell r="H93">
            <v>823</v>
          </cell>
        </row>
        <row r="95">
          <cell r="H95">
            <v>339</v>
          </cell>
        </row>
        <row r="96">
          <cell r="H96">
            <v>147</v>
          </cell>
        </row>
        <row r="97">
          <cell r="H97">
            <v>150</v>
          </cell>
        </row>
        <row r="98">
          <cell r="H98">
            <v>329</v>
          </cell>
        </row>
        <row r="99">
          <cell r="H99">
            <v>48</v>
          </cell>
        </row>
        <row r="100">
          <cell r="H100">
            <v>29</v>
          </cell>
        </row>
        <row r="104">
          <cell r="H104">
            <v>0</v>
          </cell>
        </row>
        <row r="105">
          <cell r="H105">
            <v>42</v>
          </cell>
        </row>
        <row r="106">
          <cell r="H106">
            <v>32</v>
          </cell>
        </row>
        <row r="109">
          <cell r="H109">
            <v>330</v>
          </cell>
        </row>
        <row r="110">
          <cell r="H110">
            <v>337</v>
          </cell>
        </row>
        <row r="111">
          <cell r="H111">
            <v>30</v>
          </cell>
        </row>
        <row r="114">
          <cell r="H114">
            <v>74</v>
          </cell>
        </row>
        <row r="115">
          <cell r="H115">
            <v>32</v>
          </cell>
        </row>
        <row r="116">
          <cell r="H116">
            <v>0</v>
          </cell>
        </row>
        <row r="118">
          <cell r="H118">
            <v>706</v>
          </cell>
        </row>
        <row r="119">
          <cell r="H119">
            <v>713</v>
          </cell>
        </row>
        <row r="120">
          <cell r="H120">
            <v>697</v>
          </cell>
        </row>
      </sheetData>
      <sheetData sheetId="11">
        <row r="35">
          <cell r="H35">
            <v>5175.3299999999581</v>
          </cell>
        </row>
        <row r="92">
          <cell r="H92">
            <v>551</v>
          </cell>
        </row>
        <row r="93">
          <cell r="H93">
            <v>924</v>
          </cell>
        </row>
        <row r="95">
          <cell r="H95">
            <v>400</v>
          </cell>
        </row>
        <row r="96">
          <cell r="H96">
            <v>181</v>
          </cell>
        </row>
        <row r="97">
          <cell r="H97">
            <v>181</v>
          </cell>
        </row>
        <row r="98">
          <cell r="H98">
            <v>401</v>
          </cell>
        </row>
        <row r="99">
          <cell r="H99">
            <v>57</v>
          </cell>
        </row>
        <row r="100">
          <cell r="H100">
            <v>38</v>
          </cell>
        </row>
        <row r="104">
          <cell r="H104">
            <v>0</v>
          </cell>
        </row>
        <row r="105">
          <cell r="H105">
            <v>48</v>
          </cell>
        </row>
        <row r="106">
          <cell r="H106">
            <v>38</v>
          </cell>
        </row>
        <row r="109">
          <cell r="H109">
            <v>370</v>
          </cell>
        </row>
        <row r="110">
          <cell r="H110">
            <v>382</v>
          </cell>
        </row>
        <row r="111">
          <cell r="H111">
            <v>62</v>
          </cell>
        </row>
        <row r="114">
          <cell r="H114">
            <v>85</v>
          </cell>
        </row>
        <row r="115">
          <cell r="H115">
            <v>38</v>
          </cell>
        </row>
        <row r="116">
          <cell r="H116">
            <v>0</v>
          </cell>
        </row>
        <row r="118">
          <cell r="H118">
            <v>846</v>
          </cell>
        </row>
        <row r="119">
          <cell r="H119">
            <v>857</v>
          </cell>
        </row>
        <row r="120">
          <cell r="H120">
            <v>814</v>
          </cell>
        </row>
      </sheetData>
      <sheetData sheetId="12">
        <row r="35">
          <cell r="H35">
            <v>5175.3299999999581</v>
          </cell>
        </row>
        <row r="92">
          <cell r="H92">
            <v>655</v>
          </cell>
        </row>
        <row r="93">
          <cell r="H93">
            <v>1131</v>
          </cell>
        </row>
        <row r="95">
          <cell r="H95">
            <v>457</v>
          </cell>
        </row>
        <row r="96">
          <cell r="H96">
            <v>224</v>
          </cell>
        </row>
        <row r="97">
          <cell r="H97">
            <v>204</v>
          </cell>
        </row>
        <row r="98">
          <cell r="H98">
            <v>459</v>
          </cell>
        </row>
        <row r="99">
          <cell r="H99">
            <v>71</v>
          </cell>
        </row>
        <row r="100">
          <cell r="H100">
            <v>46</v>
          </cell>
        </row>
        <row r="104">
          <cell r="H104">
            <v>0</v>
          </cell>
        </row>
        <row r="105">
          <cell r="H105">
            <v>54</v>
          </cell>
        </row>
        <row r="106">
          <cell r="H106">
            <v>42</v>
          </cell>
        </row>
        <row r="109">
          <cell r="H109">
            <v>409</v>
          </cell>
        </row>
        <row r="110">
          <cell r="H110">
            <v>483</v>
          </cell>
        </row>
        <row r="111">
          <cell r="H111">
            <v>62</v>
          </cell>
        </row>
        <row r="114">
          <cell r="H114">
            <v>101</v>
          </cell>
        </row>
        <row r="115">
          <cell r="H115">
            <v>45</v>
          </cell>
        </row>
        <row r="116">
          <cell r="H116">
            <v>0</v>
          </cell>
        </row>
        <row r="118">
          <cell r="H118">
            <v>1002</v>
          </cell>
        </row>
        <row r="119">
          <cell r="H119">
            <v>1002</v>
          </cell>
        </row>
        <row r="120">
          <cell r="H120">
            <v>954</v>
          </cell>
        </row>
      </sheetData>
      <sheetData sheetId="13">
        <row r="35">
          <cell r="H35">
            <v>6726.2399999999907</v>
          </cell>
        </row>
        <row r="92">
          <cell r="H92">
            <v>750</v>
          </cell>
        </row>
        <row r="93">
          <cell r="H93">
            <v>1338</v>
          </cell>
        </row>
        <row r="95">
          <cell r="H95">
            <v>528</v>
          </cell>
        </row>
        <row r="96">
          <cell r="H96">
            <v>275</v>
          </cell>
        </row>
        <row r="97">
          <cell r="H97">
            <v>224</v>
          </cell>
        </row>
        <row r="98">
          <cell r="H98">
            <v>537</v>
          </cell>
        </row>
        <row r="99">
          <cell r="H99">
            <v>83</v>
          </cell>
        </row>
        <row r="100">
          <cell r="H100">
            <v>54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47</v>
          </cell>
        </row>
        <row r="109">
          <cell r="H109">
            <v>483</v>
          </cell>
        </row>
        <row r="110">
          <cell r="H110">
            <v>526</v>
          </cell>
        </row>
        <row r="111">
          <cell r="H111">
            <v>62</v>
          </cell>
        </row>
        <row r="114">
          <cell r="H114">
            <v>117</v>
          </cell>
        </row>
        <row r="115">
          <cell r="H115">
            <v>52</v>
          </cell>
        </row>
        <row r="116">
          <cell r="H116">
            <v>0</v>
          </cell>
        </row>
        <row r="118">
          <cell r="H118">
            <v>1148</v>
          </cell>
        </row>
        <row r="119">
          <cell r="H119">
            <v>1164</v>
          </cell>
        </row>
        <row r="120">
          <cell r="H120">
            <v>1071</v>
          </cell>
        </row>
      </sheetData>
      <sheetData sheetId="14">
        <row r="35">
          <cell r="H35">
            <v>9240.1599999999162</v>
          </cell>
        </row>
        <row r="92">
          <cell r="H92">
            <v>854</v>
          </cell>
        </row>
        <row r="93">
          <cell r="H93">
            <v>1444</v>
          </cell>
        </row>
        <row r="95">
          <cell r="H95">
            <v>590</v>
          </cell>
        </row>
        <row r="96">
          <cell r="H96">
            <v>315</v>
          </cell>
        </row>
        <row r="97">
          <cell r="H97">
            <v>253</v>
          </cell>
        </row>
        <row r="98">
          <cell r="H98">
            <v>604</v>
          </cell>
        </row>
        <row r="99">
          <cell r="H99">
            <v>96</v>
          </cell>
        </row>
        <row r="100">
          <cell r="H100">
            <v>63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51</v>
          </cell>
        </row>
        <row r="109">
          <cell r="H109">
            <v>536</v>
          </cell>
        </row>
        <row r="110">
          <cell r="H110">
            <v>589</v>
          </cell>
        </row>
        <row r="111">
          <cell r="H111">
            <v>99</v>
          </cell>
        </row>
        <row r="114">
          <cell r="H114">
            <v>132</v>
          </cell>
        </row>
        <row r="115">
          <cell r="H115">
            <v>59</v>
          </cell>
        </row>
        <row r="116">
          <cell r="H116">
            <v>0</v>
          </cell>
        </row>
        <row r="118">
          <cell r="H118">
            <v>1304</v>
          </cell>
        </row>
        <row r="119">
          <cell r="H119">
            <v>1317</v>
          </cell>
        </row>
        <row r="120">
          <cell r="H120">
            <v>1224</v>
          </cell>
        </row>
      </sheetData>
      <sheetData sheetId="15">
        <row r="35">
          <cell r="H35">
            <v>11901.329999999958</v>
          </cell>
        </row>
        <row r="92">
          <cell r="H92">
            <v>991</v>
          </cell>
        </row>
        <row r="93">
          <cell r="H93">
            <v>1599</v>
          </cell>
        </row>
        <row r="95">
          <cell r="H95">
            <v>667</v>
          </cell>
        </row>
        <row r="96">
          <cell r="H96">
            <v>355</v>
          </cell>
        </row>
        <row r="97">
          <cell r="H97">
            <v>299</v>
          </cell>
        </row>
        <row r="98">
          <cell r="H98">
            <v>684</v>
          </cell>
        </row>
        <row r="99">
          <cell r="H99">
            <v>108</v>
          </cell>
        </row>
        <row r="100">
          <cell r="H100">
            <v>75</v>
          </cell>
        </row>
        <row r="104">
          <cell r="H104">
            <v>0</v>
          </cell>
        </row>
        <row r="105">
          <cell r="H105">
            <v>75</v>
          </cell>
        </row>
        <row r="106">
          <cell r="H106">
            <v>54</v>
          </cell>
        </row>
        <row r="109">
          <cell r="H109">
            <v>597</v>
          </cell>
        </row>
        <row r="110">
          <cell r="H110">
            <v>653</v>
          </cell>
        </row>
        <row r="111">
          <cell r="H111">
            <v>105</v>
          </cell>
        </row>
        <row r="114">
          <cell r="H114">
            <v>146</v>
          </cell>
        </row>
        <row r="115">
          <cell r="H115">
            <v>72</v>
          </cell>
        </row>
        <row r="116">
          <cell r="H116">
            <v>0</v>
          </cell>
        </row>
        <row r="118">
          <cell r="H118">
            <v>1491</v>
          </cell>
        </row>
        <row r="119">
          <cell r="H119">
            <v>1504</v>
          </cell>
        </row>
        <row r="120">
          <cell r="H120">
            <v>1355</v>
          </cell>
        </row>
      </sheetData>
      <sheetData sheetId="16">
        <row r="35">
          <cell r="H35">
            <v>14259.329999999958</v>
          </cell>
        </row>
        <row r="92">
          <cell r="H92">
            <v>1092</v>
          </cell>
        </row>
        <row r="93">
          <cell r="H93">
            <v>1733</v>
          </cell>
        </row>
        <row r="95">
          <cell r="H95">
            <v>738</v>
          </cell>
        </row>
        <row r="96">
          <cell r="H96">
            <v>404</v>
          </cell>
        </row>
        <row r="97">
          <cell r="H97">
            <v>322</v>
          </cell>
        </row>
        <row r="98">
          <cell r="H98">
            <v>759</v>
          </cell>
        </row>
        <row r="99">
          <cell r="H99">
            <v>118</v>
          </cell>
        </row>
        <row r="100">
          <cell r="H100">
            <v>84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340</v>
          </cell>
        </row>
        <row r="109">
          <cell r="H109">
            <v>181</v>
          </cell>
        </row>
        <row r="110">
          <cell r="H110">
            <v>144</v>
          </cell>
        </row>
        <row r="111">
          <cell r="H111">
            <v>445</v>
          </cell>
        </row>
        <row r="114">
          <cell r="H114">
            <v>12</v>
          </cell>
        </row>
        <row r="115">
          <cell r="H115">
            <v>90</v>
          </cell>
        </row>
        <row r="116">
          <cell r="H116">
            <v>200</v>
          </cell>
        </row>
        <row r="118">
          <cell r="H118">
            <v>175</v>
          </cell>
        </row>
        <row r="119">
          <cell r="H119">
            <v>245</v>
          </cell>
        </row>
        <row r="120">
          <cell r="H120">
            <v>222</v>
          </cell>
        </row>
      </sheetData>
      <sheetData sheetId="17">
        <row r="35">
          <cell r="H35">
            <v>16666.279999999912</v>
          </cell>
        </row>
        <row r="92">
          <cell r="H92">
            <v>1221</v>
          </cell>
        </row>
        <row r="93">
          <cell r="H93">
            <v>1850</v>
          </cell>
        </row>
        <row r="95">
          <cell r="H95">
            <v>824</v>
          </cell>
        </row>
        <row r="96">
          <cell r="H96">
            <v>442</v>
          </cell>
        </row>
        <row r="97">
          <cell r="H97">
            <v>349</v>
          </cell>
        </row>
        <row r="98">
          <cell r="H98">
            <v>842</v>
          </cell>
        </row>
        <row r="99">
          <cell r="H99">
            <v>128</v>
          </cell>
        </row>
        <row r="100">
          <cell r="H100">
            <v>91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346</v>
          </cell>
        </row>
        <row r="109">
          <cell r="H109">
            <v>140</v>
          </cell>
        </row>
        <row r="110">
          <cell r="H110">
            <v>104</v>
          </cell>
        </row>
        <row r="111">
          <cell r="H111">
            <v>433</v>
          </cell>
        </row>
        <row r="114">
          <cell r="H114">
            <v>14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203</v>
          </cell>
        </row>
        <row r="119">
          <cell r="H119">
            <v>251</v>
          </cell>
        </row>
        <row r="120">
          <cell r="H120">
            <v>129</v>
          </cell>
        </row>
      </sheetData>
      <sheetData sheetId="18">
        <row r="35">
          <cell r="H35">
            <v>19370</v>
          </cell>
        </row>
        <row r="92">
          <cell r="H92">
            <v>1370</v>
          </cell>
        </row>
        <row r="93">
          <cell r="H93">
            <v>2099</v>
          </cell>
        </row>
        <row r="95">
          <cell r="H95">
            <v>912</v>
          </cell>
        </row>
        <row r="96">
          <cell r="H96">
            <v>485</v>
          </cell>
        </row>
        <row r="97">
          <cell r="H97">
            <v>395</v>
          </cell>
        </row>
        <row r="98">
          <cell r="H98">
            <v>905</v>
          </cell>
        </row>
        <row r="99">
          <cell r="H99">
            <v>144</v>
          </cell>
        </row>
        <row r="100">
          <cell r="H100">
            <v>105</v>
          </cell>
        </row>
        <row r="104">
          <cell r="H104">
            <v>74</v>
          </cell>
        </row>
        <row r="105">
          <cell r="H105">
            <v>59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224</v>
          </cell>
        </row>
        <row r="119">
          <cell r="H119">
            <v>290</v>
          </cell>
        </row>
        <row r="120">
          <cell r="H120">
            <v>165</v>
          </cell>
        </row>
      </sheetData>
      <sheetData sheetId="19">
        <row r="35">
          <cell r="H35">
            <v>22338.199999999953</v>
          </cell>
        </row>
        <row r="92">
          <cell r="H92">
            <v>1536</v>
          </cell>
        </row>
        <row r="93">
          <cell r="H93">
            <v>2273</v>
          </cell>
        </row>
        <row r="95">
          <cell r="H95">
            <v>1033</v>
          </cell>
        </row>
        <row r="96">
          <cell r="H96">
            <v>532</v>
          </cell>
        </row>
        <row r="97">
          <cell r="H97">
            <v>441</v>
          </cell>
        </row>
        <row r="98">
          <cell r="H98">
            <v>976</v>
          </cell>
        </row>
        <row r="99">
          <cell r="H99">
            <v>163</v>
          </cell>
        </row>
        <row r="100">
          <cell r="H100">
            <v>129</v>
          </cell>
        </row>
        <row r="104">
          <cell r="H104">
            <v>161</v>
          </cell>
        </row>
        <row r="105">
          <cell r="H105">
            <v>59</v>
          </cell>
        </row>
        <row r="106">
          <cell r="H106">
            <v>339</v>
          </cell>
        </row>
        <row r="109">
          <cell r="H109">
            <v>136</v>
          </cell>
        </row>
        <row r="110">
          <cell r="H110">
            <v>87</v>
          </cell>
        </row>
        <row r="111">
          <cell r="H111">
            <v>433</v>
          </cell>
        </row>
        <row r="114">
          <cell r="H114">
            <v>22</v>
          </cell>
        </row>
        <row r="115">
          <cell r="H115">
            <v>107</v>
          </cell>
        </row>
        <row r="116">
          <cell r="H116">
            <v>200</v>
          </cell>
        </row>
        <row r="118">
          <cell r="H118">
            <v>240</v>
          </cell>
        </row>
        <row r="119">
          <cell r="H119">
            <v>340</v>
          </cell>
        </row>
        <row r="120">
          <cell r="H120">
            <v>108</v>
          </cell>
        </row>
      </sheetData>
      <sheetData sheetId="20">
        <row r="35">
          <cell r="H35">
            <v>25257.959999999963</v>
          </cell>
        </row>
        <row r="92">
          <cell r="H92">
            <v>1728</v>
          </cell>
        </row>
        <row r="93">
          <cell r="H93">
            <v>2467</v>
          </cell>
        </row>
        <row r="95">
          <cell r="H95">
            <v>1164</v>
          </cell>
        </row>
        <row r="96">
          <cell r="H96">
            <v>557</v>
          </cell>
        </row>
        <row r="97">
          <cell r="H97">
            <v>476</v>
          </cell>
        </row>
        <row r="98">
          <cell r="H98">
            <v>1052</v>
          </cell>
        </row>
        <row r="99">
          <cell r="H99">
            <v>193</v>
          </cell>
        </row>
        <row r="100">
          <cell r="H100">
            <v>152</v>
          </cell>
        </row>
        <row r="104">
          <cell r="H104">
            <v>74</v>
          </cell>
        </row>
        <row r="105">
          <cell r="H105">
            <v>65</v>
          </cell>
        </row>
        <row r="106">
          <cell r="H106">
            <v>345</v>
          </cell>
        </row>
        <row r="109">
          <cell r="H109">
            <v>159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35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267</v>
          </cell>
        </row>
        <row r="119">
          <cell r="H119">
            <v>327</v>
          </cell>
        </row>
        <row r="120">
          <cell r="H120">
            <v>188</v>
          </cell>
        </row>
      </sheetData>
      <sheetData sheetId="21">
        <row r="35">
          <cell r="H35">
            <v>28296.479999999981</v>
          </cell>
        </row>
        <row r="92">
          <cell r="H92">
            <v>1860</v>
          </cell>
        </row>
        <row r="93">
          <cell r="H93">
            <v>2621</v>
          </cell>
        </row>
        <row r="95">
          <cell r="H95">
            <v>1261</v>
          </cell>
        </row>
        <row r="96">
          <cell r="H96">
            <v>575</v>
          </cell>
        </row>
        <row r="97">
          <cell r="H97">
            <v>500</v>
          </cell>
        </row>
        <row r="98">
          <cell r="H98">
            <v>1108</v>
          </cell>
        </row>
        <row r="99">
          <cell r="H99">
            <v>210</v>
          </cell>
        </row>
        <row r="100">
          <cell r="H100">
            <v>158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103</v>
          </cell>
        </row>
        <row r="111">
          <cell r="H111">
            <v>433</v>
          </cell>
        </row>
        <row r="114">
          <cell r="H114">
            <v>21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205</v>
          </cell>
        </row>
        <row r="119">
          <cell r="H119">
            <v>245</v>
          </cell>
        </row>
        <row r="120">
          <cell r="H120">
            <v>124</v>
          </cell>
        </row>
      </sheetData>
      <sheetData sheetId="22">
        <row r="35">
          <cell r="H35">
            <v>31008.119999999995</v>
          </cell>
        </row>
        <row r="92">
          <cell r="H92">
            <v>1944</v>
          </cell>
        </row>
        <row r="93">
          <cell r="H93">
            <v>2755</v>
          </cell>
        </row>
        <row r="95">
          <cell r="H95">
            <v>1333</v>
          </cell>
        </row>
        <row r="96">
          <cell r="H96">
            <v>590</v>
          </cell>
        </row>
        <row r="97">
          <cell r="H97">
            <v>520</v>
          </cell>
        </row>
        <row r="98">
          <cell r="H98">
            <v>1143</v>
          </cell>
        </row>
        <row r="99">
          <cell r="H99">
            <v>224</v>
          </cell>
        </row>
        <row r="100">
          <cell r="H100">
            <v>164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339</v>
          </cell>
        </row>
        <row r="109">
          <cell r="H109">
            <v>116</v>
          </cell>
        </row>
        <row r="110">
          <cell r="H110">
            <v>82</v>
          </cell>
        </row>
        <row r="111">
          <cell r="H111">
            <v>455</v>
          </cell>
        </row>
        <row r="114">
          <cell r="H114">
            <v>17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158</v>
          </cell>
        </row>
        <row r="119">
          <cell r="H119">
            <v>210</v>
          </cell>
        </row>
        <row r="120">
          <cell r="H120">
            <v>105</v>
          </cell>
        </row>
      </sheetData>
      <sheetData sheetId="23">
        <row r="35">
          <cell r="H35">
            <v>33748.279999999912</v>
          </cell>
        </row>
        <row r="92">
          <cell r="H92">
            <v>2025</v>
          </cell>
        </row>
        <row r="93">
          <cell r="H93">
            <v>2892</v>
          </cell>
        </row>
        <row r="95">
          <cell r="H95">
            <v>1407</v>
          </cell>
        </row>
        <row r="96">
          <cell r="H96">
            <v>606</v>
          </cell>
        </row>
        <row r="97">
          <cell r="H97">
            <v>537</v>
          </cell>
        </row>
        <row r="98">
          <cell r="H98">
            <v>1221</v>
          </cell>
        </row>
        <row r="99">
          <cell r="H99">
            <v>246</v>
          </cell>
        </row>
        <row r="100">
          <cell r="H100">
            <v>169</v>
          </cell>
        </row>
        <row r="104">
          <cell r="H104">
            <v>74</v>
          </cell>
        </row>
        <row r="105">
          <cell r="H105">
            <v>56</v>
          </cell>
        </row>
        <row r="106">
          <cell r="H106">
            <v>344</v>
          </cell>
        </row>
        <row r="109">
          <cell r="H109">
            <v>136</v>
          </cell>
        </row>
        <row r="110">
          <cell r="H110">
            <v>137</v>
          </cell>
        </row>
        <row r="111">
          <cell r="H111">
            <v>440</v>
          </cell>
        </row>
        <row r="114">
          <cell r="H114">
            <v>25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151</v>
          </cell>
        </row>
        <row r="119">
          <cell r="H119">
            <v>217</v>
          </cell>
        </row>
        <row r="120">
          <cell r="H120">
            <v>165</v>
          </cell>
        </row>
      </sheetData>
      <sheetData sheetId="24">
        <row r="35">
          <cell r="H35">
            <v>36429.329999999958</v>
          </cell>
        </row>
        <row r="92">
          <cell r="H92">
            <v>2120</v>
          </cell>
        </row>
        <row r="93">
          <cell r="H93">
            <v>3034</v>
          </cell>
        </row>
        <row r="95">
          <cell r="H95">
            <v>1486</v>
          </cell>
        </row>
        <row r="96">
          <cell r="H96">
            <v>615</v>
          </cell>
        </row>
        <row r="97">
          <cell r="H97">
            <v>561</v>
          </cell>
        </row>
        <row r="98">
          <cell r="H98">
            <v>1284</v>
          </cell>
        </row>
        <row r="99">
          <cell r="H99">
            <v>269</v>
          </cell>
        </row>
        <row r="100">
          <cell r="H100">
            <v>175</v>
          </cell>
        </row>
        <row r="104">
          <cell r="H104">
            <v>74</v>
          </cell>
        </row>
        <row r="105">
          <cell r="H105">
            <v>63</v>
          </cell>
        </row>
        <row r="106">
          <cell r="H106">
            <v>350</v>
          </cell>
        </row>
        <row r="109">
          <cell r="H109">
            <v>176</v>
          </cell>
        </row>
        <row r="110">
          <cell r="H110">
            <v>168</v>
          </cell>
        </row>
        <row r="111">
          <cell r="H111">
            <v>440</v>
          </cell>
        </row>
        <row r="114">
          <cell r="H114">
            <v>51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296</v>
          </cell>
        </row>
        <row r="119">
          <cell r="H119">
            <v>358</v>
          </cell>
        </row>
        <row r="120">
          <cell r="H120">
            <v>236</v>
          </cell>
        </row>
      </sheetData>
      <sheetData sheetId="25">
        <row r="35">
          <cell r="H35">
            <v>39283.329999999958</v>
          </cell>
        </row>
        <row r="92">
          <cell r="H92">
            <v>2227</v>
          </cell>
        </row>
        <row r="93">
          <cell r="H93">
            <v>3167</v>
          </cell>
        </row>
        <row r="95">
          <cell r="H95">
            <v>1572</v>
          </cell>
        </row>
        <row r="96">
          <cell r="H96">
            <v>637</v>
          </cell>
        </row>
        <row r="97">
          <cell r="H97">
            <v>593</v>
          </cell>
        </row>
        <row r="98">
          <cell r="H98">
            <v>1352</v>
          </cell>
        </row>
        <row r="99">
          <cell r="H99">
            <v>290</v>
          </cell>
        </row>
        <row r="100">
          <cell r="H100">
            <v>183</v>
          </cell>
        </row>
        <row r="104">
          <cell r="H104">
            <v>74</v>
          </cell>
        </row>
        <row r="105">
          <cell r="H105">
            <v>76</v>
          </cell>
        </row>
        <row r="106">
          <cell r="H106">
            <v>358</v>
          </cell>
        </row>
        <row r="109">
          <cell r="H109">
            <v>235</v>
          </cell>
        </row>
        <row r="110">
          <cell r="H110">
            <v>243</v>
          </cell>
        </row>
        <row r="111">
          <cell r="H111">
            <v>460</v>
          </cell>
        </row>
        <row r="114">
          <cell r="H114">
            <v>77</v>
          </cell>
        </row>
        <row r="115">
          <cell r="H115">
            <v>102</v>
          </cell>
        </row>
        <row r="116">
          <cell r="H116">
            <v>200</v>
          </cell>
        </row>
        <row r="118">
          <cell r="H118">
            <v>454</v>
          </cell>
        </row>
        <row r="119">
          <cell r="H119">
            <v>527</v>
          </cell>
        </row>
        <row r="120">
          <cell r="H120">
            <v>390</v>
          </cell>
        </row>
      </sheetData>
      <sheetData sheetId="26">
        <row r="35">
          <cell r="H35">
            <v>42318.329999999958</v>
          </cell>
        </row>
        <row r="92">
          <cell r="H92">
            <v>2349</v>
          </cell>
        </row>
        <row r="93">
          <cell r="H93">
            <v>3277</v>
          </cell>
        </row>
        <row r="95">
          <cell r="H95">
            <v>1644</v>
          </cell>
        </row>
        <row r="96">
          <cell r="H96">
            <v>664</v>
          </cell>
        </row>
        <row r="97">
          <cell r="H97">
            <v>628</v>
          </cell>
        </row>
        <row r="98">
          <cell r="H98">
            <v>1439</v>
          </cell>
        </row>
        <row r="99">
          <cell r="H99">
            <v>305</v>
          </cell>
        </row>
        <row r="100">
          <cell r="H100">
            <v>195</v>
          </cell>
        </row>
        <row r="104">
          <cell r="H104">
            <v>74</v>
          </cell>
        </row>
        <row r="105">
          <cell r="H105">
            <v>83</v>
          </cell>
        </row>
        <row r="106">
          <cell r="H106">
            <v>364</v>
          </cell>
        </row>
        <row r="109">
          <cell r="H109">
            <v>295</v>
          </cell>
        </row>
        <row r="110">
          <cell r="H110">
            <v>343</v>
          </cell>
        </row>
        <row r="111">
          <cell r="H111">
            <v>466</v>
          </cell>
        </row>
        <row r="114">
          <cell r="H114">
            <v>94</v>
          </cell>
        </row>
        <row r="115">
          <cell r="H115">
            <v>111</v>
          </cell>
        </row>
        <row r="116">
          <cell r="H116">
            <v>200</v>
          </cell>
        </row>
        <row r="118">
          <cell r="H118">
            <v>627</v>
          </cell>
        </row>
        <row r="119">
          <cell r="H119">
            <v>688</v>
          </cell>
        </row>
        <row r="120">
          <cell r="H120">
            <v>556</v>
          </cell>
        </row>
      </sheetData>
      <sheetData sheetId="27">
        <row r="35">
          <cell r="H35">
            <v>0</v>
          </cell>
        </row>
        <row r="92">
          <cell r="H92">
            <v>-791</v>
          </cell>
        </row>
        <row r="93">
          <cell r="H93">
            <v>-1243</v>
          </cell>
        </row>
        <row r="95">
          <cell r="H95">
            <v>-591</v>
          </cell>
        </row>
        <row r="96">
          <cell r="H96">
            <v>-221</v>
          </cell>
        </row>
        <row r="97">
          <cell r="H97">
            <v>-204</v>
          </cell>
        </row>
        <row r="98">
          <cell r="H98">
            <v>-533</v>
          </cell>
        </row>
        <row r="99">
          <cell r="H99">
            <v>-170</v>
          </cell>
        </row>
        <row r="100">
          <cell r="H100">
            <v>-72</v>
          </cell>
        </row>
        <row r="104">
          <cell r="H104">
            <v>-13</v>
          </cell>
        </row>
        <row r="105">
          <cell r="H105">
            <v>-202</v>
          </cell>
        </row>
        <row r="106">
          <cell r="H106">
            <v>161</v>
          </cell>
        </row>
        <row r="109">
          <cell r="H109">
            <v>-1623</v>
          </cell>
        </row>
        <row r="110">
          <cell r="H110">
            <v>-1822</v>
          </cell>
        </row>
        <row r="111">
          <cell r="H111">
            <v>189</v>
          </cell>
        </row>
        <row r="114">
          <cell r="H114">
            <v>-566</v>
          </cell>
        </row>
        <row r="115">
          <cell r="H115">
            <v>-136</v>
          </cell>
        </row>
        <row r="116">
          <cell r="H116">
            <v>200</v>
          </cell>
        </row>
        <row r="118">
          <cell r="H118">
            <v>-4632</v>
          </cell>
        </row>
        <row r="119">
          <cell r="H119">
            <v>-4611</v>
          </cell>
        </row>
        <row r="120">
          <cell r="H120">
            <v>-3804</v>
          </cell>
        </row>
      </sheetData>
      <sheetData sheetId="28">
        <row r="35">
          <cell r="H35">
            <v>0</v>
          </cell>
        </row>
        <row r="92">
          <cell r="H92">
            <v>-688</v>
          </cell>
        </row>
        <row r="93">
          <cell r="H93">
            <v>-1123</v>
          </cell>
        </row>
        <row r="95">
          <cell r="H95">
            <v>-516</v>
          </cell>
        </row>
        <row r="96">
          <cell r="H96">
            <v>-203</v>
          </cell>
        </row>
        <row r="97">
          <cell r="H97">
            <v>-178</v>
          </cell>
        </row>
        <row r="98">
          <cell r="H98">
            <v>-477</v>
          </cell>
        </row>
        <row r="99">
          <cell r="H99">
            <v>-160</v>
          </cell>
        </row>
        <row r="100">
          <cell r="H100">
            <v>-59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342</v>
          </cell>
        </row>
        <row r="109">
          <cell r="H109">
            <v>121</v>
          </cell>
        </row>
        <row r="110">
          <cell r="H110">
            <v>86</v>
          </cell>
        </row>
        <row r="111">
          <cell r="H111">
            <v>446</v>
          </cell>
        </row>
        <row r="114">
          <cell r="H114">
            <v>12</v>
          </cell>
        </row>
        <row r="115">
          <cell r="H115">
            <v>99</v>
          </cell>
        </row>
        <row r="116">
          <cell r="H116">
            <v>200</v>
          </cell>
        </row>
        <row r="118">
          <cell r="H118">
            <v>169</v>
          </cell>
        </row>
        <row r="119">
          <cell r="H119">
            <v>225</v>
          </cell>
        </row>
        <row r="120">
          <cell r="H120">
            <v>105</v>
          </cell>
        </row>
      </sheetData>
      <sheetData sheetId="29">
        <row r="35">
          <cell r="H35">
            <v>0</v>
          </cell>
        </row>
        <row r="92">
          <cell r="H92">
            <v>-585</v>
          </cell>
        </row>
        <row r="93">
          <cell r="H93">
            <v>-974</v>
          </cell>
        </row>
        <row r="95">
          <cell r="H95">
            <v>-445</v>
          </cell>
        </row>
        <row r="96">
          <cell r="H96">
            <v>-178</v>
          </cell>
        </row>
        <row r="97">
          <cell r="H97">
            <v>-145</v>
          </cell>
        </row>
        <row r="98">
          <cell r="H98">
            <v>-432</v>
          </cell>
        </row>
        <row r="99">
          <cell r="H99">
            <v>-148</v>
          </cell>
        </row>
        <row r="100">
          <cell r="H100">
            <v>-50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339</v>
          </cell>
        </row>
        <row r="109">
          <cell r="H109">
            <v>137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15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176</v>
          </cell>
        </row>
        <row r="119">
          <cell r="H119">
            <v>233</v>
          </cell>
        </row>
        <row r="120">
          <cell r="H120">
            <v>102</v>
          </cell>
        </row>
      </sheetData>
      <sheetData sheetId="30">
        <row r="35">
          <cell r="H35">
            <v>0</v>
          </cell>
        </row>
        <row r="92">
          <cell r="H92">
            <v>-489</v>
          </cell>
        </row>
        <row r="93">
          <cell r="H93">
            <v>-813</v>
          </cell>
        </row>
        <row r="95">
          <cell r="H95">
            <v>-362</v>
          </cell>
        </row>
        <row r="96">
          <cell r="H96">
            <v>-154</v>
          </cell>
        </row>
        <row r="97">
          <cell r="H97">
            <v>-120</v>
          </cell>
        </row>
        <row r="98">
          <cell r="H98">
            <v>-382</v>
          </cell>
        </row>
        <row r="99">
          <cell r="H99">
            <v>-131</v>
          </cell>
        </row>
        <row r="100">
          <cell r="H100">
            <v>-42</v>
          </cell>
        </row>
        <row r="104">
          <cell r="H104">
            <v>74</v>
          </cell>
        </row>
        <row r="105">
          <cell r="H105">
            <v>62</v>
          </cell>
        </row>
        <row r="106">
          <cell r="H106">
            <v>341</v>
          </cell>
        </row>
        <row r="109">
          <cell r="H109">
            <v>117</v>
          </cell>
        </row>
        <row r="110">
          <cell r="H110">
            <v>105</v>
          </cell>
        </row>
        <row r="111">
          <cell r="H111">
            <v>447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172</v>
          </cell>
        </row>
        <row r="119">
          <cell r="H119">
            <v>240</v>
          </cell>
        </row>
        <row r="120">
          <cell r="H120">
            <v>121</v>
          </cell>
        </row>
      </sheetData>
      <sheetData sheetId="31">
        <row r="35">
          <cell r="H35">
            <v>0</v>
          </cell>
        </row>
        <row r="92">
          <cell r="H92">
            <v>-381</v>
          </cell>
        </row>
        <row r="93">
          <cell r="H93">
            <v>-708</v>
          </cell>
        </row>
        <row r="95">
          <cell r="H95">
            <v>-302</v>
          </cell>
        </row>
        <row r="96">
          <cell r="H96">
            <v>-135</v>
          </cell>
        </row>
        <row r="97">
          <cell r="H97">
            <v>-95</v>
          </cell>
        </row>
        <row r="98">
          <cell r="H98">
            <v>-320</v>
          </cell>
        </row>
        <row r="99">
          <cell r="H99">
            <v>-92</v>
          </cell>
        </row>
        <row r="100">
          <cell r="H100">
            <v>-32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337</v>
          </cell>
        </row>
        <row r="109">
          <cell r="H109">
            <v>118</v>
          </cell>
        </row>
        <row r="110">
          <cell r="H110">
            <v>105</v>
          </cell>
        </row>
        <row r="111">
          <cell r="H111">
            <v>433</v>
          </cell>
        </row>
        <row r="114">
          <cell r="H114">
            <v>44</v>
          </cell>
        </row>
        <row r="115">
          <cell r="H115">
            <v>97</v>
          </cell>
        </row>
        <row r="116">
          <cell r="H116">
            <v>200</v>
          </cell>
        </row>
        <row r="118">
          <cell r="H118">
            <v>180</v>
          </cell>
        </row>
        <row r="119">
          <cell r="H119">
            <v>236</v>
          </cell>
        </row>
        <row r="120">
          <cell r="H120">
            <v>108</v>
          </cell>
        </row>
      </sheetData>
      <sheetData sheetId="32">
        <row r="35">
          <cell r="H35">
            <v>0</v>
          </cell>
        </row>
        <row r="92">
          <cell r="H92">
            <v>-291</v>
          </cell>
        </row>
        <row r="93">
          <cell r="H93">
            <v>-595</v>
          </cell>
        </row>
        <row r="95">
          <cell r="H95">
            <v>-231</v>
          </cell>
        </row>
        <row r="96">
          <cell r="H96">
            <v>-120</v>
          </cell>
        </row>
        <row r="97">
          <cell r="H97">
            <v>-82</v>
          </cell>
        </row>
        <row r="98">
          <cell r="H98">
            <v>-256</v>
          </cell>
        </row>
        <row r="99">
          <cell r="H99">
            <v>-60</v>
          </cell>
        </row>
        <row r="100">
          <cell r="H100">
            <v>-27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341</v>
          </cell>
        </row>
        <row r="109">
          <cell r="H109">
            <v>118</v>
          </cell>
        </row>
        <row r="110">
          <cell r="H110">
            <v>104</v>
          </cell>
        </row>
        <row r="111">
          <cell r="H111">
            <v>438</v>
          </cell>
        </row>
        <row r="114">
          <cell r="H114">
            <v>37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167</v>
          </cell>
        </row>
        <row r="119">
          <cell r="H119">
            <v>219</v>
          </cell>
        </row>
        <row r="120">
          <cell r="H120">
            <v>112</v>
          </cell>
        </row>
      </sheetData>
      <sheetData sheetId="33">
        <row r="35">
          <cell r="H35">
            <v>0.32999999995809048</v>
          </cell>
        </row>
        <row r="92">
          <cell r="H92">
            <v>-234</v>
          </cell>
        </row>
        <row r="93">
          <cell r="H93">
            <v>-495</v>
          </cell>
        </row>
        <row r="95">
          <cell r="H95">
            <v>-188</v>
          </cell>
        </row>
        <row r="96">
          <cell r="H96">
            <v>-97</v>
          </cell>
        </row>
        <row r="97">
          <cell r="H97">
            <v>-71</v>
          </cell>
        </row>
        <row r="98">
          <cell r="H98">
            <v>-197</v>
          </cell>
        </row>
        <row r="99">
          <cell r="H99">
            <v>-38</v>
          </cell>
        </row>
        <row r="100">
          <cell r="H100">
            <v>-19</v>
          </cell>
        </row>
        <row r="104">
          <cell r="H104">
            <v>74</v>
          </cell>
        </row>
        <row r="105">
          <cell r="H105">
            <v>48</v>
          </cell>
        </row>
        <row r="106">
          <cell r="H106">
            <v>334</v>
          </cell>
        </row>
        <row r="109">
          <cell r="H109">
            <v>139</v>
          </cell>
        </row>
        <row r="110">
          <cell r="H110">
            <v>93</v>
          </cell>
        </row>
        <row r="111">
          <cell r="H111">
            <v>433</v>
          </cell>
        </row>
        <row r="114">
          <cell r="H114">
            <v>25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133</v>
          </cell>
        </row>
        <row r="119">
          <cell r="H119">
            <v>190</v>
          </cell>
        </row>
        <row r="120">
          <cell r="H120">
            <v>117</v>
          </cell>
        </row>
      </sheetData>
      <sheetData sheetId="34">
        <row r="35">
          <cell r="H35">
            <v>0.32999999995809048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E1" sqref="E1"/>
    </sheetView>
  </sheetViews>
  <sheetFormatPr defaultColWidth="9" defaultRowHeight="15"/>
  <cols>
    <col min="1" max="1" width="9.6640625" style="1254" customWidth="1"/>
    <col min="2" max="3" width="9" style="1248"/>
    <col min="4" max="4" width="10.44140625" style="1249" customWidth="1"/>
    <col min="5" max="5" width="9.77734375" style="1250" customWidth="1"/>
    <col min="6" max="6" width="9.77734375" style="1254" customWidth="1"/>
    <col min="7" max="10" width="9" style="1254"/>
    <col min="11" max="12" width="9" style="1250"/>
    <col min="13" max="13" width="0" style="1253" hidden="1" customWidth="1"/>
    <col min="14" max="256" width="9" style="1253"/>
    <col min="257" max="257" width="9.6640625" style="1253" customWidth="1"/>
    <col min="258" max="259" width="9" style="1253"/>
    <col min="260" max="260" width="10.44140625" style="1253" customWidth="1"/>
    <col min="261" max="262" width="9.77734375" style="1253" customWidth="1"/>
    <col min="263" max="268" width="9" style="1253"/>
    <col min="269" max="269" width="0" style="1253" hidden="1" customWidth="1"/>
    <col min="270" max="512" width="9" style="1253"/>
    <col min="513" max="513" width="9.6640625" style="1253" customWidth="1"/>
    <col min="514" max="515" width="9" style="1253"/>
    <col min="516" max="516" width="10.44140625" style="1253" customWidth="1"/>
    <col min="517" max="518" width="9.77734375" style="1253" customWidth="1"/>
    <col min="519" max="524" width="9" style="1253"/>
    <col min="525" max="525" width="0" style="1253" hidden="1" customWidth="1"/>
    <col min="526" max="768" width="9" style="1253"/>
    <col min="769" max="769" width="9.6640625" style="1253" customWidth="1"/>
    <col min="770" max="771" width="9" style="1253"/>
    <col min="772" max="772" width="10.44140625" style="1253" customWidth="1"/>
    <col min="773" max="774" width="9.77734375" style="1253" customWidth="1"/>
    <col min="775" max="780" width="9" style="1253"/>
    <col min="781" max="781" width="0" style="1253" hidden="1" customWidth="1"/>
    <col min="782" max="1024" width="9" style="1253"/>
    <col min="1025" max="1025" width="9.6640625" style="1253" customWidth="1"/>
    <col min="1026" max="1027" width="9" style="1253"/>
    <col min="1028" max="1028" width="10.44140625" style="1253" customWidth="1"/>
    <col min="1029" max="1030" width="9.77734375" style="1253" customWidth="1"/>
    <col min="1031" max="1036" width="9" style="1253"/>
    <col min="1037" max="1037" width="0" style="1253" hidden="1" customWidth="1"/>
    <col min="1038" max="1280" width="9" style="1253"/>
    <col min="1281" max="1281" width="9.6640625" style="1253" customWidth="1"/>
    <col min="1282" max="1283" width="9" style="1253"/>
    <col min="1284" max="1284" width="10.44140625" style="1253" customWidth="1"/>
    <col min="1285" max="1286" width="9.77734375" style="1253" customWidth="1"/>
    <col min="1287" max="1292" width="9" style="1253"/>
    <col min="1293" max="1293" width="0" style="1253" hidden="1" customWidth="1"/>
    <col min="1294" max="1536" width="9" style="1253"/>
    <col min="1537" max="1537" width="9.6640625" style="1253" customWidth="1"/>
    <col min="1538" max="1539" width="9" style="1253"/>
    <col min="1540" max="1540" width="10.44140625" style="1253" customWidth="1"/>
    <col min="1541" max="1542" width="9.77734375" style="1253" customWidth="1"/>
    <col min="1543" max="1548" width="9" style="1253"/>
    <col min="1549" max="1549" width="0" style="1253" hidden="1" customWidth="1"/>
    <col min="1550" max="1792" width="9" style="1253"/>
    <col min="1793" max="1793" width="9.6640625" style="1253" customWidth="1"/>
    <col min="1794" max="1795" width="9" style="1253"/>
    <col min="1796" max="1796" width="10.44140625" style="1253" customWidth="1"/>
    <col min="1797" max="1798" width="9.77734375" style="1253" customWidth="1"/>
    <col min="1799" max="1804" width="9" style="1253"/>
    <col min="1805" max="1805" width="0" style="1253" hidden="1" customWidth="1"/>
    <col min="1806" max="2048" width="9" style="1253"/>
    <col min="2049" max="2049" width="9.6640625" style="1253" customWidth="1"/>
    <col min="2050" max="2051" width="9" style="1253"/>
    <col min="2052" max="2052" width="10.44140625" style="1253" customWidth="1"/>
    <col min="2053" max="2054" width="9.77734375" style="1253" customWidth="1"/>
    <col min="2055" max="2060" width="9" style="1253"/>
    <col min="2061" max="2061" width="0" style="1253" hidden="1" customWidth="1"/>
    <col min="2062" max="2304" width="9" style="1253"/>
    <col min="2305" max="2305" width="9.6640625" style="1253" customWidth="1"/>
    <col min="2306" max="2307" width="9" style="1253"/>
    <col min="2308" max="2308" width="10.44140625" style="1253" customWidth="1"/>
    <col min="2309" max="2310" width="9.77734375" style="1253" customWidth="1"/>
    <col min="2311" max="2316" width="9" style="1253"/>
    <col min="2317" max="2317" width="0" style="1253" hidden="1" customWidth="1"/>
    <col min="2318" max="2560" width="9" style="1253"/>
    <col min="2561" max="2561" width="9.6640625" style="1253" customWidth="1"/>
    <col min="2562" max="2563" width="9" style="1253"/>
    <col min="2564" max="2564" width="10.44140625" style="1253" customWidth="1"/>
    <col min="2565" max="2566" width="9.77734375" style="1253" customWidth="1"/>
    <col min="2567" max="2572" width="9" style="1253"/>
    <col min="2573" max="2573" width="0" style="1253" hidden="1" customWidth="1"/>
    <col min="2574" max="2816" width="9" style="1253"/>
    <col min="2817" max="2817" width="9.6640625" style="1253" customWidth="1"/>
    <col min="2818" max="2819" width="9" style="1253"/>
    <col min="2820" max="2820" width="10.44140625" style="1253" customWidth="1"/>
    <col min="2821" max="2822" width="9.77734375" style="1253" customWidth="1"/>
    <col min="2823" max="2828" width="9" style="1253"/>
    <col min="2829" max="2829" width="0" style="1253" hidden="1" customWidth="1"/>
    <col min="2830" max="3072" width="9" style="1253"/>
    <col min="3073" max="3073" width="9.6640625" style="1253" customWidth="1"/>
    <col min="3074" max="3075" width="9" style="1253"/>
    <col min="3076" max="3076" width="10.44140625" style="1253" customWidth="1"/>
    <col min="3077" max="3078" width="9.77734375" style="1253" customWidth="1"/>
    <col min="3079" max="3084" width="9" style="1253"/>
    <col min="3085" max="3085" width="0" style="1253" hidden="1" customWidth="1"/>
    <col min="3086" max="3328" width="9" style="1253"/>
    <col min="3329" max="3329" width="9.6640625" style="1253" customWidth="1"/>
    <col min="3330" max="3331" width="9" style="1253"/>
    <col min="3332" max="3332" width="10.44140625" style="1253" customWidth="1"/>
    <col min="3333" max="3334" width="9.77734375" style="1253" customWidth="1"/>
    <col min="3335" max="3340" width="9" style="1253"/>
    <col min="3341" max="3341" width="0" style="1253" hidden="1" customWidth="1"/>
    <col min="3342" max="3584" width="9" style="1253"/>
    <col min="3585" max="3585" width="9.6640625" style="1253" customWidth="1"/>
    <col min="3586" max="3587" width="9" style="1253"/>
    <col min="3588" max="3588" width="10.44140625" style="1253" customWidth="1"/>
    <col min="3589" max="3590" width="9.77734375" style="1253" customWidth="1"/>
    <col min="3591" max="3596" width="9" style="1253"/>
    <col min="3597" max="3597" width="0" style="1253" hidden="1" customWidth="1"/>
    <col min="3598" max="3840" width="9" style="1253"/>
    <col min="3841" max="3841" width="9.6640625" style="1253" customWidth="1"/>
    <col min="3842" max="3843" width="9" style="1253"/>
    <col min="3844" max="3844" width="10.44140625" style="1253" customWidth="1"/>
    <col min="3845" max="3846" width="9.77734375" style="1253" customWidth="1"/>
    <col min="3847" max="3852" width="9" style="1253"/>
    <col min="3853" max="3853" width="0" style="1253" hidden="1" customWidth="1"/>
    <col min="3854" max="4096" width="9" style="1253"/>
    <col min="4097" max="4097" width="9.6640625" style="1253" customWidth="1"/>
    <col min="4098" max="4099" width="9" style="1253"/>
    <col min="4100" max="4100" width="10.44140625" style="1253" customWidth="1"/>
    <col min="4101" max="4102" width="9.77734375" style="1253" customWidth="1"/>
    <col min="4103" max="4108" width="9" style="1253"/>
    <col min="4109" max="4109" width="0" style="1253" hidden="1" customWidth="1"/>
    <col min="4110" max="4352" width="9" style="1253"/>
    <col min="4353" max="4353" width="9.6640625" style="1253" customWidth="1"/>
    <col min="4354" max="4355" width="9" style="1253"/>
    <col min="4356" max="4356" width="10.44140625" style="1253" customWidth="1"/>
    <col min="4357" max="4358" width="9.77734375" style="1253" customWidth="1"/>
    <col min="4359" max="4364" width="9" style="1253"/>
    <col min="4365" max="4365" width="0" style="1253" hidden="1" customWidth="1"/>
    <col min="4366" max="4608" width="9" style="1253"/>
    <col min="4609" max="4609" width="9.6640625" style="1253" customWidth="1"/>
    <col min="4610" max="4611" width="9" style="1253"/>
    <col min="4612" max="4612" width="10.44140625" style="1253" customWidth="1"/>
    <col min="4613" max="4614" width="9.77734375" style="1253" customWidth="1"/>
    <col min="4615" max="4620" width="9" style="1253"/>
    <col min="4621" max="4621" width="0" style="1253" hidden="1" customWidth="1"/>
    <col min="4622" max="4864" width="9" style="1253"/>
    <col min="4865" max="4865" width="9.6640625" style="1253" customWidth="1"/>
    <col min="4866" max="4867" width="9" style="1253"/>
    <col min="4868" max="4868" width="10.44140625" style="1253" customWidth="1"/>
    <col min="4869" max="4870" width="9.77734375" style="1253" customWidth="1"/>
    <col min="4871" max="4876" width="9" style="1253"/>
    <col min="4877" max="4877" width="0" style="1253" hidden="1" customWidth="1"/>
    <col min="4878" max="5120" width="9" style="1253"/>
    <col min="5121" max="5121" width="9.6640625" style="1253" customWidth="1"/>
    <col min="5122" max="5123" width="9" style="1253"/>
    <col min="5124" max="5124" width="10.44140625" style="1253" customWidth="1"/>
    <col min="5125" max="5126" width="9.77734375" style="1253" customWidth="1"/>
    <col min="5127" max="5132" width="9" style="1253"/>
    <col min="5133" max="5133" width="0" style="1253" hidden="1" customWidth="1"/>
    <col min="5134" max="5376" width="9" style="1253"/>
    <col min="5377" max="5377" width="9.6640625" style="1253" customWidth="1"/>
    <col min="5378" max="5379" width="9" style="1253"/>
    <col min="5380" max="5380" width="10.44140625" style="1253" customWidth="1"/>
    <col min="5381" max="5382" width="9.77734375" style="1253" customWidth="1"/>
    <col min="5383" max="5388" width="9" style="1253"/>
    <col min="5389" max="5389" width="0" style="1253" hidden="1" customWidth="1"/>
    <col min="5390" max="5632" width="9" style="1253"/>
    <col min="5633" max="5633" width="9.6640625" style="1253" customWidth="1"/>
    <col min="5634" max="5635" width="9" style="1253"/>
    <col min="5636" max="5636" width="10.44140625" style="1253" customWidth="1"/>
    <col min="5637" max="5638" width="9.77734375" style="1253" customWidth="1"/>
    <col min="5639" max="5644" width="9" style="1253"/>
    <col min="5645" max="5645" width="0" style="1253" hidden="1" customWidth="1"/>
    <col min="5646" max="5888" width="9" style="1253"/>
    <col min="5889" max="5889" width="9.6640625" style="1253" customWidth="1"/>
    <col min="5890" max="5891" width="9" style="1253"/>
    <col min="5892" max="5892" width="10.44140625" style="1253" customWidth="1"/>
    <col min="5893" max="5894" width="9.77734375" style="1253" customWidth="1"/>
    <col min="5895" max="5900" width="9" style="1253"/>
    <col min="5901" max="5901" width="0" style="1253" hidden="1" customWidth="1"/>
    <col min="5902" max="6144" width="9" style="1253"/>
    <col min="6145" max="6145" width="9.6640625" style="1253" customWidth="1"/>
    <col min="6146" max="6147" width="9" style="1253"/>
    <col min="6148" max="6148" width="10.44140625" style="1253" customWidth="1"/>
    <col min="6149" max="6150" width="9.77734375" style="1253" customWidth="1"/>
    <col min="6151" max="6156" width="9" style="1253"/>
    <col min="6157" max="6157" width="0" style="1253" hidden="1" customWidth="1"/>
    <col min="6158" max="6400" width="9" style="1253"/>
    <col min="6401" max="6401" width="9.6640625" style="1253" customWidth="1"/>
    <col min="6402" max="6403" width="9" style="1253"/>
    <col min="6404" max="6404" width="10.44140625" style="1253" customWidth="1"/>
    <col min="6405" max="6406" width="9.77734375" style="1253" customWidth="1"/>
    <col min="6407" max="6412" width="9" style="1253"/>
    <col min="6413" max="6413" width="0" style="1253" hidden="1" customWidth="1"/>
    <col min="6414" max="6656" width="9" style="1253"/>
    <col min="6657" max="6657" width="9.6640625" style="1253" customWidth="1"/>
    <col min="6658" max="6659" width="9" style="1253"/>
    <col min="6660" max="6660" width="10.44140625" style="1253" customWidth="1"/>
    <col min="6661" max="6662" width="9.77734375" style="1253" customWidth="1"/>
    <col min="6663" max="6668" width="9" style="1253"/>
    <col min="6669" max="6669" width="0" style="1253" hidden="1" customWidth="1"/>
    <col min="6670" max="6912" width="9" style="1253"/>
    <col min="6913" max="6913" width="9.6640625" style="1253" customWidth="1"/>
    <col min="6914" max="6915" width="9" style="1253"/>
    <col min="6916" max="6916" width="10.44140625" style="1253" customWidth="1"/>
    <col min="6917" max="6918" width="9.77734375" style="1253" customWidth="1"/>
    <col min="6919" max="6924" width="9" style="1253"/>
    <col min="6925" max="6925" width="0" style="1253" hidden="1" customWidth="1"/>
    <col min="6926" max="7168" width="9" style="1253"/>
    <col min="7169" max="7169" width="9.6640625" style="1253" customWidth="1"/>
    <col min="7170" max="7171" width="9" style="1253"/>
    <col min="7172" max="7172" width="10.44140625" style="1253" customWidth="1"/>
    <col min="7173" max="7174" width="9.77734375" style="1253" customWidth="1"/>
    <col min="7175" max="7180" width="9" style="1253"/>
    <col min="7181" max="7181" width="0" style="1253" hidden="1" customWidth="1"/>
    <col min="7182" max="7424" width="9" style="1253"/>
    <col min="7425" max="7425" width="9.6640625" style="1253" customWidth="1"/>
    <col min="7426" max="7427" width="9" style="1253"/>
    <col min="7428" max="7428" width="10.44140625" style="1253" customWidth="1"/>
    <col min="7429" max="7430" width="9.77734375" style="1253" customWidth="1"/>
    <col min="7431" max="7436" width="9" style="1253"/>
    <col min="7437" max="7437" width="0" style="1253" hidden="1" customWidth="1"/>
    <col min="7438" max="7680" width="9" style="1253"/>
    <col min="7681" max="7681" width="9.6640625" style="1253" customWidth="1"/>
    <col min="7682" max="7683" width="9" style="1253"/>
    <col min="7684" max="7684" width="10.44140625" style="1253" customWidth="1"/>
    <col min="7685" max="7686" width="9.77734375" style="1253" customWidth="1"/>
    <col min="7687" max="7692" width="9" style="1253"/>
    <col min="7693" max="7693" width="0" style="1253" hidden="1" customWidth="1"/>
    <col min="7694" max="7936" width="9" style="1253"/>
    <col min="7937" max="7937" width="9.6640625" style="1253" customWidth="1"/>
    <col min="7938" max="7939" width="9" style="1253"/>
    <col min="7940" max="7940" width="10.44140625" style="1253" customWidth="1"/>
    <col min="7941" max="7942" width="9.77734375" style="1253" customWidth="1"/>
    <col min="7943" max="7948" width="9" style="1253"/>
    <col min="7949" max="7949" width="0" style="1253" hidden="1" customWidth="1"/>
    <col min="7950" max="8192" width="9" style="1253"/>
    <col min="8193" max="8193" width="9.6640625" style="1253" customWidth="1"/>
    <col min="8194" max="8195" width="9" style="1253"/>
    <col min="8196" max="8196" width="10.44140625" style="1253" customWidth="1"/>
    <col min="8197" max="8198" width="9.77734375" style="1253" customWidth="1"/>
    <col min="8199" max="8204" width="9" style="1253"/>
    <col min="8205" max="8205" width="0" style="1253" hidden="1" customWidth="1"/>
    <col min="8206" max="8448" width="9" style="1253"/>
    <col min="8449" max="8449" width="9.6640625" style="1253" customWidth="1"/>
    <col min="8450" max="8451" width="9" style="1253"/>
    <col min="8452" max="8452" width="10.44140625" style="1253" customWidth="1"/>
    <col min="8453" max="8454" width="9.77734375" style="1253" customWidth="1"/>
    <col min="8455" max="8460" width="9" style="1253"/>
    <col min="8461" max="8461" width="0" style="1253" hidden="1" customWidth="1"/>
    <col min="8462" max="8704" width="9" style="1253"/>
    <col min="8705" max="8705" width="9.6640625" style="1253" customWidth="1"/>
    <col min="8706" max="8707" width="9" style="1253"/>
    <col min="8708" max="8708" width="10.44140625" style="1253" customWidth="1"/>
    <col min="8709" max="8710" width="9.77734375" style="1253" customWidth="1"/>
    <col min="8711" max="8716" width="9" style="1253"/>
    <col min="8717" max="8717" width="0" style="1253" hidden="1" customWidth="1"/>
    <col min="8718" max="8960" width="9" style="1253"/>
    <col min="8961" max="8961" width="9.6640625" style="1253" customWidth="1"/>
    <col min="8962" max="8963" width="9" style="1253"/>
    <col min="8964" max="8964" width="10.44140625" style="1253" customWidth="1"/>
    <col min="8965" max="8966" width="9.77734375" style="1253" customWidth="1"/>
    <col min="8967" max="8972" width="9" style="1253"/>
    <col min="8973" max="8973" width="0" style="1253" hidden="1" customWidth="1"/>
    <col min="8974" max="9216" width="9" style="1253"/>
    <col min="9217" max="9217" width="9.6640625" style="1253" customWidth="1"/>
    <col min="9218" max="9219" width="9" style="1253"/>
    <col min="9220" max="9220" width="10.44140625" style="1253" customWidth="1"/>
    <col min="9221" max="9222" width="9.77734375" style="1253" customWidth="1"/>
    <col min="9223" max="9228" width="9" style="1253"/>
    <col min="9229" max="9229" width="0" style="1253" hidden="1" customWidth="1"/>
    <col min="9230" max="9472" width="9" style="1253"/>
    <col min="9473" max="9473" width="9.6640625" style="1253" customWidth="1"/>
    <col min="9474" max="9475" width="9" style="1253"/>
    <col min="9476" max="9476" width="10.44140625" style="1253" customWidth="1"/>
    <col min="9477" max="9478" width="9.77734375" style="1253" customWidth="1"/>
    <col min="9479" max="9484" width="9" style="1253"/>
    <col min="9485" max="9485" width="0" style="1253" hidden="1" customWidth="1"/>
    <col min="9486" max="9728" width="9" style="1253"/>
    <col min="9729" max="9729" width="9.6640625" style="1253" customWidth="1"/>
    <col min="9730" max="9731" width="9" style="1253"/>
    <col min="9732" max="9732" width="10.44140625" style="1253" customWidth="1"/>
    <col min="9733" max="9734" width="9.77734375" style="1253" customWidth="1"/>
    <col min="9735" max="9740" width="9" style="1253"/>
    <col min="9741" max="9741" width="0" style="1253" hidden="1" customWidth="1"/>
    <col min="9742" max="9984" width="9" style="1253"/>
    <col min="9985" max="9985" width="9.6640625" style="1253" customWidth="1"/>
    <col min="9986" max="9987" width="9" style="1253"/>
    <col min="9988" max="9988" width="10.44140625" style="1253" customWidth="1"/>
    <col min="9989" max="9990" width="9.77734375" style="1253" customWidth="1"/>
    <col min="9991" max="9996" width="9" style="1253"/>
    <col min="9997" max="9997" width="0" style="1253" hidden="1" customWidth="1"/>
    <col min="9998" max="10240" width="9" style="1253"/>
    <col min="10241" max="10241" width="9.6640625" style="1253" customWidth="1"/>
    <col min="10242" max="10243" width="9" style="1253"/>
    <col min="10244" max="10244" width="10.44140625" style="1253" customWidth="1"/>
    <col min="10245" max="10246" width="9.77734375" style="1253" customWidth="1"/>
    <col min="10247" max="10252" width="9" style="1253"/>
    <col min="10253" max="10253" width="0" style="1253" hidden="1" customWidth="1"/>
    <col min="10254" max="10496" width="9" style="1253"/>
    <col min="10497" max="10497" width="9.6640625" style="1253" customWidth="1"/>
    <col min="10498" max="10499" width="9" style="1253"/>
    <col min="10500" max="10500" width="10.44140625" style="1253" customWidth="1"/>
    <col min="10501" max="10502" width="9.77734375" style="1253" customWidth="1"/>
    <col min="10503" max="10508" width="9" style="1253"/>
    <col min="10509" max="10509" width="0" style="1253" hidden="1" customWidth="1"/>
    <col min="10510" max="10752" width="9" style="1253"/>
    <col min="10753" max="10753" width="9.6640625" style="1253" customWidth="1"/>
    <col min="10754" max="10755" width="9" style="1253"/>
    <col min="10756" max="10756" width="10.44140625" style="1253" customWidth="1"/>
    <col min="10757" max="10758" width="9.77734375" style="1253" customWidth="1"/>
    <col min="10759" max="10764" width="9" style="1253"/>
    <col min="10765" max="10765" width="0" style="1253" hidden="1" customWidth="1"/>
    <col min="10766" max="11008" width="9" style="1253"/>
    <col min="11009" max="11009" width="9.6640625" style="1253" customWidth="1"/>
    <col min="11010" max="11011" width="9" style="1253"/>
    <col min="11012" max="11012" width="10.44140625" style="1253" customWidth="1"/>
    <col min="11013" max="11014" width="9.77734375" style="1253" customWidth="1"/>
    <col min="11015" max="11020" width="9" style="1253"/>
    <col min="11021" max="11021" width="0" style="1253" hidden="1" customWidth="1"/>
    <col min="11022" max="11264" width="9" style="1253"/>
    <col min="11265" max="11265" width="9.6640625" style="1253" customWidth="1"/>
    <col min="11266" max="11267" width="9" style="1253"/>
    <col min="11268" max="11268" width="10.44140625" style="1253" customWidth="1"/>
    <col min="11269" max="11270" width="9.77734375" style="1253" customWidth="1"/>
    <col min="11271" max="11276" width="9" style="1253"/>
    <col min="11277" max="11277" width="0" style="1253" hidden="1" customWidth="1"/>
    <col min="11278" max="11520" width="9" style="1253"/>
    <col min="11521" max="11521" width="9.6640625" style="1253" customWidth="1"/>
    <col min="11522" max="11523" width="9" style="1253"/>
    <col min="11524" max="11524" width="10.44140625" style="1253" customWidth="1"/>
    <col min="11525" max="11526" width="9.77734375" style="1253" customWidth="1"/>
    <col min="11527" max="11532" width="9" style="1253"/>
    <col min="11533" max="11533" width="0" style="1253" hidden="1" customWidth="1"/>
    <col min="11534" max="11776" width="9" style="1253"/>
    <col min="11777" max="11777" width="9.6640625" style="1253" customWidth="1"/>
    <col min="11778" max="11779" width="9" style="1253"/>
    <col min="11780" max="11780" width="10.44140625" style="1253" customWidth="1"/>
    <col min="11781" max="11782" width="9.77734375" style="1253" customWidth="1"/>
    <col min="11783" max="11788" width="9" style="1253"/>
    <col min="11789" max="11789" width="0" style="1253" hidden="1" customWidth="1"/>
    <col min="11790" max="12032" width="9" style="1253"/>
    <col min="12033" max="12033" width="9.6640625" style="1253" customWidth="1"/>
    <col min="12034" max="12035" width="9" style="1253"/>
    <col min="12036" max="12036" width="10.44140625" style="1253" customWidth="1"/>
    <col min="12037" max="12038" width="9.77734375" style="1253" customWidth="1"/>
    <col min="12039" max="12044" width="9" style="1253"/>
    <col min="12045" max="12045" width="0" style="1253" hidden="1" customWidth="1"/>
    <col min="12046" max="12288" width="9" style="1253"/>
    <col min="12289" max="12289" width="9.6640625" style="1253" customWidth="1"/>
    <col min="12290" max="12291" width="9" style="1253"/>
    <col min="12292" max="12292" width="10.44140625" style="1253" customWidth="1"/>
    <col min="12293" max="12294" width="9.77734375" style="1253" customWidth="1"/>
    <col min="12295" max="12300" width="9" style="1253"/>
    <col min="12301" max="12301" width="0" style="1253" hidden="1" customWidth="1"/>
    <col min="12302" max="12544" width="9" style="1253"/>
    <col min="12545" max="12545" width="9.6640625" style="1253" customWidth="1"/>
    <col min="12546" max="12547" width="9" style="1253"/>
    <col min="12548" max="12548" width="10.44140625" style="1253" customWidth="1"/>
    <col min="12549" max="12550" width="9.77734375" style="1253" customWidth="1"/>
    <col min="12551" max="12556" width="9" style="1253"/>
    <col min="12557" max="12557" width="0" style="1253" hidden="1" customWidth="1"/>
    <col min="12558" max="12800" width="9" style="1253"/>
    <col min="12801" max="12801" width="9.6640625" style="1253" customWidth="1"/>
    <col min="12802" max="12803" width="9" style="1253"/>
    <col min="12804" max="12804" width="10.44140625" style="1253" customWidth="1"/>
    <col min="12805" max="12806" width="9.77734375" style="1253" customWidth="1"/>
    <col min="12807" max="12812" width="9" style="1253"/>
    <col min="12813" max="12813" width="0" style="1253" hidden="1" customWidth="1"/>
    <col min="12814" max="13056" width="9" style="1253"/>
    <col min="13057" max="13057" width="9.6640625" style="1253" customWidth="1"/>
    <col min="13058" max="13059" width="9" style="1253"/>
    <col min="13060" max="13060" width="10.44140625" style="1253" customWidth="1"/>
    <col min="13061" max="13062" width="9.77734375" style="1253" customWidth="1"/>
    <col min="13063" max="13068" width="9" style="1253"/>
    <col min="13069" max="13069" width="0" style="1253" hidden="1" customWidth="1"/>
    <col min="13070" max="13312" width="9" style="1253"/>
    <col min="13313" max="13313" width="9.6640625" style="1253" customWidth="1"/>
    <col min="13314" max="13315" width="9" style="1253"/>
    <col min="13316" max="13316" width="10.44140625" style="1253" customWidth="1"/>
    <col min="13317" max="13318" width="9.77734375" style="1253" customWidth="1"/>
    <col min="13319" max="13324" width="9" style="1253"/>
    <col min="13325" max="13325" width="0" style="1253" hidden="1" customWidth="1"/>
    <col min="13326" max="13568" width="9" style="1253"/>
    <col min="13569" max="13569" width="9.6640625" style="1253" customWidth="1"/>
    <col min="13570" max="13571" width="9" style="1253"/>
    <col min="13572" max="13572" width="10.44140625" style="1253" customWidth="1"/>
    <col min="13573" max="13574" width="9.77734375" style="1253" customWidth="1"/>
    <col min="13575" max="13580" width="9" style="1253"/>
    <col min="13581" max="13581" width="0" style="1253" hidden="1" customWidth="1"/>
    <col min="13582" max="13824" width="9" style="1253"/>
    <col min="13825" max="13825" width="9.6640625" style="1253" customWidth="1"/>
    <col min="13826" max="13827" width="9" style="1253"/>
    <col min="13828" max="13828" width="10.44140625" style="1253" customWidth="1"/>
    <col min="13829" max="13830" width="9.77734375" style="1253" customWidth="1"/>
    <col min="13831" max="13836" width="9" style="1253"/>
    <col min="13837" max="13837" width="0" style="1253" hidden="1" customWidth="1"/>
    <col min="13838" max="14080" width="9" style="1253"/>
    <col min="14081" max="14081" width="9.6640625" style="1253" customWidth="1"/>
    <col min="14082" max="14083" width="9" style="1253"/>
    <col min="14084" max="14084" width="10.44140625" style="1253" customWidth="1"/>
    <col min="14085" max="14086" width="9.77734375" style="1253" customWidth="1"/>
    <col min="14087" max="14092" width="9" style="1253"/>
    <col min="14093" max="14093" width="0" style="1253" hidden="1" customWidth="1"/>
    <col min="14094" max="14336" width="9" style="1253"/>
    <col min="14337" max="14337" width="9.6640625" style="1253" customWidth="1"/>
    <col min="14338" max="14339" width="9" style="1253"/>
    <col min="14340" max="14340" width="10.44140625" style="1253" customWidth="1"/>
    <col min="14341" max="14342" width="9.77734375" style="1253" customWidth="1"/>
    <col min="14343" max="14348" width="9" style="1253"/>
    <col min="14349" max="14349" width="0" style="1253" hidden="1" customWidth="1"/>
    <col min="14350" max="14592" width="9" style="1253"/>
    <col min="14593" max="14593" width="9.6640625" style="1253" customWidth="1"/>
    <col min="14594" max="14595" width="9" style="1253"/>
    <col min="14596" max="14596" width="10.44140625" style="1253" customWidth="1"/>
    <col min="14597" max="14598" width="9.77734375" style="1253" customWidth="1"/>
    <col min="14599" max="14604" width="9" style="1253"/>
    <col min="14605" max="14605" width="0" style="1253" hidden="1" customWidth="1"/>
    <col min="14606" max="14848" width="9" style="1253"/>
    <col min="14849" max="14849" width="9.6640625" style="1253" customWidth="1"/>
    <col min="14850" max="14851" width="9" style="1253"/>
    <col min="14852" max="14852" width="10.44140625" style="1253" customWidth="1"/>
    <col min="14853" max="14854" width="9.77734375" style="1253" customWidth="1"/>
    <col min="14855" max="14860" width="9" style="1253"/>
    <col min="14861" max="14861" width="0" style="1253" hidden="1" customWidth="1"/>
    <col min="14862" max="15104" width="9" style="1253"/>
    <col min="15105" max="15105" width="9.6640625" style="1253" customWidth="1"/>
    <col min="15106" max="15107" width="9" style="1253"/>
    <col min="15108" max="15108" width="10.44140625" style="1253" customWidth="1"/>
    <col min="15109" max="15110" width="9.77734375" style="1253" customWidth="1"/>
    <col min="15111" max="15116" width="9" style="1253"/>
    <col min="15117" max="15117" width="0" style="1253" hidden="1" customWidth="1"/>
    <col min="15118" max="15360" width="9" style="1253"/>
    <col min="15361" max="15361" width="9.6640625" style="1253" customWidth="1"/>
    <col min="15362" max="15363" width="9" style="1253"/>
    <col min="15364" max="15364" width="10.44140625" style="1253" customWidth="1"/>
    <col min="15365" max="15366" width="9.77734375" style="1253" customWidth="1"/>
    <col min="15367" max="15372" width="9" style="1253"/>
    <col min="15373" max="15373" width="0" style="1253" hidden="1" customWidth="1"/>
    <col min="15374" max="15616" width="9" style="1253"/>
    <col min="15617" max="15617" width="9.6640625" style="1253" customWidth="1"/>
    <col min="15618" max="15619" width="9" style="1253"/>
    <col min="15620" max="15620" width="10.44140625" style="1253" customWidth="1"/>
    <col min="15621" max="15622" width="9.77734375" style="1253" customWidth="1"/>
    <col min="15623" max="15628" width="9" style="1253"/>
    <col min="15629" max="15629" width="0" style="1253" hidden="1" customWidth="1"/>
    <col min="15630" max="15872" width="9" style="1253"/>
    <col min="15873" max="15873" width="9.6640625" style="1253" customWidth="1"/>
    <col min="15874" max="15875" width="9" style="1253"/>
    <col min="15876" max="15876" width="10.44140625" style="1253" customWidth="1"/>
    <col min="15877" max="15878" width="9.77734375" style="1253" customWidth="1"/>
    <col min="15879" max="15884" width="9" style="1253"/>
    <col min="15885" max="15885" width="0" style="1253" hidden="1" customWidth="1"/>
    <col min="15886" max="16128" width="9" style="1253"/>
    <col min="16129" max="16129" width="9.6640625" style="1253" customWidth="1"/>
    <col min="16130" max="16131" width="9" style="1253"/>
    <col min="16132" max="16132" width="10.44140625" style="1253" customWidth="1"/>
    <col min="16133" max="16134" width="9.77734375" style="1253" customWidth="1"/>
    <col min="16135" max="16140" width="9" style="1253"/>
    <col min="16141" max="16141" width="0" style="1253" hidden="1" customWidth="1"/>
    <col min="16142" max="16384" width="9" style="1253"/>
  </cols>
  <sheetData>
    <row r="1" spans="1:13" s="1246" customFormat="1" ht="60.75" thickBot="1">
      <c r="A1" s="1240" t="s">
        <v>294</v>
      </c>
      <c r="B1" s="1241" t="s">
        <v>295</v>
      </c>
      <c r="C1" s="1241" t="s">
        <v>296</v>
      </c>
      <c r="D1" s="1242" t="s">
        <v>297</v>
      </c>
      <c r="E1" s="1243" t="s">
        <v>298</v>
      </c>
      <c r="F1" s="1244" t="s">
        <v>299</v>
      </c>
      <c r="G1" s="1243" t="s">
        <v>306</v>
      </c>
      <c r="H1" s="1244" t="s">
        <v>307</v>
      </c>
      <c r="I1" s="1244" t="s">
        <v>300</v>
      </c>
      <c r="J1" s="1244" t="s">
        <v>301</v>
      </c>
      <c r="K1" s="1243" t="s">
        <v>302</v>
      </c>
      <c r="L1" s="1243" t="s">
        <v>303</v>
      </c>
      <c r="M1" s="1245" t="s">
        <v>304</v>
      </c>
    </row>
    <row r="2" spans="1:13">
      <c r="A2" s="1247" t="s">
        <v>305</v>
      </c>
      <c r="B2" s="1248">
        <v>1</v>
      </c>
      <c r="C2" s="1248">
        <v>2</v>
      </c>
      <c r="D2" s="1249">
        <v>2021</v>
      </c>
      <c r="E2" s="1250">
        <f>'Daily HLP'!I4</f>
        <v>19291</v>
      </c>
      <c r="F2" s="1251">
        <f>'Daily HLP'!J4</f>
        <v>9</v>
      </c>
      <c r="G2" s="1251">
        <f>'Daily HLP'!M4</f>
        <v>797.95000000018626</v>
      </c>
      <c r="H2" s="1251">
        <v>44</v>
      </c>
      <c r="I2" s="1251">
        <f>'Daily HLP'!P4</f>
        <v>171</v>
      </c>
      <c r="J2" s="1251">
        <v>100</v>
      </c>
      <c r="K2" s="1327">
        <f>Occupancy!G2</f>
        <v>91</v>
      </c>
      <c r="L2" s="1250">
        <v>327</v>
      </c>
      <c r="M2" s="1252" t="e">
        <f>E2*F2+G2*H2+#REF!*#REF!+I2*J2</f>
        <v>#REF!</v>
      </c>
    </row>
    <row r="3" spans="1:13">
      <c r="A3" s="1247" t="s">
        <v>305</v>
      </c>
      <c r="B3" s="1248">
        <f>B2+1</f>
        <v>2</v>
      </c>
      <c r="C3" s="1248">
        <v>2</v>
      </c>
      <c r="D3" s="1249">
        <v>2021</v>
      </c>
      <c r="E3" s="1250">
        <f>'Daily HLP'!I5</f>
        <v>19381</v>
      </c>
      <c r="F3" s="1251">
        <f>F2</f>
        <v>9</v>
      </c>
      <c r="G3" s="1251">
        <f>'Daily HLP'!M5</f>
        <v>860.89999999990687</v>
      </c>
      <c r="H3" s="1251">
        <v>44</v>
      </c>
      <c r="I3" s="1251">
        <f>'Daily HLP'!P5</f>
        <v>171</v>
      </c>
      <c r="J3" s="1251">
        <v>100</v>
      </c>
      <c r="K3" s="1327">
        <f>Occupancy!G3</f>
        <v>120</v>
      </c>
      <c r="L3" s="1250">
        <v>310</v>
      </c>
      <c r="M3" s="1252" t="e">
        <f>E3*F3+G3*H3+#REF!*#REF!+I3*J3</f>
        <v>#REF!</v>
      </c>
    </row>
    <row r="4" spans="1:13">
      <c r="A4" s="1247" t="s">
        <v>305</v>
      </c>
      <c r="B4" s="1248">
        <f t="shared" ref="B4:B31" si="0">B3+1</f>
        <v>3</v>
      </c>
      <c r="C4" s="1248">
        <v>2</v>
      </c>
      <c r="D4" s="1249">
        <v>2021</v>
      </c>
      <c r="E4" s="1250">
        <f>'Daily HLP'!I6</f>
        <v>19375</v>
      </c>
      <c r="F4" s="1251">
        <f t="shared" ref="F4:F31" si="1">F3</f>
        <v>9</v>
      </c>
      <c r="G4" s="1251">
        <f>'Daily HLP'!M6</f>
        <v>873</v>
      </c>
      <c r="H4" s="1251">
        <v>44</v>
      </c>
      <c r="I4" s="1251">
        <f>'Daily HLP'!P6</f>
        <v>161</v>
      </c>
      <c r="J4" s="1251">
        <v>100</v>
      </c>
      <c r="K4" s="1327">
        <f>Occupancy!G4</f>
        <v>112</v>
      </c>
      <c r="L4" s="1250">
        <v>386</v>
      </c>
      <c r="M4" s="1252" t="e">
        <f>E4*F4+G4*H4+#REF!*#REF!+I4*J4</f>
        <v>#REF!</v>
      </c>
    </row>
    <row r="5" spans="1:13">
      <c r="A5" s="1247" t="s">
        <v>305</v>
      </c>
      <c r="B5" s="1248">
        <f t="shared" si="0"/>
        <v>4</v>
      </c>
      <c r="C5" s="1248">
        <v>2</v>
      </c>
      <c r="D5" s="1249">
        <v>2021</v>
      </c>
      <c r="E5" s="1250">
        <f>'Daily HLP'!I7</f>
        <v>18251</v>
      </c>
      <c r="F5" s="1251">
        <f t="shared" si="1"/>
        <v>9</v>
      </c>
      <c r="G5" s="1251">
        <f>'Daily HLP'!M7</f>
        <v>796</v>
      </c>
      <c r="H5" s="1251">
        <v>44</v>
      </c>
      <c r="I5" s="1251">
        <f>'Daily HLP'!P7</f>
        <v>150</v>
      </c>
      <c r="J5" s="1251">
        <v>100</v>
      </c>
      <c r="K5" s="1327">
        <f>Occupancy!G5</f>
        <v>112</v>
      </c>
      <c r="L5" s="1250">
        <v>558</v>
      </c>
      <c r="M5" s="1252" t="e">
        <f>E5*F5+G5*H5+#REF!*#REF!+I5*J5</f>
        <v>#REF!</v>
      </c>
    </row>
    <row r="6" spans="1:13">
      <c r="A6" s="1247" t="s">
        <v>305</v>
      </c>
      <c r="B6" s="1248">
        <f t="shared" si="0"/>
        <v>5</v>
      </c>
      <c r="C6" s="1248">
        <v>2</v>
      </c>
      <c r="D6" s="1249">
        <v>2021</v>
      </c>
      <c r="E6" s="1250">
        <f>'Daily HLP'!I8</f>
        <v>18524</v>
      </c>
      <c r="F6" s="1251">
        <f t="shared" si="1"/>
        <v>9</v>
      </c>
      <c r="G6" s="1251">
        <f>'Daily HLP'!M8</f>
        <v>778</v>
      </c>
      <c r="H6" s="1251">
        <v>44</v>
      </c>
      <c r="I6" s="1251">
        <f>'Daily HLP'!P8</f>
        <v>181</v>
      </c>
      <c r="J6" s="1251">
        <v>100</v>
      </c>
      <c r="K6" s="1327">
        <f>Occupancy!G6</f>
        <v>105</v>
      </c>
      <c r="L6" s="1250">
        <v>416</v>
      </c>
      <c r="M6" s="1252" t="e">
        <f>E6*F6+G6*H6+#REF!*#REF!+I6*J6</f>
        <v>#REF!</v>
      </c>
    </row>
    <row r="7" spans="1:13">
      <c r="A7" s="1247" t="s">
        <v>305</v>
      </c>
      <c r="B7" s="1248">
        <f t="shared" si="0"/>
        <v>6</v>
      </c>
      <c r="C7" s="1248">
        <v>2</v>
      </c>
      <c r="D7" s="1249">
        <v>2021</v>
      </c>
      <c r="E7" s="1250">
        <f>'Daily HLP'!I9</f>
        <v>19190</v>
      </c>
      <c r="F7" s="1251">
        <f t="shared" si="1"/>
        <v>9</v>
      </c>
      <c r="G7" s="1251">
        <f>'Daily HLP'!M9</f>
        <v>814</v>
      </c>
      <c r="H7" s="1251">
        <v>44</v>
      </c>
      <c r="I7" s="1251">
        <f>'Daily HLP'!P9</f>
        <v>271</v>
      </c>
      <c r="J7" s="1251">
        <v>100</v>
      </c>
      <c r="K7" s="1327">
        <f>Occupancy!G7</f>
        <v>150</v>
      </c>
      <c r="L7" s="1250">
        <v>582</v>
      </c>
      <c r="M7" s="1252" t="e">
        <f>E7*F7+G7*H7+#REF!*#REF!+I7*J7</f>
        <v>#REF!</v>
      </c>
    </row>
    <row r="8" spans="1:13">
      <c r="A8" s="1247" t="s">
        <v>305</v>
      </c>
      <c r="B8" s="1248">
        <f t="shared" si="0"/>
        <v>7</v>
      </c>
      <c r="C8" s="1248">
        <v>2</v>
      </c>
      <c r="D8" s="1249">
        <v>2021</v>
      </c>
      <c r="E8" s="1250">
        <f>'Daily HLP'!I10</f>
        <v>18255</v>
      </c>
      <c r="F8" s="1251">
        <f t="shared" si="1"/>
        <v>9</v>
      </c>
      <c r="G8" s="1251">
        <f>'Daily HLP'!M10</f>
        <v>844.44999999995343</v>
      </c>
      <c r="H8" s="1251">
        <v>44</v>
      </c>
      <c r="I8" s="1251">
        <f>'Daily HLP'!P10</f>
        <v>212</v>
      </c>
      <c r="J8" s="1251">
        <v>100</v>
      </c>
      <c r="K8" s="1327">
        <f>Occupancy!G8</f>
        <v>107</v>
      </c>
      <c r="L8" s="1250">
        <v>437</v>
      </c>
      <c r="M8" s="1252" t="e">
        <f>E8*F8+G8*H8+#REF!*#REF!+I8*J8</f>
        <v>#REF!</v>
      </c>
    </row>
    <row r="9" spans="1:13">
      <c r="A9" s="1247" t="s">
        <v>305</v>
      </c>
      <c r="B9" s="1248">
        <f t="shared" si="0"/>
        <v>8</v>
      </c>
      <c r="C9" s="1248">
        <v>2</v>
      </c>
      <c r="D9" s="1249">
        <v>2021</v>
      </c>
      <c r="E9" s="1250">
        <f>'Daily HLP'!I11</f>
        <v>15387</v>
      </c>
      <c r="F9" s="1251">
        <f t="shared" si="1"/>
        <v>9</v>
      </c>
      <c r="G9" s="1251">
        <f>'Daily HLP'!M11</f>
        <v>816.28000000002794</v>
      </c>
      <c r="H9" s="1251">
        <v>44</v>
      </c>
      <c r="I9" s="1251">
        <f>'Daily HLP'!P11</f>
        <v>211</v>
      </c>
      <c r="J9" s="1251">
        <v>100</v>
      </c>
      <c r="K9" s="1327">
        <f>Occupancy!G9</f>
        <v>120</v>
      </c>
      <c r="L9" s="1250">
        <v>355</v>
      </c>
      <c r="M9" s="1252" t="e">
        <f>E9*F9+G9*H9+#REF!*#REF!+I9*J9</f>
        <v>#REF!</v>
      </c>
    </row>
    <row r="10" spans="1:13">
      <c r="A10" s="1247" t="s">
        <v>305</v>
      </c>
      <c r="B10" s="1248">
        <f t="shared" si="0"/>
        <v>9</v>
      </c>
      <c r="C10" s="1248">
        <v>2</v>
      </c>
      <c r="D10" s="1249">
        <v>2021</v>
      </c>
      <c r="E10" s="1250">
        <f>'Daily HLP'!I12</f>
        <v>18397</v>
      </c>
      <c r="F10" s="1251">
        <f t="shared" si="1"/>
        <v>9</v>
      </c>
      <c r="G10" s="1251">
        <f>'Daily HLP'!M12</f>
        <v>637.05000000004657</v>
      </c>
      <c r="H10" s="1251">
        <v>44</v>
      </c>
      <c r="I10" s="1251">
        <f>'Daily HLP'!P12</f>
        <v>192</v>
      </c>
      <c r="J10" s="1251">
        <v>100</v>
      </c>
      <c r="K10" s="1327">
        <f>Occupancy!G10</f>
        <v>125</v>
      </c>
      <c r="L10" s="1250">
        <v>382</v>
      </c>
      <c r="M10" s="1252" t="e">
        <f>E10*F10+G10*H10+#REF!*#REF!+I10*J10</f>
        <v>#REF!</v>
      </c>
    </row>
    <row r="11" spans="1:13">
      <c r="A11" s="1247" t="s">
        <v>305</v>
      </c>
      <c r="B11" s="1248">
        <f t="shared" si="0"/>
        <v>10</v>
      </c>
      <c r="C11" s="1248">
        <v>2</v>
      </c>
      <c r="D11" s="1249">
        <v>2021</v>
      </c>
      <c r="E11" s="1250">
        <f>'Daily HLP'!I13</f>
        <v>18869</v>
      </c>
      <c r="F11" s="1251">
        <f t="shared" si="1"/>
        <v>9</v>
      </c>
      <c r="G11" s="1251">
        <f>'Daily HLP'!M13</f>
        <v>899.0999999998603</v>
      </c>
      <c r="H11" s="1251">
        <v>44</v>
      </c>
      <c r="I11" s="1251">
        <f>'Daily HLP'!P13</f>
        <v>250</v>
      </c>
      <c r="J11" s="1251">
        <v>100</v>
      </c>
      <c r="K11" s="1327">
        <f>Occupancy!G11</f>
        <v>142</v>
      </c>
      <c r="L11" s="1250">
        <v>434</v>
      </c>
      <c r="M11" s="1252" t="e">
        <f>E11*F11+G11*H11+#REF!*#REF!+I11*J11</f>
        <v>#REF!</v>
      </c>
    </row>
    <row r="12" spans="1:13">
      <c r="A12" s="1247" t="s">
        <v>305</v>
      </c>
      <c r="B12" s="1248">
        <f t="shared" si="0"/>
        <v>11</v>
      </c>
      <c r="C12" s="1248">
        <v>2</v>
      </c>
      <c r="D12" s="1249">
        <v>2021</v>
      </c>
      <c r="E12" s="1250">
        <f>'Daily HLP'!I14</f>
        <v>18625</v>
      </c>
      <c r="F12" s="1251">
        <f t="shared" si="1"/>
        <v>9</v>
      </c>
      <c r="G12" s="1251">
        <f>'Daily HLP'!M14</f>
        <v>887.12000000011176</v>
      </c>
      <c r="H12" s="1251">
        <v>44</v>
      </c>
      <c r="I12" s="1251">
        <f>'Daily HLP'!P14</f>
        <v>211</v>
      </c>
      <c r="J12" s="1251">
        <v>100</v>
      </c>
      <c r="K12" s="1327">
        <f>Occupancy!G12</f>
        <v>122</v>
      </c>
      <c r="L12" s="1250">
        <v>309</v>
      </c>
      <c r="M12" s="1252" t="e">
        <f>E12*F12+G12*H12+#REF!*#REF!+I12*J12</f>
        <v>#REF!</v>
      </c>
    </row>
    <row r="13" spans="1:13">
      <c r="A13" s="1247" t="s">
        <v>305</v>
      </c>
      <c r="B13" s="1248">
        <f t="shared" si="0"/>
        <v>12</v>
      </c>
      <c r="C13" s="1248">
        <v>2</v>
      </c>
      <c r="D13" s="1249">
        <v>2021</v>
      </c>
      <c r="E13" s="1250">
        <f>'Daily HLP'!I15</f>
        <v>19448</v>
      </c>
      <c r="F13" s="1251">
        <f t="shared" si="1"/>
        <v>9</v>
      </c>
      <c r="G13" s="1251">
        <f>'Daily HLP'!M15</f>
        <v>914.91800000006333</v>
      </c>
      <c r="H13" s="1251">
        <v>44</v>
      </c>
      <c r="I13" s="1251">
        <f>'Daily HLP'!P15</f>
        <v>211</v>
      </c>
      <c r="J13" s="1251">
        <v>100</v>
      </c>
      <c r="K13" s="1327">
        <f>Occupancy!G13</f>
        <v>131</v>
      </c>
      <c r="L13" s="1250">
        <v>505</v>
      </c>
      <c r="M13" s="1252" t="e">
        <f>E13*F13+G13*H13+#REF!*#REF!+I13*J13</f>
        <v>#REF!</v>
      </c>
    </row>
    <row r="14" spans="1:13">
      <c r="A14" s="1247" t="s">
        <v>305</v>
      </c>
      <c r="B14" s="1248">
        <f t="shared" si="0"/>
        <v>13</v>
      </c>
      <c r="C14" s="1248">
        <v>2</v>
      </c>
      <c r="D14" s="1249">
        <v>2021</v>
      </c>
      <c r="E14" s="1250">
        <f>'Daily HLP'!I16</f>
        <v>20224</v>
      </c>
      <c r="F14" s="1251">
        <f t="shared" si="1"/>
        <v>9</v>
      </c>
      <c r="G14" s="1251">
        <f>'Daily HLP'!M16</f>
        <v>1043.6699999999255</v>
      </c>
      <c r="H14" s="1251">
        <v>44</v>
      </c>
      <c r="I14" s="1251">
        <f>'Daily HLP'!P16</f>
        <v>272</v>
      </c>
      <c r="J14" s="1251">
        <v>100</v>
      </c>
      <c r="K14" s="1327">
        <f>Occupancy!G14</f>
        <v>195</v>
      </c>
      <c r="L14" s="1250">
        <v>581</v>
      </c>
      <c r="M14" s="1252" t="e">
        <f>E14*F14+G14*H14+#REF!*#REF!+I14*J14</f>
        <v>#REF!</v>
      </c>
    </row>
    <row r="15" spans="1:13">
      <c r="A15" s="1247" t="s">
        <v>305</v>
      </c>
      <c r="B15" s="1248">
        <f t="shared" si="0"/>
        <v>14</v>
      </c>
      <c r="C15" s="1248">
        <v>2</v>
      </c>
      <c r="D15" s="1249">
        <v>2021</v>
      </c>
      <c r="E15" s="1250">
        <f>'Daily HLP'!I17</f>
        <v>22577</v>
      </c>
      <c r="F15" s="1251">
        <f t="shared" si="1"/>
        <v>9</v>
      </c>
      <c r="G15" s="1251">
        <f>'Daily HLP'!M17</f>
        <v>1135.4930000000168</v>
      </c>
      <c r="H15" s="1251">
        <v>44</v>
      </c>
      <c r="I15" s="1251">
        <f>'Daily HLP'!P17</f>
        <v>241</v>
      </c>
      <c r="J15" s="1251">
        <v>100</v>
      </c>
      <c r="K15" s="1327">
        <f>Occupancy!G15</f>
        <v>192</v>
      </c>
      <c r="L15" s="1250">
        <v>1020</v>
      </c>
      <c r="M15" s="1252" t="e">
        <f>E15*F15+G15*H15+#REF!*#REF!+I15*J15</f>
        <v>#REF!</v>
      </c>
    </row>
    <row r="16" spans="1:13">
      <c r="A16" s="1247" t="s">
        <v>305</v>
      </c>
      <c r="B16" s="1248">
        <f t="shared" si="0"/>
        <v>15</v>
      </c>
      <c r="C16" s="1248">
        <v>2</v>
      </c>
      <c r="D16" s="1249">
        <v>2021</v>
      </c>
      <c r="E16" s="1250">
        <f>'Daily HLP'!I18</f>
        <v>23207</v>
      </c>
      <c r="F16" s="1251">
        <f t="shared" si="1"/>
        <v>9</v>
      </c>
      <c r="G16" s="1251">
        <f>'Daily HLP'!M18</f>
        <v>1235.2890000001062</v>
      </c>
      <c r="H16" s="1251">
        <v>44</v>
      </c>
      <c r="I16" s="1251">
        <f>'Daily HLP'!P18</f>
        <v>372</v>
      </c>
      <c r="J16" s="1251">
        <v>100</v>
      </c>
      <c r="K16" s="1327">
        <f>Occupancy!G16</f>
        <v>126</v>
      </c>
      <c r="L16" s="1250">
        <v>916</v>
      </c>
      <c r="M16" s="1252" t="e">
        <f>E16*F16+G16*H16+#REF!*#REF!+I16*J16</f>
        <v>#REF!</v>
      </c>
    </row>
    <row r="17" spans="1:13">
      <c r="A17" s="1247" t="s">
        <v>305</v>
      </c>
      <c r="B17" s="1248">
        <f t="shared" si="0"/>
        <v>16</v>
      </c>
      <c r="C17" s="1248">
        <v>2</v>
      </c>
      <c r="D17" s="1249">
        <v>2021</v>
      </c>
      <c r="E17" s="1250">
        <f>'Daily HLP'!I19</f>
        <v>20975</v>
      </c>
      <c r="F17" s="1251">
        <f t="shared" si="1"/>
        <v>9</v>
      </c>
      <c r="G17" s="1251">
        <f>'Daily HLP'!M19</f>
        <v>1012.5699999998324</v>
      </c>
      <c r="H17" s="1251">
        <v>44</v>
      </c>
      <c r="I17" s="1251">
        <f>'Daily HLP'!P19</f>
        <v>250</v>
      </c>
      <c r="J17" s="1251">
        <v>100</v>
      </c>
      <c r="K17" s="1327">
        <f>Occupancy!G17</f>
        <v>120</v>
      </c>
      <c r="L17" s="1250">
        <v>797</v>
      </c>
      <c r="M17" s="1252" t="e">
        <f>E17*F17+G17*H17+#REF!*#REF!+I17*J17</f>
        <v>#REF!</v>
      </c>
    </row>
    <row r="18" spans="1:13">
      <c r="A18" s="1247" t="s">
        <v>305</v>
      </c>
      <c r="B18" s="1248">
        <f t="shared" si="0"/>
        <v>17</v>
      </c>
      <c r="C18" s="1248">
        <v>2</v>
      </c>
      <c r="D18" s="1249">
        <v>2021</v>
      </c>
      <c r="E18" s="1250">
        <f>'Daily HLP'!I20</f>
        <v>19571</v>
      </c>
      <c r="F18" s="1251">
        <f t="shared" si="1"/>
        <v>9</v>
      </c>
      <c r="G18" s="1251">
        <f>'Daily HLP'!M20</f>
        <v>930.51000000000931</v>
      </c>
      <c r="H18" s="1251">
        <v>44</v>
      </c>
      <c r="I18" s="1251">
        <f>'Daily HLP'!P20</f>
        <v>191</v>
      </c>
      <c r="J18" s="1251">
        <v>100</v>
      </c>
      <c r="K18" s="1327">
        <f>Occupancy!G18</f>
        <v>91</v>
      </c>
      <c r="L18" s="1250">
        <v>395</v>
      </c>
      <c r="M18" s="1252" t="e">
        <f>E18*F18+G18*H18+#REF!*#REF!+I18*J18</f>
        <v>#REF!</v>
      </c>
    </row>
    <row r="19" spans="1:13">
      <c r="A19" s="1247" t="s">
        <v>305</v>
      </c>
      <c r="B19" s="1248">
        <f t="shared" si="0"/>
        <v>18</v>
      </c>
      <c r="C19" s="1248">
        <v>2</v>
      </c>
      <c r="D19" s="1249">
        <v>2021</v>
      </c>
      <c r="E19" s="1250">
        <f>'Daily HLP'!I21</f>
        <v>20195</v>
      </c>
      <c r="F19" s="1251">
        <f t="shared" si="1"/>
        <v>9</v>
      </c>
      <c r="G19" s="1251">
        <f>'Daily HLP'!M21</f>
        <v>840.14000000013039</v>
      </c>
      <c r="H19" s="1251">
        <v>44</v>
      </c>
      <c r="I19" s="1251">
        <f>'Daily HLP'!P21</f>
        <v>167</v>
      </c>
      <c r="J19" s="1251">
        <v>100</v>
      </c>
      <c r="K19" s="1327">
        <f>Occupancy!G19</f>
        <v>91</v>
      </c>
      <c r="L19" s="1250">
        <v>404</v>
      </c>
      <c r="M19" s="1252" t="e">
        <f>E19*F19+G19*H19+#REF!*#REF!+I19*J19</f>
        <v>#REF!</v>
      </c>
    </row>
    <row r="20" spans="1:13">
      <c r="A20" s="1247" t="s">
        <v>305</v>
      </c>
      <c r="B20" s="1248">
        <f t="shared" si="0"/>
        <v>19</v>
      </c>
      <c r="C20" s="1248">
        <v>2</v>
      </c>
      <c r="D20" s="1249">
        <v>2021</v>
      </c>
      <c r="E20" s="1250">
        <f>'Daily HLP'!I22</f>
        <v>19578</v>
      </c>
      <c r="F20" s="1251">
        <f t="shared" si="1"/>
        <v>9</v>
      </c>
      <c r="G20" s="1251">
        <f>'Daily HLP'!M22</f>
        <v>881.40999999991618</v>
      </c>
      <c r="H20" s="1251">
        <v>44</v>
      </c>
      <c r="I20" s="1251">
        <f>'Daily HLP'!P22</f>
        <v>190</v>
      </c>
      <c r="J20" s="1251">
        <v>100</v>
      </c>
      <c r="K20" s="1327">
        <f>Occupancy!G20</f>
        <v>163</v>
      </c>
      <c r="L20" s="1250">
        <v>459</v>
      </c>
      <c r="M20" s="1252" t="e">
        <f>E20*F20+G20*H20+#REF!*#REF!+I20*J20</f>
        <v>#REF!</v>
      </c>
    </row>
    <row r="21" spans="1:13">
      <c r="A21" s="1247" t="s">
        <v>305</v>
      </c>
      <c r="B21" s="1248">
        <f t="shared" si="0"/>
        <v>20</v>
      </c>
      <c r="C21" s="1248">
        <v>2</v>
      </c>
      <c r="D21" s="1249">
        <v>2021</v>
      </c>
      <c r="E21" s="1250">
        <f>'Daily HLP'!I23</f>
        <v>19799</v>
      </c>
      <c r="F21" s="1251">
        <f t="shared" si="1"/>
        <v>9</v>
      </c>
      <c r="G21" s="1251">
        <f>'Daily HLP'!M23</f>
        <v>1086</v>
      </c>
      <c r="H21" s="1251">
        <v>44</v>
      </c>
      <c r="I21" s="1251">
        <f>'Daily HLP'!P23</f>
        <v>191</v>
      </c>
      <c r="J21" s="1251">
        <v>100</v>
      </c>
      <c r="K21" s="1327">
        <f>Occupancy!G21</f>
        <v>197</v>
      </c>
      <c r="L21" s="1250">
        <f>Occupancy!F21</f>
        <v>537</v>
      </c>
      <c r="M21" s="1252" t="e">
        <f>E21*F21+G21*H21+#REF!*#REF!+I21*J21</f>
        <v>#REF!</v>
      </c>
    </row>
    <row r="22" spans="1:13">
      <c r="A22" s="1247" t="s">
        <v>305</v>
      </c>
      <c r="B22" s="1248">
        <f t="shared" si="0"/>
        <v>21</v>
      </c>
      <c r="C22" s="1248">
        <v>2</v>
      </c>
      <c r="D22" s="1249">
        <v>2021</v>
      </c>
      <c r="E22" s="1250">
        <f>'Daily HLP'!I24</f>
        <v>20106</v>
      </c>
      <c r="F22" s="1251">
        <f t="shared" si="1"/>
        <v>9</v>
      </c>
      <c r="G22" s="1251">
        <f>'Daily HLP'!M24</f>
        <v>940</v>
      </c>
      <c r="H22" s="1251">
        <v>44</v>
      </c>
      <c r="I22" s="1251">
        <f>'Daily HLP'!P24</f>
        <v>231</v>
      </c>
      <c r="J22" s="1251">
        <v>100</v>
      </c>
      <c r="K22" s="1327">
        <f>Occupancy!G22</f>
        <v>99</v>
      </c>
      <c r="L22" s="1250">
        <f>Occupancy!F22</f>
        <v>561</v>
      </c>
      <c r="M22" s="1252" t="e">
        <f>E22*F22+G22*H22+#REF!*#REF!+I22*J22</f>
        <v>#REF!</v>
      </c>
    </row>
    <row r="23" spans="1:13">
      <c r="A23" s="1247" t="s">
        <v>305</v>
      </c>
      <c r="B23" s="1248">
        <f t="shared" si="0"/>
        <v>22</v>
      </c>
      <c r="C23" s="1248">
        <v>2</v>
      </c>
      <c r="D23" s="1249">
        <v>2021</v>
      </c>
      <c r="E23" s="1250">
        <f>'Daily HLP'!I25</f>
        <v>20271</v>
      </c>
      <c r="F23" s="1251">
        <f t="shared" si="1"/>
        <v>9</v>
      </c>
      <c r="G23" s="1251">
        <f>'Daily HLP'!M25</f>
        <v>935</v>
      </c>
      <c r="H23" s="1251">
        <v>44</v>
      </c>
      <c r="I23" s="1251">
        <f>'Daily HLP'!P25</f>
        <v>201</v>
      </c>
      <c r="J23" s="1251">
        <v>100</v>
      </c>
      <c r="K23" s="1327">
        <f>Occupancy!G23</f>
        <v>107</v>
      </c>
      <c r="L23" s="1250">
        <f>Occupancy!F23</f>
        <v>344</v>
      </c>
      <c r="M23" s="1252" t="e">
        <f>E23*F23+G23*H23+#REF!*#REF!+I23*J23</f>
        <v>#REF!</v>
      </c>
    </row>
    <row r="24" spans="1:13">
      <c r="A24" s="1247" t="s">
        <v>305</v>
      </c>
      <c r="B24" s="1248">
        <f t="shared" si="0"/>
        <v>23</v>
      </c>
      <c r="C24" s="1248">
        <v>2</v>
      </c>
      <c r="D24" s="1249">
        <v>2021</v>
      </c>
      <c r="E24" s="1250">
        <f>'Daily HLP'!I26</f>
        <v>21273</v>
      </c>
      <c r="F24" s="1251">
        <f t="shared" si="1"/>
        <v>9</v>
      </c>
      <c r="G24" s="1251">
        <f>'Daily HLP'!M26</f>
        <v>972.81000000005588</v>
      </c>
      <c r="H24" s="1251">
        <v>44</v>
      </c>
      <c r="I24" s="1251">
        <f>'Daily HLP'!P26</f>
        <v>211</v>
      </c>
      <c r="J24" s="1251">
        <v>100</v>
      </c>
      <c r="K24" s="1327">
        <f>Occupancy!G24</f>
        <v>116</v>
      </c>
      <c r="L24" s="1250">
        <f>Occupancy!F24</f>
        <v>379</v>
      </c>
      <c r="M24" s="1252" t="e">
        <f>E24*F24+G24*H24+#REF!*#REF!+I24*J24</f>
        <v>#REF!</v>
      </c>
    </row>
    <row r="25" spans="1:13">
      <c r="A25" s="1247" t="s">
        <v>305</v>
      </c>
      <c r="B25" s="1248">
        <f t="shared" si="0"/>
        <v>24</v>
      </c>
      <c r="C25" s="1248">
        <v>2</v>
      </c>
      <c r="D25" s="1249">
        <v>2021</v>
      </c>
      <c r="E25" s="1250">
        <f>'Daily HLP'!I27</f>
        <v>22810</v>
      </c>
      <c r="F25" s="1251">
        <f t="shared" si="1"/>
        <v>9</v>
      </c>
      <c r="G25" s="1251">
        <f>'Daily HLP'!M27</f>
        <v>787.75</v>
      </c>
      <c r="H25" s="1251">
        <v>44</v>
      </c>
      <c r="I25" s="1251">
        <f>'Daily HLP'!P27</f>
        <v>192</v>
      </c>
      <c r="J25" s="1251">
        <v>100</v>
      </c>
      <c r="K25" s="1327">
        <f>Occupancy!G25</f>
        <v>107</v>
      </c>
      <c r="L25" s="1250">
        <f>Occupancy!F25</f>
        <v>628</v>
      </c>
      <c r="M25" s="1252" t="e">
        <f>E25*F25+G25*H25+#REF!*#REF!+I25*J25</f>
        <v>#REF!</v>
      </c>
    </row>
    <row r="26" spans="1:13">
      <c r="A26" s="1247" t="s">
        <v>305</v>
      </c>
      <c r="B26" s="1248">
        <f>B25+1</f>
        <v>25</v>
      </c>
      <c r="C26" s="1248">
        <v>2</v>
      </c>
      <c r="D26" s="1249">
        <v>2021</v>
      </c>
      <c r="E26" s="1250">
        <f>'Daily HLP'!I28</f>
        <v>20603</v>
      </c>
      <c r="F26" s="1251">
        <f t="shared" si="1"/>
        <v>9</v>
      </c>
      <c r="G26" s="1251">
        <f>'Daily HLP'!M28</f>
        <v>861.98999999999069</v>
      </c>
      <c r="H26" s="1251">
        <v>44</v>
      </c>
      <c r="I26" s="1251">
        <f>'Daily HLP'!P28</f>
        <v>192</v>
      </c>
      <c r="J26" s="1251">
        <v>100</v>
      </c>
      <c r="K26" s="1327">
        <f>Occupancy!G26</f>
        <v>93</v>
      </c>
      <c r="L26" s="1250">
        <f>Occupancy!F26</f>
        <v>326</v>
      </c>
      <c r="M26" s="1252" t="e">
        <f>E26*F26+G26*H26+#REF!*#REF!+I26*J26</f>
        <v>#REF!</v>
      </c>
    </row>
    <row r="27" spans="1:13">
      <c r="A27" s="1247" t="s">
        <v>305</v>
      </c>
      <c r="B27" s="1248">
        <f t="shared" si="0"/>
        <v>26</v>
      </c>
      <c r="C27" s="1248">
        <v>2</v>
      </c>
      <c r="D27" s="1249">
        <v>2021</v>
      </c>
      <c r="E27" s="1250">
        <f>'Daily HLP'!I29</f>
        <v>20278</v>
      </c>
      <c r="F27" s="1251">
        <f t="shared" si="1"/>
        <v>9</v>
      </c>
      <c r="G27" s="1251">
        <f>'Daily HLP'!M29</f>
        <v>838.44999999995343</v>
      </c>
      <c r="H27" s="1251">
        <v>44</v>
      </c>
      <c r="I27" s="1251">
        <f>'Daily HLP'!P29</f>
        <v>171</v>
      </c>
      <c r="J27" s="1251">
        <v>100</v>
      </c>
      <c r="K27" s="1327">
        <f>Occupancy!G27</f>
        <v>109</v>
      </c>
      <c r="L27" s="1250">
        <f>Occupancy!F27</f>
        <v>408</v>
      </c>
      <c r="M27" s="1252" t="e">
        <f>E27*F27+G27*H27+#REF!*#REF!+I27*J27</f>
        <v>#REF!</v>
      </c>
    </row>
    <row r="28" spans="1:13">
      <c r="A28" s="1247" t="s">
        <v>305</v>
      </c>
      <c r="B28" s="1248">
        <f t="shared" si="0"/>
        <v>27</v>
      </c>
      <c r="C28" s="1248">
        <v>2</v>
      </c>
      <c r="D28" s="1249">
        <v>2021</v>
      </c>
      <c r="E28" s="1250">
        <f>'Daily HLP'!I30</f>
        <v>20601</v>
      </c>
      <c r="F28" s="1251">
        <f t="shared" si="1"/>
        <v>9</v>
      </c>
      <c r="G28" s="1251">
        <f>'Daily HLP'!M30</f>
        <v>961.60299999988638</v>
      </c>
      <c r="H28" s="1251">
        <v>44</v>
      </c>
      <c r="I28" s="1251">
        <f>'Daily HLP'!P30</f>
        <v>234</v>
      </c>
      <c r="J28" s="1251">
        <v>100</v>
      </c>
      <c r="K28" s="1327">
        <f>Occupancy!G28</f>
        <v>0</v>
      </c>
      <c r="L28" s="1250">
        <f>Occupancy!F28</f>
        <v>0</v>
      </c>
      <c r="M28" s="1252" t="e">
        <f>E28*F28+G28*H28+#REF!*#REF!+I28*J28</f>
        <v>#REF!</v>
      </c>
    </row>
    <row r="29" spans="1:13">
      <c r="A29" s="1247" t="s">
        <v>305</v>
      </c>
      <c r="B29" s="1248">
        <f t="shared" si="0"/>
        <v>28</v>
      </c>
      <c r="C29" s="1248">
        <v>2</v>
      </c>
      <c r="D29" s="1249">
        <v>2021</v>
      </c>
      <c r="E29" s="1250">
        <f>'Daily HLP'!I31</f>
        <v>21818</v>
      </c>
      <c r="F29" s="1251">
        <f t="shared" si="1"/>
        <v>9</v>
      </c>
      <c r="G29" s="1251">
        <f>'Daily HLP'!M31</f>
        <v>1060.0070000002161</v>
      </c>
      <c r="H29" s="1251">
        <v>44</v>
      </c>
      <c r="I29" s="1251">
        <f>'Daily HLP'!P31</f>
        <v>222</v>
      </c>
      <c r="J29" s="1251">
        <v>100</v>
      </c>
      <c r="K29" s="1327">
        <f>Occupancy!G29</f>
        <v>0</v>
      </c>
      <c r="L29" s="1250">
        <f>Occupancy!F29</f>
        <v>0</v>
      </c>
      <c r="M29" s="1252" t="e">
        <f>E29*F29+G29*H29+#REF!*#REF!+I29*J29</f>
        <v>#REF!</v>
      </c>
    </row>
    <row r="30" spans="1:13">
      <c r="A30" s="1247" t="s">
        <v>305</v>
      </c>
      <c r="B30" s="1248">
        <f t="shared" si="0"/>
        <v>29</v>
      </c>
      <c r="C30" s="1248">
        <v>2</v>
      </c>
      <c r="D30" s="1249">
        <v>2021</v>
      </c>
      <c r="E30" s="1250">
        <f>'Daily HLP'!I32</f>
        <v>-594257</v>
      </c>
      <c r="F30" s="1251">
        <f t="shared" si="1"/>
        <v>9</v>
      </c>
      <c r="G30" s="1251">
        <f>'Daily HLP'!M32</f>
        <v>-26977.64000000013</v>
      </c>
      <c r="H30" s="1251">
        <v>44</v>
      </c>
      <c r="I30" s="1251">
        <f>'Daily HLP'!P32</f>
        <v>-1425</v>
      </c>
      <c r="J30" s="1251">
        <v>100</v>
      </c>
      <c r="K30" s="1327">
        <f>Occupancy!G30</f>
        <v>0</v>
      </c>
      <c r="L30" s="1250">
        <f>Occupancy!F30</f>
        <v>0</v>
      </c>
      <c r="M30" s="1252" t="e">
        <f>E30*F30+G30*H30+#REF!*#REF!+I30*J30</f>
        <v>#REF!</v>
      </c>
    </row>
    <row r="31" spans="1:13">
      <c r="A31" s="1247" t="s">
        <v>305</v>
      </c>
      <c r="B31" s="1248">
        <f t="shared" si="0"/>
        <v>30</v>
      </c>
      <c r="C31" s="1248">
        <v>2</v>
      </c>
      <c r="D31" s="1249">
        <v>2021</v>
      </c>
      <c r="E31" s="1250">
        <f>'Daily HLP'!I33</f>
        <v>18917</v>
      </c>
      <c r="F31" s="1251">
        <f t="shared" si="1"/>
        <v>9</v>
      </c>
      <c r="G31" s="1251">
        <f>'Daily HLP'!M33</f>
        <v>667.76000000000931</v>
      </c>
      <c r="H31" s="1251">
        <v>44</v>
      </c>
      <c r="I31" s="1251">
        <f>'Daily HLP'!P33</f>
        <v>171</v>
      </c>
      <c r="J31" s="1251">
        <v>100</v>
      </c>
      <c r="K31" s="1327">
        <f>Occupancy!G31</f>
        <v>0</v>
      </c>
      <c r="L31" s="1250">
        <f>Occupancy!F31</f>
        <v>0</v>
      </c>
      <c r="M31" s="1252" t="e">
        <f>E31*F31+G31*H31+#REF!*#REF!+I31*J31</f>
        <v>#REF!</v>
      </c>
    </row>
    <row r="32" spans="1:13" s="1250" customFormat="1">
      <c r="A32" s="1254"/>
      <c r="B32" s="1248"/>
      <c r="C32" s="1248"/>
      <c r="D32" s="1249"/>
      <c r="F32" s="1251"/>
      <c r="G32" s="1251"/>
      <c r="H32" s="1251"/>
      <c r="I32" s="1251"/>
      <c r="J32" s="1251"/>
      <c r="M32" s="1253"/>
    </row>
    <row r="33" spans="1:13" s="1250" customFormat="1">
      <c r="A33" s="1254"/>
      <c r="B33" s="1248"/>
      <c r="C33" s="1248"/>
      <c r="D33" s="1249"/>
      <c r="F33" s="1251"/>
      <c r="G33" s="1251"/>
      <c r="H33" s="1251"/>
      <c r="I33" s="1251"/>
      <c r="J33" s="1251"/>
      <c r="M33" s="1253"/>
    </row>
    <row r="34" spans="1:13" s="1250" customFormat="1">
      <c r="A34" s="1254"/>
      <c r="B34" s="1248"/>
      <c r="C34" s="1248"/>
      <c r="D34" s="1249"/>
      <c r="F34" s="1251"/>
      <c r="G34" s="1251"/>
      <c r="H34" s="1251"/>
      <c r="I34" s="1251"/>
      <c r="J34" s="1251"/>
      <c r="M34" s="1253"/>
    </row>
    <row r="35" spans="1:13" s="1250" customFormat="1">
      <c r="A35" s="1254"/>
      <c r="B35" s="1248"/>
      <c r="C35" s="1248"/>
      <c r="D35" s="1249"/>
      <c r="F35" s="1251"/>
      <c r="G35" s="1251"/>
      <c r="H35" s="1251"/>
      <c r="I35" s="1251"/>
      <c r="J35" s="1251"/>
      <c r="M35" s="1253"/>
    </row>
    <row r="36" spans="1:13" s="1250" customFormat="1">
      <c r="A36" s="1254"/>
      <c r="B36" s="1248"/>
      <c r="C36" s="1248"/>
      <c r="D36" s="1249"/>
      <c r="F36" s="1251"/>
      <c r="G36" s="1251"/>
      <c r="H36" s="1251"/>
      <c r="I36" s="1251"/>
      <c r="J36" s="1251"/>
      <c r="M36" s="1253"/>
    </row>
    <row r="37" spans="1:13" s="1250" customFormat="1">
      <c r="A37" s="1254"/>
      <c r="B37" s="1248"/>
      <c r="C37" s="1248"/>
      <c r="D37" s="1249"/>
      <c r="F37" s="1251"/>
      <c r="G37" s="1251"/>
      <c r="H37" s="1251"/>
      <c r="I37" s="1251"/>
      <c r="J37" s="1251"/>
      <c r="M37" s="1253"/>
    </row>
    <row r="38" spans="1:13" s="1250" customFormat="1">
      <c r="A38" s="1254"/>
      <c r="B38" s="1248"/>
      <c r="C38" s="1248"/>
      <c r="D38" s="1249"/>
      <c r="F38" s="1251"/>
      <c r="G38" s="1251"/>
      <c r="H38" s="1251"/>
      <c r="I38" s="1251"/>
      <c r="J38" s="1251"/>
      <c r="M38" s="125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29"/>
  <sheetViews>
    <sheetView tabSelected="1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E2" sqref="E2:E29"/>
    </sheetView>
  </sheetViews>
  <sheetFormatPr defaultColWidth="9" defaultRowHeight="15"/>
  <cols>
    <col min="1" max="1" width="20.109375" style="1369" customWidth="1"/>
    <col min="2" max="3" width="9" style="1373" customWidth="1"/>
    <col min="4" max="4" width="10.44140625" style="1373" customWidth="1"/>
    <col min="5" max="29" width="9.77734375" style="1389" customWidth="1"/>
    <col min="30" max="30" width="9" style="1389"/>
    <col min="31" max="31" width="9" style="1390"/>
    <col min="32" max="32" width="9" style="1389"/>
    <col min="33" max="65" width="9" style="1391"/>
    <col min="66" max="16384" width="9" style="1372"/>
  </cols>
  <sheetData>
    <row r="1" spans="1:65" s="1369" customFormat="1" ht="60" customHeight="1">
      <c r="A1" s="1367" t="s">
        <v>294</v>
      </c>
      <c r="B1" s="1368" t="s">
        <v>295</v>
      </c>
      <c r="C1" s="1368" t="s">
        <v>296</v>
      </c>
      <c r="D1" s="1368" t="s">
        <v>297</v>
      </c>
      <c r="E1" s="1383" t="str">
        <f>'Section Load'!B4</f>
        <v>HVAC</v>
      </c>
      <c r="F1" s="1383" t="str">
        <f>'Section Load'!C4</f>
        <v>Fire &amp; Emergency PP</v>
      </c>
      <c r="G1" s="1383" t="str">
        <f>'Section Load'!D4</f>
        <v>Main PP</v>
      </c>
      <c r="H1" s="1383" t="str">
        <f>'Section Load'!E4</f>
        <v>Lighting PP</v>
      </c>
      <c r="I1" s="1383" t="str">
        <f>'Section Load'!F4</f>
        <v>CH-1+ CH2+CH3+CH4</v>
      </c>
      <c r="J1" s="1383" t="str">
        <f>'Section Load'!G4</f>
        <v>Chilled water Pump</v>
      </c>
      <c r="K1" s="1383" t="str">
        <f>'Section Load'!H4</f>
        <v>Ball Room-1</v>
      </c>
      <c r="L1" s="1383" t="str">
        <f>'Section Load'!I4</f>
        <v>Ball Room-2</v>
      </c>
      <c r="M1" s="1383" t="str">
        <f>'Section Load'!J4</f>
        <v>MK-1</v>
      </c>
      <c r="N1" s="1383" t="str">
        <f>'Section Load'!K4</f>
        <v>MK-2</v>
      </c>
      <c r="O1" s="1383" t="str">
        <f>'Section Load'!L4</f>
        <v>Prato</v>
      </c>
      <c r="P1" s="1383" t="str">
        <f>'Section Load'!M4</f>
        <v>San- Qi Indian</v>
      </c>
      <c r="Q1" s="1383" t="str">
        <f>'Section Load'!N4</f>
        <v>San- Qi Japanese</v>
      </c>
      <c r="R1" s="1383" t="str">
        <f>'Section Load'!O4</f>
        <v>The club</v>
      </c>
      <c r="S1" s="1383" t="str">
        <f>'Section Load'!P4</f>
        <v>AER</v>
      </c>
      <c r="T1" s="1383" t="str">
        <f>'Section Load'!Q4</f>
        <v>COLD ROOM'S</v>
      </c>
      <c r="U1" s="1383" t="str">
        <f>'Section Load'!R4</f>
        <v>Ball Room 1</v>
      </c>
      <c r="V1" s="1383" t="str">
        <f>'Section Load'!S4</f>
        <v>Ball Room 2</v>
      </c>
      <c r="W1" s="1383" t="str">
        <f>'Section Load'!T4</f>
        <v>B1 Laundry</v>
      </c>
      <c r="X1" s="1383" t="str">
        <f>'Section Load'!U4</f>
        <v>B2 Laundry</v>
      </c>
      <c r="Y1" s="1383" t="str">
        <f>'Section Load'!V4</f>
        <v>STP</v>
      </c>
      <c r="Z1" s="1383" t="str">
        <f>'Section Load'!W4</f>
        <v>MOCK Up Room</v>
      </c>
      <c r="AA1" s="1383" t="str">
        <f>'Section Load'!X4</f>
        <v>27th Floor</v>
      </c>
      <c r="AB1" s="1383" t="str">
        <f>'Section Load'!Y4</f>
        <v>Physic57</v>
      </c>
      <c r="AC1" s="1383" t="str">
        <f>'Section Load'!Z4</f>
        <v>Pinoor Legal- Power+lighting</v>
      </c>
      <c r="AD1" s="1383" t="str">
        <f>'Section Load'!AA4</f>
        <v>2nd floor plant room</v>
      </c>
      <c r="AE1" s="1383" t="str">
        <f>'Section Load'!AB4</f>
        <v>5th Floor</v>
      </c>
      <c r="AF1" s="1383" t="str">
        <f>'Section Load'!AC4</f>
        <v>5th Floor</v>
      </c>
      <c r="AG1" s="1383" t="str">
        <f>'Section Load'!AD4</f>
        <v>12th Floor</v>
      </c>
      <c r="AH1" s="1383" t="str">
        <f>'Section Load'!AE4</f>
        <v>20th Floor</v>
      </c>
      <c r="AI1" s="1383" t="str">
        <f>'Section Load'!AF4</f>
        <v>27th Floor</v>
      </c>
      <c r="AJ1" s="1383" t="str">
        <f>'Section Load'!AG4</f>
        <v>34th Floor</v>
      </c>
      <c r="AK1" s="1383" t="str">
        <f>'Section Load'!AH4</f>
        <v>Sanqi</v>
      </c>
      <c r="AL1" s="1383" t="str">
        <f>'Section Load'!AI4</f>
        <v>Cooling Tower</v>
      </c>
      <c r="AM1" s="1384" t="s">
        <v>338</v>
      </c>
      <c r="AN1" s="1384" t="s">
        <v>207</v>
      </c>
      <c r="AO1" s="1384" t="s">
        <v>209</v>
      </c>
      <c r="AP1" s="1384" t="s">
        <v>210</v>
      </c>
      <c r="AQ1" s="1384" t="s">
        <v>211</v>
      </c>
      <c r="AR1" s="1384" t="s">
        <v>212</v>
      </c>
      <c r="AS1" s="1384" t="s">
        <v>213</v>
      </c>
      <c r="AT1" s="1384" t="s">
        <v>214</v>
      </c>
      <c r="AU1" s="1384" t="s">
        <v>219</v>
      </c>
      <c r="AV1" s="1384" t="s">
        <v>77</v>
      </c>
      <c r="AW1" s="1384" t="s">
        <v>78</v>
      </c>
      <c r="AX1" s="1384" t="s">
        <v>220</v>
      </c>
      <c r="AY1" s="1384" t="s">
        <v>221</v>
      </c>
      <c r="AZ1" s="1384" t="s">
        <v>222</v>
      </c>
      <c r="BA1" s="1384" t="s">
        <v>224</v>
      </c>
      <c r="BB1" s="1384" t="s">
        <v>225</v>
      </c>
      <c r="BC1" s="1384" t="s">
        <v>226</v>
      </c>
      <c r="BD1" s="1384" t="s">
        <v>227</v>
      </c>
      <c r="BE1" s="1384" t="s">
        <v>339</v>
      </c>
      <c r="BF1" s="1384" t="s">
        <v>340</v>
      </c>
      <c r="BG1" s="1385" t="str">
        <f>'Section Load'!AJ4</f>
        <v>MGL</v>
      </c>
      <c r="BH1" s="1385" t="str">
        <f>'Section Load'!AK4</f>
        <v>HWG</v>
      </c>
      <c r="BI1" s="1385" t="str">
        <f>'Section Load'!AL4</f>
        <v>Prato</v>
      </c>
      <c r="BJ1" s="1385" t="str">
        <f>'Section Load'!AM4</f>
        <v>BR-1</v>
      </c>
      <c r="BK1" s="1385" t="str">
        <f>'Section Load'!AN4</f>
        <v>SanQi IND</v>
      </c>
      <c r="BL1" s="1385" t="str">
        <f>'Section Load'!AO4</f>
        <v>SanQi JPN</v>
      </c>
      <c r="BM1" s="1385" t="str">
        <f>'Section Load'!AP4</f>
        <v>Boiler</v>
      </c>
    </row>
    <row r="2" spans="1:65" ht="15" customHeight="1">
      <c r="A2" s="1370" t="s">
        <v>305</v>
      </c>
      <c r="B2" s="1371">
        <v>1</v>
      </c>
      <c r="C2" s="1371">
        <v>2</v>
      </c>
      <c r="D2" s="1371">
        <v>2021</v>
      </c>
      <c r="E2" s="1386">
        <f>'Section Load'!B5</f>
        <v>2996.0400000000081</v>
      </c>
      <c r="F2" s="1386">
        <f>'Section Load'!C5</f>
        <v>1437.8300000000017</v>
      </c>
      <c r="G2" s="1386">
        <f>'Section Load'!D5</f>
        <v>2015.0400000000373</v>
      </c>
      <c r="H2" s="1386">
        <f>'Section Load'!E5</f>
        <v>4103.7600000000093</v>
      </c>
      <c r="I2" s="1386">
        <f>'Section Load'!F5</f>
        <v>4366.5100000000239</v>
      </c>
      <c r="J2" s="1386">
        <f>'Section Load'!G5</f>
        <v>2272.9599999999627</v>
      </c>
      <c r="K2" s="1386">
        <f>'Section Load'!H5</f>
        <v>1021.359999999986</v>
      </c>
      <c r="L2" s="1386">
        <f>'Section Load'!I5</f>
        <v>555.20000000001164</v>
      </c>
      <c r="M2" s="1386">
        <f>'Section Load'!J5</f>
        <v>84</v>
      </c>
      <c r="N2" s="1386">
        <f>'Section Load'!K5</f>
        <v>0</v>
      </c>
      <c r="O2" s="1386">
        <f>'Section Load'!L5</f>
        <v>23</v>
      </c>
      <c r="P2" s="1386">
        <f>'Section Load'!M5</f>
        <v>183</v>
      </c>
      <c r="Q2" s="1386">
        <f>'Section Load'!N5</f>
        <v>74</v>
      </c>
      <c r="R2" s="1386">
        <f>'Section Load'!O5</f>
        <v>48</v>
      </c>
      <c r="S2" s="1386">
        <f>'Section Load'!P5</f>
        <v>334</v>
      </c>
      <c r="T2" s="1386">
        <f>'Section Load'!Q5</f>
        <v>205</v>
      </c>
      <c r="U2" s="1386">
        <f>'Section Load'!R5</f>
        <v>308</v>
      </c>
      <c r="V2" s="1386">
        <f>'Section Load'!S5</f>
        <v>76</v>
      </c>
      <c r="W2" s="1386">
        <f>'Section Load'!T5</f>
        <v>45</v>
      </c>
      <c r="X2" s="1386">
        <f>'Section Load'!U5</f>
        <v>174.52000000000044</v>
      </c>
      <c r="Y2" s="1386">
        <f>'Section Load'!V5</f>
        <v>433</v>
      </c>
      <c r="Z2" s="1386">
        <f>'Section Load'!W5</f>
        <v>124.35999999998603</v>
      </c>
      <c r="AA2" s="1386">
        <f>'Section Load'!X5</f>
        <v>31.399999999994179</v>
      </c>
      <c r="AB2" s="1386">
        <f>'Section Load'!Y5</f>
        <v>87</v>
      </c>
      <c r="AC2" s="1386">
        <f>'Section Load'!Z5</f>
        <v>75.900000000002819</v>
      </c>
      <c r="AD2" s="1386">
        <f>'Section Load'!AA5</f>
        <v>0</v>
      </c>
      <c r="AE2" s="1386">
        <f>'Section Load'!AB5</f>
        <v>14.460000000000036</v>
      </c>
      <c r="AF2" s="1386">
        <f>'Section Load'!AC5</f>
        <v>445.6299999999901</v>
      </c>
      <c r="AG2" s="1386">
        <f>'Section Load'!AD5</f>
        <v>382.89999999999418</v>
      </c>
      <c r="AH2" s="1386">
        <f>'Section Load'!AE5</f>
        <v>390.09000000000015</v>
      </c>
      <c r="AI2" s="1386">
        <f>'Section Load'!AF5</f>
        <v>657.86000000001513</v>
      </c>
      <c r="AJ2" s="1386">
        <f>'Section Load'!AG5</f>
        <v>327.79000000000087</v>
      </c>
      <c r="AK2" s="1386">
        <f>'Section Load'!AH5</f>
        <v>319.90000000000146</v>
      </c>
      <c r="AL2" s="1386">
        <f>'Section Load'!AI5</f>
        <v>521</v>
      </c>
      <c r="AM2" s="1387">
        <f>'[1]1'!$H$92</f>
        <v>87</v>
      </c>
      <c r="AN2" s="1387">
        <f>'[1]1'!$H$93</f>
        <v>200</v>
      </c>
      <c r="AO2" s="1387">
        <f>'[1]1'!$H$95</f>
        <v>72</v>
      </c>
      <c r="AP2" s="1387">
        <f>'[1]1'!$H$96</f>
        <v>23</v>
      </c>
      <c r="AQ2" s="1387">
        <f>'[1]1'!$H$97</f>
        <v>18</v>
      </c>
      <c r="AR2" s="1387">
        <f>'[1]1'!$H$98</f>
        <v>83</v>
      </c>
      <c r="AS2" s="1387">
        <f>'[1]1'!$H$99</f>
        <v>13</v>
      </c>
      <c r="AT2" s="1387">
        <f>'[1]1'!$H$100</f>
        <v>6</v>
      </c>
      <c r="AU2" s="1387">
        <f>'[1]1'!$H$104</f>
        <v>0</v>
      </c>
      <c r="AV2" s="1387">
        <f>'[1]1'!$H$105</f>
        <v>8</v>
      </c>
      <c r="AW2" s="1387">
        <f>'[1]1'!$H$106</f>
        <v>7</v>
      </c>
      <c r="AX2" s="1387">
        <f>'[1]1'!$H$109</f>
        <v>41</v>
      </c>
      <c r="AY2" s="1387">
        <f>'[1]1'!$H$110</f>
        <v>79</v>
      </c>
      <c r="AZ2" s="1387">
        <f>'[1]1'!$H$111</f>
        <v>0</v>
      </c>
      <c r="BA2" s="1387">
        <f>'[1]1'!$H$114</f>
        <v>16</v>
      </c>
      <c r="BB2" s="1387">
        <f>'[1]1'!$H$115</f>
        <v>5</v>
      </c>
      <c r="BC2" s="1387">
        <f>'[1]1'!$H$116</f>
        <v>0</v>
      </c>
      <c r="BD2" s="1387">
        <f>'[1]1'!$H$118</f>
        <v>138</v>
      </c>
      <c r="BE2" s="1387">
        <f>'[1]1'!$H$119</f>
        <v>132</v>
      </c>
      <c r="BF2" s="1387">
        <f>'[1]1'!$H$120</f>
        <v>120</v>
      </c>
      <c r="BG2" s="1388">
        <f>'Section Load'!AJ5</f>
        <v>797.95000000018626</v>
      </c>
      <c r="BH2" s="1388">
        <f>'Section Load'!AK5</f>
        <v>270.38000000000466</v>
      </c>
      <c r="BI2" s="1388">
        <f>'Section Load'!AL5</f>
        <v>0</v>
      </c>
      <c r="BJ2" s="1388">
        <f>'Section Load'!AM5</f>
        <v>59</v>
      </c>
      <c r="BK2" s="1388">
        <f>'Section Load'!AN5</f>
        <v>28.200000000004366</v>
      </c>
      <c r="BL2" s="1388">
        <f>'Section Load'!AO5</f>
        <v>0</v>
      </c>
      <c r="BM2" s="1388">
        <f>'Section Load'!AP5</f>
        <v>440.37000000017724</v>
      </c>
    </row>
    <row r="3" spans="1:65">
      <c r="A3" s="1370" t="s">
        <v>305</v>
      </c>
      <c r="B3" s="1371">
        <f>B2+1</f>
        <v>2</v>
      </c>
      <c r="C3" s="1371">
        <v>2</v>
      </c>
      <c r="D3" s="1371">
        <v>2021</v>
      </c>
      <c r="E3" s="1386">
        <f>'Section Load'!B6</f>
        <v>3058.9100000000035</v>
      </c>
      <c r="F3" s="1386">
        <f>'Section Load'!C6</f>
        <v>1441.429999999993</v>
      </c>
      <c r="G3" s="1386">
        <f>'Section Load'!D6</f>
        <v>2022.289999999979</v>
      </c>
      <c r="H3" s="1386">
        <f>'Section Load'!E6</f>
        <v>4158.9699999999721</v>
      </c>
      <c r="I3" s="1386">
        <f>'Section Load'!F6</f>
        <v>4172.5799999999945</v>
      </c>
      <c r="J3" s="1386">
        <f>'Section Load'!G6</f>
        <v>2260.1300000000047</v>
      </c>
      <c r="K3" s="1386">
        <f>'Section Load'!H6</f>
        <v>1036.3300000000163</v>
      </c>
      <c r="L3" s="1386">
        <f>'Section Load'!I6</f>
        <v>621.34999999997672</v>
      </c>
      <c r="M3" s="1386">
        <f>'Section Load'!J6</f>
        <v>84</v>
      </c>
      <c r="N3" s="1386">
        <f>'Section Load'!K6</f>
        <v>0</v>
      </c>
      <c r="O3" s="1386">
        <f>'Section Load'!L6</f>
        <v>27</v>
      </c>
      <c r="P3" s="1386">
        <f>'Section Load'!M6</f>
        <v>184</v>
      </c>
      <c r="Q3" s="1386">
        <f>'Section Load'!N6</f>
        <v>73</v>
      </c>
      <c r="R3" s="1386">
        <f>'Section Load'!O6</f>
        <v>59</v>
      </c>
      <c r="S3" s="1386">
        <f>'Section Load'!P6</f>
        <v>380</v>
      </c>
      <c r="T3" s="1386">
        <f>'Section Load'!Q6</f>
        <v>196</v>
      </c>
      <c r="U3" s="1386">
        <f>'Section Load'!R6</f>
        <v>318</v>
      </c>
      <c r="V3" s="1386">
        <f>'Section Load'!S6</f>
        <v>102</v>
      </c>
      <c r="W3" s="1386">
        <f>'Section Load'!T6</f>
        <v>55</v>
      </c>
      <c r="X3" s="1386">
        <f>'Section Load'!U6</f>
        <v>153.56999999999971</v>
      </c>
      <c r="Y3" s="1386">
        <f>'Section Load'!V6</f>
        <v>428</v>
      </c>
      <c r="Z3" s="1386">
        <f>'Section Load'!W6</f>
        <v>141.64000000001397</v>
      </c>
      <c r="AA3" s="1386">
        <f>'Section Load'!X6</f>
        <v>34.30000000000291</v>
      </c>
      <c r="AB3" s="1386">
        <f>'Section Load'!Y6</f>
        <v>54</v>
      </c>
      <c r="AC3" s="1386">
        <f>'Section Load'!Z6</f>
        <v>95.19999999999709</v>
      </c>
      <c r="AD3" s="1386">
        <f>'Section Load'!AA6</f>
        <v>0</v>
      </c>
      <c r="AE3" s="1386">
        <f>'Section Load'!AB6</f>
        <v>15.009999999999991</v>
      </c>
      <c r="AF3" s="1386">
        <f>'Section Load'!AC6</f>
        <v>435.91000000000349</v>
      </c>
      <c r="AG3" s="1386">
        <f>'Section Load'!AD6</f>
        <v>377.99000000000524</v>
      </c>
      <c r="AH3" s="1386">
        <f>'Section Load'!AE6</f>
        <v>404.17000000000007</v>
      </c>
      <c r="AI3" s="1386">
        <f>'Section Load'!AF6</f>
        <v>670.60999999998603</v>
      </c>
      <c r="AJ3" s="1386">
        <f>'Section Load'!AG6</f>
        <v>341.34999999999854</v>
      </c>
      <c r="AK3" s="1386">
        <f>'Section Load'!AH6</f>
        <v>310.38999999999942</v>
      </c>
      <c r="AL3" s="1386">
        <f>'Section Load'!AI6</f>
        <v>534</v>
      </c>
      <c r="AM3" s="1387">
        <f>'[1]2'!$H$92</f>
        <v>162</v>
      </c>
      <c r="AN3" s="1387">
        <f>'[1]2'!$H$93</f>
        <v>351</v>
      </c>
      <c r="AO3" s="1387">
        <f>'[1]2'!$H$95</f>
        <v>142</v>
      </c>
      <c r="AP3" s="1387">
        <f>'[1]2'!$H$96</f>
        <v>53</v>
      </c>
      <c r="AQ3" s="1387">
        <f>'[1]2'!$H$97</f>
        <v>34</v>
      </c>
      <c r="AR3" s="1387">
        <f>'[1]2'!$H$98</f>
        <v>150</v>
      </c>
      <c r="AS3" s="1387">
        <f>'[1]2'!$H$99</f>
        <v>21</v>
      </c>
      <c r="AT3" s="1387">
        <f>'[1]2'!$H$100</f>
        <v>11</v>
      </c>
      <c r="AU3" s="1387">
        <f>'[1]2'!$H$104</f>
        <v>0</v>
      </c>
      <c r="AV3" s="1387">
        <f>'[1]2'!$H$105</f>
        <v>16</v>
      </c>
      <c r="AW3" s="1387">
        <f>'[1]2'!$H$106</f>
        <v>12</v>
      </c>
      <c r="AX3" s="1387">
        <f>'[1]2'!$H$109</f>
        <v>102</v>
      </c>
      <c r="AY3" s="1387">
        <f>'[1]2'!$H$110</f>
        <v>118</v>
      </c>
      <c r="AZ3" s="1387">
        <f>'[1]2'!$H$111</f>
        <v>16</v>
      </c>
      <c r="BA3" s="1387">
        <f>'[1]2'!$H$114</f>
        <v>27</v>
      </c>
      <c r="BB3" s="1387">
        <f>'[1]2'!$H$115</f>
        <v>8</v>
      </c>
      <c r="BC3" s="1387">
        <f>'[1]2'!$H$116</f>
        <v>0</v>
      </c>
      <c r="BD3" s="1387">
        <f>'[1]2'!$H$118</f>
        <v>264</v>
      </c>
      <c r="BE3" s="1387">
        <f>'[1]2'!$H$119</f>
        <v>261</v>
      </c>
      <c r="BF3" s="1387">
        <f>'[1]2'!$H$120</f>
        <v>236</v>
      </c>
      <c r="BG3" s="1388">
        <f>'Section Load'!AJ6</f>
        <v>860.89999999990687</v>
      </c>
      <c r="BH3" s="1388">
        <f>'Section Load'!AK6</f>
        <v>258.21999999997206</v>
      </c>
      <c r="BI3" s="1388">
        <f>'Section Load'!AL6</f>
        <v>0</v>
      </c>
      <c r="BJ3" s="1388">
        <f>'Section Load'!AM6</f>
        <v>62</v>
      </c>
      <c r="BK3" s="1388">
        <f>'Section Load'!AN6</f>
        <v>52.099999999998545</v>
      </c>
      <c r="BL3" s="1388">
        <f>'Section Load'!AO6</f>
        <v>3</v>
      </c>
      <c r="BM3" s="1388">
        <f>'Section Load'!AP6</f>
        <v>485.57999999993626</v>
      </c>
    </row>
    <row r="4" spans="1:65">
      <c r="A4" s="1370" t="s">
        <v>305</v>
      </c>
      <c r="B4" s="1371">
        <f t="shared" ref="B4:B29" si="0">B3+1</f>
        <v>3</v>
      </c>
      <c r="C4" s="1371">
        <v>2</v>
      </c>
      <c r="D4" s="1371">
        <v>2021</v>
      </c>
      <c r="E4" s="1386">
        <f>'Section Load'!B7</f>
        <v>2582.3299999999581</v>
      </c>
      <c r="F4" s="1386">
        <f>'Section Load'!C7</f>
        <v>1532</v>
      </c>
      <c r="G4" s="1386">
        <f>'Section Load'!D7</f>
        <v>1949</v>
      </c>
      <c r="H4" s="1386">
        <f>'Section Load'!E7</f>
        <v>4269</v>
      </c>
      <c r="I4" s="1386">
        <f>'Section Load'!F7</f>
        <v>4011</v>
      </c>
      <c r="J4" s="1386">
        <f>'Section Load'!G7</f>
        <v>2293</v>
      </c>
      <c r="K4" s="1386">
        <f>'Section Load'!H7</f>
        <v>1386</v>
      </c>
      <c r="L4" s="1386">
        <f>'Section Load'!I7</f>
        <v>784</v>
      </c>
      <c r="M4" s="1386">
        <f>'Section Load'!J7</f>
        <v>88</v>
      </c>
      <c r="N4" s="1386">
        <f>'Section Load'!K7</f>
        <v>1</v>
      </c>
      <c r="O4" s="1386">
        <f>'Section Load'!L7</f>
        <v>24</v>
      </c>
      <c r="P4" s="1386">
        <f>'Section Load'!M7</f>
        <v>192</v>
      </c>
      <c r="Q4" s="1386">
        <f>'Section Load'!N7</f>
        <v>89</v>
      </c>
      <c r="R4" s="1386">
        <f>'Section Load'!O7</f>
        <v>47</v>
      </c>
      <c r="S4" s="1386">
        <f>'Section Load'!P7</f>
        <v>425</v>
      </c>
      <c r="T4" s="1386">
        <f>'Section Load'!Q7</f>
        <v>203</v>
      </c>
      <c r="U4" s="1386">
        <f>'Section Load'!R7</f>
        <v>327</v>
      </c>
      <c r="V4" s="1386">
        <f>'Section Load'!S7</f>
        <v>104</v>
      </c>
      <c r="W4" s="1386">
        <f>'Section Load'!T7</f>
        <v>41</v>
      </c>
      <c r="X4" s="1386">
        <f>'Section Load'!U7</f>
        <v>170</v>
      </c>
      <c r="Y4" s="1386">
        <f>'Section Load'!V7</f>
        <v>394</v>
      </c>
      <c r="Z4" s="1386">
        <f>'Section Load'!W7</f>
        <v>146</v>
      </c>
      <c r="AA4" s="1386">
        <f>'Section Load'!X7</f>
        <v>31.399999999994179</v>
      </c>
      <c r="AB4" s="1386">
        <f>'Section Load'!Y7</f>
        <v>63</v>
      </c>
      <c r="AC4" s="1386">
        <f>'Section Load'!Z7</f>
        <v>66</v>
      </c>
      <c r="AD4" s="1386">
        <f>'Section Load'!AA7</f>
        <v>0</v>
      </c>
      <c r="AE4" s="1386">
        <f>'Section Load'!AB7</f>
        <v>15</v>
      </c>
      <c r="AF4" s="1386">
        <f>'Section Load'!AC7</f>
        <v>418</v>
      </c>
      <c r="AG4" s="1386">
        <f>'Section Load'!AD7</f>
        <v>374</v>
      </c>
      <c r="AH4" s="1386">
        <f>'Section Load'!AE7</f>
        <v>419</v>
      </c>
      <c r="AI4" s="1386">
        <f>'Section Load'!AF7</f>
        <v>725</v>
      </c>
      <c r="AJ4" s="1386">
        <f>'Section Load'!AG7</f>
        <v>331</v>
      </c>
      <c r="AK4" s="1386">
        <f>'Section Load'!AH7</f>
        <v>313</v>
      </c>
      <c r="AL4" s="1386">
        <f>'Section Load'!AI7</f>
        <v>457</v>
      </c>
      <c r="AM4" s="1387">
        <f>'[1]3'!$H$92</f>
        <v>250</v>
      </c>
      <c r="AN4" s="1387">
        <f>'[1]3'!$H$93</f>
        <v>501</v>
      </c>
      <c r="AO4" s="1387">
        <f>'[1]3'!$H$95</f>
        <v>206</v>
      </c>
      <c r="AP4" s="1387">
        <f>'[1]3'!$H$96</f>
        <v>89</v>
      </c>
      <c r="AQ4" s="1387">
        <f>'[1]3'!$H$97</f>
        <v>65</v>
      </c>
      <c r="AR4" s="1387">
        <f>'[1]3'!$H$98</f>
        <v>222</v>
      </c>
      <c r="AS4" s="1387">
        <f>'[1]3'!$H$99</f>
        <v>31</v>
      </c>
      <c r="AT4" s="1387">
        <f>'[1]3'!$H$100</f>
        <v>16</v>
      </c>
      <c r="AU4" s="1387">
        <f>'[1]3'!$H$104</f>
        <v>0</v>
      </c>
      <c r="AV4" s="1387">
        <f>'[1]3'!$H$105</f>
        <v>22</v>
      </c>
      <c r="AW4" s="1387">
        <f>'[1]3'!$H$106</f>
        <v>17</v>
      </c>
      <c r="AX4" s="1387">
        <f>'[1]3'!$H$109</f>
        <v>160</v>
      </c>
      <c r="AY4" s="1387">
        <f>'[1]3'!$H$110</f>
        <v>211</v>
      </c>
      <c r="AZ4" s="1387">
        <f>'[1]3'!$H$111</f>
        <v>16</v>
      </c>
      <c r="BA4" s="1387">
        <f>'[1]3'!$H$114</f>
        <v>39</v>
      </c>
      <c r="BB4" s="1387">
        <f>'[1]3'!$H$115</f>
        <v>14</v>
      </c>
      <c r="BC4" s="1387">
        <f>'[1]3'!$H$116</f>
        <v>0</v>
      </c>
      <c r="BD4" s="1387">
        <f>'[1]3'!$H$118</f>
        <v>403</v>
      </c>
      <c r="BE4" s="1387">
        <f>'[1]3'!$H$119</f>
        <v>407</v>
      </c>
      <c r="BF4" s="1387">
        <f>'[1]3'!$H$120</f>
        <v>387</v>
      </c>
      <c r="BG4" s="1388">
        <f>'Section Load'!AJ7</f>
        <v>873</v>
      </c>
      <c r="BH4" s="1388">
        <f>'Section Load'!AK7</f>
        <v>265</v>
      </c>
      <c r="BI4" s="1388">
        <f>'Section Load'!AL7</f>
        <v>0</v>
      </c>
      <c r="BJ4" s="1388">
        <f>'Section Load'!AM7</f>
        <v>83</v>
      </c>
      <c r="BK4" s="1388">
        <f>'Section Load'!AN7</f>
        <v>57</v>
      </c>
      <c r="BL4" s="1388">
        <f>'Section Load'!AO7</f>
        <v>4</v>
      </c>
      <c r="BM4" s="1388">
        <f>'Section Load'!AP7</f>
        <v>464</v>
      </c>
    </row>
    <row r="5" spans="1:65">
      <c r="A5" s="1370" t="s">
        <v>305</v>
      </c>
      <c r="B5" s="1371">
        <f t="shared" si="0"/>
        <v>4</v>
      </c>
      <c r="C5" s="1371">
        <v>2</v>
      </c>
      <c r="D5" s="1371">
        <v>2021</v>
      </c>
      <c r="E5" s="1386">
        <f>'Section Load'!B8</f>
        <v>2607</v>
      </c>
      <c r="F5" s="1386">
        <f>'Section Load'!C8</f>
        <v>1509</v>
      </c>
      <c r="G5" s="1386">
        <f>'Section Load'!D8</f>
        <v>1911.12</v>
      </c>
      <c r="H5" s="1386">
        <f>'Section Load'!E8</f>
        <v>4148</v>
      </c>
      <c r="I5" s="1386">
        <f>'Section Load'!F8</f>
        <v>3732.8999999999505</v>
      </c>
      <c r="J5" s="1386">
        <f>'Section Load'!G8</f>
        <v>2251</v>
      </c>
      <c r="K5" s="1386">
        <f>'Section Load'!H8</f>
        <v>1085</v>
      </c>
      <c r="L5" s="1386">
        <f>'Section Load'!I8</f>
        <v>594</v>
      </c>
      <c r="M5" s="1386">
        <f>'Section Load'!J8</f>
        <v>83</v>
      </c>
      <c r="N5" s="1386">
        <f>'Section Load'!K8</f>
        <v>0</v>
      </c>
      <c r="O5" s="1386">
        <f>'Section Load'!L8</f>
        <v>32</v>
      </c>
      <c r="P5" s="1386">
        <f>'Section Load'!M8</f>
        <v>32</v>
      </c>
      <c r="Q5" s="1386">
        <f>'Section Load'!N8</f>
        <v>87</v>
      </c>
      <c r="R5" s="1386">
        <f>'Section Load'!O8</f>
        <v>71</v>
      </c>
      <c r="S5" s="1386">
        <f>'Section Load'!P8</f>
        <v>432</v>
      </c>
      <c r="T5" s="1386">
        <f>'Section Load'!Q8</f>
        <v>193</v>
      </c>
      <c r="U5" s="1386">
        <f>'Section Load'!R8</f>
        <v>310</v>
      </c>
      <c r="V5" s="1386">
        <f>'Section Load'!S8</f>
        <v>95</v>
      </c>
      <c r="W5" s="1386">
        <f>'Section Load'!T8</f>
        <v>28</v>
      </c>
      <c r="X5" s="1386">
        <f>'Section Load'!U8</f>
        <v>179</v>
      </c>
      <c r="Y5" s="1386">
        <f>'Section Load'!V8</f>
        <v>418</v>
      </c>
      <c r="Z5" s="1386">
        <f>'Section Load'!W8</f>
        <v>133</v>
      </c>
      <c r="AA5" s="1386">
        <f>'Section Load'!X8</f>
        <v>29</v>
      </c>
      <c r="AB5" s="1386">
        <f>'Section Load'!Y8</f>
        <v>75</v>
      </c>
      <c r="AC5" s="1386">
        <f>'Section Load'!Z8</f>
        <v>83</v>
      </c>
      <c r="AD5" s="1386">
        <f>'Section Load'!AA8</f>
        <v>-1.0000000002037268E-3</v>
      </c>
      <c r="AE5" s="1386">
        <f>'Section Load'!AB8</f>
        <v>14</v>
      </c>
      <c r="AF5" s="1386">
        <f>'Section Load'!AC8</f>
        <v>419</v>
      </c>
      <c r="AG5" s="1386">
        <f>'Section Load'!AD8</f>
        <v>371</v>
      </c>
      <c r="AH5" s="1386">
        <f>'Section Load'!AE8</f>
        <v>396</v>
      </c>
      <c r="AI5" s="1386">
        <f>'Section Load'!AF8</f>
        <v>701</v>
      </c>
      <c r="AJ5" s="1386">
        <f>'Section Load'!AG8</f>
        <v>343</v>
      </c>
      <c r="AK5" s="1386">
        <f>'Section Load'!AH8</f>
        <v>296</v>
      </c>
      <c r="AL5" s="1386">
        <f>'Section Load'!AI8</f>
        <v>474</v>
      </c>
      <c r="AM5" s="1387">
        <f>'[1]4'!$H$92</f>
        <v>352</v>
      </c>
      <c r="AN5" s="1387">
        <f>'[1]4'!$H$93</f>
        <v>641</v>
      </c>
      <c r="AO5" s="1387">
        <f>'[1]4'!$H$95</f>
        <v>284</v>
      </c>
      <c r="AP5" s="1387">
        <f>'[1]4'!$H$96</f>
        <v>124</v>
      </c>
      <c r="AQ5" s="1387">
        <f>'[1]4'!$H$97</f>
        <v>110</v>
      </c>
      <c r="AR5" s="1387">
        <f>'[1]4'!$H$98</f>
        <v>289</v>
      </c>
      <c r="AS5" s="1387">
        <f>'[1]4'!$H$99</f>
        <v>41</v>
      </c>
      <c r="AT5" s="1387">
        <f>'[1]4'!$H$100</f>
        <v>23</v>
      </c>
      <c r="AU5" s="1387">
        <f>'[1]4'!$H$104</f>
        <v>0</v>
      </c>
      <c r="AV5" s="1387">
        <f>'[1]4'!$H$105</f>
        <v>28</v>
      </c>
      <c r="AW5" s="1387">
        <f>'[1]4'!$H$106</f>
        <v>23</v>
      </c>
      <c r="AX5" s="1387">
        <f>'[1]4'!$H$109</f>
        <v>215</v>
      </c>
      <c r="AY5" s="1387">
        <f>'[1]4'!$H$110</f>
        <v>258</v>
      </c>
      <c r="AZ5" s="1387">
        <f>'[1]4'!$H$111</f>
        <v>30</v>
      </c>
      <c r="BA5" s="1387">
        <f>'[1]4'!$H$114</f>
        <v>53</v>
      </c>
      <c r="BB5" s="1387">
        <f>'[1]4'!$H$115</f>
        <v>21</v>
      </c>
      <c r="BC5" s="1387">
        <f>'[1]4'!$H$116</f>
        <v>0</v>
      </c>
      <c r="BD5" s="1387">
        <f>'[1]4'!$H$118</f>
        <v>555</v>
      </c>
      <c r="BE5" s="1387">
        <f>'[1]4'!$H$119</f>
        <v>582</v>
      </c>
      <c r="BF5" s="1387">
        <f>'[1]4'!$H$120</f>
        <v>503</v>
      </c>
      <c r="BG5" s="1388">
        <f>'Section Load'!AJ8</f>
        <v>796</v>
      </c>
      <c r="BH5" s="1388">
        <f>'Section Load'!AK8</f>
        <v>275</v>
      </c>
      <c r="BI5" s="1388">
        <f>'Section Load'!AL8</f>
        <v>0</v>
      </c>
      <c r="BJ5" s="1388">
        <f>'Section Load'!AM8</f>
        <v>68</v>
      </c>
      <c r="BK5" s="1388">
        <f>'Section Load'!AN8</f>
        <v>32</v>
      </c>
      <c r="BL5" s="1388">
        <f>'Section Load'!AO8</f>
        <v>1</v>
      </c>
      <c r="BM5" s="1388">
        <f>'Section Load'!AP8</f>
        <v>420</v>
      </c>
    </row>
    <row r="6" spans="1:65">
      <c r="A6" s="1370" t="s">
        <v>305</v>
      </c>
      <c r="B6" s="1371">
        <f t="shared" si="0"/>
        <v>5</v>
      </c>
      <c r="C6" s="1371">
        <v>2</v>
      </c>
      <c r="D6" s="1371">
        <v>2021</v>
      </c>
      <c r="E6" s="1386">
        <f>'Section Load'!B9</f>
        <v>2649</v>
      </c>
      <c r="F6" s="1386">
        <f>'Section Load'!C9</f>
        <v>1458</v>
      </c>
      <c r="G6" s="1386">
        <f>'Section Load'!D9</f>
        <v>2075</v>
      </c>
      <c r="H6" s="1386">
        <f>'Section Load'!E9</f>
        <v>4228</v>
      </c>
      <c r="I6" s="1386">
        <f>'Section Load'!F9</f>
        <v>3652</v>
      </c>
      <c r="J6" s="1386">
        <f>'Section Load'!G9</f>
        <v>2265</v>
      </c>
      <c r="K6" s="1386">
        <f>'Section Load'!H9</f>
        <v>1105</v>
      </c>
      <c r="L6" s="1386">
        <f>'Section Load'!I9</f>
        <v>564</v>
      </c>
      <c r="M6" s="1386">
        <f>'Section Load'!J9</f>
        <v>70</v>
      </c>
      <c r="N6" s="1386">
        <f>'Section Load'!K9</f>
        <v>1</v>
      </c>
      <c r="O6" s="1386">
        <f>'Section Load'!L9</f>
        <v>28</v>
      </c>
      <c r="P6" s="1386">
        <f>'Section Load'!M9</f>
        <v>173</v>
      </c>
      <c r="Q6" s="1386">
        <f>'Section Load'!N9</f>
        <v>84</v>
      </c>
      <c r="R6" s="1386">
        <f>'Section Load'!O9</f>
        <v>82</v>
      </c>
      <c r="S6" s="1386">
        <f>'Section Load'!P9</f>
        <v>399</v>
      </c>
      <c r="T6" s="1386">
        <f>'Section Load'!Q9</f>
        <v>193</v>
      </c>
      <c r="U6" s="1386">
        <f>'Section Load'!R9</f>
        <v>310</v>
      </c>
      <c r="V6" s="1386">
        <f>'Section Load'!S9</f>
        <v>100</v>
      </c>
      <c r="W6" s="1386">
        <f>'Section Load'!T9</f>
        <v>22</v>
      </c>
      <c r="X6" s="1386">
        <f>'Section Load'!U9</f>
        <v>143</v>
      </c>
      <c r="Y6" s="1386">
        <f>'Section Load'!V9</f>
        <v>503</v>
      </c>
      <c r="Z6" s="1386">
        <f>'Section Load'!W9</f>
        <v>112</v>
      </c>
      <c r="AA6" s="1386">
        <f>'Section Load'!X9</f>
        <v>33</v>
      </c>
      <c r="AB6" s="1386">
        <f>'Section Load'!Y9</f>
        <v>64</v>
      </c>
      <c r="AC6" s="1386">
        <f>'Section Load'!Z9</f>
        <v>104</v>
      </c>
      <c r="AD6" s="1386">
        <f>'Section Load'!AA9</f>
        <v>-0.18799999999828287</v>
      </c>
      <c r="AE6" s="1386">
        <f>'Section Load'!AB9</f>
        <v>15</v>
      </c>
      <c r="AF6" s="1386">
        <f>'Section Load'!AC9</f>
        <v>452</v>
      </c>
      <c r="AG6" s="1386">
        <f>'Section Load'!AD9</f>
        <v>370</v>
      </c>
      <c r="AH6" s="1386">
        <f>'Section Load'!AE9</f>
        <v>388</v>
      </c>
      <c r="AI6" s="1386">
        <f>'Section Load'!AF9</f>
        <v>710</v>
      </c>
      <c r="AJ6" s="1386">
        <f>'Section Load'!AG9</f>
        <v>344</v>
      </c>
      <c r="AK6" s="1386">
        <f>'Section Load'!AH9</f>
        <v>297</v>
      </c>
      <c r="AL6" s="1386">
        <f>'Section Load'!AI9</f>
        <v>467</v>
      </c>
      <c r="AM6" s="1387">
        <f>'[1]5'!$H$92</f>
        <v>462</v>
      </c>
      <c r="AN6" s="1387">
        <f>'[1]5'!$H$93</f>
        <v>823</v>
      </c>
      <c r="AO6" s="1387">
        <f>'[1]5'!$H$95</f>
        <v>339</v>
      </c>
      <c r="AP6" s="1387">
        <f>'[1]5'!$H$96</f>
        <v>147</v>
      </c>
      <c r="AQ6" s="1387">
        <f>'[1]5'!$H$97</f>
        <v>150</v>
      </c>
      <c r="AR6" s="1387">
        <f>'[1]5'!$H$98</f>
        <v>329</v>
      </c>
      <c r="AS6" s="1387">
        <f>'[1]5'!$H$99</f>
        <v>48</v>
      </c>
      <c r="AT6" s="1387">
        <f>'[1]5'!$H$100</f>
        <v>29</v>
      </c>
      <c r="AU6" s="1387">
        <f>'[1]5'!$H$104</f>
        <v>0</v>
      </c>
      <c r="AV6" s="1387">
        <f>'[1]5'!$H$105</f>
        <v>42</v>
      </c>
      <c r="AW6" s="1387">
        <f>'[1]5'!$H$106</f>
        <v>32</v>
      </c>
      <c r="AX6" s="1387">
        <f>'[1]5'!$H$109</f>
        <v>330</v>
      </c>
      <c r="AY6" s="1387">
        <f>'[1]5'!$H$110</f>
        <v>337</v>
      </c>
      <c r="AZ6" s="1387">
        <f>'[1]5'!$H$111</f>
        <v>30</v>
      </c>
      <c r="BA6" s="1387">
        <f>'[1]5'!$H$114</f>
        <v>74</v>
      </c>
      <c r="BB6" s="1387">
        <f>'[1]5'!$H$115</f>
        <v>32</v>
      </c>
      <c r="BC6" s="1387">
        <f>'[1]5'!$H$116</f>
        <v>0</v>
      </c>
      <c r="BD6" s="1387">
        <f>'[1]5'!$H$118</f>
        <v>706</v>
      </c>
      <c r="BE6" s="1387">
        <f>'[1]5'!$H$119</f>
        <v>713</v>
      </c>
      <c r="BF6" s="1387">
        <f>'[1]5'!$H$120</f>
        <v>697</v>
      </c>
      <c r="BG6" s="1388">
        <f>'Section Load'!AJ9</f>
        <v>778</v>
      </c>
      <c r="BH6" s="1388">
        <f>'Section Load'!AK9</f>
        <v>269</v>
      </c>
      <c r="BI6" s="1388">
        <f>'Section Load'!AL9</f>
        <v>0</v>
      </c>
      <c r="BJ6" s="1388">
        <f>'Section Load'!AM9</f>
        <v>77</v>
      </c>
      <c r="BK6" s="1388">
        <f>'Section Load'!AN9</f>
        <v>30</v>
      </c>
      <c r="BL6" s="1388">
        <f>'Section Load'!AO9</f>
        <v>5</v>
      </c>
      <c r="BM6" s="1388">
        <f>'Section Load'!AP9</f>
        <v>397</v>
      </c>
    </row>
    <row r="7" spans="1:65">
      <c r="A7" s="1370" t="s">
        <v>305</v>
      </c>
      <c r="B7" s="1371">
        <f t="shared" si="0"/>
        <v>6</v>
      </c>
      <c r="C7" s="1371">
        <v>2</v>
      </c>
      <c r="D7" s="1371">
        <v>2021</v>
      </c>
      <c r="E7" s="1386">
        <f>'Section Load'!B10</f>
        <v>2648</v>
      </c>
      <c r="F7" s="1386">
        <f>'Section Load'!C10</f>
        <v>1509</v>
      </c>
      <c r="G7" s="1386">
        <f>'Section Load'!D10</f>
        <v>2000</v>
      </c>
      <c r="H7" s="1386">
        <f>'Section Load'!E10</f>
        <v>4153</v>
      </c>
      <c r="I7" s="1386">
        <f>'Section Load'!F10</f>
        <v>3905</v>
      </c>
      <c r="J7" s="1386">
        <f>'Section Load'!G10</f>
        <v>2282</v>
      </c>
      <c r="K7" s="1386">
        <f>'Section Load'!H10</f>
        <v>1480</v>
      </c>
      <c r="L7" s="1386">
        <f>'Section Load'!I10</f>
        <v>729</v>
      </c>
      <c r="M7" s="1386">
        <f>'Section Load'!J10</f>
        <v>67</v>
      </c>
      <c r="N7" s="1386">
        <f>'Section Load'!K10</f>
        <v>0</v>
      </c>
      <c r="O7" s="1386">
        <f>'Section Load'!L10</f>
        <v>30</v>
      </c>
      <c r="P7" s="1386">
        <f>'Section Load'!M10</f>
        <v>171</v>
      </c>
      <c r="Q7" s="1386">
        <f>'Section Load'!N10</f>
        <v>81</v>
      </c>
      <c r="R7" s="1386">
        <f>'Section Load'!O10</f>
        <v>64</v>
      </c>
      <c r="S7" s="1386">
        <f>'Section Load'!P10</f>
        <v>468</v>
      </c>
      <c r="T7" s="1386">
        <f>'Section Load'!Q10</f>
        <v>203</v>
      </c>
      <c r="U7" s="1386">
        <f>'Section Load'!R10</f>
        <v>308</v>
      </c>
      <c r="V7" s="1386">
        <f>'Section Load'!S10</f>
        <v>104</v>
      </c>
      <c r="W7" s="1386">
        <f>'Section Load'!T10</f>
        <v>21</v>
      </c>
      <c r="X7" s="1386">
        <f>'Section Load'!U10</f>
        <v>158</v>
      </c>
      <c r="Y7" s="1386">
        <f>'Section Load'!V10</f>
        <v>485</v>
      </c>
      <c r="Z7" s="1386">
        <f>'Section Load'!W10</f>
        <v>159</v>
      </c>
      <c r="AA7" s="1386">
        <f>'Section Load'!X10</f>
        <v>20</v>
      </c>
      <c r="AB7" s="1386">
        <f>'Section Load'!Y10</f>
        <v>63</v>
      </c>
      <c r="AC7" s="1386">
        <f>'Section Load'!Z10</f>
        <v>51</v>
      </c>
      <c r="AD7" s="1386">
        <f>'Section Load'!AA10</f>
        <v>0</v>
      </c>
      <c r="AE7" s="1386">
        <f>'Section Load'!AB10</f>
        <v>14</v>
      </c>
      <c r="AF7" s="1386">
        <f>'Section Load'!AC10</f>
        <v>405</v>
      </c>
      <c r="AG7" s="1386">
        <f>'Section Load'!AD10</f>
        <v>367</v>
      </c>
      <c r="AH7" s="1386">
        <f>'Section Load'!AE10</f>
        <v>393</v>
      </c>
      <c r="AI7" s="1386">
        <f>'Section Load'!AF10</f>
        <v>715</v>
      </c>
      <c r="AJ7" s="1386">
        <f>'Section Load'!AG10</f>
        <v>355</v>
      </c>
      <c r="AK7" s="1386">
        <f>'Section Load'!AH10</f>
        <v>280</v>
      </c>
      <c r="AL7" s="1386">
        <f>'Section Load'!AI10</f>
        <v>477</v>
      </c>
      <c r="AM7" s="1387">
        <f>'[1]6'!$H$92</f>
        <v>551</v>
      </c>
      <c r="AN7" s="1387">
        <f>'[1]6'!$H$93</f>
        <v>924</v>
      </c>
      <c r="AO7" s="1387">
        <f>'[1]6'!$H$95</f>
        <v>400</v>
      </c>
      <c r="AP7" s="1387">
        <f>'[1]6'!$H$96</f>
        <v>181</v>
      </c>
      <c r="AQ7" s="1387">
        <f>'[1]6'!$H$97</f>
        <v>181</v>
      </c>
      <c r="AR7" s="1387">
        <f>'[1]6'!$H$98</f>
        <v>401</v>
      </c>
      <c r="AS7" s="1387">
        <f>'[1]6'!$H$99</f>
        <v>57</v>
      </c>
      <c r="AT7" s="1387">
        <f>'[1]6'!$H$100</f>
        <v>38</v>
      </c>
      <c r="AU7" s="1387">
        <f>'[1]6'!$H$104</f>
        <v>0</v>
      </c>
      <c r="AV7" s="1387">
        <f>'[1]6'!$H$105</f>
        <v>48</v>
      </c>
      <c r="AW7" s="1387">
        <f>'[1]6'!$H$106</f>
        <v>38</v>
      </c>
      <c r="AX7" s="1387">
        <f>'[1]6'!$H$109</f>
        <v>370</v>
      </c>
      <c r="AY7" s="1387">
        <f>'[1]6'!$H$110</f>
        <v>382</v>
      </c>
      <c r="AZ7" s="1387">
        <f>'[1]6'!$H$111</f>
        <v>62</v>
      </c>
      <c r="BA7" s="1387">
        <f>'[1]6'!$H$114</f>
        <v>85</v>
      </c>
      <c r="BB7" s="1387">
        <f>'[1]6'!$H$115</f>
        <v>38</v>
      </c>
      <c r="BC7" s="1387">
        <f>'[1]6'!$H$116</f>
        <v>0</v>
      </c>
      <c r="BD7" s="1387">
        <f>'[1]6'!$H$118</f>
        <v>846</v>
      </c>
      <c r="BE7" s="1387">
        <f>'[1]6'!$H$119</f>
        <v>857</v>
      </c>
      <c r="BF7" s="1387">
        <f>'[1]6'!$H$120</f>
        <v>814</v>
      </c>
      <c r="BG7" s="1388">
        <f>'Section Load'!AJ10</f>
        <v>814</v>
      </c>
      <c r="BH7" s="1388">
        <f>'Section Load'!AK10</f>
        <v>288</v>
      </c>
      <c r="BI7" s="1388">
        <f>'Section Load'!AL10</f>
        <v>0</v>
      </c>
      <c r="BJ7" s="1388">
        <f>'Section Load'!AM10</f>
        <v>63</v>
      </c>
      <c r="BK7" s="1388">
        <f>'Section Load'!AN10</f>
        <v>43</v>
      </c>
      <c r="BL7" s="1388">
        <f>'Section Load'!AO10</f>
        <v>3</v>
      </c>
      <c r="BM7" s="1388">
        <f>'Section Load'!AP10</f>
        <v>417</v>
      </c>
    </row>
    <row r="8" spans="1:65">
      <c r="A8" s="1370" t="s">
        <v>305</v>
      </c>
      <c r="B8" s="1371">
        <f t="shared" si="0"/>
        <v>7</v>
      </c>
      <c r="C8" s="1371">
        <v>2</v>
      </c>
      <c r="D8" s="1371">
        <v>2021</v>
      </c>
      <c r="E8" s="1386">
        <f>'Section Load'!B11</f>
        <v>2499.6700000000128</v>
      </c>
      <c r="F8" s="1386">
        <f>'Section Load'!C11</f>
        <v>1427</v>
      </c>
      <c r="G8" s="1386">
        <f>'Section Load'!D11</f>
        <v>2118</v>
      </c>
      <c r="H8" s="1386">
        <f>'Section Load'!E11</f>
        <v>4176</v>
      </c>
      <c r="I8" s="1386">
        <f>'Section Load'!F11</f>
        <v>3495.9800000000032</v>
      </c>
      <c r="J8" s="1386">
        <f>'Section Load'!G11</f>
        <v>2319</v>
      </c>
      <c r="K8" s="1386">
        <f>'Section Load'!H11</f>
        <v>1109</v>
      </c>
      <c r="L8" s="1386">
        <f>'Section Load'!I11</f>
        <v>577.80999999999767</v>
      </c>
      <c r="M8" s="1386">
        <f>'Section Load'!J11</f>
        <v>82</v>
      </c>
      <c r="N8" s="1386">
        <f>'Section Load'!K11</f>
        <v>0</v>
      </c>
      <c r="O8" s="1386">
        <f>'Section Load'!L11</f>
        <v>24</v>
      </c>
      <c r="P8" s="1386">
        <f>'Section Load'!M11</f>
        <v>179</v>
      </c>
      <c r="Q8" s="1386">
        <f>'Section Load'!N11</f>
        <v>87</v>
      </c>
      <c r="R8" s="1386">
        <f>'Section Load'!O11</f>
        <v>51</v>
      </c>
      <c r="S8" s="1386">
        <f>'Section Load'!P11</f>
        <v>458</v>
      </c>
      <c r="T8" s="1386">
        <f>'Section Load'!Q11</f>
        <v>194</v>
      </c>
      <c r="U8" s="1386">
        <f>'Section Load'!R11</f>
        <v>317</v>
      </c>
      <c r="V8" s="1386">
        <f>'Section Load'!S11</f>
        <v>103</v>
      </c>
      <c r="W8" s="1386">
        <f>'Section Load'!T11</f>
        <v>26</v>
      </c>
      <c r="X8" s="1386">
        <f>'Section Load'!U11</f>
        <v>169</v>
      </c>
      <c r="Y8" s="1386">
        <f>'Section Load'!V11</f>
        <v>481</v>
      </c>
      <c r="Z8" s="1386">
        <f>'Section Load'!W11</f>
        <v>114</v>
      </c>
      <c r="AA8" s="1386">
        <f>'Section Load'!X11</f>
        <v>0.5</v>
      </c>
      <c r="AB8" s="1386">
        <f>'Section Load'!Y11</f>
        <v>30</v>
      </c>
      <c r="AC8" s="1386">
        <f>'Section Load'!Z11</f>
        <v>49</v>
      </c>
      <c r="AD8" s="1386">
        <f>'Section Load'!AA11</f>
        <v>0</v>
      </c>
      <c r="AE8" s="1386">
        <f>'Section Load'!AB11</f>
        <v>14</v>
      </c>
      <c r="AF8" s="1386">
        <f>'Section Load'!AC11</f>
        <v>374.60000000000582</v>
      </c>
      <c r="AG8" s="1386">
        <f>'Section Load'!AD11</f>
        <v>378.66999999999825</v>
      </c>
      <c r="AH8" s="1386">
        <f>'Section Load'!AE11</f>
        <v>409</v>
      </c>
      <c r="AI8" s="1386">
        <f>'Section Load'!AF11</f>
        <v>727.98999999999069</v>
      </c>
      <c r="AJ8" s="1386">
        <f>'Section Load'!AG11</f>
        <v>330</v>
      </c>
      <c r="AK8" s="1386">
        <f>'Section Load'!AH11</f>
        <v>310</v>
      </c>
      <c r="AL8" s="1386">
        <f>'Section Load'!AI11</f>
        <v>466</v>
      </c>
      <c r="AM8" s="1387">
        <f>'[1]7'!$H$92</f>
        <v>655</v>
      </c>
      <c r="AN8" s="1387">
        <f>'[1]7'!$H$93</f>
        <v>1131</v>
      </c>
      <c r="AO8" s="1387">
        <f>'[1]7'!$H$95</f>
        <v>457</v>
      </c>
      <c r="AP8" s="1387">
        <f>'[1]7'!$H$96</f>
        <v>224</v>
      </c>
      <c r="AQ8" s="1387">
        <f>'[1]7'!$H$97</f>
        <v>204</v>
      </c>
      <c r="AR8" s="1387">
        <f>'[1]7'!$H$98</f>
        <v>459</v>
      </c>
      <c r="AS8" s="1387">
        <f>'[1]7'!$H$99</f>
        <v>71</v>
      </c>
      <c r="AT8" s="1387">
        <f>'[1]7'!$H$100</f>
        <v>46</v>
      </c>
      <c r="AU8" s="1387">
        <f>'[1]7'!$H$104</f>
        <v>0</v>
      </c>
      <c r="AV8" s="1387">
        <f>'[1]7'!$H$105</f>
        <v>54</v>
      </c>
      <c r="AW8" s="1387">
        <f>'[1]7'!$H$106</f>
        <v>42</v>
      </c>
      <c r="AX8" s="1387">
        <f>'[1]7'!$H$109</f>
        <v>409</v>
      </c>
      <c r="AY8" s="1387">
        <f>'[1]7'!$H$110</f>
        <v>483</v>
      </c>
      <c r="AZ8" s="1387">
        <f>'[1]7'!$H$111</f>
        <v>62</v>
      </c>
      <c r="BA8" s="1387">
        <f>'[1]7'!$H$114</f>
        <v>101</v>
      </c>
      <c r="BB8" s="1387">
        <f>'[1]7'!$H$115</f>
        <v>45</v>
      </c>
      <c r="BC8" s="1387">
        <f>'[1]7'!$H$116</f>
        <v>0</v>
      </c>
      <c r="BD8" s="1387">
        <f>'[1]7'!$H$118</f>
        <v>1002</v>
      </c>
      <c r="BE8" s="1387">
        <f>'[1]7'!$H$119</f>
        <v>1002</v>
      </c>
      <c r="BF8" s="1387">
        <f>'[1]7'!$H$120</f>
        <v>954</v>
      </c>
      <c r="BG8" s="1388">
        <f>'Section Load'!AJ11</f>
        <v>844.44999999995343</v>
      </c>
      <c r="BH8" s="1388">
        <f>'Section Load'!AK11</f>
        <v>296</v>
      </c>
      <c r="BI8" s="1388">
        <f>'Section Load'!AL11</f>
        <v>1.3999999999941792</v>
      </c>
      <c r="BJ8" s="1388">
        <f>'Section Load'!AM11</f>
        <v>60.970000000001164</v>
      </c>
      <c r="BK8" s="1388">
        <f>'Section Load'!AN11</f>
        <v>40</v>
      </c>
      <c r="BL8" s="1388">
        <f>'Section Load'!AO11</f>
        <v>2</v>
      </c>
      <c r="BM8" s="1388">
        <f>'Section Load'!AP11</f>
        <v>444.07999999995809</v>
      </c>
    </row>
    <row r="9" spans="1:65">
      <c r="A9" s="1370" t="s">
        <v>305</v>
      </c>
      <c r="B9" s="1371">
        <f t="shared" si="0"/>
        <v>8</v>
      </c>
      <c r="C9" s="1371">
        <v>2</v>
      </c>
      <c r="D9" s="1371">
        <v>2021</v>
      </c>
      <c r="E9" s="1386">
        <f>'Section Load'!B12</f>
        <v>2518.2400000000198</v>
      </c>
      <c r="F9" s="1386">
        <f>'Section Load'!C12</f>
        <v>1776.1899999999982</v>
      </c>
      <c r="G9" s="1386">
        <f>'Section Load'!D12</f>
        <v>2039.630000000021</v>
      </c>
      <c r="H9" s="1386">
        <f>'Section Load'!E12</f>
        <v>4170.2900000000091</v>
      </c>
      <c r="I9" s="1386">
        <f>'Section Load'!F12</f>
        <v>3857.8899999999994</v>
      </c>
      <c r="J9" s="1386">
        <f>'Section Load'!G12</f>
        <v>2339.6700000000419</v>
      </c>
      <c r="K9" s="1386">
        <f>'Section Load'!H12</f>
        <v>1081</v>
      </c>
      <c r="L9" s="1386">
        <f>'Section Load'!I12</f>
        <v>628.59999999997672</v>
      </c>
      <c r="M9" s="1386">
        <f>'Section Load'!J12</f>
        <v>67</v>
      </c>
      <c r="N9" s="1386">
        <f>'Section Load'!K12</f>
        <v>0</v>
      </c>
      <c r="O9" s="1386">
        <f>'Section Load'!L12</f>
        <v>23</v>
      </c>
      <c r="P9" s="1386">
        <f>'Section Load'!M12</f>
        <v>178</v>
      </c>
      <c r="Q9" s="1386">
        <f>'Section Load'!N12</f>
        <v>95</v>
      </c>
      <c r="R9" s="1386">
        <f>'Section Load'!O12</f>
        <v>49</v>
      </c>
      <c r="S9" s="1386">
        <f>'Section Load'!P12</f>
        <v>413</v>
      </c>
      <c r="T9" s="1386">
        <f>'Section Load'!Q12</f>
        <v>170</v>
      </c>
      <c r="U9" s="1386">
        <f>'Section Load'!R12</f>
        <v>264.96000000002095</v>
      </c>
      <c r="V9" s="1386">
        <f>'Section Load'!S12</f>
        <v>89</v>
      </c>
      <c r="W9" s="1386">
        <f>'Section Load'!T12</f>
        <v>24.80000000000291</v>
      </c>
      <c r="X9" s="1386">
        <f>'Section Load'!U12</f>
        <v>201.56000000000131</v>
      </c>
      <c r="Y9" s="1386">
        <f>'Section Load'!V12</f>
        <v>484</v>
      </c>
      <c r="Z9" s="1386">
        <f>'Section Load'!W12</f>
        <v>131</v>
      </c>
      <c r="AA9" s="1386">
        <f>'Section Load'!X12</f>
        <v>32</v>
      </c>
      <c r="AB9" s="1386">
        <f>'Section Load'!Y12</f>
        <v>65.559999999997672</v>
      </c>
      <c r="AC9" s="1386">
        <f>'Section Load'!Z12</f>
        <v>68.000000000002728</v>
      </c>
      <c r="AD9" s="1386">
        <f>'Section Load'!AA12</f>
        <v>0</v>
      </c>
      <c r="AE9" s="1386">
        <f>'Section Load'!AB12</f>
        <v>14</v>
      </c>
      <c r="AF9" s="1386">
        <f>'Section Load'!AC12</f>
        <v>418.39999999999418</v>
      </c>
      <c r="AG9" s="1386">
        <f>'Section Load'!AD12</f>
        <v>388.90000000000873</v>
      </c>
      <c r="AH9" s="1386">
        <f>'Section Load'!AE12</f>
        <v>393</v>
      </c>
      <c r="AI9" s="1386">
        <f>'Section Load'!AF12</f>
        <v>697.54000000000815</v>
      </c>
      <c r="AJ9" s="1386">
        <f>'Section Load'!AG12</f>
        <v>344</v>
      </c>
      <c r="AK9" s="1386">
        <f>'Section Load'!AH12</f>
        <v>284</v>
      </c>
      <c r="AL9" s="1386">
        <f>'Section Load'!AI12</f>
        <v>476</v>
      </c>
      <c r="AM9" s="1387">
        <f>'[1]8'!$H$92</f>
        <v>750</v>
      </c>
      <c r="AN9" s="1387">
        <f>'[1]8'!$H$93</f>
        <v>1338</v>
      </c>
      <c r="AO9" s="1387">
        <f>'[1]8'!$H$95</f>
        <v>528</v>
      </c>
      <c r="AP9" s="1387">
        <f>'[1]8'!$H$96</f>
        <v>275</v>
      </c>
      <c r="AQ9" s="1387">
        <f>'[1]8'!$H$97</f>
        <v>224</v>
      </c>
      <c r="AR9" s="1387">
        <f>'[1]8'!$H$98</f>
        <v>537</v>
      </c>
      <c r="AS9" s="1387">
        <f>'[1]8'!$H$99</f>
        <v>83</v>
      </c>
      <c r="AT9" s="1387">
        <f>'[1]8'!$H$100</f>
        <v>54</v>
      </c>
      <c r="AU9" s="1387">
        <f>'[1]8'!$H$104</f>
        <v>0</v>
      </c>
      <c r="AV9" s="1387">
        <f>'[1]8'!$H$105</f>
        <v>63</v>
      </c>
      <c r="AW9" s="1387">
        <f>'[1]8'!$H$106</f>
        <v>47</v>
      </c>
      <c r="AX9" s="1387">
        <f>'[1]8'!$H$109</f>
        <v>483</v>
      </c>
      <c r="AY9" s="1387">
        <f>'[1]8'!$H$110</f>
        <v>526</v>
      </c>
      <c r="AZ9" s="1387">
        <f>'[1]8'!$H$111</f>
        <v>62</v>
      </c>
      <c r="BA9" s="1387">
        <f>'[1]8'!$H$114</f>
        <v>117</v>
      </c>
      <c r="BB9" s="1387">
        <f>'[1]8'!$H$115</f>
        <v>52</v>
      </c>
      <c r="BC9" s="1387">
        <f>'[1]8'!$H$116</f>
        <v>0</v>
      </c>
      <c r="BD9" s="1387">
        <f>'[1]8'!$H$118</f>
        <v>1148</v>
      </c>
      <c r="BE9" s="1387">
        <f>'[1]8'!$H$119</f>
        <v>1164</v>
      </c>
      <c r="BF9" s="1387">
        <f>'[1]8'!$H$120</f>
        <v>1071</v>
      </c>
      <c r="BG9" s="1388">
        <f>'Section Load'!AJ12</f>
        <v>816.28000000002794</v>
      </c>
      <c r="BH9" s="1388">
        <f>'Section Load'!AK12</f>
        <v>274.97999999998137</v>
      </c>
      <c r="BI9" s="1388">
        <f>'Section Load'!AL12</f>
        <v>0</v>
      </c>
      <c r="BJ9" s="1388">
        <f>'Section Load'!AM12</f>
        <v>56.75</v>
      </c>
      <c r="BK9" s="1388">
        <f>'Section Load'!AN12</f>
        <v>32.30000000000291</v>
      </c>
      <c r="BL9" s="1388">
        <f>'Section Load'!AO12</f>
        <v>2</v>
      </c>
      <c r="BM9" s="1388">
        <f>'Section Load'!AP12</f>
        <v>450.25000000004366</v>
      </c>
    </row>
    <row r="10" spans="1:65">
      <c r="A10" s="1370" t="s">
        <v>305</v>
      </c>
      <c r="B10" s="1371">
        <f t="shared" si="0"/>
        <v>9</v>
      </c>
      <c r="C10" s="1371">
        <v>2</v>
      </c>
      <c r="D10" s="1371">
        <v>2021</v>
      </c>
      <c r="E10" s="1386">
        <f>'Section Load'!B13</f>
        <v>2513.9199999999255</v>
      </c>
      <c r="F10" s="1386">
        <f>'Section Load'!C13</f>
        <v>1433.25</v>
      </c>
      <c r="G10" s="1386">
        <f>'Section Load'!D13</f>
        <v>1896.54</v>
      </c>
      <c r="H10" s="1386">
        <f>'Section Load'!E13</f>
        <v>4116.22</v>
      </c>
      <c r="I10" s="1386">
        <f>'Section Load'!F13</f>
        <v>3536</v>
      </c>
      <c r="J10" s="1386">
        <f>'Section Load'!G13</f>
        <v>2539.3299999999581</v>
      </c>
      <c r="K10" s="1386">
        <f>'Section Load'!H13</f>
        <v>1173</v>
      </c>
      <c r="L10" s="1386">
        <f>'Section Load'!I13</f>
        <v>645.40000000002328</v>
      </c>
      <c r="M10" s="1386">
        <f>'Section Load'!J13</f>
        <v>50</v>
      </c>
      <c r="N10" s="1386">
        <f>'Section Load'!K13</f>
        <v>0</v>
      </c>
      <c r="O10" s="1386">
        <f>'Section Load'!L13</f>
        <v>24</v>
      </c>
      <c r="P10" s="1386">
        <f>'Section Load'!M13</f>
        <v>175</v>
      </c>
      <c r="Q10" s="1386">
        <f>'Section Load'!N13</f>
        <v>143</v>
      </c>
      <c r="R10" s="1386">
        <f>'Section Load'!O13</f>
        <v>44</v>
      </c>
      <c r="S10" s="1386">
        <f>'Section Load'!P13</f>
        <v>412</v>
      </c>
      <c r="T10" s="1386">
        <f>'Section Load'!Q13</f>
        <v>190</v>
      </c>
      <c r="U10" s="1386">
        <f>'Section Load'!R13</f>
        <v>286.03999999997905</v>
      </c>
      <c r="V10" s="1386">
        <f>'Section Load'!S13</f>
        <v>102.92000000004191</v>
      </c>
      <c r="W10" s="1386">
        <f>'Section Load'!T13</f>
        <v>32.020000000004075</v>
      </c>
      <c r="X10" s="1386">
        <f>'Section Load'!U13</f>
        <v>100.22999999999956</v>
      </c>
      <c r="Y10" s="1386">
        <f>'Section Load'!V13</f>
        <v>413</v>
      </c>
      <c r="Z10" s="1386">
        <f>'Section Load'!W13</f>
        <v>134.79999999998836</v>
      </c>
      <c r="AA10" s="1386">
        <f>'Section Load'!X13</f>
        <v>35.80000000000291</v>
      </c>
      <c r="AB10" s="1386">
        <f>'Section Load'!Y13</f>
        <v>50.440000000002328</v>
      </c>
      <c r="AC10" s="1386">
        <f>'Section Load'!Z13</f>
        <v>65</v>
      </c>
      <c r="AD10" s="1386">
        <f>'Section Load'!AA13</f>
        <v>0</v>
      </c>
      <c r="AE10" s="1386">
        <f>'Section Load'!AB13</f>
        <v>13.25</v>
      </c>
      <c r="AF10" s="1386">
        <f>'Section Load'!AC13</f>
        <v>406</v>
      </c>
      <c r="AG10" s="1386">
        <f>'Section Load'!AD13</f>
        <v>377.30999999999767</v>
      </c>
      <c r="AH10" s="1386">
        <f>'Section Load'!AE13</f>
        <v>378</v>
      </c>
      <c r="AI10" s="1386">
        <f>'Section Load'!AF13</f>
        <v>693.47000000000116</v>
      </c>
      <c r="AJ10" s="1386">
        <f>'Section Load'!AG13</f>
        <v>343</v>
      </c>
      <c r="AK10" s="1386">
        <f>'Section Load'!AH13</f>
        <v>276</v>
      </c>
      <c r="AL10" s="1386">
        <f>'Section Load'!AI13</f>
        <v>482</v>
      </c>
      <c r="AM10" s="1387">
        <f>'[1]9'!$H$92</f>
        <v>854</v>
      </c>
      <c r="AN10" s="1387">
        <f>'[1]9'!$H$93</f>
        <v>1444</v>
      </c>
      <c r="AO10" s="1387">
        <f>'[1]9'!$H$95</f>
        <v>590</v>
      </c>
      <c r="AP10" s="1387">
        <f>'[1]9'!$H$96</f>
        <v>315</v>
      </c>
      <c r="AQ10" s="1387">
        <f>'[1]9'!$H$97</f>
        <v>253</v>
      </c>
      <c r="AR10" s="1387">
        <f>'[1]9'!$H$98</f>
        <v>604</v>
      </c>
      <c r="AS10" s="1387">
        <f>'[1]9'!$H$99</f>
        <v>96</v>
      </c>
      <c r="AT10" s="1387">
        <f>'[1]9'!$H$100</f>
        <v>63</v>
      </c>
      <c r="AU10" s="1387">
        <f>'[1]9'!$H$104</f>
        <v>0</v>
      </c>
      <c r="AV10" s="1387">
        <f>'[1]9'!$H$105</f>
        <v>63</v>
      </c>
      <c r="AW10" s="1387">
        <f>'[1]9'!$H$106</f>
        <v>51</v>
      </c>
      <c r="AX10" s="1387">
        <f>'[1]9'!$H$109</f>
        <v>536</v>
      </c>
      <c r="AY10" s="1387">
        <f>'[1]9'!$H$110</f>
        <v>589</v>
      </c>
      <c r="AZ10" s="1387">
        <f>'[1]9'!$H$111</f>
        <v>99</v>
      </c>
      <c r="BA10" s="1387">
        <f>'[1]9'!$H$114</f>
        <v>132</v>
      </c>
      <c r="BB10" s="1387">
        <f>'[1]9'!$H$115</f>
        <v>59</v>
      </c>
      <c r="BC10" s="1387">
        <f>'[1]9'!$H$116</f>
        <v>0</v>
      </c>
      <c r="BD10" s="1387">
        <f>'[1]9'!$H$118</f>
        <v>1304</v>
      </c>
      <c r="BE10" s="1387">
        <f>'[1]9'!$H$119</f>
        <v>1317</v>
      </c>
      <c r="BF10" s="1387">
        <f>'[1]9'!$H$120</f>
        <v>1224</v>
      </c>
      <c r="BG10" s="1388">
        <f>'Section Load'!AJ13</f>
        <v>637.05000000004657</v>
      </c>
      <c r="BH10" s="1388">
        <f>'Section Load'!AK13</f>
        <v>310.02000000001863</v>
      </c>
      <c r="BI10" s="1388">
        <f>'Section Load'!AL13</f>
        <v>0</v>
      </c>
      <c r="BJ10" s="1388">
        <f>'Section Load'!AM13</f>
        <v>47.85999999998603</v>
      </c>
      <c r="BK10" s="1388">
        <f>'Section Load'!AN13</f>
        <v>31.69999999999709</v>
      </c>
      <c r="BL10" s="1388">
        <f>'Section Load'!AO13</f>
        <v>1.7999999999992724</v>
      </c>
      <c r="BM10" s="1388">
        <f>'Section Load'!AP13</f>
        <v>245.67000000004555</v>
      </c>
    </row>
    <row r="11" spans="1:65">
      <c r="A11" s="1370" t="s">
        <v>305</v>
      </c>
      <c r="B11" s="1371">
        <f t="shared" si="0"/>
        <v>10</v>
      </c>
      <c r="C11" s="1371">
        <v>2</v>
      </c>
      <c r="D11" s="1371">
        <v>2021</v>
      </c>
      <c r="E11" s="1386">
        <f>'Section Load'!B14</f>
        <v>2661.1700000000419</v>
      </c>
      <c r="F11" s="1386">
        <f>'Section Load'!C14</f>
        <v>1454.9699999999998</v>
      </c>
      <c r="G11" s="1386">
        <f>'Section Load'!D14</f>
        <v>1901.54</v>
      </c>
      <c r="H11" s="1386">
        <f>'Section Load'!E14</f>
        <v>4189.4699999999993</v>
      </c>
      <c r="I11" s="1386">
        <f>'Section Load'!F14</f>
        <v>3867.4000000000015</v>
      </c>
      <c r="J11" s="1386">
        <f>'Section Load'!G14</f>
        <v>2548</v>
      </c>
      <c r="K11" s="1386">
        <f>'Section Load'!H14</f>
        <v>1043</v>
      </c>
      <c r="L11" s="1386">
        <f>'Section Load'!I14</f>
        <v>614.0800000000163</v>
      </c>
      <c r="M11" s="1386">
        <f>'Section Load'!J14</f>
        <v>44</v>
      </c>
      <c r="N11" s="1386">
        <f>'Section Load'!K14</f>
        <v>0</v>
      </c>
      <c r="O11" s="1386">
        <f>'Section Load'!L14</f>
        <v>15.209999999999999</v>
      </c>
      <c r="P11" s="1386">
        <f>'Section Load'!M14</f>
        <v>183.85</v>
      </c>
      <c r="Q11" s="1386">
        <f>'Section Load'!N14</f>
        <v>80.050000000000011</v>
      </c>
      <c r="R11" s="1386">
        <f>'Section Load'!O14</f>
        <v>48</v>
      </c>
      <c r="S11" s="1386">
        <f>'Section Load'!P14</f>
        <v>433</v>
      </c>
      <c r="T11" s="1386">
        <f>'Section Load'!Q14</f>
        <v>185</v>
      </c>
      <c r="U11" s="1386">
        <f>'Section Load'!R14</f>
        <v>284.76000000000931</v>
      </c>
      <c r="V11" s="1386">
        <f>'Section Load'!S14</f>
        <v>103.07999999995809</v>
      </c>
      <c r="W11" s="1386">
        <f>'Section Load'!T14</f>
        <v>25.159999999988941</v>
      </c>
      <c r="X11" s="1386">
        <f>'Section Load'!U14</f>
        <v>197.62999999999738</v>
      </c>
      <c r="Y11" s="1386">
        <f>'Section Load'!V14</f>
        <v>262</v>
      </c>
      <c r="Z11" s="1386">
        <f>'Section Load'!W14</f>
        <v>147.20000000001164</v>
      </c>
      <c r="AA11" s="1386">
        <f>'Section Load'!X14</f>
        <v>36.099999999991269</v>
      </c>
      <c r="AB11" s="1386">
        <f>'Section Load'!Y14</f>
        <v>83</v>
      </c>
      <c r="AC11" s="1386">
        <f>'Section Load'!Z14</f>
        <v>49.799999999991087</v>
      </c>
      <c r="AD11" s="1386">
        <f>'Section Load'!AA14</f>
        <v>0</v>
      </c>
      <c r="AE11" s="1386">
        <f>'Section Load'!AB14</f>
        <v>12.450000000000045</v>
      </c>
      <c r="AF11" s="1386">
        <f>'Section Load'!AC14</f>
        <v>440.7100000000064</v>
      </c>
      <c r="AG11" s="1386">
        <f>'Section Load'!AD14</f>
        <v>374.11999999999534</v>
      </c>
      <c r="AH11" s="1386">
        <f>'Section Load'!AE14</f>
        <v>374</v>
      </c>
      <c r="AI11" s="1386">
        <f>'Section Load'!AF14</f>
        <v>725</v>
      </c>
      <c r="AJ11" s="1386">
        <f>'Section Load'!AG14</f>
        <v>345</v>
      </c>
      <c r="AK11" s="1386">
        <f>'Section Load'!AH14</f>
        <v>295.80000000000291</v>
      </c>
      <c r="AL11" s="1386">
        <f>'Section Load'!AI14</f>
        <v>496</v>
      </c>
      <c r="AM11" s="1387">
        <f>'[1]10'!$H$92</f>
        <v>991</v>
      </c>
      <c r="AN11" s="1387">
        <f>'[1]10'!$H$93</f>
        <v>1599</v>
      </c>
      <c r="AO11" s="1387">
        <f>'[1]10'!$H$95</f>
        <v>667</v>
      </c>
      <c r="AP11" s="1387">
        <f>'[1]10'!$H$96</f>
        <v>355</v>
      </c>
      <c r="AQ11" s="1387">
        <f>'[1]10'!$H$97</f>
        <v>299</v>
      </c>
      <c r="AR11" s="1387">
        <f>'[1]10'!$H$98</f>
        <v>684</v>
      </c>
      <c r="AS11" s="1387">
        <f>'[1]10'!$H$99</f>
        <v>108</v>
      </c>
      <c r="AT11" s="1387">
        <f>'[1]10'!$H$100</f>
        <v>75</v>
      </c>
      <c r="AU11" s="1387">
        <f>'[1]10'!$H$104</f>
        <v>0</v>
      </c>
      <c r="AV11" s="1387">
        <f>'[1]10'!$H$105</f>
        <v>75</v>
      </c>
      <c r="AW11" s="1387">
        <f>'[1]10'!$H$106</f>
        <v>54</v>
      </c>
      <c r="AX11" s="1387">
        <f>'[1]10'!$H$109</f>
        <v>597</v>
      </c>
      <c r="AY11" s="1387">
        <f>'[1]10'!$H$110</f>
        <v>653</v>
      </c>
      <c r="AZ11" s="1387">
        <f>'[1]10'!$H$111</f>
        <v>105</v>
      </c>
      <c r="BA11" s="1387">
        <f>'[1]10'!$H$114</f>
        <v>146</v>
      </c>
      <c r="BB11" s="1387">
        <f>'[1]10'!$H$115</f>
        <v>72</v>
      </c>
      <c r="BC11" s="1387">
        <f>'[1]10'!$H$116</f>
        <v>0</v>
      </c>
      <c r="BD11" s="1387">
        <f>'[1]10'!$H$118</f>
        <v>1491</v>
      </c>
      <c r="BE11" s="1387">
        <f>'[1]10'!$H$119</f>
        <v>1504</v>
      </c>
      <c r="BF11" s="1387">
        <f>'[1]10'!$H$120</f>
        <v>1355</v>
      </c>
      <c r="BG11" s="1388">
        <f>'Section Load'!AJ14</f>
        <v>899.0999999998603</v>
      </c>
      <c r="BH11" s="1388">
        <f>'Section Load'!AK14</f>
        <v>286</v>
      </c>
      <c r="BI11" s="1388">
        <f>'Section Load'!AL14</f>
        <v>0</v>
      </c>
      <c r="BJ11" s="1388">
        <f>'Section Load'!AM14</f>
        <v>78.260000000009313</v>
      </c>
      <c r="BK11" s="1388">
        <f>'Section Load'!AN14</f>
        <v>32</v>
      </c>
      <c r="BL11" s="1388">
        <f>'Section Load'!AO14</f>
        <v>1.2000000000007276</v>
      </c>
      <c r="BM11" s="1388">
        <f>'Section Load'!AP14</f>
        <v>501.63999999985026</v>
      </c>
    </row>
    <row r="12" spans="1:65">
      <c r="A12" s="1370" t="s">
        <v>305</v>
      </c>
      <c r="B12" s="1371">
        <f t="shared" si="0"/>
        <v>11</v>
      </c>
      <c r="C12" s="1371">
        <v>2</v>
      </c>
      <c r="D12" s="1371">
        <v>2021</v>
      </c>
      <c r="E12" s="1386">
        <f>'Section Load'!B15</f>
        <v>2358</v>
      </c>
      <c r="F12" s="1386">
        <f>'Section Load'!C15</f>
        <v>1472.3200000000006</v>
      </c>
      <c r="G12" s="1386">
        <f>'Section Load'!D15</f>
        <v>1831</v>
      </c>
      <c r="H12" s="1386">
        <f>'Section Load'!E15</f>
        <v>4103.5300000000007</v>
      </c>
      <c r="I12" s="1386">
        <f>'Section Load'!F15</f>
        <v>4051.5999999999985</v>
      </c>
      <c r="J12" s="1386">
        <f>'Section Load'!G15</f>
        <v>2543</v>
      </c>
      <c r="K12" s="1386">
        <f>'Section Load'!H15</f>
        <v>1038.710000000021</v>
      </c>
      <c r="L12" s="1386">
        <f>'Section Load'!I15</f>
        <v>697.10999999998603</v>
      </c>
      <c r="M12" s="1386">
        <f>'Section Load'!J15</f>
        <v>50</v>
      </c>
      <c r="N12" s="1386">
        <f>'Section Load'!K15</f>
        <v>1</v>
      </c>
      <c r="O12" s="1386">
        <f>'Section Load'!L15</f>
        <v>15.119999999999997</v>
      </c>
      <c r="P12" s="1386">
        <f>'Section Load'!M15</f>
        <v>171.48000000000002</v>
      </c>
      <c r="Q12" s="1386">
        <f>'Section Load'!N15</f>
        <v>60.669999999999987</v>
      </c>
      <c r="R12" s="1386">
        <f>'Section Load'!O15</f>
        <v>58</v>
      </c>
      <c r="S12" s="1386">
        <f>'Section Load'!P15</f>
        <v>434</v>
      </c>
      <c r="T12" s="1386">
        <f>'Section Load'!Q15</f>
        <v>186</v>
      </c>
      <c r="U12" s="1386">
        <f>'Section Load'!R15</f>
        <v>318.15999999997439</v>
      </c>
      <c r="V12" s="1386">
        <f>'Section Load'!S15</f>
        <v>122.52000000001863</v>
      </c>
      <c r="W12" s="1386">
        <f>'Section Load'!T15</f>
        <v>23.480000000010477</v>
      </c>
      <c r="X12" s="1386">
        <f>'Section Load'!U15</f>
        <v>167.58000000000175</v>
      </c>
      <c r="Y12" s="1386">
        <f>'Section Load'!V15</f>
        <v>306</v>
      </c>
      <c r="Z12" s="1386">
        <f>'Section Load'!W15</f>
        <v>114.88000000000466</v>
      </c>
      <c r="AA12" s="1386">
        <f>'Section Load'!X15</f>
        <v>30.900000000008731</v>
      </c>
      <c r="AB12" s="1386">
        <f>'Section Load'!Y15</f>
        <v>67.700000000011642</v>
      </c>
      <c r="AC12" s="1386">
        <f>'Section Load'!Z15</f>
        <v>34.600000000009004</v>
      </c>
      <c r="AD12" s="1386">
        <f>'Section Load'!AA15</f>
        <v>0</v>
      </c>
      <c r="AE12" s="1386">
        <f>'Section Load'!AB15</f>
        <v>12.299999999999955</v>
      </c>
      <c r="AF12" s="1386">
        <f>'Section Load'!AC15</f>
        <v>394.2899999999936</v>
      </c>
      <c r="AG12" s="1386">
        <f>'Section Load'!AD15</f>
        <v>370</v>
      </c>
      <c r="AH12" s="1386">
        <f>'Section Load'!AE15</f>
        <v>381</v>
      </c>
      <c r="AI12" s="1386">
        <f>'Section Load'!AF15</f>
        <v>708</v>
      </c>
      <c r="AJ12" s="1386">
        <f>'Section Load'!AG15</f>
        <v>322</v>
      </c>
      <c r="AK12" s="1386">
        <f>'Section Load'!AH15</f>
        <v>312.19999999999709</v>
      </c>
      <c r="AL12" s="1386">
        <f>'Section Load'!AI15</f>
        <v>447</v>
      </c>
      <c r="AM12" s="1387">
        <f>'[1]11'!$H$92</f>
        <v>1092</v>
      </c>
      <c r="AN12" s="1387">
        <f>'[1]11'!$H$93</f>
        <v>1733</v>
      </c>
      <c r="AO12" s="1387">
        <f>'[1]11'!$H$95</f>
        <v>738</v>
      </c>
      <c r="AP12" s="1387">
        <f>'[1]11'!$H$96</f>
        <v>404</v>
      </c>
      <c r="AQ12" s="1387">
        <f>'[1]11'!$H$97</f>
        <v>322</v>
      </c>
      <c r="AR12" s="1387">
        <f>'[1]11'!$H$98</f>
        <v>759</v>
      </c>
      <c r="AS12" s="1387">
        <f>'[1]11'!$H$99</f>
        <v>118</v>
      </c>
      <c r="AT12" s="1387">
        <f>'[1]11'!$H$100</f>
        <v>84</v>
      </c>
      <c r="AU12" s="1387">
        <f>'[1]11'!$H$104</f>
        <v>74</v>
      </c>
      <c r="AV12" s="1387">
        <f>'[1]11'!$H$105</f>
        <v>55</v>
      </c>
      <c r="AW12" s="1387">
        <f>'[1]11'!$H$106</f>
        <v>340</v>
      </c>
      <c r="AX12" s="1387">
        <f>'[1]11'!$H$109</f>
        <v>181</v>
      </c>
      <c r="AY12" s="1387">
        <f>'[1]11'!$H$110</f>
        <v>144</v>
      </c>
      <c r="AZ12" s="1387">
        <f>'[1]11'!$H$111</f>
        <v>445</v>
      </c>
      <c r="BA12" s="1387">
        <f>'[1]11'!$H$114</f>
        <v>12</v>
      </c>
      <c r="BB12" s="1387">
        <f>'[1]11'!$H$115</f>
        <v>90</v>
      </c>
      <c r="BC12" s="1387">
        <f>'[1]11'!$H$116</f>
        <v>200</v>
      </c>
      <c r="BD12" s="1387">
        <f>'[1]11'!$H$118</f>
        <v>175</v>
      </c>
      <c r="BE12" s="1387">
        <f>'[1]11'!$H$119</f>
        <v>245</v>
      </c>
      <c r="BF12" s="1387">
        <f>'[1]11'!$H$120</f>
        <v>222</v>
      </c>
      <c r="BG12" s="1388">
        <f>'Section Load'!AJ15</f>
        <v>887.12000000011176</v>
      </c>
      <c r="BH12" s="1388">
        <f>'Section Load'!AK15</f>
        <v>302.85999999998603</v>
      </c>
      <c r="BI12" s="1388">
        <f>'Section Load'!AL15</f>
        <v>0</v>
      </c>
      <c r="BJ12" s="1388">
        <f>'Section Load'!AM15</f>
        <v>65.019999999989523</v>
      </c>
      <c r="BK12" s="1388">
        <f>'Section Load'!AN15</f>
        <v>38.80000000000291</v>
      </c>
      <c r="BL12" s="1388">
        <f>'Section Load'!AO15</f>
        <v>0</v>
      </c>
      <c r="BM12" s="1388">
        <f>'Section Load'!AP15</f>
        <v>480.4400000001333</v>
      </c>
    </row>
    <row r="13" spans="1:65">
      <c r="A13" s="1370" t="s">
        <v>305</v>
      </c>
      <c r="B13" s="1371">
        <f t="shared" si="0"/>
        <v>12</v>
      </c>
      <c r="C13" s="1371">
        <v>2</v>
      </c>
      <c r="D13" s="1371">
        <v>2021</v>
      </c>
      <c r="E13" s="1386">
        <f>'Section Load'!B16</f>
        <v>2407.0799999999581</v>
      </c>
      <c r="F13" s="1386">
        <f>'Section Load'!C16</f>
        <v>1504.1999999999998</v>
      </c>
      <c r="G13" s="1386">
        <f>'Section Load'!D16</f>
        <v>1990.9400000000005</v>
      </c>
      <c r="H13" s="1386">
        <f>'Section Load'!E16</f>
        <v>4063.9000000000015</v>
      </c>
      <c r="I13" s="1386">
        <f>'Section Load'!F16</f>
        <v>4885.5740000000078</v>
      </c>
      <c r="J13" s="1386">
        <f>'Section Load'!G16</f>
        <v>2400.0300000000279</v>
      </c>
      <c r="K13" s="1386">
        <f>'Section Load'!H16</f>
        <v>1046.039999999979</v>
      </c>
      <c r="L13" s="1386">
        <f>'Section Load'!I16</f>
        <v>611.75</v>
      </c>
      <c r="M13" s="1386">
        <f>'Section Load'!J16</f>
        <v>100</v>
      </c>
      <c r="N13" s="1386">
        <f>'Section Load'!K16</f>
        <v>3</v>
      </c>
      <c r="O13" s="1386">
        <f>'Section Load'!L16</f>
        <v>14.780000000000001</v>
      </c>
      <c r="P13" s="1386">
        <f>'Section Load'!M16</f>
        <v>182.45</v>
      </c>
      <c r="Q13" s="1386">
        <f>'Section Load'!N16</f>
        <v>81.20999999999998</v>
      </c>
      <c r="R13" s="1386">
        <f>'Section Load'!O16</f>
        <v>54</v>
      </c>
      <c r="S13" s="1386">
        <f>'Section Load'!P16</f>
        <v>368</v>
      </c>
      <c r="T13" s="1386">
        <f>'Section Load'!Q16</f>
        <v>174</v>
      </c>
      <c r="U13" s="1386">
        <f>'Section Load'!R16</f>
        <v>295.52000000001863</v>
      </c>
      <c r="V13" s="1386">
        <f>'Section Load'!S16</f>
        <v>103.91999999992549</v>
      </c>
      <c r="W13" s="1386">
        <f>'Section Load'!T16</f>
        <v>23.229999999995925</v>
      </c>
      <c r="X13" s="1386">
        <f>'Section Load'!U16</f>
        <v>180.08000000000175</v>
      </c>
      <c r="Y13" s="1386">
        <f>'Section Load'!V16</f>
        <v>303</v>
      </c>
      <c r="Z13" s="1386">
        <f>'Section Load'!W16</f>
        <v>119.03999999997905</v>
      </c>
      <c r="AA13" s="1386">
        <f>'Section Load'!X16</f>
        <v>27.30000000000291</v>
      </c>
      <c r="AB13" s="1386">
        <f>'Section Load'!Y16</f>
        <v>75.459999999991851</v>
      </c>
      <c r="AC13" s="1386">
        <f>'Section Load'!Z16</f>
        <v>32.000000000002728</v>
      </c>
      <c r="AD13" s="1386">
        <f>'Section Load'!AA16</f>
        <v>0</v>
      </c>
      <c r="AE13" s="1386">
        <f>'Section Load'!AB16</f>
        <v>7.8699999999998909</v>
      </c>
      <c r="AF13" s="1386">
        <f>'Section Load'!AC16</f>
        <v>424.58999999999651</v>
      </c>
      <c r="AG13" s="1386">
        <f>'Section Load'!AD16</f>
        <v>376.19999999999709</v>
      </c>
      <c r="AH13" s="1386">
        <f>'Section Load'!AE16</f>
        <v>359.14500000000044</v>
      </c>
      <c r="AI13" s="1386">
        <f>'Section Load'!AF16</f>
        <v>665.70999999999185</v>
      </c>
      <c r="AJ13" s="1386">
        <f>'Section Load'!AG16</f>
        <v>349.86000000000058</v>
      </c>
      <c r="AK13" s="1386">
        <f>'Section Load'!AH16</f>
        <v>306.55000000000291</v>
      </c>
      <c r="AL13" s="1386">
        <f>'Section Load'!AI16</f>
        <v>348</v>
      </c>
      <c r="AM13" s="1387">
        <f>'[1]12'!$H$92</f>
        <v>1221</v>
      </c>
      <c r="AN13" s="1387">
        <f>'[1]12'!$H$93</f>
        <v>1850</v>
      </c>
      <c r="AO13" s="1387">
        <f>'[1]12'!$H$95</f>
        <v>824</v>
      </c>
      <c r="AP13" s="1387">
        <f>'[1]12'!$H$96</f>
        <v>442</v>
      </c>
      <c r="AQ13" s="1387">
        <f>'[1]12'!$H$97</f>
        <v>349</v>
      </c>
      <c r="AR13" s="1387">
        <f>'[1]12'!$H$98</f>
        <v>842</v>
      </c>
      <c r="AS13" s="1387">
        <f>'[1]12'!$H$99</f>
        <v>128</v>
      </c>
      <c r="AT13" s="1387">
        <f>'[1]12'!$H$100</f>
        <v>91</v>
      </c>
      <c r="AU13" s="1387">
        <f>'[1]12'!$H$104</f>
        <v>74</v>
      </c>
      <c r="AV13" s="1387">
        <f>'[1]12'!$H$105</f>
        <v>57</v>
      </c>
      <c r="AW13" s="1387">
        <f>'[1]12'!$H$106</f>
        <v>346</v>
      </c>
      <c r="AX13" s="1387">
        <f>'[1]12'!$H$109</f>
        <v>140</v>
      </c>
      <c r="AY13" s="1387">
        <f>'[1]12'!$H$110</f>
        <v>104</v>
      </c>
      <c r="AZ13" s="1387">
        <f>'[1]12'!$H$111</f>
        <v>433</v>
      </c>
      <c r="BA13" s="1387">
        <f>'[1]12'!$H$114</f>
        <v>14</v>
      </c>
      <c r="BB13" s="1387">
        <f>'[1]12'!$H$115</f>
        <v>95</v>
      </c>
      <c r="BC13" s="1387">
        <f>'[1]12'!$H$116</f>
        <v>200</v>
      </c>
      <c r="BD13" s="1387">
        <f>'[1]12'!$H$118</f>
        <v>203</v>
      </c>
      <c r="BE13" s="1387">
        <f>'[1]12'!$H$119</f>
        <v>251</v>
      </c>
      <c r="BF13" s="1387">
        <f>'[1]12'!$H$120</f>
        <v>129</v>
      </c>
      <c r="BG13" s="1388">
        <f>'Section Load'!AJ16</f>
        <v>914.91800000006333</v>
      </c>
      <c r="BH13" s="1388">
        <f>'Section Load'!AK16</f>
        <v>274.02000000001863</v>
      </c>
      <c r="BI13" s="1388">
        <f>'Section Load'!AL16</f>
        <v>0</v>
      </c>
      <c r="BJ13" s="1388">
        <f>'Section Load'!AM16</f>
        <v>78.14000000001397</v>
      </c>
      <c r="BK13" s="1388">
        <f>'Section Load'!AN16</f>
        <v>37.69999999999709</v>
      </c>
      <c r="BL13" s="1388">
        <f>'Section Load'!AO16</f>
        <v>3.3999999999996362</v>
      </c>
      <c r="BM13" s="1388">
        <f>'Section Load'!AP16</f>
        <v>521.65800000003401</v>
      </c>
    </row>
    <row r="14" spans="1:65">
      <c r="A14" s="1370" t="s">
        <v>305</v>
      </c>
      <c r="B14" s="1371">
        <f t="shared" si="0"/>
        <v>13</v>
      </c>
      <c r="C14" s="1371">
        <v>2</v>
      </c>
      <c r="D14" s="1371">
        <v>2021</v>
      </c>
      <c r="E14" s="1386">
        <f>'Section Load'!B17</f>
        <v>2703.7200000000885</v>
      </c>
      <c r="F14" s="1386">
        <f>'Section Load'!C17</f>
        <v>1599.92</v>
      </c>
      <c r="G14" s="1386">
        <f>'Section Load'!D17</f>
        <v>2319.92</v>
      </c>
      <c r="H14" s="1386">
        <f>'Section Load'!E17</f>
        <v>4383.7999999999993</v>
      </c>
      <c r="I14" s="1386">
        <f>'Section Load'!F17</f>
        <v>4412.4599999999919</v>
      </c>
      <c r="J14" s="1386">
        <f>'Section Load'!G17</f>
        <v>2375.4899999999161</v>
      </c>
      <c r="K14" s="1386">
        <f>'Section Load'!H17</f>
        <v>1132.1599999999744</v>
      </c>
      <c r="L14" s="1386">
        <f>'Section Load'!I17</f>
        <v>685.5800000000163</v>
      </c>
      <c r="M14" s="1386">
        <f>'Section Load'!J17</f>
        <v>87</v>
      </c>
      <c r="N14" s="1386">
        <f>'Section Load'!K17</f>
        <v>3</v>
      </c>
      <c r="O14" s="1386">
        <f>'Section Load'!L17</f>
        <v>23.934999999999995</v>
      </c>
      <c r="P14" s="1386">
        <f>'Section Load'!M17</f>
        <v>190.29999999999995</v>
      </c>
      <c r="Q14" s="1386">
        <f>'Section Load'!N17</f>
        <v>81.100000000000023</v>
      </c>
      <c r="R14" s="1386">
        <f>'Section Load'!O17</f>
        <v>55</v>
      </c>
      <c r="S14" s="1386">
        <f>'Section Load'!P17</f>
        <v>416</v>
      </c>
      <c r="T14" s="1386">
        <f>'Section Load'!Q17</f>
        <v>215</v>
      </c>
      <c r="U14" s="1386">
        <f>'Section Load'!R17</f>
        <v>314.23999999999069</v>
      </c>
      <c r="V14" s="1386">
        <f>'Section Load'!S17</f>
        <v>127.68000000005122</v>
      </c>
      <c r="W14" s="1386">
        <f>'Section Load'!T17</f>
        <v>27.330000000001746</v>
      </c>
      <c r="X14" s="1386">
        <f>'Section Load'!U17</f>
        <v>193.88999999999942</v>
      </c>
      <c r="Y14" s="1386">
        <f>'Section Load'!V17</f>
        <v>561</v>
      </c>
      <c r="Z14" s="1386">
        <f>'Section Load'!W17</f>
        <v>107.52000000001863</v>
      </c>
      <c r="AA14" s="1386">
        <f>'Section Load'!X17</f>
        <v>25.399999999994179</v>
      </c>
      <c r="AB14" s="1386">
        <f>'Section Load'!Y17</f>
        <v>75.829999999987194</v>
      </c>
      <c r="AC14" s="1386">
        <f>'Section Load'!Z17</f>
        <v>26.399999999994179</v>
      </c>
      <c r="AD14" s="1386">
        <f>'Section Load'!AA17</f>
        <v>0.18000000000029104</v>
      </c>
      <c r="AE14" s="1386">
        <f>'Section Load'!AB17</f>
        <v>13.380000000000109</v>
      </c>
      <c r="AF14" s="1386">
        <f>'Section Load'!AC17</f>
        <v>400.85000000000582</v>
      </c>
      <c r="AG14" s="1386">
        <f>'Section Load'!AD17</f>
        <v>392.63999999999942</v>
      </c>
      <c r="AH14" s="1386">
        <f>'Section Load'!AE17</f>
        <v>399.95799999999872</v>
      </c>
      <c r="AI14" s="1386">
        <f>'Section Load'!AF17</f>
        <v>714.61999999999534</v>
      </c>
      <c r="AJ14" s="1386">
        <f>'Section Load'!AG17</f>
        <v>366.91000000000349</v>
      </c>
      <c r="AK14" s="1386">
        <f>'Section Load'!AH17</f>
        <v>319.48999999999796</v>
      </c>
      <c r="AL14" s="1386">
        <f>'Section Load'!AI17</f>
        <v>512</v>
      </c>
      <c r="AM14" s="1387">
        <f>'[1]13'!$H$92</f>
        <v>1370</v>
      </c>
      <c r="AN14" s="1387">
        <f>'[1]13'!$H$93</f>
        <v>2099</v>
      </c>
      <c r="AO14" s="1387">
        <f>'[1]13'!$H$95</f>
        <v>912</v>
      </c>
      <c r="AP14" s="1387">
        <f>'[1]13'!$H$96</f>
        <v>485</v>
      </c>
      <c r="AQ14" s="1387">
        <f>'[1]13'!$H$97</f>
        <v>395</v>
      </c>
      <c r="AR14" s="1387">
        <f>'[1]13'!$H$98</f>
        <v>905</v>
      </c>
      <c r="AS14" s="1387">
        <f>'[1]13'!$H$99</f>
        <v>144</v>
      </c>
      <c r="AT14" s="1387">
        <f>'[1]13'!$H$100</f>
        <v>105</v>
      </c>
      <c r="AU14" s="1387">
        <f>'[1]13'!$H$104</f>
        <v>74</v>
      </c>
      <c r="AV14" s="1387">
        <f>'[1]13'!$H$105</f>
        <v>59</v>
      </c>
      <c r="AW14" s="1387">
        <f>'[1]13'!$H$106</f>
        <v>340</v>
      </c>
      <c r="AX14" s="1387">
        <f>'[1]13'!$H$109</f>
        <v>136</v>
      </c>
      <c r="AY14" s="1387">
        <f>'[1]13'!$H$110</f>
        <v>131</v>
      </c>
      <c r="AZ14" s="1387">
        <f>'[1]13'!$H$111</f>
        <v>446</v>
      </c>
      <c r="BA14" s="1387">
        <f>'[1]13'!$H$114</f>
        <v>20</v>
      </c>
      <c r="BB14" s="1387">
        <f>'[1]13'!$H$115</f>
        <v>93</v>
      </c>
      <c r="BC14" s="1387">
        <f>'[1]13'!$H$116</f>
        <v>200</v>
      </c>
      <c r="BD14" s="1387">
        <f>'[1]13'!$H$118</f>
        <v>224</v>
      </c>
      <c r="BE14" s="1387">
        <f>'[1]13'!$H$119</f>
        <v>290</v>
      </c>
      <c r="BF14" s="1387">
        <f>'[1]13'!$H$120</f>
        <v>165</v>
      </c>
      <c r="BG14" s="1388">
        <f>'Section Load'!AJ17</f>
        <v>1043.6699999999255</v>
      </c>
      <c r="BH14" s="1388">
        <f>'Section Load'!AK17</f>
        <v>293.52000000001863</v>
      </c>
      <c r="BI14" s="1388">
        <f>'Section Load'!AL17</f>
        <v>0</v>
      </c>
      <c r="BJ14" s="1388">
        <f>'Section Load'!AM17</f>
        <v>99.25</v>
      </c>
      <c r="BK14" s="1388">
        <f>'Section Load'!AN17</f>
        <v>48.80000000000291</v>
      </c>
      <c r="BL14" s="1388">
        <f>'Section Load'!AO17</f>
        <v>4.8999999999996362</v>
      </c>
      <c r="BM14" s="1388">
        <f>'Section Load'!AP17</f>
        <v>597.19999999990432</v>
      </c>
    </row>
    <row r="15" spans="1:65">
      <c r="A15" s="1370" t="s">
        <v>305</v>
      </c>
      <c r="B15" s="1371">
        <f t="shared" si="0"/>
        <v>14</v>
      </c>
      <c r="C15" s="1371">
        <v>2</v>
      </c>
      <c r="D15" s="1371">
        <v>2021</v>
      </c>
      <c r="E15" s="1386">
        <f>'Section Load'!B18</f>
        <v>2968.1999999999534</v>
      </c>
      <c r="F15" s="1386">
        <f>'Section Load'!C18</f>
        <v>1580.2299999999996</v>
      </c>
      <c r="G15" s="1386">
        <f>'Section Load'!D18</f>
        <v>2441.0599999999995</v>
      </c>
      <c r="H15" s="1386">
        <f>'Section Load'!E18</f>
        <v>4655.1399999999994</v>
      </c>
      <c r="I15" s="1386">
        <f>'Section Load'!F18</f>
        <v>5638.7550000000047</v>
      </c>
      <c r="J15" s="1386">
        <f>'Section Load'!G18</f>
        <v>2360.0800000000745</v>
      </c>
      <c r="K15" s="1386">
        <f>'Section Load'!H18</f>
        <v>1369.2800000000279</v>
      </c>
      <c r="L15" s="1386">
        <f>'Section Load'!I18</f>
        <v>864.61999999999534</v>
      </c>
      <c r="M15" s="1386">
        <f>'Section Load'!J18</f>
        <v>103</v>
      </c>
      <c r="N15" s="1386">
        <f>'Section Load'!K18</f>
        <v>1</v>
      </c>
      <c r="O15" s="1386">
        <f>'Section Load'!L18</f>
        <v>61.495000000000005</v>
      </c>
      <c r="P15" s="1386">
        <f>'Section Load'!M18</f>
        <v>207.68000000000006</v>
      </c>
      <c r="Q15" s="1386">
        <f>'Section Load'!N18</f>
        <v>90.509999999999991</v>
      </c>
      <c r="R15" s="1386">
        <f>'Section Load'!O18</f>
        <v>54</v>
      </c>
      <c r="S15" s="1386">
        <f>'Section Load'!P18</f>
        <v>454</v>
      </c>
      <c r="T15" s="1386">
        <f>'Section Load'!Q18</f>
        <v>192</v>
      </c>
      <c r="U15" s="1386">
        <f>'Section Load'!R18</f>
        <v>386.88000000000466</v>
      </c>
      <c r="V15" s="1386">
        <f>'Section Load'!S18</f>
        <v>135.19999999995343</v>
      </c>
      <c r="W15" s="1386">
        <f>'Section Load'!T18</f>
        <v>26.929999999993015</v>
      </c>
      <c r="X15" s="1386">
        <f>'Section Load'!U18</f>
        <v>225.36999999999534</v>
      </c>
      <c r="Y15" s="1386">
        <f>'Section Load'!V18</f>
        <v>490</v>
      </c>
      <c r="Z15" s="1386">
        <f>'Section Load'!W18</f>
        <v>22</v>
      </c>
      <c r="AA15" s="1386">
        <f>'Section Load'!X18</f>
        <v>10.5</v>
      </c>
      <c r="AB15" s="1386">
        <f>'Section Load'!Y18</f>
        <v>41.820000000006985</v>
      </c>
      <c r="AC15" s="1386">
        <f>'Section Load'!Z18</f>
        <v>11.5</v>
      </c>
      <c r="AD15" s="1386">
        <f>'Section Load'!AA18</f>
        <v>0</v>
      </c>
      <c r="AE15" s="1386">
        <f>'Section Load'!AB18</f>
        <v>13.230000000000018</v>
      </c>
      <c r="AF15" s="1386">
        <f>'Section Load'!AC18</f>
        <v>391.25999999999476</v>
      </c>
      <c r="AG15" s="1386">
        <f>'Section Load'!AD18</f>
        <v>404.08999999999651</v>
      </c>
      <c r="AH15" s="1386">
        <f>'Section Load'!AE18</f>
        <v>402.83699999999953</v>
      </c>
      <c r="AI15" s="1386">
        <f>'Section Load'!AF18</f>
        <v>738.36000000001513</v>
      </c>
      <c r="AJ15" s="1386">
        <f>'Section Load'!AG18</f>
        <v>357.76699999999255</v>
      </c>
      <c r="AK15" s="1386">
        <f>'Section Load'!AH18</f>
        <v>312.34999999999854</v>
      </c>
      <c r="AL15" s="1386">
        <f>'Section Load'!AI18</f>
        <v>498</v>
      </c>
      <c r="AM15" s="1387">
        <f>'[1]14'!$H$92</f>
        <v>1536</v>
      </c>
      <c r="AN15" s="1387">
        <f>'[1]14'!$H$93</f>
        <v>2273</v>
      </c>
      <c r="AO15" s="1387">
        <f>'[1]14'!$H$95</f>
        <v>1033</v>
      </c>
      <c r="AP15" s="1387">
        <f>'[1]14'!$H$96</f>
        <v>532</v>
      </c>
      <c r="AQ15" s="1387">
        <f>'[1]14'!$H$97</f>
        <v>441</v>
      </c>
      <c r="AR15" s="1387">
        <f>'[1]14'!$H$98</f>
        <v>976</v>
      </c>
      <c r="AS15" s="1387">
        <f>'[1]14'!$H$99</f>
        <v>163</v>
      </c>
      <c r="AT15" s="1387">
        <f>'[1]14'!$H$100</f>
        <v>129</v>
      </c>
      <c r="AU15" s="1387">
        <f>'[1]14'!$H$104</f>
        <v>161</v>
      </c>
      <c r="AV15" s="1387">
        <f>'[1]14'!$H$105</f>
        <v>59</v>
      </c>
      <c r="AW15" s="1387">
        <f>'[1]14'!$H$106</f>
        <v>339</v>
      </c>
      <c r="AX15" s="1387">
        <f>'[1]14'!$H$109</f>
        <v>136</v>
      </c>
      <c r="AY15" s="1387">
        <f>'[1]14'!$H$110</f>
        <v>87</v>
      </c>
      <c r="AZ15" s="1387">
        <f>'[1]14'!$H$111</f>
        <v>433</v>
      </c>
      <c r="BA15" s="1387">
        <f>'[1]14'!$H$114</f>
        <v>22</v>
      </c>
      <c r="BB15" s="1387">
        <f>'[1]14'!$H$115</f>
        <v>107</v>
      </c>
      <c r="BC15" s="1387">
        <f>'[1]14'!$H$116</f>
        <v>200</v>
      </c>
      <c r="BD15" s="1387">
        <f>'[1]14'!$H$118</f>
        <v>240</v>
      </c>
      <c r="BE15" s="1387">
        <f>'[1]14'!$H$119</f>
        <v>340</v>
      </c>
      <c r="BF15" s="1387">
        <f>'[1]14'!$H$120</f>
        <v>108</v>
      </c>
      <c r="BG15" s="1388">
        <f>'Section Load'!AJ18</f>
        <v>1135.4930000000168</v>
      </c>
      <c r="BH15" s="1388">
        <f>'Section Load'!AK18</f>
        <v>307.53000000002794</v>
      </c>
      <c r="BI15" s="1388">
        <f>'Section Load'!AL18</f>
        <v>0</v>
      </c>
      <c r="BJ15" s="1388">
        <f>'Section Load'!AM18</f>
        <v>112.33999999999651</v>
      </c>
      <c r="BK15" s="1388">
        <f>'Section Load'!AN18</f>
        <v>52.099999999998545</v>
      </c>
      <c r="BL15" s="1388">
        <f>'Section Load'!AO18</f>
        <v>8.5</v>
      </c>
      <c r="BM15" s="1388">
        <f>'Section Load'!AP18</f>
        <v>655.02299999999377</v>
      </c>
    </row>
    <row r="16" spans="1:65">
      <c r="A16" s="1370" t="s">
        <v>305</v>
      </c>
      <c r="B16" s="1371">
        <f t="shared" si="0"/>
        <v>15</v>
      </c>
      <c r="C16" s="1371">
        <v>2</v>
      </c>
      <c r="D16" s="1371">
        <v>2021</v>
      </c>
      <c r="E16" s="1386">
        <f>'Section Load'!B19</f>
        <v>2919.7600000000093</v>
      </c>
      <c r="F16" s="1386">
        <f>'Section Load'!C19</f>
        <v>1580.0900000000001</v>
      </c>
      <c r="G16" s="1386">
        <f>'Section Load'!D19</f>
        <v>2468.8999999999996</v>
      </c>
      <c r="H16" s="1386">
        <f>'Section Load'!E19</f>
        <v>4654.59</v>
      </c>
      <c r="I16" s="1386">
        <f>'Section Load'!F19</f>
        <v>5582.9709999999905</v>
      </c>
      <c r="J16" s="1386">
        <f>'Section Load'!G19</f>
        <v>2346.1600000000326</v>
      </c>
      <c r="K16" s="1386">
        <f>'Section Load'!H19</f>
        <v>1990</v>
      </c>
      <c r="L16" s="1386">
        <f>'Section Load'!I19</f>
        <v>941.51999999996042</v>
      </c>
      <c r="M16" s="1386">
        <f>'Section Load'!J19</f>
        <v>93</v>
      </c>
      <c r="N16" s="1386">
        <f>'Section Load'!K19</f>
        <v>1</v>
      </c>
      <c r="O16" s="1386">
        <f>'Section Load'!L19</f>
        <v>63.379999999999995</v>
      </c>
      <c r="P16" s="1386">
        <f>'Section Load'!M19</f>
        <v>209.36</v>
      </c>
      <c r="Q16" s="1386">
        <f>'Section Load'!N19</f>
        <v>79.009999999999991</v>
      </c>
      <c r="R16" s="1386">
        <f>'Section Load'!O19</f>
        <v>54</v>
      </c>
      <c r="S16" s="1386">
        <f>'Section Load'!P19</f>
        <v>401</v>
      </c>
      <c r="T16" s="1386">
        <f>'Section Load'!Q19</f>
        <v>211</v>
      </c>
      <c r="U16" s="1386">
        <f>'Section Load'!R19</f>
        <v>412.96000000002095</v>
      </c>
      <c r="V16" s="1386">
        <f>'Section Load'!S19</f>
        <v>139.72000000008848</v>
      </c>
      <c r="W16" s="1386">
        <f>'Section Load'!T19</f>
        <v>28.059999999997672</v>
      </c>
      <c r="X16" s="1386">
        <f>'Section Load'!U19</f>
        <v>286.33000000000175</v>
      </c>
      <c r="Y16" s="1386">
        <f>'Section Load'!V19</f>
        <v>538</v>
      </c>
      <c r="Z16" s="1386">
        <f>'Section Load'!W19</f>
        <v>104.40000000002328</v>
      </c>
      <c r="AA16" s="1386">
        <f>'Section Load'!X19</f>
        <v>34.30000000000291</v>
      </c>
      <c r="AB16" s="1386">
        <f>'Section Load'!Y19</f>
        <v>77.080000000016298</v>
      </c>
      <c r="AC16" s="1386">
        <f>'Section Load'!Z19</f>
        <v>38.30000000000291</v>
      </c>
      <c r="AD16" s="1386">
        <f>'Section Load'!AA19</f>
        <v>0</v>
      </c>
      <c r="AE16" s="1386">
        <f>'Section Load'!AB19</f>
        <v>12.220000000000027</v>
      </c>
      <c r="AF16" s="1386">
        <f>'Section Load'!AC19</f>
        <v>426.88000000000466</v>
      </c>
      <c r="AG16" s="1386">
        <f>'Section Load'!AD19</f>
        <v>404.42000000001281</v>
      </c>
      <c r="AH16" s="1386">
        <f>'Section Load'!AE19</f>
        <v>400.69000000000233</v>
      </c>
      <c r="AI16" s="1386">
        <f>'Section Load'!AF19</f>
        <v>714.48000000001048</v>
      </c>
      <c r="AJ16" s="1386">
        <f>'Section Load'!AG19</f>
        <v>337.84300000000803</v>
      </c>
      <c r="AK16" s="1386">
        <f>'Section Load'!AH19</f>
        <v>305.81999999999971</v>
      </c>
      <c r="AL16" s="1386">
        <f>'Section Load'!AI19</f>
        <v>536</v>
      </c>
      <c r="AM16" s="1387">
        <f>'[1]15'!$H$92</f>
        <v>1728</v>
      </c>
      <c r="AN16" s="1387">
        <f>'[1]15'!$H$93</f>
        <v>2467</v>
      </c>
      <c r="AO16" s="1387">
        <f>'[1]15'!$H$95</f>
        <v>1164</v>
      </c>
      <c r="AP16" s="1387">
        <f>'[1]15'!$H$96</f>
        <v>557</v>
      </c>
      <c r="AQ16" s="1387">
        <f>'[1]15'!$H$97</f>
        <v>476</v>
      </c>
      <c r="AR16" s="1387">
        <f>'[1]15'!$H$98</f>
        <v>1052</v>
      </c>
      <c r="AS16" s="1387">
        <f>'[1]15'!$H$99</f>
        <v>193</v>
      </c>
      <c r="AT16" s="1387">
        <f>'[1]15'!$H$100</f>
        <v>152</v>
      </c>
      <c r="AU16" s="1387">
        <f>'[1]15'!$H$104</f>
        <v>74</v>
      </c>
      <c r="AV16" s="1387">
        <f>'[1]15'!$H$105</f>
        <v>65</v>
      </c>
      <c r="AW16" s="1387">
        <f>'[1]15'!$H$106</f>
        <v>345</v>
      </c>
      <c r="AX16" s="1387">
        <f>'[1]15'!$H$109</f>
        <v>159</v>
      </c>
      <c r="AY16" s="1387">
        <f>'[1]15'!$H$110</f>
        <v>131</v>
      </c>
      <c r="AZ16" s="1387">
        <f>'[1]15'!$H$111</f>
        <v>446</v>
      </c>
      <c r="BA16" s="1387">
        <f>'[1]15'!$H$114</f>
        <v>35</v>
      </c>
      <c r="BB16" s="1387">
        <f>'[1]15'!$H$115</f>
        <v>100</v>
      </c>
      <c r="BC16" s="1387">
        <f>'[1]15'!$H$116</f>
        <v>200</v>
      </c>
      <c r="BD16" s="1387">
        <f>'[1]15'!$H$118</f>
        <v>267</v>
      </c>
      <c r="BE16" s="1387">
        <f>'[1]15'!$H$119</f>
        <v>327</v>
      </c>
      <c r="BF16" s="1387">
        <f>'[1]15'!$H$120</f>
        <v>188</v>
      </c>
      <c r="BG16" s="1388">
        <f>'Section Load'!AJ19</f>
        <v>1235.2890000001062</v>
      </c>
      <c r="BH16" s="1388">
        <f>'Section Load'!AK19</f>
        <v>276.40999999991618</v>
      </c>
      <c r="BI16" s="1388">
        <f>'Section Load'!AL19</f>
        <v>0</v>
      </c>
      <c r="BJ16" s="1388">
        <f>'Section Load'!AM19</f>
        <v>135.35000000000582</v>
      </c>
      <c r="BK16" s="1388">
        <f>'Section Load'!AN19</f>
        <v>41.5</v>
      </c>
      <c r="BL16" s="1388">
        <f>'Section Load'!AO19</f>
        <v>5.5</v>
      </c>
      <c r="BM16" s="1388">
        <f>'Section Load'!AP19</f>
        <v>776.52900000018417</v>
      </c>
    </row>
    <row r="17" spans="1:65">
      <c r="A17" s="1370" t="s">
        <v>305</v>
      </c>
      <c r="B17" s="1371">
        <f t="shared" si="0"/>
        <v>16</v>
      </c>
      <c r="C17" s="1371">
        <v>2</v>
      </c>
      <c r="D17" s="1371">
        <v>2021</v>
      </c>
      <c r="E17" s="1386">
        <f>'Section Load'!B20</f>
        <v>3038.5200000000186</v>
      </c>
      <c r="F17" s="1386">
        <f>'Section Load'!C20</f>
        <v>1517.1100000000006</v>
      </c>
      <c r="G17" s="1386">
        <f>'Section Load'!D20</f>
        <v>2233.6500000000015</v>
      </c>
      <c r="H17" s="1386">
        <f>'Section Load'!E20</f>
        <v>4228.1200000000026</v>
      </c>
      <c r="I17" s="1386">
        <f>'Section Load'!F20</f>
        <v>4709.0199999999895</v>
      </c>
      <c r="J17" s="1386">
        <f>'Section Load'!G20</f>
        <v>2361.359999999986</v>
      </c>
      <c r="K17" s="1386">
        <f>'Section Load'!H20</f>
        <v>1255</v>
      </c>
      <c r="L17" s="1386">
        <f>'Section Load'!I20</f>
        <v>957.28000000002794</v>
      </c>
      <c r="M17" s="1386">
        <f>'Section Load'!J20</f>
        <v>96</v>
      </c>
      <c r="N17" s="1386">
        <f>'Section Load'!K20</f>
        <v>1</v>
      </c>
      <c r="O17" s="1386">
        <f>'Section Load'!L20</f>
        <v>49.52000000000001</v>
      </c>
      <c r="P17" s="1386">
        <f>'Section Load'!M20</f>
        <v>202.6099999999999</v>
      </c>
      <c r="Q17" s="1386">
        <f>'Section Load'!N20</f>
        <v>72.600000000000023</v>
      </c>
      <c r="R17" s="1386">
        <f>'Section Load'!O20</f>
        <v>54</v>
      </c>
      <c r="S17" s="1386">
        <f>'Section Load'!P20</f>
        <v>383</v>
      </c>
      <c r="T17" s="1386">
        <f>'Section Load'!Q20</f>
        <v>212</v>
      </c>
      <c r="U17" s="1386">
        <f>'Section Load'!R20</f>
        <v>391.47999999998137</v>
      </c>
      <c r="V17" s="1386">
        <f>'Section Load'!S20</f>
        <v>120.95999999996275</v>
      </c>
      <c r="W17" s="1386">
        <f>'Section Load'!T20</f>
        <v>26.430000000007567</v>
      </c>
      <c r="X17" s="1386">
        <f>'Section Load'!U20</f>
        <v>210.52999999999884</v>
      </c>
      <c r="Y17" s="1386">
        <f>'Section Load'!V20</f>
        <v>497</v>
      </c>
      <c r="Z17" s="1386">
        <f>'Section Load'!W20</f>
        <v>108.19999999995343</v>
      </c>
      <c r="AA17" s="1386">
        <f>'Section Load'!X20</f>
        <v>20.19999999999709</v>
      </c>
      <c r="AB17" s="1386">
        <f>'Section Load'!Y20</f>
        <v>80.019999999989523</v>
      </c>
      <c r="AC17" s="1386">
        <f>'Section Load'!Z20</f>
        <v>24.999999999997272</v>
      </c>
      <c r="AD17" s="1386">
        <f>'Section Load'!AA20</f>
        <v>0</v>
      </c>
      <c r="AE17" s="1386">
        <f>'Section Load'!AB20</f>
        <v>11.930000000000064</v>
      </c>
      <c r="AF17" s="1386">
        <f>'Section Load'!AC20</f>
        <v>432.27000000000407</v>
      </c>
      <c r="AG17" s="1386">
        <f>'Section Load'!AD20</f>
        <v>401.56999999999243</v>
      </c>
      <c r="AH17" s="1386">
        <f>'Section Load'!AE20</f>
        <v>409.7599999999984</v>
      </c>
      <c r="AI17" s="1386">
        <f>'Section Load'!AF20</f>
        <v>678.07999999998719</v>
      </c>
      <c r="AJ17" s="1386">
        <f>'Section Load'!AG20</f>
        <v>314.79999999998836</v>
      </c>
      <c r="AK17" s="1386">
        <f>'Section Load'!AH20</f>
        <v>302.34999999999854</v>
      </c>
      <c r="AL17" s="1386">
        <f>'Section Load'!AI20</f>
        <v>659</v>
      </c>
      <c r="AM17" s="1387">
        <f>'[1]16'!$H$92</f>
        <v>1860</v>
      </c>
      <c r="AN17" s="1387">
        <f>'[1]16'!$H$93</f>
        <v>2621</v>
      </c>
      <c r="AO17" s="1387">
        <f>'[1]16'!$H$95</f>
        <v>1261</v>
      </c>
      <c r="AP17" s="1387">
        <f>'[1]16'!$H$96</f>
        <v>575</v>
      </c>
      <c r="AQ17" s="1387">
        <f>'[1]16'!$H$97</f>
        <v>500</v>
      </c>
      <c r="AR17" s="1387">
        <f>'[1]16'!$H$98</f>
        <v>1108</v>
      </c>
      <c r="AS17" s="1387">
        <f>'[1]16'!$H$99</f>
        <v>210</v>
      </c>
      <c r="AT17" s="1387">
        <f>'[1]16'!$H$100</f>
        <v>158</v>
      </c>
      <c r="AU17" s="1387">
        <f>'[1]16'!$H$104</f>
        <v>74</v>
      </c>
      <c r="AV17" s="1387">
        <f>'[1]16'!$H$105</f>
        <v>60</v>
      </c>
      <c r="AW17" s="1387">
        <f>'[1]16'!$H$106</f>
        <v>340</v>
      </c>
      <c r="AX17" s="1387">
        <f>'[1]16'!$H$109</f>
        <v>136</v>
      </c>
      <c r="AY17" s="1387">
        <f>'[1]16'!$H$110</f>
        <v>103</v>
      </c>
      <c r="AZ17" s="1387">
        <f>'[1]16'!$H$111</f>
        <v>433</v>
      </c>
      <c r="BA17" s="1387">
        <f>'[1]16'!$H$114</f>
        <v>21</v>
      </c>
      <c r="BB17" s="1387">
        <f>'[1]16'!$H$115</f>
        <v>100</v>
      </c>
      <c r="BC17" s="1387">
        <f>'[1]16'!$H$116</f>
        <v>200</v>
      </c>
      <c r="BD17" s="1387">
        <f>'[1]16'!$H$118</f>
        <v>205</v>
      </c>
      <c r="BE17" s="1387">
        <f>'[1]16'!$H$119</f>
        <v>245</v>
      </c>
      <c r="BF17" s="1387">
        <f>'[1]16'!$H$120</f>
        <v>124</v>
      </c>
      <c r="BG17" s="1388">
        <f>'Section Load'!AJ20</f>
        <v>1012.5699999998324</v>
      </c>
      <c r="BH17" s="1388">
        <f>'Section Load'!AK20</f>
        <v>274.44000000006054</v>
      </c>
      <c r="BI17" s="1388">
        <f>'Section Load'!AL20</f>
        <v>0</v>
      </c>
      <c r="BJ17" s="1388">
        <f>'Section Load'!AM20</f>
        <v>87.940000000002328</v>
      </c>
      <c r="BK17" s="1388">
        <f>'Section Load'!AN20</f>
        <v>24.799999999995634</v>
      </c>
      <c r="BL17" s="1388">
        <f>'Section Load'!AO20</f>
        <v>2.1000000000003638</v>
      </c>
      <c r="BM17" s="1388">
        <f>'Section Load'!AP20</f>
        <v>623.2899999997735</v>
      </c>
    </row>
    <row r="18" spans="1:65">
      <c r="A18" s="1370" t="s">
        <v>305</v>
      </c>
      <c r="B18" s="1371">
        <f t="shared" si="0"/>
        <v>17</v>
      </c>
      <c r="C18" s="1371">
        <v>2</v>
      </c>
      <c r="D18" s="1371">
        <v>2021</v>
      </c>
      <c r="E18" s="1386">
        <f>'Section Load'!B21</f>
        <v>2711.640000000014</v>
      </c>
      <c r="F18" s="1386">
        <f>'Section Load'!C21</f>
        <v>1476.619999999999</v>
      </c>
      <c r="G18" s="1386">
        <f>'Section Load'!D21</f>
        <v>2001.3899999999994</v>
      </c>
      <c r="H18" s="1386">
        <f>'Section Load'!E21</f>
        <v>4187.6299999999974</v>
      </c>
      <c r="I18" s="1386">
        <f>'Section Load'!F21</f>
        <v>4529.1700000000201</v>
      </c>
      <c r="J18" s="1386">
        <f>'Section Load'!G21</f>
        <v>2334.7999999999302</v>
      </c>
      <c r="K18" s="1386">
        <f>'Section Load'!H21</f>
        <v>1128.5600000000559</v>
      </c>
      <c r="L18" s="1386">
        <f>'Section Load'!I21</f>
        <v>883.79999999998836</v>
      </c>
      <c r="M18" s="1386">
        <f>'Section Load'!J21</f>
        <v>65</v>
      </c>
      <c r="N18" s="1386">
        <f>'Section Load'!K21</f>
        <v>0</v>
      </c>
      <c r="O18" s="1386">
        <f>'Section Load'!L21</f>
        <v>52.419999999999987</v>
      </c>
      <c r="P18" s="1386">
        <f>'Section Load'!M21</f>
        <v>190.22000000000003</v>
      </c>
      <c r="Q18" s="1386">
        <f>'Section Load'!N21</f>
        <v>77.5</v>
      </c>
      <c r="R18" s="1386">
        <f>'Section Load'!O21</f>
        <v>54</v>
      </c>
      <c r="S18" s="1386">
        <f>'Section Load'!P21</f>
        <v>362</v>
      </c>
      <c r="T18" s="1386">
        <f>'Section Load'!Q21</f>
        <v>192</v>
      </c>
      <c r="U18" s="1386">
        <f>'Section Load'!R21</f>
        <v>341.96000000002095</v>
      </c>
      <c r="V18" s="1386">
        <f>'Section Load'!S21</f>
        <v>91.160000000032596</v>
      </c>
      <c r="W18" s="1386">
        <f>'Section Load'!T21</f>
        <v>28.880000000004657</v>
      </c>
      <c r="X18" s="1386">
        <f>'Section Load'!U21</f>
        <v>201.11000000000058</v>
      </c>
      <c r="Y18" s="1386">
        <f>'Section Load'!V21</f>
        <v>450</v>
      </c>
      <c r="Z18" s="1386">
        <f>'Section Load'!W21</f>
        <v>58.960000000020955</v>
      </c>
      <c r="AA18" s="1386">
        <f>'Section Load'!X21</f>
        <v>30.69999999999709</v>
      </c>
      <c r="AB18" s="1386">
        <f>'Section Load'!Y21</f>
        <v>82.989999999990687</v>
      </c>
      <c r="AC18" s="1386">
        <f>'Section Load'!Z21</f>
        <v>34.19999999999709</v>
      </c>
      <c r="AD18" s="1386">
        <f>'Section Load'!AA21</f>
        <v>0</v>
      </c>
      <c r="AE18" s="1386">
        <f>'Section Load'!AB21</f>
        <v>13.7199999999998</v>
      </c>
      <c r="AF18" s="1386">
        <f>'Section Load'!AC21</f>
        <v>429.92999999999302</v>
      </c>
      <c r="AG18" s="1386">
        <f>'Section Load'!AD21</f>
        <v>403.88999999999942</v>
      </c>
      <c r="AH18" s="1386">
        <f>'Section Load'!AE21</f>
        <v>394.95000000000073</v>
      </c>
      <c r="AI18" s="1386">
        <f>'Section Load'!AF21</f>
        <v>678.64000000001397</v>
      </c>
      <c r="AJ18" s="1386">
        <f>'Section Load'!AG21</f>
        <v>338.99000000000524</v>
      </c>
      <c r="AK18" s="1386">
        <f>'Section Load'!AH21</f>
        <v>307.69000000000233</v>
      </c>
      <c r="AL18" s="1386">
        <f>'Section Load'!AI21</f>
        <v>482</v>
      </c>
      <c r="AM18" s="1387">
        <f>'[1]17'!$H$92</f>
        <v>1944</v>
      </c>
      <c r="AN18" s="1387">
        <f>'[1]17'!$H$93</f>
        <v>2755</v>
      </c>
      <c r="AO18" s="1387">
        <f>'[1]17'!$H$95</f>
        <v>1333</v>
      </c>
      <c r="AP18" s="1387">
        <f>'[1]17'!$H$96</f>
        <v>590</v>
      </c>
      <c r="AQ18" s="1387">
        <f>'[1]17'!$H$97</f>
        <v>520</v>
      </c>
      <c r="AR18" s="1387">
        <f>'[1]17'!$H$98</f>
        <v>1143</v>
      </c>
      <c r="AS18" s="1387">
        <f>'[1]17'!$H$99</f>
        <v>224</v>
      </c>
      <c r="AT18" s="1387">
        <f>'[1]17'!$H$100</f>
        <v>164</v>
      </c>
      <c r="AU18" s="1387">
        <f>'[1]17'!$H$104</f>
        <v>74</v>
      </c>
      <c r="AV18" s="1387">
        <f>'[1]17'!$H$105</f>
        <v>57</v>
      </c>
      <c r="AW18" s="1387">
        <f>'[1]17'!$H$106</f>
        <v>339</v>
      </c>
      <c r="AX18" s="1387">
        <f>'[1]17'!$H$109</f>
        <v>116</v>
      </c>
      <c r="AY18" s="1387">
        <f>'[1]17'!$H$110</f>
        <v>82</v>
      </c>
      <c r="AZ18" s="1387">
        <f>'[1]17'!$H$111</f>
        <v>455</v>
      </c>
      <c r="BA18" s="1387">
        <f>'[1]17'!$H$114</f>
        <v>17</v>
      </c>
      <c r="BB18" s="1387">
        <f>'[1]17'!$H$115</f>
        <v>93</v>
      </c>
      <c r="BC18" s="1387">
        <f>'[1]17'!$H$116</f>
        <v>200</v>
      </c>
      <c r="BD18" s="1387">
        <f>'[1]17'!$H$118</f>
        <v>158</v>
      </c>
      <c r="BE18" s="1387">
        <f>'[1]17'!$H$119</f>
        <v>210</v>
      </c>
      <c r="BF18" s="1387">
        <f>'[1]17'!$H$120</f>
        <v>105</v>
      </c>
      <c r="BG18" s="1388">
        <f>'Section Load'!AJ21</f>
        <v>930.51000000000931</v>
      </c>
      <c r="BH18" s="1388">
        <f>'Section Load'!AK21</f>
        <v>259.15000000002328</v>
      </c>
      <c r="BI18" s="1388">
        <f>'Section Load'!AL21</f>
        <v>0</v>
      </c>
      <c r="BJ18" s="1388">
        <f>'Section Load'!AM21</f>
        <v>67.600000000005821</v>
      </c>
      <c r="BK18" s="1388">
        <f>'Section Load'!AN21</f>
        <v>16.100000000005821</v>
      </c>
      <c r="BL18" s="1388">
        <f>'Section Load'!AO21</f>
        <v>4.7000000000007276</v>
      </c>
      <c r="BM18" s="1388">
        <f>'Section Load'!AP21</f>
        <v>582.95999999997366</v>
      </c>
    </row>
    <row r="19" spans="1:65">
      <c r="A19" s="1370" t="s">
        <v>305</v>
      </c>
      <c r="B19" s="1371">
        <f t="shared" si="0"/>
        <v>18</v>
      </c>
      <c r="C19" s="1371">
        <v>2</v>
      </c>
      <c r="D19" s="1371">
        <v>2021</v>
      </c>
      <c r="E19" s="1386">
        <f>'Section Load'!B22</f>
        <v>2740.1599999999162</v>
      </c>
      <c r="F19" s="1386">
        <f>'Section Load'!C22</f>
        <v>1468.9300000000003</v>
      </c>
      <c r="G19" s="1386">
        <f>'Section Load'!D22</f>
        <v>2050.5400000000009</v>
      </c>
      <c r="H19" s="1386">
        <f>'Section Load'!E22</f>
        <v>4281.18</v>
      </c>
      <c r="I19" s="1386">
        <f>'Section Load'!F22</f>
        <v>4586.8699999999371</v>
      </c>
      <c r="J19" s="1386">
        <f>'Section Load'!G22</f>
        <v>2334.1600000000326</v>
      </c>
      <c r="K19" s="1386">
        <f>'Section Load'!H22</f>
        <v>1128.5600000000559</v>
      </c>
      <c r="L19" s="1386">
        <f>'Section Load'!I22</f>
        <v>883.79999999998836</v>
      </c>
      <c r="M19" s="1386">
        <f>'Section Load'!J22</f>
        <v>65</v>
      </c>
      <c r="N19" s="1386">
        <f>'Section Load'!K22</f>
        <v>0</v>
      </c>
      <c r="O19" s="1386">
        <f>'Section Load'!L22</f>
        <v>52.019999999999982</v>
      </c>
      <c r="P19" s="1386">
        <f>'Section Load'!M22</f>
        <v>200.05999999999995</v>
      </c>
      <c r="Q19" s="1386">
        <f>'Section Load'!N22</f>
        <v>87.440000000000055</v>
      </c>
      <c r="R19" s="1386">
        <f>'Section Load'!O22</f>
        <v>51</v>
      </c>
      <c r="S19" s="1386">
        <f>'Section Load'!P22</f>
        <v>370</v>
      </c>
      <c r="T19" s="1386">
        <f>'Section Load'!Q22</f>
        <v>176</v>
      </c>
      <c r="U19" s="1386">
        <f>'Section Load'!R22</f>
        <v>337.03999999997905</v>
      </c>
      <c r="V19" s="1386">
        <f>'Section Load'!S22</f>
        <v>94.839999999967404</v>
      </c>
      <c r="W19" s="1386">
        <f>'Section Load'!T22</f>
        <v>20.679999999993015</v>
      </c>
      <c r="X19" s="1386">
        <f>'Section Load'!U22</f>
        <v>214.38000000000466</v>
      </c>
      <c r="Y19" s="1386">
        <f>'Section Load'!V22</f>
        <v>499</v>
      </c>
      <c r="Z19" s="1386">
        <f>'Section Load'!W22</f>
        <v>129</v>
      </c>
      <c r="AA19" s="1386">
        <f>'Section Load'!X22</f>
        <v>30.30000000000291</v>
      </c>
      <c r="AB19" s="1386">
        <f>'Section Load'!Y22</f>
        <v>76.100000000005821</v>
      </c>
      <c r="AC19" s="1386">
        <f>'Section Load'!Z22</f>
        <v>34.100000000002638</v>
      </c>
      <c r="AD19" s="1386">
        <f>'Section Load'!AA22</f>
        <v>0</v>
      </c>
      <c r="AE19" s="1386">
        <f>'Section Load'!AB22</f>
        <v>13.370000000000118</v>
      </c>
      <c r="AF19" s="1386">
        <f>'Section Load'!AC22</f>
        <v>429.19999999999709</v>
      </c>
      <c r="AG19" s="1386">
        <f>'Section Load'!AD22</f>
        <v>397.29000000000815</v>
      </c>
      <c r="AH19" s="1386">
        <f>'Section Load'!AE22</f>
        <v>398.93999999999869</v>
      </c>
      <c r="AI19" s="1386">
        <f>'Section Load'!AF22</f>
        <v>665.10999999998603</v>
      </c>
      <c r="AJ19" s="1386">
        <f>'Section Load'!AG22</f>
        <v>390.13000000000466</v>
      </c>
      <c r="AK19" s="1386">
        <f>'Section Load'!AH22</f>
        <v>316.0199999999968</v>
      </c>
      <c r="AL19" s="1386">
        <f>'Section Load'!AI22</f>
        <v>482</v>
      </c>
      <c r="AM19" s="1387">
        <f>'[1]18'!$H$92</f>
        <v>2025</v>
      </c>
      <c r="AN19" s="1387">
        <f>'[1]18'!$H$93</f>
        <v>2892</v>
      </c>
      <c r="AO19" s="1387">
        <f>'[1]18'!$H$95</f>
        <v>1407</v>
      </c>
      <c r="AP19" s="1387">
        <f>'[1]18'!$H$96</f>
        <v>606</v>
      </c>
      <c r="AQ19" s="1387">
        <f>'[1]18'!$H$97</f>
        <v>537</v>
      </c>
      <c r="AR19" s="1387">
        <f>'[1]18'!$H$98</f>
        <v>1221</v>
      </c>
      <c r="AS19" s="1387">
        <f>'[1]18'!$H$99</f>
        <v>246</v>
      </c>
      <c r="AT19" s="1387">
        <f>'[1]18'!$H$100</f>
        <v>169</v>
      </c>
      <c r="AU19" s="1387">
        <f>'[1]18'!$H$104</f>
        <v>74</v>
      </c>
      <c r="AV19" s="1387">
        <f>'[1]18'!$H$105</f>
        <v>56</v>
      </c>
      <c r="AW19" s="1387">
        <f>'[1]18'!$H$106</f>
        <v>344</v>
      </c>
      <c r="AX19" s="1387">
        <f>'[1]18'!$H$109</f>
        <v>136</v>
      </c>
      <c r="AY19" s="1387">
        <f>'[1]18'!$H$110</f>
        <v>137</v>
      </c>
      <c r="AZ19" s="1387">
        <f>'[1]18'!$H$111</f>
        <v>440</v>
      </c>
      <c r="BA19" s="1387">
        <f>'[1]18'!$H$114</f>
        <v>25</v>
      </c>
      <c r="BB19" s="1387">
        <f>'[1]18'!$H$115</f>
        <v>92</v>
      </c>
      <c r="BC19" s="1387">
        <f>'[1]18'!$H$116</f>
        <v>200</v>
      </c>
      <c r="BD19" s="1387">
        <f>'[1]18'!$H$118</f>
        <v>151</v>
      </c>
      <c r="BE19" s="1387">
        <f>'[1]18'!$H$119</f>
        <v>217</v>
      </c>
      <c r="BF19" s="1387">
        <f>'[1]18'!$H$120</f>
        <v>165</v>
      </c>
      <c r="BG19" s="1388">
        <f>'Section Load'!AJ22</f>
        <v>840.14000000013039</v>
      </c>
      <c r="BH19" s="1388">
        <f>'Section Load'!AK22</f>
        <v>260.40999999991618</v>
      </c>
      <c r="BI19" s="1388">
        <f>'Section Load'!AL22</f>
        <v>0</v>
      </c>
      <c r="BJ19" s="1388">
        <f>'Section Load'!AM22</f>
        <v>77.269999999989523</v>
      </c>
      <c r="BK19" s="1388">
        <f>'Section Load'!AN22</f>
        <v>25.69999999999709</v>
      </c>
      <c r="BL19" s="1388">
        <f>'Section Load'!AO22</f>
        <v>1.1000000000003638</v>
      </c>
      <c r="BM19" s="1388">
        <f>'Section Load'!AP22</f>
        <v>475.66000000022723</v>
      </c>
    </row>
    <row r="20" spans="1:65">
      <c r="A20" s="1370" t="s">
        <v>305</v>
      </c>
      <c r="B20" s="1371">
        <f t="shared" si="0"/>
        <v>19</v>
      </c>
      <c r="C20" s="1371">
        <v>2</v>
      </c>
      <c r="D20" s="1371">
        <v>2021</v>
      </c>
      <c r="E20" s="1386">
        <f>'Section Load'!B23</f>
        <v>2680.9200000000419</v>
      </c>
      <c r="F20" s="1386">
        <f>'Section Load'!C23</f>
        <v>1478.1700000000019</v>
      </c>
      <c r="G20" s="1386">
        <f>'Section Load'!D23</f>
        <v>1916.8899999999776</v>
      </c>
      <c r="H20" s="1386">
        <f>'Section Load'!E23</f>
        <v>4163.1299999999901</v>
      </c>
      <c r="I20" s="1386">
        <f>'Section Load'!F23</f>
        <v>4133.3100000000559</v>
      </c>
      <c r="J20" s="1386">
        <f>'Section Load'!G23</f>
        <v>2308.92</v>
      </c>
      <c r="K20" s="1386">
        <f>'Section Load'!H23</f>
        <v>1435.9699999999721</v>
      </c>
      <c r="L20" s="1386">
        <f>'Section Load'!I23</f>
        <v>664.45000000001164</v>
      </c>
      <c r="M20" s="1386">
        <f>'Section Load'!J23</f>
        <v>71</v>
      </c>
      <c r="N20" s="1386">
        <f>'Section Load'!K23</f>
        <v>0</v>
      </c>
      <c r="O20" s="1386">
        <f>'Section Load'!L23</f>
        <v>29.220000000000027</v>
      </c>
      <c r="P20" s="1386">
        <f>'Section Load'!M23</f>
        <v>160.3900000000001</v>
      </c>
      <c r="Q20" s="1386">
        <f>'Section Load'!N23</f>
        <v>69.059999999999945</v>
      </c>
      <c r="R20" s="1386">
        <f>'Section Load'!O23</f>
        <v>52</v>
      </c>
      <c r="S20" s="1386">
        <f>'Section Load'!P23</f>
        <v>333</v>
      </c>
      <c r="T20" s="1386">
        <f>'Section Load'!Q23</f>
        <v>178</v>
      </c>
      <c r="U20" s="1386">
        <f>'Section Load'!R23</f>
        <v>344</v>
      </c>
      <c r="V20" s="1386">
        <f>'Section Load'!S23</f>
        <v>108</v>
      </c>
      <c r="W20" s="1386">
        <f>'Section Load'!T23</f>
        <v>25</v>
      </c>
      <c r="X20" s="1386">
        <f>'Section Load'!U23</f>
        <v>219.30999999999767</v>
      </c>
      <c r="Y20" s="1386">
        <f>'Section Load'!V23</f>
        <v>355</v>
      </c>
      <c r="Z20" s="1386">
        <f>'Section Load'!W23</f>
        <v>142</v>
      </c>
      <c r="AA20" s="1386">
        <f>'Section Load'!X23</f>
        <v>25</v>
      </c>
      <c r="AB20" s="1386">
        <f>'Section Load'!Y23</f>
        <v>93</v>
      </c>
      <c r="AC20" s="1386">
        <f>'Section Load'!Z23</f>
        <v>29.800000000000182</v>
      </c>
      <c r="AD20" s="1386">
        <f>'Section Load'!AA23</f>
        <v>2.0000000000436557E-2</v>
      </c>
      <c r="AE20" s="1386">
        <f>'Section Load'!AB23</f>
        <v>13.279999999999973</v>
      </c>
      <c r="AF20" s="1386">
        <f>'Section Load'!AC23</f>
        <v>412.02000000000407</v>
      </c>
      <c r="AG20" s="1386">
        <f>'Section Load'!AD23</f>
        <v>402.89999999999418</v>
      </c>
      <c r="AH20" s="1386">
        <f>'Section Load'!AE23</f>
        <v>405.72000000000116</v>
      </c>
      <c r="AI20" s="1386">
        <f>'Section Load'!AF23</f>
        <v>639</v>
      </c>
      <c r="AJ20" s="1386">
        <f>'Section Load'!AG23</f>
        <v>342.69999999999709</v>
      </c>
      <c r="AK20" s="1386">
        <f>'Section Load'!AH23</f>
        <v>311.7300000000032</v>
      </c>
      <c r="AL20" s="1386">
        <f>'Section Load'!AI23</f>
        <v>499</v>
      </c>
      <c r="AM20" s="1387">
        <f>'[1]19'!$H$92</f>
        <v>2120</v>
      </c>
      <c r="AN20" s="1387">
        <f>'[1]19'!$H$93</f>
        <v>3034</v>
      </c>
      <c r="AO20" s="1387">
        <f>'[1]19'!$H$95</f>
        <v>1486</v>
      </c>
      <c r="AP20" s="1387">
        <f>'[1]19'!$H$96</f>
        <v>615</v>
      </c>
      <c r="AQ20" s="1387">
        <f>'[1]19'!$H$97</f>
        <v>561</v>
      </c>
      <c r="AR20" s="1387">
        <f>'[1]19'!$H$98</f>
        <v>1284</v>
      </c>
      <c r="AS20" s="1387">
        <f>'[1]19'!$H$99</f>
        <v>269</v>
      </c>
      <c r="AT20" s="1387">
        <f>'[1]19'!$H$100</f>
        <v>175</v>
      </c>
      <c r="AU20" s="1387">
        <f>'[1]19'!$H$104</f>
        <v>74</v>
      </c>
      <c r="AV20" s="1387">
        <f>'[1]19'!$H$105</f>
        <v>63</v>
      </c>
      <c r="AW20" s="1387">
        <f>'[1]19'!$H$106</f>
        <v>350</v>
      </c>
      <c r="AX20" s="1387">
        <f>'[1]19'!$H$109</f>
        <v>176</v>
      </c>
      <c r="AY20" s="1387">
        <f>'[1]19'!$H$110</f>
        <v>168</v>
      </c>
      <c r="AZ20" s="1387">
        <f>'[1]19'!$H$111</f>
        <v>440</v>
      </c>
      <c r="BA20" s="1387">
        <f>'[1]19'!$H$114</f>
        <v>51</v>
      </c>
      <c r="BB20" s="1387">
        <f>'[1]19'!$H$115</f>
        <v>94</v>
      </c>
      <c r="BC20" s="1387">
        <f>'[1]19'!$H$116</f>
        <v>200</v>
      </c>
      <c r="BD20" s="1387">
        <f>'[1]19'!$H$118</f>
        <v>296</v>
      </c>
      <c r="BE20" s="1387">
        <f>'[1]19'!$H$119</f>
        <v>358</v>
      </c>
      <c r="BF20" s="1387">
        <f>'[1]19'!$H$120</f>
        <v>236</v>
      </c>
      <c r="BG20" s="1388">
        <f>'Section Load'!AJ23</f>
        <v>881.40999999991618</v>
      </c>
      <c r="BH20" s="1388">
        <f>'Section Load'!AK23</f>
        <v>241.6600000000326</v>
      </c>
      <c r="BI20" s="1388">
        <f>'Section Load'!AL23</f>
        <v>-0.39999999999417923</v>
      </c>
      <c r="BJ20" s="1388">
        <f>'Section Load'!AM23</f>
        <v>89.25</v>
      </c>
      <c r="BK20" s="1388">
        <f>'Section Load'!AN23</f>
        <v>23.5</v>
      </c>
      <c r="BL20" s="1388">
        <f>'Section Load'!AO23</f>
        <v>1.7999999999992724</v>
      </c>
      <c r="BM20" s="1388">
        <f>'Section Load'!AP23</f>
        <v>525.59999999987849</v>
      </c>
    </row>
    <row r="21" spans="1:65">
      <c r="A21" s="1370" t="s">
        <v>305</v>
      </c>
      <c r="B21" s="1371">
        <f t="shared" si="0"/>
        <v>20</v>
      </c>
      <c r="C21" s="1371">
        <v>2</v>
      </c>
      <c r="D21" s="1371">
        <v>2021</v>
      </c>
      <c r="E21" s="1386">
        <f>'Section Load'!B24</f>
        <v>2854</v>
      </c>
      <c r="F21" s="1386">
        <f>'Section Load'!C24</f>
        <v>1511</v>
      </c>
      <c r="G21" s="1386">
        <f>'Section Load'!D24</f>
        <v>1965</v>
      </c>
      <c r="H21" s="1386">
        <f>'Section Load'!E24</f>
        <v>4389</v>
      </c>
      <c r="I21" s="1386">
        <f>'Section Load'!F24</f>
        <v>4051</v>
      </c>
      <c r="J21" s="1386">
        <f>'Section Load'!G24</f>
        <v>2302</v>
      </c>
      <c r="K21" s="1386">
        <f>'Section Load'!H24</f>
        <v>1156</v>
      </c>
      <c r="L21" s="1386">
        <f>'Section Load'!I24</f>
        <v>625</v>
      </c>
      <c r="M21" s="1386">
        <f>'Section Load'!J24</f>
        <v>66</v>
      </c>
      <c r="N21" s="1386">
        <f>'Section Load'!K24</f>
        <v>1</v>
      </c>
      <c r="O21" s="1386">
        <f>'Section Load'!L24</f>
        <v>20</v>
      </c>
      <c r="P21" s="1386">
        <f>'Section Load'!M24</f>
        <v>178</v>
      </c>
      <c r="Q21" s="1386">
        <f>'Section Load'!N24</f>
        <v>78</v>
      </c>
      <c r="R21" s="1386">
        <f>'Section Load'!O24</f>
        <v>48</v>
      </c>
      <c r="S21" s="1386">
        <f>'Section Load'!P24</f>
        <v>402</v>
      </c>
      <c r="T21" s="1386">
        <f>'Section Load'!Q24</f>
        <v>191</v>
      </c>
      <c r="U21" s="1386">
        <f>'Section Load'!R24</f>
        <v>356</v>
      </c>
      <c r="V21" s="1386">
        <f>'Section Load'!S24</f>
        <v>90</v>
      </c>
      <c r="W21" s="1386">
        <f>'Section Load'!T24</f>
        <v>26</v>
      </c>
      <c r="X21" s="1386">
        <f>'Section Load'!U24</f>
        <v>251</v>
      </c>
      <c r="Y21" s="1386">
        <f>'Section Load'!V24</f>
        <v>399</v>
      </c>
      <c r="Z21" s="1386">
        <f>'Section Load'!W24</f>
        <v>115</v>
      </c>
      <c r="AA21" s="1386">
        <f>'Section Load'!X24</f>
        <v>14</v>
      </c>
      <c r="AB21" s="1386">
        <f>'Section Load'!Y24</f>
        <v>67</v>
      </c>
      <c r="AC21" s="1386">
        <f>'Section Load'!Z24</f>
        <v>19.800000000000182</v>
      </c>
      <c r="AD21" s="1386">
        <f>'Section Load'!AA24</f>
        <v>0</v>
      </c>
      <c r="AE21" s="1386">
        <f>'Section Load'!AB24</f>
        <v>12</v>
      </c>
      <c r="AF21" s="1386">
        <f>'Section Load'!AC24</f>
        <v>400</v>
      </c>
      <c r="AG21" s="1386">
        <f>'Section Load'!AD24</f>
        <v>404</v>
      </c>
      <c r="AH21" s="1386">
        <f>'Section Load'!AE24</f>
        <v>411</v>
      </c>
      <c r="AI21" s="1386">
        <f>'Section Load'!AF24</f>
        <v>695</v>
      </c>
      <c r="AJ21" s="1386">
        <f>'Section Load'!AG24</f>
        <v>1350</v>
      </c>
      <c r="AK21" s="1386">
        <f>'Section Load'!AH24</f>
        <v>318</v>
      </c>
      <c r="AL21" s="1386">
        <f>'Section Load'!AI24</f>
        <v>562</v>
      </c>
      <c r="AM21" s="1387">
        <f>'[1]20'!$H$92</f>
        <v>2227</v>
      </c>
      <c r="AN21" s="1387">
        <f>'[1]20'!$H$93</f>
        <v>3167</v>
      </c>
      <c r="AO21" s="1387">
        <f>'[1]20'!$H$95</f>
        <v>1572</v>
      </c>
      <c r="AP21" s="1387">
        <f>'[1]20'!$H$96</f>
        <v>637</v>
      </c>
      <c r="AQ21" s="1387">
        <f>'[1]20'!$H$97</f>
        <v>593</v>
      </c>
      <c r="AR21" s="1387">
        <f>'[1]20'!$H$98</f>
        <v>1352</v>
      </c>
      <c r="AS21" s="1387">
        <f>'[1]20'!$H$99</f>
        <v>290</v>
      </c>
      <c r="AT21" s="1387">
        <f>'[1]20'!$H$100</f>
        <v>183</v>
      </c>
      <c r="AU21" s="1387">
        <f>'[1]20'!$H$104</f>
        <v>74</v>
      </c>
      <c r="AV21" s="1387">
        <f>'[1]20'!$H$105</f>
        <v>76</v>
      </c>
      <c r="AW21" s="1387">
        <f>'[1]20'!$H$106</f>
        <v>358</v>
      </c>
      <c r="AX21" s="1387">
        <f>'[1]20'!$H$109</f>
        <v>235</v>
      </c>
      <c r="AY21" s="1387">
        <f>'[1]20'!$H$110</f>
        <v>243</v>
      </c>
      <c r="AZ21" s="1387">
        <f>'[1]20'!$H$111</f>
        <v>460</v>
      </c>
      <c r="BA21" s="1387">
        <f>'[1]20'!$H$114</f>
        <v>77</v>
      </c>
      <c r="BB21" s="1387">
        <f>'[1]20'!$H$115</f>
        <v>102</v>
      </c>
      <c r="BC21" s="1387">
        <f>'[1]20'!$H$116</f>
        <v>200</v>
      </c>
      <c r="BD21" s="1387">
        <f>'[1]20'!$H$118</f>
        <v>454</v>
      </c>
      <c r="BE21" s="1387">
        <f>'[1]20'!$H$119</f>
        <v>527</v>
      </c>
      <c r="BF21" s="1387">
        <f>'[1]20'!$H$120</f>
        <v>390</v>
      </c>
      <c r="BG21" s="1388">
        <f>'Section Load'!AJ24</f>
        <v>1086</v>
      </c>
      <c r="BH21" s="1388">
        <f>'Section Load'!AK24</f>
        <v>300</v>
      </c>
      <c r="BI21" s="1388">
        <f>'Section Load'!AL24</f>
        <v>0</v>
      </c>
      <c r="BJ21" s="1388">
        <f>'Section Load'!AM24</f>
        <v>86</v>
      </c>
      <c r="BK21" s="1388">
        <f>'Section Load'!AN24</f>
        <v>30</v>
      </c>
      <c r="BL21" s="1388">
        <f>'Section Load'!AO24</f>
        <v>3</v>
      </c>
      <c r="BM21" s="1388">
        <f>'Section Load'!AP24</f>
        <v>667</v>
      </c>
    </row>
    <row r="22" spans="1:65">
      <c r="A22" s="1370" t="s">
        <v>305</v>
      </c>
      <c r="B22" s="1371">
        <f t="shared" si="0"/>
        <v>21</v>
      </c>
      <c r="C22" s="1371">
        <v>2</v>
      </c>
      <c r="D22" s="1371">
        <v>2021</v>
      </c>
      <c r="E22" s="1386">
        <f>'Section Load'!B25</f>
        <v>3035</v>
      </c>
      <c r="F22" s="1386">
        <f>'Section Load'!C25</f>
        <v>1522</v>
      </c>
      <c r="G22" s="1386">
        <f>'Section Load'!D25</f>
        <v>2026</v>
      </c>
      <c r="H22" s="1386">
        <f>'Section Load'!E25</f>
        <v>4214</v>
      </c>
      <c r="I22" s="1386">
        <f>'Section Load'!F25</f>
        <v>4354</v>
      </c>
      <c r="J22" s="1386">
        <f>'Section Load'!G25</f>
        <v>2354</v>
      </c>
      <c r="K22" s="1386">
        <f>'Section Load'!H25</f>
        <v>1111</v>
      </c>
      <c r="L22" s="1386">
        <f>'Section Load'!I25</f>
        <v>776</v>
      </c>
      <c r="M22" s="1386">
        <f>'Section Load'!J25</f>
        <v>22</v>
      </c>
      <c r="N22" s="1386">
        <f>'Section Load'!K25</f>
        <v>22</v>
      </c>
      <c r="O22" s="1386">
        <f>'Section Load'!L25</f>
        <v>35</v>
      </c>
      <c r="P22" s="1386">
        <f>'Section Load'!M25</f>
        <v>175</v>
      </c>
      <c r="Q22" s="1386">
        <f>'Section Load'!N25</f>
        <v>76</v>
      </c>
      <c r="R22" s="1386">
        <f>'Section Load'!O25</f>
        <v>50</v>
      </c>
      <c r="S22" s="1386">
        <f>'Section Load'!P25</f>
        <v>454</v>
      </c>
      <c r="T22" s="1386">
        <f>'Section Load'!Q25</f>
        <v>172</v>
      </c>
      <c r="U22" s="1386">
        <f>'Section Load'!R25</f>
        <v>386</v>
      </c>
      <c r="V22" s="1386">
        <f>'Section Load'!S25</f>
        <v>110</v>
      </c>
      <c r="W22" s="1386">
        <f>'Section Load'!T25</f>
        <v>22</v>
      </c>
      <c r="X22" s="1386">
        <f>'Section Load'!U25</f>
        <v>188</v>
      </c>
      <c r="Y22" s="1386">
        <f>'Section Load'!V25</f>
        <v>429</v>
      </c>
      <c r="Z22" s="1386">
        <f>'Section Load'!W25</f>
        <v>73</v>
      </c>
      <c r="AA22" s="1386">
        <f>'Section Load'!X25</f>
        <v>9</v>
      </c>
      <c r="AB22" s="1386">
        <f>'Section Load'!Y25</f>
        <v>35</v>
      </c>
      <c r="AC22" s="1386">
        <f>'Section Load'!Z25</f>
        <v>15.800000000000182</v>
      </c>
      <c r="AD22" s="1386">
        <f>'Section Load'!AA25</f>
        <v>0</v>
      </c>
      <c r="AE22" s="1386">
        <f>'Section Load'!AB25</f>
        <v>14</v>
      </c>
      <c r="AF22" s="1386">
        <f>'Section Load'!AC25</f>
        <v>398</v>
      </c>
      <c r="AG22" s="1386">
        <f>'Section Load'!AD25</f>
        <v>400</v>
      </c>
      <c r="AH22" s="1386">
        <f>'Section Load'!AE25</f>
        <v>372</v>
      </c>
      <c r="AI22" s="1386">
        <f>'Section Load'!AF25</f>
        <v>716</v>
      </c>
      <c r="AJ22" s="1386">
        <f>'Section Load'!AG25</f>
        <v>310</v>
      </c>
      <c r="AK22" s="1386">
        <f>'Section Load'!AH25</f>
        <v>339</v>
      </c>
      <c r="AL22" s="1386">
        <f>'Section Load'!AI25</f>
        <v>568</v>
      </c>
      <c r="AM22" s="1387">
        <f>'[1]21'!$H$92</f>
        <v>2349</v>
      </c>
      <c r="AN22" s="1387">
        <f>'[1]21'!$H$93</f>
        <v>3277</v>
      </c>
      <c r="AO22" s="1387">
        <f>'[1]21'!$H$95</f>
        <v>1644</v>
      </c>
      <c r="AP22" s="1387">
        <f>'[1]21'!$H$96</f>
        <v>664</v>
      </c>
      <c r="AQ22" s="1387">
        <f>'[1]21'!$H$97</f>
        <v>628</v>
      </c>
      <c r="AR22" s="1387">
        <f>'[1]21'!$H$98</f>
        <v>1439</v>
      </c>
      <c r="AS22" s="1387">
        <f>'[1]21'!$H$99</f>
        <v>305</v>
      </c>
      <c r="AT22" s="1387">
        <f>'[1]21'!$H$100</f>
        <v>195</v>
      </c>
      <c r="AU22" s="1387">
        <f>'[1]21'!$H$104</f>
        <v>74</v>
      </c>
      <c r="AV22" s="1387">
        <f>'[1]21'!$H$105</f>
        <v>83</v>
      </c>
      <c r="AW22" s="1387">
        <f>'[1]21'!$H$106</f>
        <v>364</v>
      </c>
      <c r="AX22" s="1387">
        <f>'[1]21'!$H$109</f>
        <v>295</v>
      </c>
      <c r="AY22" s="1387">
        <f>'[1]21'!$H$110</f>
        <v>343</v>
      </c>
      <c r="AZ22" s="1387">
        <f>'[1]21'!$H$111</f>
        <v>466</v>
      </c>
      <c r="BA22" s="1387">
        <f>'[1]21'!$H$114</f>
        <v>94</v>
      </c>
      <c r="BB22" s="1387">
        <f>'[1]21'!$H$115</f>
        <v>111</v>
      </c>
      <c r="BC22" s="1387">
        <f>'[1]21'!$H$116</f>
        <v>200</v>
      </c>
      <c r="BD22" s="1387">
        <f>'[1]21'!$H$118</f>
        <v>627</v>
      </c>
      <c r="BE22" s="1387">
        <f>'[1]21'!$H$119</f>
        <v>688</v>
      </c>
      <c r="BF22" s="1387">
        <f>'[1]21'!$H$120</f>
        <v>556</v>
      </c>
      <c r="BG22" s="1388">
        <f>'Section Load'!AJ25</f>
        <v>940</v>
      </c>
      <c r="BH22" s="1388">
        <f>'Section Load'!AK25</f>
        <v>283</v>
      </c>
      <c r="BI22" s="1388">
        <f>'Section Load'!AL25</f>
        <v>0</v>
      </c>
      <c r="BJ22" s="1388">
        <f>'Section Load'!AM25</f>
        <v>80</v>
      </c>
      <c r="BK22" s="1388">
        <f>'Section Load'!AN25</f>
        <v>30</v>
      </c>
      <c r="BL22" s="1388">
        <f>'Section Load'!AO25</f>
        <v>2</v>
      </c>
      <c r="BM22" s="1388">
        <f>'Section Load'!AP25</f>
        <v>545</v>
      </c>
    </row>
    <row r="23" spans="1:65">
      <c r="A23" s="1370" t="s">
        <v>305</v>
      </c>
      <c r="B23" s="1371">
        <f t="shared" si="0"/>
        <v>22</v>
      </c>
      <c r="C23" s="1371">
        <v>2</v>
      </c>
      <c r="D23" s="1371">
        <v>2021</v>
      </c>
      <c r="E23" s="1386">
        <f>'Section Load'!B26</f>
        <v>2796</v>
      </c>
      <c r="F23" s="1386">
        <f>'Section Load'!C26</f>
        <v>1467</v>
      </c>
      <c r="G23" s="1386">
        <f>'Section Load'!D26</f>
        <v>2080</v>
      </c>
      <c r="H23" s="1386">
        <f>'Section Load'!E26</f>
        <v>4115</v>
      </c>
      <c r="I23" s="1386">
        <f>'Section Load'!F26</f>
        <v>4684</v>
      </c>
      <c r="J23" s="1386">
        <f>'Section Load'!G26</f>
        <v>2349</v>
      </c>
      <c r="K23" s="1386">
        <f>'Section Load'!H26</f>
        <v>1196</v>
      </c>
      <c r="L23" s="1386">
        <f>'Section Load'!I26</f>
        <v>729</v>
      </c>
      <c r="M23" s="1386">
        <f>'Section Load'!J26</f>
        <v>83</v>
      </c>
      <c r="N23" s="1386">
        <f>'Section Load'!K26</f>
        <v>0</v>
      </c>
      <c r="O23" s="1386">
        <f>'Section Load'!L26</f>
        <v>17</v>
      </c>
      <c r="P23" s="1386">
        <f>'Section Load'!M26</f>
        <v>187</v>
      </c>
      <c r="Q23" s="1386">
        <f>'Section Load'!N26</f>
        <v>71</v>
      </c>
      <c r="R23" s="1386">
        <f>'Section Load'!O26</f>
        <v>51</v>
      </c>
      <c r="S23" s="1386">
        <f>'Section Load'!P26</f>
        <v>384</v>
      </c>
      <c r="T23" s="1386">
        <f>'Section Load'!Q26</f>
        <v>186</v>
      </c>
      <c r="U23" s="1386">
        <f>'Section Load'!R26</f>
        <v>367</v>
      </c>
      <c r="V23" s="1386">
        <f>'Section Load'!S26</f>
        <v>132</v>
      </c>
      <c r="W23" s="1386">
        <f>'Section Load'!T26</f>
        <v>28</v>
      </c>
      <c r="X23" s="1386">
        <f>'Section Load'!U26</f>
        <v>205</v>
      </c>
      <c r="Y23" s="1386">
        <f>'Section Load'!V26</f>
        <v>514</v>
      </c>
      <c r="Z23" s="1386">
        <f>'Section Load'!W26</f>
        <v>138</v>
      </c>
      <c r="AA23" s="1386">
        <f>'Section Load'!X26</f>
        <v>33</v>
      </c>
      <c r="AB23" s="1386">
        <f>'Section Load'!Y26</f>
        <v>60</v>
      </c>
      <c r="AC23" s="1386">
        <f>'Section Load'!Z26</f>
        <v>45.800000000000182</v>
      </c>
      <c r="AD23" s="1386">
        <f>'Section Load'!AA26</f>
        <v>0</v>
      </c>
      <c r="AE23" s="1386">
        <f>'Section Load'!AB26</f>
        <v>13</v>
      </c>
      <c r="AF23" s="1386">
        <f>'Section Load'!AC26</f>
        <v>470</v>
      </c>
      <c r="AG23" s="1386">
        <f>'Section Load'!AD26</f>
        <v>376</v>
      </c>
      <c r="AH23" s="1386">
        <f>'Section Load'!AE26</f>
        <v>379</v>
      </c>
      <c r="AI23" s="1386">
        <f>'Section Load'!AF26</f>
        <v>671</v>
      </c>
      <c r="AJ23" s="1386">
        <f>'Section Load'!AG26</f>
        <v>308</v>
      </c>
      <c r="AK23" s="1386">
        <f>'Section Load'!AH26</f>
        <v>330</v>
      </c>
      <c r="AL23" s="1386">
        <f>'Section Load'!AI26</f>
        <v>565</v>
      </c>
      <c r="AM23" s="1387">
        <f>'[1]22'!$H$92</f>
        <v>-791</v>
      </c>
      <c r="AN23" s="1387">
        <f>'[1]22'!$H$93</f>
        <v>-1243</v>
      </c>
      <c r="AO23" s="1387">
        <f>'[1]22'!$H$95</f>
        <v>-591</v>
      </c>
      <c r="AP23" s="1387">
        <f>'[1]22'!$H$96</f>
        <v>-221</v>
      </c>
      <c r="AQ23" s="1387">
        <f>'[1]22'!$H$97</f>
        <v>-204</v>
      </c>
      <c r="AR23" s="1387">
        <f>'[1]22'!$H$98</f>
        <v>-533</v>
      </c>
      <c r="AS23" s="1387">
        <f>'[1]22'!$H$99</f>
        <v>-170</v>
      </c>
      <c r="AT23" s="1387">
        <f>'[1]22'!$H$100</f>
        <v>-72</v>
      </c>
      <c r="AU23" s="1387">
        <f>'[1]22'!$H$104</f>
        <v>-13</v>
      </c>
      <c r="AV23" s="1387">
        <f>'[1]22'!$H$105</f>
        <v>-202</v>
      </c>
      <c r="AW23" s="1387">
        <f>'[1]22'!$H$106</f>
        <v>161</v>
      </c>
      <c r="AX23" s="1387">
        <f>'[1]22'!$H$109</f>
        <v>-1623</v>
      </c>
      <c r="AY23" s="1387">
        <f>'[1]22'!$H$110</f>
        <v>-1822</v>
      </c>
      <c r="AZ23" s="1387">
        <f>'[1]22'!$H$111</f>
        <v>189</v>
      </c>
      <c r="BA23" s="1387">
        <f>'[1]22'!$H$114</f>
        <v>-566</v>
      </c>
      <c r="BB23" s="1387">
        <f>'[1]22'!$H$115</f>
        <v>-136</v>
      </c>
      <c r="BC23" s="1387">
        <f>'[1]22'!$H$116</f>
        <v>200</v>
      </c>
      <c r="BD23" s="1387">
        <f>'[1]22'!$H$118</f>
        <v>-4632</v>
      </c>
      <c r="BE23" s="1387">
        <f>'[1]22'!$H$119</f>
        <v>-4611</v>
      </c>
      <c r="BF23" s="1387">
        <f>'[1]22'!$H$120</f>
        <v>-3804</v>
      </c>
      <c r="BG23" s="1388">
        <f>'Section Load'!AJ26</f>
        <v>935</v>
      </c>
      <c r="BH23" s="1388">
        <f>'Section Load'!AK26</f>
        <v>252</v>
      </c>
      <c r="BI23" s="1388">
        <f>'Section Load'!AL26</f>
        <v>0</v>
      </c>
      <c r="BJ23" s="1388">
        <f>'Section Load'!AM26</f>
        <v>76</v>
      </c>
      <c r="BK23" s="1388">
        <f>'Section Load'!AN26</f>
        <v>18</v>
      </c>
      <c r="BL23" s="1388">
        <f>'Section Load'!AO26</f>
        <v>2</v>
      </c>
      <c r="BM23" s="1388">
        <f>'Section Load'!AP26</f>
        <v>587</v>
      </c>
    </row>
    <row r="24" spans="1:65">
      <c r="A24" s="1370" t="s">
        <v>305</v>
      </c>
      <c r="B24" s="1371">
        <f t="shared" si="0"/>
        <v>23</v>
      </c>
      <c r="C24" s="1371">
        <v>2</v>
      </c>
      <c r="D24" s="1371">
        <v>2021</v>
      </c>
      <c r="E24" s="1386">
        <f>'Section Load'!B27</f>
        <v>3006</v>
      </c>
      <c r="F24" s="1386">
        <f>'Section Load'!C27</f>
        <v>1462</v>
      </c>
      <c r="G24" s="1386">
        <f>'Section Load'!D27</f>
        <v>2020</v>
      </c>
      <c r="H24" s="1386">
        <f>'Section Load'!E27</f>
        <v>4149.8300000000017</v>
      </c>
      <c r="I24" s="1386">
        <f>'Section Load'!F27</f>
        <v>5151</v>
      </c>
      <c r="J24" s="1386">
        <f>'Section Load'!G27</f>
        <v>2348</v>
      </c>
      <c r="K24" s="1386">
        <f>'Section Load'!H27</f>
        <v>1384.710000000021</v>
      </c>
      <c r="L24" s="1386">
        <f>'Section Load'!I27</f>
        <v>911</v>
      </c>
      <c r="M24" s="1386">
        <f>'Section Load'!J27</f>
        <v>110</v>
      </c>
      <c r="N24" s="1386">
        <f>'Section Load'!K27</f>
        <v>110</v>
      </c>
      <c r="O24" s="1386">
        <f>'Section Load'!L27</f>
        <v>15</v>
      </c>
      <c r="P24" s="1386">
        <f>'Section Load'!M27</f>
        <v>174</v>
      </c>
      <c r="Q24" s="1386">
        <f>'Section Load'!N27</f>
        <v>74</v>
      </c>
      <c r="R24" s="1386">
        <f>'Section Load'!O27</f>
        <v>47</v>
      </c>
      <c r="S24" s="1386">
        <f>'Section Load'!P27</f>
        <v>309</v>
      </c>
      <c r="T24" s="1386">
        <f>'Section Load'!Q27</f>
        <v>198</v>
      </c>
      <c r="U24" s="1386">
        <f>'Section Load'!R27</f>
        <v>368</v>
      </c>
      <c r="V24" s="1386">
        <f>'Section Load'!S27</f>
        <v>144</v>
      </c>
      <c r="W24" s="1386">
        <f>'Section Load'!T27</f>
        <v>22</v>
      </c>
      <c r="X24" s="1386">
        <f>'Section Load'!U27</f>
        <v>208</v>
      </c>
      <c r="Y24" s="1386">
        <f>'Section Load'!V27</f>
        <v>502</v>
      </c>
      <c r="Z24" s="1386">
        <f>'Section Load'!W27</f>
        <v>147</v>
      </c>
      <c r="AA24" s="1386">
        <f>'Section Load'!X27</f>
        <v>38.30000000000291</v>
      </c>
      <c r="AB24" s="1386">
        <f>'Section Load'!Y27</f>
        <v>36</v>
      </c>
      <c r="AC24" s="1386">
        <f>'Section Load'!Z27</f>
        <v>42.30000000000291</v>
      </c>
      <c r="AD24" s="1386">
        <f>'Section Load'!AA27</f>
        <v>-0.2000000000007276</v>
      </c>
      <c r="AE24" s="1386">
        <f>'Section Load'!AB27</f>
        <v>11</v>
      </c>
      <c r="AF24" s="1386">
        <f>'Section Load'!AC27</f>
        <v>539</v>
      </c>
      <c r="AG24" s="1386">
        <f>'Section Load'!AD27</f>
        <v>381</v>
      </c>
      <c r="AH24" s="1386">
        <f>'Section Load'!AE27</f>
        <v>375</v>
      </c>
      <c r="AI24" s="1386">
        <f>'Section Load'!AF27</f>
        <v>639</v>
      </c>
      <c r="AJ24" s="1386">
        <f>'Section Load'!AG27</f>
        <v>292</v>
      </c>
      <c r="AK24" s="1386">
        <f>'Section Load'!AH27</f>
        <v>327</v>
      </c>
      <c r="AL24" s="1386">
        <f>'Section Load'!AI27</f>
        <v>533</v>
      </c>
      <c r="AM24" s="1387">
        <f>'[1]23'!$H$92</f>
        <v>-688</v>
      </c>
      <c r="AN24" s="1387">
        <f>'[1]23'!$H$93</f>
        <v>-1123</v>
      </c>
      <c r="AO24" s="1387">
        <f>'[1]23'!$H$95</f>
        <v>-516</v>
      </c>
      <c r="AP24" s="1387">
        <f>'[1]23'!$H$96</f>
        <v>-203</v>
      </c>
      <c r="AQ24" s="1387">
        <f>'[1]23'!$H$97</f>
        <v>-178</v>
      </c>
      <c r="AR24" s="1387">
        <f>'[1]23'!$H$98</f>
        <v>-477</v>
      </c>
      <c r="AS24" s="1387">
        <f>'[1]23'!$H$99</f>
        <v>-160</v>
      </c>
      <c r="AT24" s="1387">
        <f>'[1]23'!$H$100</f>
        <v>-59</v>
      </c>
      <c r="AU24" s="1387">
        <f>'[1]23'!$H$104</f>
        <v>74</v>
      </c>
      <c r="AV24" s="1387">
        <f>'[1]23'!$H$105</f>
        <v>54</v>
      </c>
      <c r="AW24" s="1387">
        <f>'[1]23'!$H$106</f>
        <v>342</v>
      </c>
      <c r="AX24" s="1387">
        <f>'[1]23'!$H$109</f>
        <v>121</v>
      </c>
      <c r="AY24" s="1387">
        <f>'[1]23'!$H$110</f>
        <v>86</v>
      </c>
      <c r="AZ24" s="1387">
        <f>'[1]23'!$H$111</f>
        <v>446</v>
      </c>
      <c r="BA24" s="1387">
        <f>'[1]23'!$H$114</f>
        <v>12</v>
      </c>
      <c r="BB24" s="1387">
        <f>'[1]23'!$H$115</f>
        <v>99</v>
      </c>
      <c r="BC24" s="1387">
        <f>'[1]23'!$H$116</f>
        <v>200</v>
      </c>
      <c r="BD24" s="1387">
        <f>'[1]23'!$H$118</f>
        <v>169</v>
      </c>
      <c r="BE24" s="1387">
        <f>'[1]23'!$H$119</f>
        <v>225</v>
      </c>
      <c r="BF24" s="1387">
        <f>'[1]23'!$H$120</f>
        <v>105</v>
      </c>
      <c r="BG24" s="1388">
        <f>'Section Load'!AJ27</f>
        <v>972.81000000005588</v>
      </c>
      <c r="BH24" s="1388">
        <f>'Section Load'!AK27</f>
        <v>252</v>
      </c>
      <c r="BI24" s="1388">
        <f>'Section Load'!AL27</f>
        <v>0</v>
      </c>
      <c r="BJ24" s="1388">
        <f>'Section Load'!AM27</f>
        <v>77</v>
      </c>
      <c r="BK24" s="1388">
        <f>'Section Load'!AN27</f>
        <v>22</v>
      </c>
      <c r="BL24" s="1388">
        <f>'Section Load'!AO27</f>
        <v>2</v>
      </c>
      <c r="BM24" s="1388">
        <f>'Section Load'!AP27</f>
        <v>619.81000000005588</v>
      </c>
    </row>
    <row r="25" spans="1:65">
      <c r="A25" s="1370" t="s">
        <v>305</v>
      </c>
      <c r="B25" s="1371">
        <f t="shared" si="0"/>
        <v>24</v>
      </c>
      <c r="C25" s="1371">
        <v>2</v>
      </c>
      <c r="D25" s="1371">
        <v>2021</v>
      </c>
      <c r="E25" s="1386">
        <f>'Section Load'!B28</f>
        <v>3198</v>
      </c>
      <c r="F25" s="1386">
        <f>'Section Load'!C28</f>
        <v>1506</v>
      </c>
      <c r="G25" s="1386">
        <f>'Section Load'!D28</f>
        <v>2074</v>
      </c>
      <c r="H25" s="1386">
        <f>'Section Load'!E28</f>
        <v>4084.1699999999983</v>
      </c>
      <c r="I25" s="1386">
        <f>'Section Load'!F28</f>
        <v>5857</v>
      </c>
      <c r="J25" s="1386">
        <f>'Section Load'!G28</f>
        <v>2469</v>
      </c>
      <c r="K25" s="1386">
        <f>'Section Load'!H28</f>
        <v>1749.289999999979</v>
      </c>
      <c r="L25" s="1386">
        <f>'Section Load'!I28</f>
        <v>1101</v>
      </c>
      <c r="M25" s="1386">
        <f>'Section Load'!J28</f>
        <v>5</v>
      </c>
      <c r="N25" s="1386">
        <f>'Section Load'!K28</f>
        <v>5</v>
      </c>
      <c r="O25" s="1386">
        <f>'Section Load'!L28</f>
        <v>16</v>
      </c>
      <c r="P25" s="1386">
        <f>'Section Load'!M28</f>
        <v>175</v>
      </c>
      <c r="Q25" s="1386">
        <f>'Section Load'!N28</f>
        <v>82</v>
      </c>
      <c r="R25" s="1386">
        <f>'Section Load'!O28</f>
        <v>52</v>
      </c>
      <c r="S25" s="1386">
        <f>'Section Load'!P28</f>
        <v>319</v>
      </c>
      <c r="T25" s="1386">
        <f>'Section Load'!Q28</f>
        <v>182</v>
      </c>
      <c r="U25" s="1386">
        <f>'Section Load'!R28</f>
        <v>394</v>
      </c>
      <c r="V25" s="1386">
        <f>'Section Load'!S28</f>
        <v>151</v>
      </c>
      <c r="W25" s="1386">
        <f>'Section Load'!T28</f>
        <v>28</v>
      </c>
      <c r="X25" s="1386">
        <f>'Section Load'!U28</f>
        <v>190</v>
      </c>
      <c r="Y25" s="1386">
        <f>'Section Load'!V28</f>
        <v>502</v>
      </c>
      <c r="Z25" s="1386">
        <f>'Section Load'!W28</f>
        <v>166</v>
      </c>
      <c r="AA25" s="1386">
        <f>'Section Load'!X28</f>
        <v>36.099999999991269</v>
      </c>
      <c r="AB25" s="1386">
        <f>'Section Load'!Y28</f>
        <v>51</v>
      </c>
      <c r="AC25" s="1386">
        <f>'Section Load'!Z28</f>
        <v>42.099999999991269</v>
      </c>
      <c r="AD25" s="1386">
        <f>'Section Load'!AA28</f>
        <v>0.18000000000029104</v>
      </c>
      <c r="AE25" s="1386">
        <f>'Section Load'!AB28</f>
        <v>14</v>
      </c>
      <c r="AF25" s="1386">
        <f>'Section Load'!AC28</f>
        <v>514</v>
      </c>
      <c r="AG25" s="1386">
        <f>'Section Load'!AD28</f>
        <v>391</v>
      </c>
      <c r="AH25" s="1386">
        <f>'Section Load'!AE28</f>
        <v>391</v>
      </c>
      <c r="AI25" s="1386">
        <f>'Section Load'!AF28</f>
        <v>610</v>
      </c>
      <c r="AJ25" s="1386">
        <f>'Section Load'!AG28</f>
        <v>289</v>
      </c>
      <c r="AK25" s="1386">
        <f>'Section Load'!AH28</f>
        <v>321</v>
      </c>
      <c r="AL25" s="1386">
        <f>'Section Load'!AI28</f>
        <v>602</v>
      </c>
      <c r="AM25" s="1387">
        <f>'[1]24'!$H$92</f>
        <v>-585</v>
      </c>
      <c r="AN25" s="1387">
        <f>'[1]24'!$H$93</f>
        <v>-974</v>
      </c>
      <c r="AO25" s="1387">
        <f>'[1]24'!$H$95</f>
        <v>-445</v>
      </c>
      <c r="AP25" s="1387">
        <f>'[1]24'!$H$96</f>
        <v>-178</v>
      </c>
      <c r="AQ25" s="1387">
        <f>'[1]24'!$H$97</f>
        <v>-145</v>
      </c>
      <c r="AR25" s="1387">
        <f>'[1]24'!$H$98</f>
        <v>-432</v>
      </c>
      <c r="AS25" s="1387">
        <f>'[1]24'!$H$99</f>
        <v>-148</v>
      </c>
      <c r="AT25" s="1387">
        <f>'[1]24'!$H$100</f>
        <v>-50</v>
      </c>
      <c r="AU25" s="1387">
        <f>'[1]24'!$H$104</f>
        <v>74</v>
      </c>
      <c r="AV25" s="1387">
        <f>'[1]24'!$H$105</f>
        <v>54</v>
      </c>
      <c r="AW25" s="1387">
        <f>'[1]24'!$H$106</f>
        <v>339</v>
      </c>
      <c r="AX25" s="1387">
        <f>'[1]24'!$H$109</f>
        <v>137</v>
      </c>
      <c r="AY25" s="1387">
        <f>'[1]24'!$H$110</f>
        <v>80</v>
      </c>
      <c r="AZ25" s="1387">
        <f>'[1]24'!$H$111</f>
        <v>433</v>
      </c>
      <c r="BA25" s="1387">
        <f>'[1]24'!$H$114</f>
        <v>15</v>
      </c>
      <c r="BB25" s="1387">
        <f>'[1]24'!$H$115</f>
        <v>95</v>
      </c>
      <c r="BC25" s="1387">
        <f>'[1]24'!$H$116</f>
        <v>200</v>
      </c>
      <c r="BD25" s="1387">
        <f>'[1]24'!$H$118</f>
        <v>176</v>
      </c>
      <c r="BE25" s="1387">
        <f>'[1]24'!$H$119</f>
        <v>233</v>
      </c>
      <c r="BF25" s="1387">
        <f>'[1]24'!$H$120</f>
        <v>102</v>
      </c>
      <c r="BG25" s="1388">
        <f>'Section Load'!AJ28</f>
        <v>787.75</v>
      </c>
      <c r="BH25" s="1388">
        <f>'Section Load'!AK28</f>
        <v>260</v>
      </c>
      <c r="BI25" s="1388">
        <f>'Section Load'!AL28</f>
        <v>0</v>
      </c>
      <c r="BJ25" s="1388">
        <f>'Section Load'!AM28</f>
        <v>74</v>
      </c>
      <c r="BK25" s="1388">
        <f>'Section Load'!AN28</f>
        <v>16</v>
      </c>
      <c r="BL25" s="1388">
        <f>'Section Load'!AO28</f>
        <v>2</v>
      </c>
      <c r="BM25" s="1388">
        <f>'Section Load'!AP28</f>
        <v>435.75</v>
      </c>
    </row>
    <row r="26" spans="1:65">
      <c r="A26" s="1370" t="s">
        <v>305</v>
      </c>
      <c r="B26" s="1371">
        <f>B25+1</f>
        <v>25</v>
      </c>
      <c r="C26" s="1371">
        <v>2</v>
      </c>
      <c r="D26" s="1371">
        <v>2021</v>
      </c>
      <c r="E26" s="1386">
        <f>'Section Load'!B29</f>
        <v>3189</v>
      </c>
      <c r="F26" s="1386">
        <f>'Section Load'!C29</f>
        <v>1492</v>
      </c>
      <c r="G26" s="1386">
        <f>'Section Load'!D29</f>
        <v>1987</v>
      </c>
      <c r="H26" s="1386">
        <f>'Section Load'!E29</f>
        <v>4098</v>
      </c>
      <c r="I26" s="1386">
        <f>'Section Load'!F29</f>
        <v>5048</v>
      </c>
      <c r="J26" s="1386">
        <f>'Section Load'!G29</f>
        <v>2279</v>
      </c>
      <c r="K26" s="1386">
        <f>'Section Load'!H29</f>
        <v>1200</v>
      </c>
      <c r="L26" s="1386">
        <f>'Section Load'!I29</f>
        <v>743</v>
      </c>
      <c r="M26" s="1386">
        <f>'Section Load'!J29</f>
        <v>75</v>
      </c>
      <c r="N26" s="1386">
        <f>'Section Load'!K29</f>
        <v>1</v>
      </c>
      <c r="O26" s="1386">
        <f>'Section Load'!L29</f>
        <v>15</v>
      </c>
      <c r="P26" s="1386">
        <f>'Section Load'!M29</f>
        <v>153</v>
      </c>
      <c r="Q26" s="1386">
        <f>'Section Load'!N29</f>
        <v>77</v>
      </c>
      <c r="R26" s="1386">
        <f>'Section Load'!O29</f>
        <v>44</v>
      </c>
      <c r="S26" s="1386">
        <f>'Section Load'!P29</f>
        <v>284</v>
      </c>
      <c r="T26" s="1386">
        <f>'Section Load'!Q29</f>
        <v>204</v>
      </c>
      <c r="U26" s="1386">
        <f>'Section Load'!R29</f>
        <v>369</v>
      </c>
      <c r="V26" s="1386">
        <f>'Section Load'!S29</f>
        <v>126</v>
      </c>
      <c r="W26" s="1386">
        <f>'Section Load'!T29</f>
        <v>24</v>
      </c>
      <c r="X26" s="1386">
        <f>'Section Load'!U29</f>
        <v>158</v>
      </c>
      <c r="Y26" s="1386">
        <f>'Section Load'!V29</f>
        <v>480</v>
      </c>
      <c r="Z26" s="1386">
        <f>'Section Load'!W29</f>
        <v>135</v>
      </c>
      <c r="AA26" s="1386">
        <f>'Section Load'!X29</f>
        <v>35.600000000005821</v>
      </c>
      <c r="AB26" s="1386">
        <f>'Section Load'!Y29</f>
        <v>46</v>
      </c>
      <c r="AC26" s="1386">
        <f>'Section Load'!Z29</f>
        <v>38.600000000005821</v>
      </c>
      <c r="AD26" s="1386">
        <f>'Section Load'!AA29</f>
        <v>0</v>
      </c>
      <c r="AE26" s="1386">
        <f>'Section Load'!AB29</f>
        <v>14</v>
      </c>
      <c r="AF26" s="1386">
        <f>'Section Load'!AC29</f>
        <v>532</v>
      </c>
      <c r="AG26" s="1386">
        <f>'Section Load'!AD29</f>
        <v>392</v>
      </c>
      <c r="AH26" s="1386">
        <f>'Section Load'!AE29</f>
        <v>394</v>
      </c>
      <c r="AI26" s="1386">
        <f>'Section Load'!AF29</f>
        <v>599</v>
      </c>
      <c r="AJ26" s="1386">
        <f>'Section Load'!AG29</f>
        <v>295</v>
      </c>
      <c r="AK26" s="1386">
        <f>'Section Load'!AH29</f>
        <v>324</v>
      </c>
      <c r="AL26" s="1386">
        <f>'Section Load'!AI29</f>
        <v>554</v>
      </c>
      <c r="AM26" s="1387">
        <f>'[1]25'!$H$92</f>
        <v>-489</v>
      </c>
      <c r="AN26" s="1387">
        <f>'[1]25'!$H$93</f>
        <v>-813</v>
      </c>
      <c r="AO26" s="1387">
        <f>'[1]25'!$H$95</f>
        <v>-362</v>
      </c>
      <c r="AP26" s="1387">
        <f>'[1]25'!$H$96</f>
        <v>-154</v>
      </c>
      <c r="AQ26" s="1387">
        <f>'[1]25'!$H$97</f>
        <v>-120</v>
      </c>
      <c r="AR26" s="1387">
        <f>'[1]25'!$H$98</f>
        <v>-382</v>
      </c>
      <c r="AS26" s="1387">
        <f>'[1]25'!$H$99</f>
        <v>-131</v>
      </c>
      <c r="AT26" s="1387">
        <f>'[1]25'!$H$100</f>
        <v>-42</v>
      </c>
      <c r="AU26" s="1387">
        <f>'[1]25'!$H$104</f>
        <v>74</v>
      </c>
      <c r="AV26" s="1387">
        <f>'[1]25'!$H$105</f>
        <v>62</v>
      </c>
      <c r="AW26" s="1387">
        <f>'[1]25'!$H$106</f>
        <v>341</v>
      </c>
      <c r="AX26" s="1387">
        <f>'[1]25'!$H$109</f>
        <v>117</v>
      </c>
      <c r="AY26" s="1387">
        <f>'[1]25'!$H$110</f>
        <v>105</v>
      </c>
      <c r="AZ26" s="1387">
        <f>'[1]25'!$H$111</f>
        <v>447</v>
      </c>
      <c r="BA26" s="1387">
        <f>'[1]25'!$H$114</f>
        <v>20</v>
      </c>
      <c r="BB26" s="1387">
        <f>'[1]25'!$H$115</f>
        <v>93</v>
      </c>
      <c r="BC26" s="1387">
        <f>'[1]25'!$H$116</f>
        <v>200</v>
      </c>
      <c r="BD26" s="1387">
        <f>'[1]25'!$H$118</f>
        <v>172</v>
      </c>
      <c r="BE26" s="1387">
        <f>'[1]25'!$H$119</f>
        <v>240</v>
      </c>
      <c r="BF26" s="1387">
        <f>'[1]25'!$H$120</f>
        <v>121</v>
      </c>
      <c r="BG26" s="1388">
        <f>'Section Load'!AJ29</f>
        <v>861.98999999999069</v>
      </c>
      <c r="BH26" s="1388">
        <f>'Section Load'!AK29</f>
        <v>265</v>
      </c>
      <c r="BI26" s="1388">
        <f>'Section Load'!AL29</f>
        <v>0</v>
      </c>
      <c r="BJ26" s="1388">
        <f>'Section Load'!AM29</f>
        <v>67</v>
      </c>
      <c r="BK26" s="1388">
        <f>'Section Load'!AN29</f>
        <v>22</v>
      </c>
      <c r="BL26" s="1388">
        <f>'Section Load'!AO29</f>
        <v>0</v>
      </c>
      <c r="BM26" s="1388">
        <f>'Section Load'!AP29</f>
        <v>507.98999999999069</v>
      </c>
    </row>
    <row r="27" spans="1:65">
      <c r="A27" s="1370" t="s">
        <v>305</v>
      </c>
      <c r="B27" s="1371">
        <f t="shared" si="0"/>
        <v>26</v>
      </c>
      <c r="C27" s="1371">
        <v>2</v>
      </c>
      <c r="D27" s="1371">
        <v>2021</v>
      </c>
      <c r="E27" s="1386">
        <f>'Section Load'!B30</f>
        <v>3115</v>
      </c>
      <c r="F27" s="1386">
        <f>'Section Load'!C30</f>
        <v>1421</v>
      </c>
      <c r="G27" s="1386">
        <f>'Section Load'!D30</f>
        <v>1988</v>
      </c>
      <c r="H27" s="1386">
        <f>'Section Load'!E30</f>
        <v>4202</v>
      </c>
      <c r="I27" s="1386">
        <f>'Section Load'!F30</f>
        <v>5077</v>
      </c>
      <c r="J27" s="1386">
        <f>'Section Load'!G30</f>
        <v>2292</v>
      </c>
      <c r="K27" s="1386">
        <f>'Section Load'!H30</f>
        <v>1005</v>
      </c>
      <c r="L27" s="1386">
        <f>'Section Load'!I30</f>
        <v>610</v>
      </c>
      <c r="M27" s="1386">
        <f>'Section Load'!J30</f>
        <v>68</v>
      </c>
      <c r="N27" s="1386">
        <f>'Section Load'!K30</f>
        <v>0</v>
      </c>
      <c r="O27" s="1386">
        <f>'Section Load'!L30</f>
        <v>15</v>
      </c>
      <c r="P27" s="1386">
        <f>'Section Load'!M30</f>
        <v>172</v>
      </c>
      <c r="Q27" s="1386">
        <f>'Section Load'!N30</f>
        <v>82</v>
      </c>
      <c r="R27" s="1386">
        <f>'Section Load'!O30</f>
        <v>47</v>
      </c>
      <c r="S27" s="1386">
        <f>'Section Load'!P30</f>
        <v>345</v>
      </c>
      <c r="T27" s="1386">
        <f>'Section Load'!Q30</f>
        <v>198</v>
      </c>
      <c r="U27" s="1386">
        <f>'Section Load'!R30</f>
        <v>353</v>
      </c>
      <c r="V27" s="1386">
        <f>'Section Load'!S30</f>
        <v>123</v>
      </c>
      <c r="W27" s="1386">
        <f>'Section Load'!T30</f>
        <v>19</v>
      </c>
      <c r="X27" s="1386">
        <f>'Section Load'!U30</f>
        <v>177</v>
      </c>
      <c r="Y27" s="1386">
        <f>'Section Load'!V30</f>
        <v>495</v>
      </c>
      <c r="Z27" s="1386">
        <f>'Section Load'!W30</f>
        <v>90</v>
      </c>
      <c r="AA27" s="1386">
        <f>'Section Load'!X30</f>
        <v>37.19999999999709</v>
      </c>
      <c r="AB27" s="1386">
        <f>'Section Load'!Y30</f>
        <v>99</v>
      </c>
      <c r="AC27" s="1386">
        <f>'Section Load'!Z30</f>
        <v>42.19999999999709</v>
      </c>
      <c r="AD27" s="1386">
        <f>'Section Load'!AA30</f>
        <v>0</v>
      </c>
      <c r="AE27" s="1386">
        <f>'Section Load'!AB30</f>
        <v>15</v>
      </c>
      <c r="AF27" s="1386">
        <f>'Section Load'!AC30</f>
        <v>556</v>
      </c>
      <c r="AG27" s="1386">
        <f>'Section Load'!AD30</f>
        <v>396</v>
      </c>
      <c r="AH27" s="1386">
        <f>'Section Load'!AE30</f>
        <v>390</v>
      </c>
      <c r="AI27" s="1386">
        <f>'Section Load'!AF30</f>
        <v>657</v>
      </c>
      <c r="AJ27" s="1386">
        <f>'Section Load'!AG30</f>
        <v>306</v>
      </c>
      <c r="AK27" s="1386">
        <f>'Section Load'!AH30</f>
        <v>333</v>
      </c>
      <c r="AL27" s="1386">
        <f>'Section Load'!AI30</f>
        <v>617</v>
      </c>
      <c r="AM27" s="1387">
        <f>'[1]26'!$H$92</f>
        <v>-381</v>
      </c>
      <c r="AN27" s="1387">
        <f>'[1]26'!$H$93</f>
        <v>-708</v>
      </c>
      <c r="AO27" s="1387">
        <f>'[1]26'!$H$95</f>
        <v>-302</v>
      </c>
      <c r="AP27" s="1387">
        <f>'[1]26'!$H$96</f>
        <v>-135</v>
      </c>
      <c r="AQ27" s="1387">
        <f>'[1]26'!$H$97</f>
        <v>-95</v>
      </c>
      <c r="AR27" s="1387">
        <f>'[1]26'!$H$98</f>
        <v>-320</v>
      </c>
      <c r="AS27" s="1387">
        <f>'[1]26'!$H$99</f>
        <v>-92</v>
      </c>
      <c r="AT27" s="1387">
        <f>'[1]26'!$H$100</f>
        <v>-32</v>
      </c>
      <c r="AU27" s="1387">
        <f>'[1]26'!$H$104</f>
        <v>74</v>
      </c>
      <c r="AV27" s="1387">
        <f>'[1]26'!$H$105</f>
        <v>55</v>
      </c>
      <c r="AW27" s="1387">
        <f>'[1]26'!$H$106</f>
        <v>337</v>
      </c>
      <c r="AX27" s="1387">
        <f>'[1]26'!$H$109</f>
        <v>118</v>
      </c>
      <c r="AY27" s="1387">
        <f>'[1]26'!$H$110</f>
        <v>105</v>
      </c>
      <c r="AZ27" s="1387">
        <f>'[1]26'!$H$111</f>
        <v>433</v>
      </c>
      <c r="BA27" s="1387">
        <f>'[1]26'!$H$114</f>
        <v>44</v>
      </c>
      <c r="BB27" s="1387">
        <f>'[1]26'!$H$115</f>
        <v>97</v>
      </c>
      <c r="BC27" s="1387">
        <f>'[1]26'!$H$116</f>
        <v>200</v>
      </c>
      <c r="BD27" s="1387">
        <f>'[1]26'!$H$118</f>
        <v>180</v>
      </c>
      <c r="BE27" s="1387">
        <f>'[1]26'!$H$119</f>
        <v>236</v>
      </c>
      <c r="BF27" s="1387">
        <f>'[1]26'!$H$120</f>
        <v>108</v>
      </c>
      <c r="BG27" s="1388">
        <f>'Section Load'!AJ30</f>
        <v>838.44999999995343</v>
      </c>
      <c r="BH27" s="1388">
        <f>'Section Load'!AK30</f>
        <v>251</v>
      </c>
      <c r="BI27" s="1388">
        <f>'Section Load'!AL30</f>
        <v>0</v>
      </c>
      <c r="BJ27" s="1388">
        <f>'Section Load'!AM30</f>
        <v>57</v>
      </c>
      <c r="BK27" s="1388">
        <f>'Section Load'!AN30</f>
        <v>23</v>
      </c>
      <c r="BL27" s="1388">
        <f>'Section Load'!AO30</f>
        <v>1</v>
      </c>
      <c r="BM27" s="1388">
        <f>'Section Load'!AP30</f>
        <v>506.44999999995343</v>
      </c>
    </row>
    <row r="28" spans="1:65">
      <c r="A28" s="1370" t="s">
        <v>305</v>
      </c>
      <c r="B28" s="1371">
        <f t="shared" si="0"/>
        <v>27</v>
      </c>
      <c r="C28" s="1371">
        <v>2</v>
      </c>
      <c r="D28" s="1371">
        <v>2021</v>
      </c>
      <c r="E28" s="1386">
        <f>'Section Load'!B31</f>
        <v>3121.4799999999814</v>
      </c>
      <c r="F28" s="1386">
        <f>'Section Load'!C31</f>
        <v>1489.989999999998</v>
      </c>
      <c r="G28" s="1386">
        <f>'Section Load'!D31</f>
        <v>2224.4650000000183</v>
      </c>
      <c r="H28" s="1386">
        <f>'Section Load'!E31</f>
        <v>4174.9600000000064</v>
      </c>
      <c r="I28" s="1386">
        <f>'Section Load'!F31</f>
        <v>5238.6600000000471</v>
      </c>
      <c r="J28" s="1386">
        <f>'Section Load'!G31</f>
        <v>2278.5599999999813</v>
      </c>
      <c r="K28" s="1386">
        <f>'Section Load'!H31</f>
        <v>972.27000000001863</v>
      </c>
      <c r="L28" s="1386">
        <f>'Section Load'!I31</f>
        <v>562.3300000000163</v>
      </c>
      <c r="M28" s="1386">
        <f>'Section Load'!J31</f>
        <v>79</v>
      </c>
      <c r="N28" s="1386">
        <f>'Section Load'!K31</f>
        <v>0</v>
      </c>
      <c r="O28" s="1386">
        <f>'Section Load'!L31</f>
        <v>21.299999999999955</v>
      </c>
      <c r="P28" s="1386">
        <f>'Section Load'!M31</f>
        <v>172.88000000000011</v>
      </c>
      <c r="Q28" s="1386">
        <f>'Section Load'!N31</f>
        <v>78.170000000000073</v>
      </c>
      <c r="R28" s="1386">
        <f>'Section Load'!O31</f>
        <v>45</v>
      </c>
      <c r="S28" s="1386">
        <f>'Section Load'!P31</f>
        <v>325</v>
      </c>
      <c r="T28" s="1386">
        <f>'Section Load'!Q31</f>
        <v>181</v>
      </c>
      <c r="U28" s="1386">
        <f>'Section Load'!R31</f>
        <v>369.84000000002561</v>
      </c>
      <c r="V28" s="1386">
        <f>'Section Load'!S31</f>
        <v>124.52000000001863</v>
      </c>
      <c r="W28" s="1386">
        <f>'Section Load'!T31</f>
        <v>26.820000000006985</v>
      </c>
      <c r="X28" s="1386">
        <f>'Section Load'!U31</f>
        <v>219.66000000000349</v>
      </c>
      <c r="Y28" s="1386">
        <f>'Section Load'!V31</f>
        <v>476</v>
      </c>
      <c r="Z28" s="1386">
        <f>'Section Load'!W31</f>
        <v>64.440000000002328</v>
      </c>
      <c r="AA28" s="1386">
        <f>'Section Load'!X31</f>
        <v>27.400000000008731</v>
      </c>
      <c r="AB28" s="1386">
        <f>'Section Load'!Y31</f>
        <v>32.899999999994179</v>
      </c>
      <c r="AC28" s="1386">
        <f>'Section Load'!Z31</f>
        <v>29.300000000008822</v>
      </c>
      <c r="AD28" s="1386">
        <f>'Section Load'!AA31</f>
        <v>0</v>
      </c>
      <c r="AE28" s="1386">
        <f>'Section Load'!AB31</f>
        <v>14.009999999999991</v>
      </c>
      <c r="AF28" s="1386">
        <f>'Section Load'!AC31</f>
        <v>487.85000000000582</v>
      </c>
      <c r="AG28" s="1386">
        <f>'Section Load'!AD31</f>
        <v>392.92000000001281</v>
      </c>
      <c r="AH28" s="1386">
        <f>'Section Load'!AE31</f>
        <v>386.43999999999869</v>
      </c>
      <c r="AI28" s="1386">
        <f>'Section Load'!AF31</f>
        <v>661.42999999999302</v>
      </c>
      <c r="AJ28" s="1386">
        <f>'Section Load'!AG31</f>
        <v>332.60000000000582</v>
      </c>
      <c r="AK28" s="1386">
        <f>'Section Load'!AH31</f>
        <v>318.66000000000349</v>
      </c>
      <c r="AL28" s="1386">
        <f>'Section Load'!AI31</f>
        <v>672</v>
      </c>
      <c r="AM28" s="1387">
        <f>'[1]27'!$H$92</f>
        <v>-291</v>
      </c>
      <c r="AN28" s="1387">
        <f>'[1]27'!$H$93</f>
        <v>-595</v>
      </c>
      <c r="AO28" s="1387">
        <f>'[1]27'!$H$95</f>
        <v>-231</v>
      </c>
      <c r="AP28" s="1387">
        <f>'[1]27'!$H$96</f>
        <v>-120</v>
      </c>
      <c r="AQ28" s="1387">
        <f>'[1]27'!$H$97</f>
        <v>-82</v>
      </c>
      <c r="AR28" s="1387">
        <f>'[1]27'!$H$98</f>
        <v>-256</v>
      </c>
      <c r="AS28" s="1387">
        <f>'[1]27'!$H$99</f>
        <v>-60</v>
      </c>
      <c r="AT28" s="1387">
        <f>'[1]27'!$H$100</f>
        <v>-27</v>
      </c>
      <c r="AU28" s="1387">
        <f>'[1]27'!$H$104</f>
        <v>74</v>
      </c>
      <c r="AV28" s="1387">
        <f>'[1]27'!$H$105</f>
        <v>60</v>
      </c>
      <c r="AW28" s="1387">
        <f>'[1]27'!$H$106</f>
        <v>341</v>
      </c>
      <c r="AX28" s="1387">
        <f>'[1]27'!$H$109</f>
        <v>118</v>
      </c>
      <c r="AY28" s="1387">
        <f>'[1]27'!$H$110</f>
        <v>104</v>
      </c>
      <c r="AZ28" s="1387">
        <f>'[1]27'!$H$111</f>
        <v>438</v>
      </c>
      <c r="BA28" s="1387">
        <f>'[1]27'!$H$114</f>
        <v>37</v>
      </c>
      <c r="BB28" s="1387">
        <f>'[1]27'!$H$115</f>
        <v>92</v>
      </c>
      <c r="BC28" s="1387">
        <f>'[1]27'!$H$116</f>
        <v>200</v>
      </c>
      <c r="BD28" s="1387">
        <f>'[1]27'!$H$118</f>
        <v>167</v>
      </c>
      <c r="BE28" s="1387">
        <f>'[1]27'!$H$119</f>
        <v>219</v>
      </c>
      <c r="BF28" s="1387">
        <f>'[1]27'!$H$120</f>
        <v>112</v>
      </c>
      <c r="BG28" s="1388">
        <f>'Section Load'!AJ31</f>
        <v>961.60299999988638</v>
      </c>
      <c r="BH28" s="1388">
        <f>'Section Load'!AK31</f>
        <v>252.09799999999814</v>
      </c>
      <c r="BI28" s="1388">
        <f>'Section Load'!AL31</f>
        <v>0.39999999999417923</v>
      </c>
      <c r="BJ28" s="1388">
        <f>'Section Load'!AM31</f>
        <v>78.529999999998836</v>
      </c>
      <c r="BK28" s="1388">
        <f>'Section Load'!AN31</f>
        <v>25.5</v>
      </c>
      <c r="BL28" s="1388">
        <f>'Section Load'!AO31</f>
        <v>2.3999999999996362</v>
      </c>
      <c r="BM28" s="1388">
        <f>'Section Load'!AP31</f>
        <v>602.67499999989559</v>
      </c>
    </row>
    <row r="29" spans="1:65">
      <c r="A29" s="1370" t="s">
        <v>305</v>
      </c>
      <c r="B29" s="1371">
        <f t="shared" si="0"/>
        <v>28</v>
      </c>
      <c r="C29" s="1371">
        <v>2</v>
      </c>
      <c r="D29" s="1371">
        <v>2021</v>
      </c>
      <c r="E29" s="1386">
        <f>'Section Load'!B32</f>
        <v>3316.2399999999907</v>
      </c>
      <c r="F29" s="1386">
        <f>'Section Load'!C32</f>
        <v>1486.0299999999988</v>
      </c>
      <c r="G29" s="1386">
        <f>'Section Load'!D32</f>
        <v>2272.7350000000006</v>
      </c>
      <c r="H29" s="1386">
        <f>'Section Load'!E32</f>
        <v>4370.9400000000023</v>
      </c>
      <c r="I29" s="1386">
        <f>'Section Load'!F32</f>
        <v>5659.2799999999843</v>
      </c>
      <c r="J29" s="1386">
        <f>'Section Load'!G32</f>
        <v>2391.5999999999767</v>
      </c>
      <c r="K29" s="1386">
        <f>'Section Load'!H32</f>
        <v>1090.7600000000093</v>
      </c>
      <c r="L29" s="1386">
        <f>'Section Load'!I32</f>
        <v>614.23999999999069</v>
      </c>
      <c r="M29" s="1386">
        <f>'Section Load'!J32</f>
        <v>81</v>
      </c>
      <c r="N29" s="1386">
        <f>'Section Load'!K32</f>
        <v>1</v>
      </c>
      <c r="O29" s="1386">
        <f>'Section Load'!L32</f>
        <v>48.870000000000005</v>
      </c>
      <c r="P29" s="1386">
        <f>'Section Load'!M32</f>
        <v>162.33999999999969</v>
      </c>
      <c r="Q29" s="1386">
        <f>'Section Load'!N32</f>
        <v>81.169999999999845</v>
      </c>
      <c r="R29" s="1386">
        <f>'Section Load'!O32</f>
        <v>48</v>
      </c>
      <c r="S29" s="1386">
        <f>'Section Load'!P32</f>
        <v>413</v>
      </c>
      <c r="T29" s="1386">
        <f>'Section Load'!Q32</f>
        <v>238</v>
      </c>
      <c r="U29" s="1386">
        <f>'Section Load'!R32</f>
        <v>407.79999999998836</v>
      </c>
      <c r="V29" s="1386">
        <f>'Section Load'!S32</f>
        <v>145.31999999994878</v>
      </c>
      <c r="W29" s="1386">
        <f>'Section Load'!T32</f>
        <v>16.659999999988941</v>
      </c>
      <c r="X29" s="1386">
        <f>'Section Load'!U32</f>
        <v>195.0399999999936</v>
      </c>
      <c r="Y29" s="1386">
        <f>'Section Load'!V32</f>
        <v>611</v>
      </c>
      <c r="Z29" s="1386">
        <f>'Section Load'!W32</f>
        <v>85.090000000025611</v>
      </c>
      <c r="AA29" s="1386">
        <f>'Section Load'!X32</f>
        <v>13.099999999991269</v>
      </c>
      <c r="AB29" s="1386">
        <f>'Section Load'!Y32</f>
        <v>30.709999999991851</v>
      </c>
      <c r="AC29" s="1386">
        <f>'Section Load'!Z32</f>
        <v>14.099999999991269</v>
      </c>
      <c r="AD29" s="1386">
        <f>'Section Load'!AA32</f>
        <v>7.0000000014260877E-3</v>
      </c>
      <c r="AE29" s="1386">
        <f>'Section Load'!AB32</f>
        <v>15.349999999999909</v>
      </c>
      <c r="AF29" s="1386">
        <f>'Section Load'!AC32</f>
        <v>490.44999999999709</v>
      </c>
      <c r="AG29" s="1386">
        <f>'Section Load'!AD32</f>
        <v>416.37999999997555</v>
      </c>
      <c r="AH29" s="1386">
        <f>'Section Load'!AE32</f>
        <v>404.31000000000131</v>
      </c>
      <c r="AI29" s="1386">
        <f>'Section Load'!AF32</f>
        <v>693.39999999999418</v>
      </c>
      <c r="AJ29" s="1386">
        <f>'Section Load'!AG32</f>
        <v>370.91999999999825</v>
      </c>
      <c r="AK29" s="1386">
        <f>'Section Load'!AH32</f>
        <v>341.42999999999302</v>
      </c>
      <c r="AL29" s="1386">
        <f>'Section Load'!AI32</f>
        <v>739</v>
      </c>
      <c r="AM29" s="1387">
        <f>'[1]28'!$H$92</f>
        <v>-234</v>
      </c>
      <c r="AN29" s="1387">
        <f>'[1]28'!$H$93</f>
        <v>-495</v>
      </c>
      <c r="AO29" s="1387">
        <f>'[1]28'!$H$95</f>
        <v>-188</v>
      </c>
      <c r="AP29" s="1387">
        <f>'[1]28'!$H$96</f>
        <v>-97</v>
      </c>
      <c r="AQ29" s="1387">
        <f>'[1]28'!$H$97</f>
        <v>-71</v>
      </c>
      <c r="AR29" s="1387">
        <f>'[1]28'!$H$98</f>
        <v>-197</v>
      </c>
      <c r="AS29" s="1387">
        <f>'[1]28'!$H$99</f>
        <v>-38</v>
      </c>
      <c r="AT29" s="1387">
        <f>'[1]28'!$H$100</f>
        <v>-19</v>
      </c>
      <c r="AU29" s="1387">
        <f>'[1]28'!$H$104</f>
        <v>74</v>
      </c>
      <c r="AV29" s="1387">
        <f>'[1]28'!$H$105</f>
        <v>48</v>
      </c>
      <c r="AW29" s="1387">
        <f>'[1]28'!$H$106</f>
        <v>334</v>
      </c>
      <c r="AX29" s="1387">
        <f>'[1]28'!$H$109</f>
        <v>139</v>
      </c>
      <c r="AY29" s="1387">
        <f>'[1]28'!$H$110</f>
        <v>93</v>
      </c>
      <c r="AZ29" s="1387">
        <f>'[1]28'!$H$111</f>
        <v>433</v>
      </c>
      <c r="BA29" s="1387">
        <f>'[1]28'!$H$114</f>
        <v>25</v>
      </c>
      <c r="BB29" s="1387">
        <f>'[1]28'!$H$115</f>
        <v>94</v>
      </c>
      <c r="BC29" s="1387">
        <f>'[1]28'!$H$116</f>
        <v>200</v>
      </c>
      <c r="BD29" s="1387">
        <f>'[1]28'!$H$118</f>
        <v>133</v>
      </c>
      <c r="BE29" s="1387">
        <f>'[1]28'!$H$119</f>
        <v>190</v>
      </c>
      <c r="BF29" s="1387">
        <f>'[1]28'!$H$120</f>
        <v>117</v>
      </c>
      <c r="BG29" s="1388">
        <f>'Section Load'!AJ32</f>
        <v>1060.0070000002161</v>
      </c>
      <c r="BH29" s="1388">
        <f>'Section Load'!AK32</f>
        <v>273.74199999996927</v>
      </c>
      <c r="BI29" s="1388">
        <f>'Section Load'!AL32</f>
        <v>0</v>
      </c>
      <c r="BJ29" s="1388">
        <f>'Section Load'!AM32</f>
        <v>67.809999999997672</v>
      </c>
      <c r="BK29" s="1388">
        <f>'Section Load'!AN32</f>
        <v>41.400000000001455</v>
      </c>
      <c r="BL29" s="1388">
        <f>'Section Load'!AO32</f>
        <v>2.3999999999996362</v>
      </c>
      <c r="BM29" s="1388">
        <f>'Section Load'!AP32</f>
        <v>674.65500000024804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92"/>
      <c r="B1" s="1392"/>
      <c r="C1" s="1392"/>
      <c r="D1" s="1392"/>
      <c r="E1" s="1392"/>
      <c r="F1" s="1392"/>
      <c r="G1" s="1392"/>
      <c r="H1" s="1392"/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1392"/>
      <c r="X1" s="1392"/>
      <c r="Y1" s="1392"/>
      <c r="Z1" s="1392"/>
      <c r="AA1" s="1392"/>
      <c r="AB1" s="1392"/>
      <c r="AC1" s="1392"/>
      <c r="AD1" s="1392"/>
      <c r="AE1" s="1392"/>
      <c r="AF1" s="1392"/>
      <c r="AG1" s="1392"/>
      <c r="AH1" s="1392"/>
      <c r="AI1" s="1392"/>
      <c r="AJ1" s="1392"/>
      <c r="AK1" s="1392"/>
      <c r="AL1" s="1392"/>
      <c r="AM1" s="1392"/>
      <c r="AN1" s="1392"/>
      <c r="AO1" s="1392"/>
      <c r="AP1" s="1392"/>
      <c r="AQ1" s="1392"/>
      <c r="AR1" s="1392"/>
      <c r="AS1" s="1392"/>
      <c r="AT1" s="1392"/>
      <c r="AU1" s="1392"/>
      <c r="AV1" s="1392"/>
      <c r="AW1" s="1392"/>
      <c r="AX1" s="1392"/>
      <c r="AY1" s="1392"/>
      <c r="AZ1" s="1392"/>
      <c r="BA1" s="1392"/>
      <c r="BB1" s="1392"/>
      <c r="BC1" s="1392"/>
      <c r="BD1" s="1392"/>
      <c r="BE1" s="1392"/>
      <c r="BF1" s="1392"/>
      <c r="BG1" s="1392"/>
      <c r="BH1" s="1392"/>
      <c r="BI1" s="1392"/>
      <c r="BJ1" s="1392"/>
      <c r="BK1" s="1392"/>
      <c r="BL1" s="1392"/>
      <c r="BM1" s="1392"/>
      <c r="BN1" s="1392"/>
      <c r="BO1" s="1392"/>
    </row>
    <row r="2" spans="1:70" ht="28.5" customHeight="1">
      <c r="A2" s="1" t="s">
        <v>0</v>
      </c>
      <c r="B2" s="1" t="s">
        <v>0</v>
      </c>
      <c r="C2" s="1202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93" t="s">
        <v>6</v>
      </c>
      <c r="J2" s="1393"/>
      <c r="K2" s="1393"/>
      <c r="L2" s="237"/>
      <c r="M2" s="1394" t="s">
        <v>7</v>
      </c>
      <c r="N2" s="1394"/>
      <c r="O2" s="1394"/>
      <c r="P2" s="1395" t="s">
        <v>8</v>
      </c>
      <c r="Q2" s="1395"/>
      <c r="R2" s="1395"/>
      <c r="S2" s="237" t="s">
        <v>9</v>
      </c>
      <c r="T2" s="1396" t="s">
        <v>10</v>
      </c>
      <c r="U2" s="1396"/>
      <c r="V2" s="1396"/>
      <c r="W2" s="1397" t="s">
        <v>11</v>
      </c>
      <c r="X2" s="1398"/>
      <c r="Y2" s="1399"/>
      <c r="Z2" s="1201"/>
      <c r="AA2" s="1400" t="s">
        <v>12</v>
      </c>
      <c r="AB2" s="1400"/>
      <c r="AC2" s="1400"/>
      <c r="AD2" s="1400"/>
      <c r="AE2" s="1202"/>
      <c r="AF2" s="1202" t="s">
        <v>13</v>
      </c>
      <c r="AG2" s="1202" t="s">
        <v>14</v>
      </c>
      <c r="AH2" s="1400" t="s">
        <v>15</v>
      </c>
      <c r="AI2" s="1400"/>
      <c r="AJ2" s="1400"/>
      <c r="AK2" s="1202" t="s">
        <v>16</v>
      </c>
      <c r="AL2" s="1400" t="s">
        <v>17</v>
      </c>
      <c r="AM2" s="1400"/>
      <c r="AN2" s="1400"/>
      <c r="AO2" s="1202" t="s">
        <v>18</v>
      </c>
      <c r="AP2" s="5" t="s">
        <v>19</v>
      </c>
      <c r="AQ2" s="1401" t="s">
        <v>20</v>
      </c>
      <c r="AR2" s="1402"/>
      <c r="AS2" s="1402"/>
      <c r="AT2" s="1402"/>
      <c r="AU2" s="1402"/>
      <c r="AV2" s="1402"/>
      <c r="AW2" s="1402"/>
      <c r="AX2" s="1402"/>
      <c r="AY2" s="1402"/>
      <c r="AZ2" s="1403"/>
      <c r="BA2" s="1401" t="s">
        <v>21</v>
      </c>
      <c r="BB2" s="1402"/>
      <c r="BC2" s="1402"/>
      <c r="BD2" s="1402"/>
      <c r="BE2" s="1402"/>
      <c r="BF2" s="1402"/>
      <c r="BG2" s="1402"/>
      <c r="BH2" s="1402"/>
      <c r="BI2" s="1402"/>
      <c r="BJ2" s="477"/>
      <c r="BK2" s="457"/>
      <c r="BL2" s="232"/>
      <c r="BM2" s="232"/>
      <c r="BN2" s="232"/>
      <c r="BO2" s="1202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144.70677837014469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0.98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96.484138209739342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238.24257425742576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20360</v>
      </c>
      <c r="H25" s="19">
        <f>'22'!G8</f>
        <v>20360</v>
      </c>
      <c r="I25" s="19">
        <f>'22'!G7</f>
        <v>20271</v>
      </c>
      <c r="J25" s="19">
        <v>10</v>
      </c>
      <c r="K25" s="242">
        <f t="shared" si="3"/>
        <v>203600</v>
      </c>
      <c r="L25" s="238">
        <f t="shared" si="4"/>
        <v>100.35148514851485</v>
      </c>
      <c r="M25" s="19">
        <f>'22'!G15</f>
        <v>935</v>
      </c>
      <c r="N25" s="19">
        <v>35</v>
      </c>
      <c r="O25" s="234">
        <f t="shared" si="5"/>
        <v>32725</v>
      </c>
      <c r="P25" s="19">
        <f>'22'!G20</f>
        <v>201</v>
      </c>
      <c r="Q25" s="19">
        <v>134</v>
      </c>
      <c r="R25" s="239">
        <f t="shared" si="0"/>
        <v>26934</v>
      </c>
      <c r="S25" s="240">
        <f t="shared" si="1"/>
        <v>261.85513288170921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107</v>
      </c>
      <c r="X25" s="22">
        <f>'22'!G96</f>
        <v>21</v>
      </c>
      <c r="Y25" s="22">
        <f>'22'!G97</f>
        <v>17</v>
      </c>
      <c r="Z25" s="22">
        <f t="shared" si="7"/>
        <v>145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4684</v>
      </c>
      <c r="AG25" s="23">
        <f t="shared" si="9"/>
        <v>195.16666666666666</v>
      </c>
      <c r="AH25" s="19">
        <f>'22'!G136</f>
        <v>10.490000000001601</v>
      </c>
      <c r="AI25" s="19">
        <f>'22'!G137</f>
        <v>0</v>
      </c>
      <c r="AJ25" s="19">
        <f>'22'!G138</f>
        <v>4.7300000000104774</v>
      </c>
      <c r="AK25" s="19">
        <f t="shared" si="10"/>
        <v>15.220000000012078</v>
      </c>
      <c r="AL25" s="19">
        <f>'22'!G139</f>
        <v>7.2999999999999545</v>
      </c>
      <c r="AM25" s="19">
        <f>'22'!G140</f>
        <v>0</v>
      </c>
      <c r="AN25" s="19"/>
      <c r="AO25" s="19">
        <f t="shared" si="11"/>
        <v>7.2999999999999545</v>
      </c>
      <c r="AP25" s="258">
        <f>'22'!G123</f>
        <v>252</v>
      </c>
      <c r="AQ25" s="261">
        <f>'22'!G35</f>
        <v>2796</v>
      </c>
      <c r="AR25" s="19">
        <f>'22'!G37</f>
        <v>1467</v>
      </c>
      <c r="AS25" s="19">
        <f>'22'!G38</f>
        <v>2080</v>
      </c>
      <c r="AT25" s="19">
        <f>'22'!G39</f>
        <v>4115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2349</v>
      </c>
      <c r="AY25" s="23">
        <f>'22'!G44</f>
        <v>0</v>
      </c>
      <c r="AZ25" s="262">
        <f>'22'!G36</f>
        <v>729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70</v>
      </c>
      <c r="BF25" s="19">
        <f>'22'!G55</f>
        <v>0</v>
      </c>
      <c r="BG25" s="19">
        <f>'22'!G56</f>
        <v>4684</v>
      </c>
      <c r="BH25" s="19">
        <f>'22'!G57</f>
        <v>0</v>
      </c>
      <c r="BI25" s="262">
        <f>'22'!G50</f>
        <v>1196</v>
      </c>
      <c r="BJ25" s="401">
        <f t="shared" si="12"/>
        <v>4684</v>
      </c>
      <c r="BK25" s="401">
        <f>'22'!G84</f>
        <v>565</v>
      </c>
      <c r="BL25" s="23">
        <f t="shared" si="13"/>
        <v>48.487987765773767</v>
      </c>
      <c r="BM25" s="23">
        <f t="shared" si="14"/>
        <v>20.299935868975382</v>
      </c>
      <c r="BN25" s="24">
        <f t="shared" si="15"/>
        <v>0.10260963938631543</v>
      </c>
      <c r="BO25" s="25">
        <f t="shared" si="16"/>
        <v>263259</v>
      </c>
      <c r="BP25" s="213">
        <f t="shared" si="17"/>
        <v>7598</v>
      </c>
      <c r="BQ25">
        <f t="shared" si="18"/>
        <v>1.130654761904762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0.57999999999999996</v>
      </c>
      <c r="G26" s="19">
        <f>'23'!G8</f>
        <v>21404</v>
      </c>
      <c r="H26" s="19">
        <f>'23'!G8</f>
        <v>21404</v>
      </c>
      <c r="I26" s="19">
        <f>'23'!G7</f>
        <v>21273</v>
      </c>
      <c r="J26" s="19">
        <v>10</v>
      </c>
      <c r="K26" s="242">
        <f t="shared" si="3"/>
        <v>214040</v>
      </c>
      <c r="L26" s="238">
        <f t="shared" si="4"/>
        <v>105.31188118811882</v>
      </c>
      <c r="M26" s="19">
        <f>'23'!G15</f>
        <v>972.81000000005588</v>
      </c>
      <c r="N26" s="19">
        <v>35</v>
      </c>
      <c r="O26" s="234">
        <f t="shared" si="5"/>
        <v>34048.350000001956</v>
      </c>
      <c r="P26" s="19">
        <f>'23'!G20</f>
        <v>211</v>
      </c>
      <c r="Q26" s="19">
        <v>134</v>
      </c>
      <c r="R26" s="239">
        <f t="shared" si="0"/>
        <v>28274</v>
      </c>
      <c r="S26" s="240">
        <f t="shared" si="1"/>
        <v>180.0955957664732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101</v>
      </c>
      <c r="X26" s="22">
        <f>'23'!G96</f>
        <v>18</v>
      </c>
      <c r="Y26" s="22">
        <f>'23'!G97</f>
        <v>14</v>
      </c>
      <c r="Z26" s="22">
        <f t="shared" si="7"/>
        <v>133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24.479999999999563</v>
      </c>
      <c r="AE26" s="19">
        <f t="shared" si="8"/>
        <v>24.479999999999563</v>
      </c>
      <c r="AF26" s="23">
        <f t="shared" si="2"/>
        <v>5151</v>
      </c>
      <c r="AG26" s="23">
        <f t="shared" si="9"/>
        <v>210.41666666667041</v>
      </c>
      <c r="AH26" s="19">
        <f>'23'!G136</f>
        <v>9.5099999999983993</v>
      </c>
      <c r="AI26" s="19">
        <f>'23'!G137</f>
        <v>0</v>
      </c>
      <c r="AJ26" s="19">
        <f>'23'!G138</f>
        <v>5.9400000000023283</v>
      </c>
      <c r="AK26" s="19">
        <f t="shared" si="10"/>
        <v>15.450000000000728</v>
      </c>
      <c r="AL26" s="19">
        <f>'23'!G139</f>
        <v>7.2300000000000182</v>
      </c>
      <c r="AM26" s="19">
        <f>'23'!G140</f>
        <v>0</v>
      </c>
      <c r="AN26" s="19"/>
      <c r="AO26" s="19">
        <f t="shared" si="11"/>
        <v>7.2300000000000182</v>
      </c>
      <c r="AP26" s="258">
        <f>'23'!G123</f>
        <v>252</v>
      </c>
      <c r="AQ26" s="261">
        <f>'23'!G35</f>
        <v>3006</v>
      </c>
      <c r="AR26" s="19">
        <f>'23'!G37</f>
        <v>1462</v>
      </c>
      <c r="AS26" s="19">
        <f>'23'!G38</f>
        <v>2020</v>
      </c>
      <c r="AT26" s="19">
        <f>'23'!G39</f>
        <v>4149.8300000000017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2348</v>
      </c>
      <c r="AY26" s="23">
        <f>'23'!G44</f>
        <v>0</v>
      </c>
      <c r="AZ26" s="262">
        <f>'23'!G36</f>
        <v>911</v>
      </c>
      <c r="BA26" s="261">
        <f>'23'!G49</f>
        <v>0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70</v>
      </c>
      <c r="BF26" s="19">
        <f>'23'!G55</f>
        <v>0</v>
      </c>
      <c r="BG26" s="19">
        <f>'23'!G56</f>
        <v>5151</v>
      </c>
      <c r="BH26" s="19">
        <f>'23'!G57</f>
        <v>0</v>
      </c>
      <c r="BI26" s="262">
        <f>'23'!G50</f>
        <v>1384.710000000021</v>
      </c>
      <c r="BJ26" s="401">
        <f t="shared" si="12"/>
        <v>5151</v>
      </c>
      <c r="BK26" s="401">
        <f>'23'!G84</f>
        <v>533</v>
      </c>
      <c r="BL26" s="23">
        <f t="shared" si="13"/>
        <v>49.381845531894889</v>
      </c>
      <c r="BM26" s="23">
        <f t="shared" si="14"/>
        <v>19.507497767122654</v>
      </c>
      <c r="BN26" s="24">
        <f t="shared" si="15"/>
        <v>9.4956047572039681E-2</v>
      </c>
      <c r="BO26" s="25">
        <f t="shared" si="16"/>
        <v>276362.35000000196</v>
      </c>
      <c r="BP26" s="213">
        <f t="shared" si="17"/>
        <v>8032</v>
      </c>
      <c r="BQ26">
        <f t="shared" si="18"/>
        <v>1.1718020541550163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256">
        <f>'24'!D4</f>
        <v>0.78</v>
      </c>
      <c r="F27" s="256">
        <f>'24'!D2</f>
        <v>0.55000000000000004</v>
      </c>
      <c r="G27" s="19">
        <f>'24'!G8</f>
        <v>22956</v>
      </c>
      <c r="H27" s="19">
        <f>'24'!G8</f>
        <v>22956</v>
      </c>
      <c r="I27" s="19">
        <f>'24'!G7</f>
        <v>22810</v>
      </c>
      <c r="J27" s="19">
        <v>10</v>
      </c>
      <c r="K27" s="242">
        <f t="shared" si="3"/>
        <v>229560</v>
      </c>
      <c r="L27" s="238">
        <f t="shared" si="4"/>
        <v>112.92079207920793</v>
      </c>
      <c r="M27" s="19">
        <f>'24'!G15</f>
        <v>787.75</v>
      </c>
      <c r="N27" s="19">
        <v>35</v>
      </c>
      <c r="O27" s="234">
        <f t="shared" si="5"/>
        <v>27571.25</v>
      </c>
      <c r="P27" s="19">
        <f>'24'!G20</f>
        <v>192</v>
      </c>
      <c r="Q27" s="19">
        <v>134</v>
      </c>
      <c r="R27" s="239">
        <f t="shared" si="0"/>
        <v>25728</v>
      </c>
      <c r="S27" s="240">
        <f t="shared" si="1"/>
        <v>172.81728172817282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13</v>
      </c>
      <c r="Y27" s="22">
        <f>'24'!G97</f>
        <v>18</v>
      </c>
      <c r="Z27" s="22">
        <f t="shared" si="7"/>
        <v>102</v>
      </c>
      <c r="AA27" s="19">
        <f>'24'!G132</f>
        <v>0</v>
      </c>
      <c r="AB27" s="19">
        <f>'24'!G133</f>
        <v>0</v>
      </c>
      <c r="AC27" s="19">
        <f>'24'!G134</f>
        <v>10.040000000000873</v>
      </c>
      <c r="AD27" s="19">
        <f>'24'!G135</f>
        <v>16.880000000001019</v>
      </c>
      <c r="AE27" s="19">
        <f t="shared" si="8"/>
        <v>26.920000000001892</v>
      </c>
      <c r="AF27" s="23">
        <f t="shared" si="2"/>
        <v>5857</v>
      </c>
      <c r="AG27" s="23">
        <f t="shared" si="9"/>
        <v>217.57057949478411</v>
      </c>
      <c r="AH27" s="19">
        <f>'24'!G136</f>
        <v>0</v>
      </c>
      <c r="AI27" s="19">
        <f>'24'!G137</f>
        <v>7.75</v>
      </c>
      <c r="AJ27" s="19">
        <f>'24'!G138</f>
        <v>1.1499999999941792</v>
      </c>
      <c r="AK27" s="19">
        <f t="shared" si="10"/>
        <v>8.8999999999941792</v>
      </c>
      <c r="AL27" s="19">
        <f>'24'!G139</f>
        <v>7.5999999999999091</v>
      </c>
      <c r="AM27" s="19">
        <f>'24'!G140</f>
        <v>0</v>
      </c>
      <c r="AN27" s="19"/>
      <c r="AO27" s="19">
        <f t="shared" si="11"/>
        <v>7.5999999999999091</v>
      </c>
      <c r="AP27" s="258">
        <f>'24'!G123</f>
        <v>260</v>
      </c>
      <c r="AQ27" s="261">
        <f>'24'!G35</f>
        <v>3198</v>
      </c>
      <c r="AR27" s="19">
        <f>'24'!G37</f>
        <v>1506</v>
      </c>
      <c r="AS27" s="19">
        <f>'24'!G38</f>
        <v>2074</v>
      </c>
      <c r="AT27" s="19">
        <f>'24'!G39</f>
        <v>4084.1699999999983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2469</v>
      </c>
      <c r="AY27" s="23">
        <f>'24'!G44</f>
        <v>0</v>
      </c>
      <c r="AZ27" s="262">
        <f>'24'!G36</f>
        <v>1101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68</v>
      </c>
      <c r="BF27" s="19">
        <f>'24'!G55</f>
        <v>2321</v>
      </c>
      <c r="BG27" s="19">
        <f>'24'!G56</f>
        <v>3536</v>
      </c>
      <c r="BH27" s="19">
        <f>'24'!G57</f>
        <v>0</v>
      </c>
      <c r="BI27" s="262">
        <f>'24'!G50</f>
        <v>1749.289999999979</v>
      </c>
      <c r="BJ27" s="401">
        <f t="shared" si="12"/>
        <v>5857</v>
      </c>
      <c r="BK27" s="401">
        <f>'24'!G84</f>
        <v>602</v>
      </c>
      <c r="BL27" s="23">
        <f t="shared" si="13"/>
        <v>50.521701008329678</v>
      </c>
      <c r="BM27" s="23">
        <f t="shared" si="14"/>
        <v>17.905173169662422</v>
      </c>
      <c r="BN27" s="24">
        <f t="shared" si="15"/>
        <v>9.0925032880315657E-2</v>
      </c>
      <c r="BO27" s="25">
        <f t="shared" si="16"/>
        <v>282859.25</v>
      </c>
      <c r="BP27" s="213">
        <f t="shared" si="17"/>
        <v>8928</v>
      </c>
      <c r="BQ27">
        <f t="shared" si="18"/>
        <v>1.1844618976861829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20694</v>
      </c>
      <c r="H28" s="19">
        <f>'25'!G8</f>
        <v>20694</v>
      </c>
      <c r="I28" s="19">
        <f>'25'!G7</f>
        <v>20603</v>
      </c>
      <c r="J28" s="19">
        <v>10</v>
      </c>
      <c r="K28" s="242">
        <f t="shared" si="3"/>
        <v>206940</v>
      </c>
      <c r="L28" s="238">
        <f t="shared" si="4"/>
        <v>101.9950495049505</v>
      </c>
      <c r="M28" s="19">
        <f>'25'!G15</f>
        <v>861.98999999999069</v>
      </c>
      <c r="N28" s="19">
        <v>35</v>
      </c>
      <c r="O28" s="234">
        <f t="shared" si="5"/>
        <v>30169.649999999674</v>
      </c>
      <c r="P28" s="19">
        <f>'25'!G20</f>
        <v>192</v>
      </c>
      <c r="Q28" s="19">
        <v>134</v>
      </c>
      <c r="R28" s="239">
        <f t="shared" si="0"/>
        <v>25728</v>
      </c>
      <c r="S28" s="240">
        <f t="shared" si="1"/>
        <v>176.01760176017598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103</v>
      </c>
      <c r="X28" s="22">
        <f>'25'!G96</f>
        <v>14</v>
      </c>
      <c r="Y28" s="22">
        <f>'25'!G97</f>
        <v>15</v>
      </c>
      <c r="Z28" s="22">
        <f t="shared" si="7"/>
        <v>132</v>
      </c>
      <c r="AA28" s="19">
        <f>'25'!G132</f>
        <v>0</v>
      </c>
      <c r="AB28" s="19">
        <f>'25'!G133</f>
        <v>0</v>
      </c>
      <c r="AC28" s="19">
        <f>'25'!G134</f>
        <v>24.440000000002328</v>
      </c>
      <c r="AD28" s="19">
        <f>'25'!G135</f>
        <v>-0.36000000000058208</v>
      </c>
      <c r="AE28" s="19">
        <f t="shared" si="8"/>
        <v>24.080000000001746</v>
      </c>
      <c r="AF28" s="23">
        <f t="shared" si="2"/>
        <v>5048</v>
      </c>
      <c r="AG28" s="23">
        <f t="shared" si="9"/>
        <v>209.6345514950014</v>
      </c>
      <c r="AH28" s="19">
        <f>'24'!G136</f>
        <v>0</v>
      </c>
      <c r="AI28" s="19">
        <f>'24'!G137</f>
        <v>7.75</v>
      </c>
      <c r="AJ28" s="19">
        <f>'24'!G138</f>
        <v>1.1499999999941792</v>
      </c>
      <c r="AK28" s="19">
        <f t="shared" si="10"/>
        <v>8.8999999999941792</v>
      </c>
      <c r="AL28" s="19">
        <f>'23'!G139</f>
        <v>7.2300000000000182</v>
      </c>
      <c r="AM28" s="19">
        <f>'24'!G140</f>
        <v>0</v>
      </c>
      <c r="AN28" s="19"/>
      <c r="AO28" s="19">
        <f t="shared" si="11"/>
        <v>7.2300000000000182</v>
      </c>
      <c r="AP28" s="258">
        <f>'25'!G123</f>
        <v>265</v>
      </c>
      <c r="AQ28" s="261">
        <f>'25'!G35</f>
        <v>3189</v>
      </c>
      <c r="AR28" s="19">
        <f>'25'!G37</f>
        <v>1492</v>
      </c>
      <c r="AS28" s="19">
        <f>'25'!G38</f>
        <v>1987</v>
      </c>
      <c r="AT28" s="19">
        <f>'25'!G39</f>
        <v>4098</v>
      </c>
      <c r="AU28" s="19">
        <f>'25'!G40</f>
        <v>0</v>
      </c>
      <c r="AV28" s="19">
        <f>'25'!G41</f>
        <v>0</v>
      </c>
      <c r="AW28" s="19"/>
      <c r="AX28" s="19">
        <f>'25'!G43</f>
        <v>2279</v>
      </c>
      <c r="AY28" s="23">
        <f>'25'!G44</f>
        <v>0</v>
      </c>
      <c r="AZ28" s="262">
        <f>'25'!G36</f>
        <v>743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68</v>
      </c>
      <c r="BF28" s="19">
        <f>'25'!G55</f>
        <v>5048</v>
      </c>
      <c r="BG28" s="19">
        <f>'25'!G56</f>
        <v>0</v>
      </c>
      <c r="BH28" s="19">
        <f>'25'!G57</f>
        <v>0</v>
      </c>
      <c r="BI28" s="262">
        <f>'25'!G50</f>
        <v>1200</v>
      </c>
      <c r="BJ28" s="401">
        <f t="shared" si="12"/>
        <v>5048</v>
      </c>
      <c r="BK28" s="401">
        <f>'25'!G84</f>
        <v>554</v>
      </c>
      <c r="BL28" s="23">
        <f t="shared" si="13"/>
        <v>51.041110517885741</v>
      </c>
      <c r="BM28" s="23">
        <f t="shared" si="14"/>
        <v>19.890307236810173</v>
      </c>
      <c r="BN28" s="24">
        <f t="shared" si="15"/>
        <v>9.6442265689462695E-2</v>
      </c>
      <c r="BO28" s="25">
        <f t="shared" si="16"/>
        <v>262837.64999999967</v>
      </c>
      <c r="BP28" s="213">
        <f t="shared" si="17"/>
        <v>7881</v>
      </c>
      <c r="BQ28">
        <f t="shared" si="18"/>
        <v>1.168871618414723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20381</v>
      </c>
      <c r="H29" s="19">
        <f>'26'!G8</f>
        <v>20381</v>
      </c>
      <c r="I29" s="19">
        <f>'26'!G7</f>
        <v>20278</v>
      </c>
      <c r="J29" s="19">
        <v>10</v>
      </c>
      <c r="K29" s="242">
        <f t="shared" si="3"/>
        <v>203810</v>
      </c>
      <c r="L29" s="238">
        <f t="shared" si="4"/>
        <v>100.38613861386139</v>
      </c>
      <c r="M29" s="19">
        <f>'26'!G15</f>
        <v>838.44999999995343</v>
      </c>
      <c r="N29" s="19">
        <v>35</v>
      </c>
      <c r="O29" s="234">
        <f t="shared" si="5"/>
        <v>29345.74999999837</v>
      </c>
      <c r="P29" s="19">
        <f>'26'!G20</f>
        <v>171</v>
      </c>
      <c r="Q29" s="19">
        <v>134</v>
      </c>
      <c r="R29" s="239">
        <f t="shared" si="0"/>
        <v>22914</v>
      </c>
      <c r="S29" s="240">
        <f t="shared" si="1"/>
        <v>156.76567656765673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79</v>
      </c>
      <c r="X29" s="22">
        <f>'26'!G96</f>
        <v>12</v>
      </c>
      <c r="Y29" s="22">
        <f>'26'!G97</f>
        <v>19</v>
      </c>
      <c r="Z29" s="22">
        <f t="shared" si="7"/>
        <v>110</v>
      </c>
      <c r="AA29" s="19">
        <f>'26'!G132</f>
        <v>0</v>
      </c>
      <c r="AB29" s="19">
        <f>'26'!G133</f>
        <v>0</v>
      </c>
      <c r="AC29" s="19">
        <f>'26'!G134</f>
        <v>24.120000000002619</v>
      </c>
      <c r="AD29" s="19">
        <f>'26'!G135</f>
        <v>0</v>
      </c>
      <c r="AE29" s="19">
        <f t="shared" si="8"/>
        <v>24.120000000002619</v>
      </c>
      <c r="AF29" s="23">
        <f t="shared" si="2"/>
        <v>5077</v>
      </c>
      <c r="AG29" s="23">
        <f t="shared" si="9"/>
        <v>210.48922056382457</v>
      </c>
      <c r="AH29" s="19">
        <f>'26'!G136</f>
        <v>8.5999999999985448</v>
      </c>
      <c r="AI29" s="19">
        <f>'26'!G137</f>
        <v>0.31000000000130967</v>
      </c>
      <c r="AJ29" s="19">
        <f>'26'!G138</f>
        <v>4.8099999999976717</v>
      </c>
      <c r="AK29" s="19">
        <f t="shared" si="10"/>
        <v>13.719999999997526</v>
      </c>
      <c r="AL29" s="19">
        <f>'26'!G139</f>
        <v>7.2400000000000091</v>
      </c>
      <c r="AM29" s="19">
        <f>'26'!G140</f>
        <v>0</v>
      </c>
      <c r="AN29" s="19"/>
      <c r="AO29" s="19">
        <f t="shared" si="11"/>
        <v>7.2400000000000091</v>
      </c>
      <c r="AP29" s="258">
        <f>'26'!G123</f>
        <v>251</v>
      </c>
      <c r="AQ29" s="261">
        <f>'26'!G35</f>
        <v>3115</v>
      </c>
      <c r="AR29" s="19">
        <f>'26'!G37</f>
        <v>1421</v>
      </c>
      <c r="AS29" s="19">
        <f>'26'!G38</f>
        <v>1988</v>
      </c>
      <c r="AT29" s="19">
        <f>'26'!G39</f>
        <v>4202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2292</v>
      </c>
      <c r="AY29" s="23">
        <f>'26'!G44</f>
        <v>0</v>
      </c>
      <c r="AZ29" s="262">
        <f>'26'!G36</f>
        <v>610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72</v>
      </c>
      <c r="BF29" s="19">
        <f>'26'!G55</f>
        <v>5077</v>
      </c>
      <c r="BG29" s="19">
        <f>'26'!G56</f>
        <v>0</v>
      </c>
      <c r="BH29" s="19">
        <f>'26'!G57</f>
        <v>0</v>
      </c>
      <c r="BI29" s="262">
        <f>'26'!G50</f>
        <v>1005</v>
      </c>
      <c r="BJ29" s="401">
        <f t="shared" si="12"/>
        <v>5077</v>
      </c>
      <c r="BK29" s="401">
        <f>'26'!G84</f>
        <v>617</v>
      </c>
      <c r="BL29" s="23">
        <f t="shared" si="13"/>
        <v>51.701351218068844</v>
      </c>
      <c r="BM29" s="23">
        <f t="shared" si="14"/>
        <v>20.721964690797908</v>
      </c>
      <c r="BN29" s="24">
        <f t="shared" si="15"/>
        <v>9.8037281783213331E-2</v>
      </c>
      <c r="BO29" s="25">
        <f t="shared" si="16"/>
        <v>256069.74999999837</v>
      </c>
      <c r="BP29" s="213">
        <f t="shared" si="17"/>
        <v>7986</v>
      </c>
      <c r="BQ29">
        <f t="shared" si="18"/>
        <v>1.1824804548683863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20698</v>
      </c>
      <c r="H30" s="19">
        <f>'27'!G8</f>
        <v>20698</v>
      </c>
      <c r="I30" s="19">
        <f>'27'!G7</f>
        <v>20601</v>
      </c>
      <c r="J30" s="19">
        <v>10</v>
      </c>
      <c r="K30" s="242">
        <f t="shared" si="3"/>
        <v>206980</v>
      </c>
      <c r="L30" s="238">
        <f t="shared" si="4"/>
        <v>101.98514851485149</v>
      </c>
      <c r="M30" s="19">
        <f>'27'!G15</f>
        <v>961.60299999988638</v>
      </c>
      <c r="N30" s="19">
        <v>35</v>
      </c>
      <c r="O30" s="234">
        <f t="shared" si="5"/>
        <v>33656.104999996023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85</v>
      </c>
      <c r="X30" s="22">
        <f>'27'!G96</f>
        <v>16</v>
      </c>
      <c r="Y30" s="22">
        <f>'27'!G97</f>
        <v>31</v>
      </c>
      <c r="Z30" s="22">
        <f t="shared" si="7"/>
        <v>132</v>
      </c>
      <c r="AA30" s="19">
        <f>'27'!G132</f>
        <v>0</v>
      </c>
      <c r="AB30" s="19">
        <f>'27'!G133</f>
        <v>0</v>
      </c>
      <c r="AC30" s="19">
        <f>'27'!G134</f>
        <v>23.879999999997381</v>
      </c>
      <c r="AD30" s="19">
        <f>'27'!G135</f>
        <v>0</v>
      </c>
      <c r="AE30" s="19">
        <f t="shared" si="8"/>
        <v>23.879999999997381</v>
      </c>
      <c r="AF30" s="23">
        <f t="shared" si="2"/>
        <v>5238.6600000000471</v>
      </c>
      <c r="AG30" s="23">
        <f t="shared" si="9"/>
        <v>219.37437185932251</v>
      </c>
      <c r="AH30" s="19">
        <f>'27'!G136</f>
        <v>11.940000000002328</v>
      </c>
      <c r="AI30" s="19">
        <f>'27'!G137</f>
        <v>0</v>
      </c>
      <c r="AJ30" s="19">
        <f>'27'!G138</f>
        <v>4.0899999999965075</v>
      </c>
      <c r="AK30" s="19">
        <f t="shared" si="10"/>
        <v>16.029999999998836</v>
      </c>
      <c r="AL30" s="19">
        <f>'27'!G139</f>
        <v>7.2999999999999545</v>
      </c>
      <c r="AM30" s="19">
        <f>'27'!G140</f>
        <v>0</v>
      </c>
      <c r="AN30" s="19"/>
      <c r="AO30" s="19">
        <f t="shared" si="11"/>
        <v>7.2999999999999545</v>
      </c>
      <c r="AP30" s="258">
        <f>'27'!G123</f>
        <v>252.09799999999814</v>
      </c>
      <c r="AQ30" s="261">
        <f>'27'!G35</f>
        <v>3121.3499999999767</v>
      </c>
      <c r="AR30" s="19">
        <f>'27'!G37</f>
        <v>1490.0699999999997</v>
      </c>
      <c r="AS30" s="19">
        <f>'27'!G38</f>
        <v>2224.7549999999974</v>
      </c>
      <c r="AT30" s="19">
        <f>'27'!G39</f>
        <v>4175.4499999999971</v>
      </c>
      <c r="AU30" s="19">
        <f>'27'!G40</f>
        <v>0</v>
      </c>
      <c r="AV30" s="19">
        <f>'27'!G41</f>
        <v>0.37000000000261934</v>
      </c>
      <c r="AW30" s="19">
        <f>'27'!G42</f>
        <v>-0.15000000000145519</v>
      </c>
      <c r="AX30" s="19">
        <f>'27'!G43</f>
        <v>2278.2299999999814</v>
      </c>
      <c r="AY30" s="23">
        <f>'27'!G44</f>
        <v>0</v>
      </c>
      <c r="AZ30" s="262">
        <f>'27'!G36</f>
        <v>562.3300000000163</v>
      </c>
      <c r="BA30" s="261">
        <f>'27'!G49</f>
        <v>0.13000000000465661</v>
      </c>
      <c r="BB30" s="19">
        <f>'27'!G51</f>
        <v>-8.000000000174623E-2</v>
      </c>
      <c r="BC30" s="19">
        <f>'27'!G52</f>
        <v>-0.28999999997904524</v>
      </c>
      <c r="BD30" s="19">
        <f>'27'!G53</f>
        <v>-0.48999999999068677</v>
      </c>
      <c r="BE30" s="19">
        <f>'27'!G54</f>
        <v>69.470000000000255</v>
      </c>
      <c r="BF30" s="19">
        <f>'27'!G55</f>
        <v>5217.8899999999994</v>
      </c>
      <c r="BG30" s="19">
        <f>'27'!G56</f>
        <v>20.550000000046566</v>
      </c>
      <c r="BH30" s="19">
        <f>'27'!G57</f>
        <v>0.32999999999992724</v>
      </c>
      <c r="BI30" s="262">
        <f>'27'!G50</f>
        <v>972.27000000001863</v>
      </c>
      <c r="BJ30" s="401">
        <f t="shared" si="12"/>
        <v>5238.6600000000471</v>
      </c>
      <c r="BK30" s="401">
        <f>'27'!G84</f>
        <v>672</v>
      </c>
      <c r="BL30" s="23">
        <f t="shared" si="13"/>
        <v>51.641667880200039</v>
      </c>
      <c r="BM30" s="23">
        <f t="shared" si="14"/>
        <v>20.265812339206867</v>
      </c>
      <c r="BN30" s="24">
        <f t="shared" si="15"/>
        <v>0.10797849618950625</v>
      </c>
      <c r="BO30" s="25">
        <f t="shared" si="16"/>
        <v>271992.10499999602</v>
      </c>
      <c r="BP30" s="213">
        <f t="shared" si="17"/>
        <v>8189.2200000000284</v>
      </c>
      <c r="BQ30">
        <f t="shared" si="18"/>
        <v>1.2247577171573532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21942</v>
      </c>
      <c r="H31" s="19">
        <f>'28'!G8</f>
        <v>21942</v>
      </c>
      <c r="I31" s="19">
        <f>'28'!G7</f>
        <v>21818</v>
      </c>
      <c r="J31" s="19">
        <v>10</v>
      </c>
      <c r="K31" s="242">
        <f t="shared" si="3"/>
        <v>219420</v>
      </c>
      <c r="L31" s="238">
        <f t="shared" si="4"/>
        <v>108.00990099009901</v>
      </c>
      <c r="M31" s="19">
        <f>'28'!G15</f>
        <v>1060.0070000002161</v>
      </c>
      <c r="N31" s="19">
        <v>35</v>
      </c>
      <c r="O31" s="234">
        <f t="shared" si="5"/>
        <v>37100.245000007562</v>
      </c>
      <c r="P31" s="19">
        <f>'28'!G20</f>
        <v>222</v>
      </c>
      <c r="Q31" s="19">
        <v>134</v>
      </c>
      <c r="R31" s="239">
        <f t="shared" si="0"/>
        <v>29748</v>
      </c>
      <c r="S31" s="240">
        <f t="shared" si="1"/>
        <v>211.34805788271134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90</v>
      </c>
      <c r="X31" s="22">
        <f>'28'!G96</f>
        <v>40</v>
      </c>
      <c r="Y31" s="22">
        <f>'28'!G97</f>
        <v>30</v>
      </c>
      <c r="Z31" s="22">
        <f t="shared" si="7"/>
        <v>160</v>
      </c>
      <c r="AA31" s="19">
        <f>'28'!G132</f>
        <v>-0.48000000000320142</v>
      </c>
      <c r="AB31" s="19">
        <f>'28'!G133</f>
        <v>0.48000000000001819</v>
      </c>
      <c r="AC31" s="19">
        <f>'28'!G134</f>
        <v>24.139999999999418</v>
      </c>
      <c r="AD31" s="19">
        <f>'28'!G135</f>
        <v>0</v>
      </c>
      <c r="AE31" s="19">
        <f t="shared" si="8"/>
        <v>24.139999999996235</v>
      </c>
      <c r="AF31" s="23">
        <f t="shared" si="2"/>
        <v>5659.2799999999843</v>
      </c>
      <c r="AG31" s="23">
        <f t="shared" si="9"/>
        <v>234.43579121793152</v>
      </c>
      <c r="AH31" s="19">
        <f>'28'!G136</f>
        <v>9.6699999999982538</v>
      </c>
      <c r="AI31" s="19">
        <f>'28'!G137</f>
        <v>0</v>
      </c>
      <c r="AJ31" s="19">
        <f>'28'!G138</f>
        <v>5.4400000000023283</v>
      </c>
      <c r="AK31" s="19">
        <f t="shared" si="10"/>
        <v>15.110000000000582</v>
      </c>
      <c r="AL31" s="19">
        <f>'28'!G139</f>
        <v>7.8400000000001455</v>
      </c>
      <c r="AM31" s="19">
        <f>'28'!G140</f>
        <v>0.47000000000025466</v>
      </c>
      <c r="AN31" s="19"/>
      <c r="AO31" s="19">
        <f t="shared" si="11"/>
        <v>8.3100000000004002</v>
      </c>
      <c r="AP31" s="258">
        <f>'28'!G123</f>
        <v>273.74199999996927</v>
      </c>
      <c r="AQ31" s="261">
        <f>'28'!G35</f>
        <v>3316.2399999999907</v>
      </c>
      <c r="AR31" s="19">
        <f>'28'!G37</f>
        <v>1486.0299999999988</v>
      </c>
      <c r="AS31" s="19">
        <f>'28'!G38</f>
        <v>2272.7350000000006</v>
      </c>
      <c r="AT31" s="19">
        <f>'28'!G39</f>
        <v>4370.9400000000023</v>
      </c>
      <c r="AU31" s="19">
        <f>'28'!G40</f>
        <v>0</v>
      </c>
      <c r="AV31" s="19">
        <f>'28'!G41</f>
        <v>0</v>
      </c>
      <c r="AW31" s="19">
        <f>'28'!G42</f>
        <v>0</v>
      </c>
      <c r="AX31" s="478">
        <f>'28'!G43</f>
        <v>2391.5999999999767</v>
      </c>
      <c r="AY31" s="23">
        <f>'28'!G44</f>
        <v>0</v>
      </c>
      <c r="AZ31" s="262">
        <f>'28'!G36</f>
        <v>614.23999999999069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70.159999999999854</v>
      </c>
      <c r="BF31" s="19">
        <f>'28'!G55</f>
        <v>5651.8000000000029</v>
      </c>
      <c r="BG31" s="19">
        <f>'28'!G56</f>
        <v>7.4799999999813735</v>
      </c>
      <c r="BH31" s="19">
        <f>'28'!G57</f>
        <v>0</v>
      </c>
      <c r="BI31" s="262">
        <f>'28'!G50</f>
        <v>1090.7600000000093</v>
      </c>
      <c r="BJ31" s="401">
        <f t="shared" si="12"/>
        <v>5659.2799999999843</v>
      </c>
      <c r="BK31" s="401">
        <f>'28'!G84</f>
        <v>739</v>
      </c>
      <c r="BL31" s="23">
        <f>SUM(AQ31,AV31,AW31,AX31,BA31,BF31,BG31,BH31)/I31%</f>
        <v>52.099734164451149</v>
      </c>
      <c r="BM31" s="23">
        <f t="shared" si="14"/>
        <v>20.033641947016235</v>
      </c>
      <c r="BN31" s="24">
        <f t="shared" si="15"/>
        <v>0.10416788889907419</v>
      </c>
      <c r="BO31" s="25">
        <f t="shared" si="16"/>
        <v>286268.24500000756</v>
      </c>
      <c r="BP31" s="213">
        <f t="shared" si="17"/>
        <v>8789.879999999961</v>
      </c>
      <c r="BQ31">
        <f t="shared" si="18"/>
        <v>1.3004320037876276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-598081</v>
      </c>
      <c r="H32" s="19"/>
      <c r="I32" s="19">
        <f>'29'!G7</f>
        <v>-594257</v>
      </c>
      <c r="J32" s="19">
        <v>10</v>
      </c>
      <c r="K32" s="242">
        <f t="shared" si="3"/>
        <v>0</v>
      </c>
      <c r="L32" s="238">
        <f t="shared" si="4"/>
        <v>-2941.8663366336632</v>
      </c>
      <c r="M32" s="19">
        <f>'29'!G15</f>
        <v>-26977.64000000013</v>
      </c>
      <c r="N32" s="19">
        <v>35</v>
      </c>
      <c r="O32" s="234">
        <f t="shared" si="5"/>
        <v>-944217.40000000456</v>
      </c>
      <c r="P32" s="19">
        <f>'29'!G20</f>
        <v>-1425</v>
      </c>
      <c r="Q32" s="19">
        <v>134</v>
      </c>
      <c r="R32" s="239">
        <f t="shared" si="0"/>
        <v>-190950</v>
      </c>
      <c r="S32" s="240">
        <f t="shared" si="1"/>
        <v>-1068.8568856885688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-2403</v>
      </c>
      <c r="X32" s="22">
        <f>'29'!G96</f>
        <v>-862</v>
      </c>
      <c r="Y32" s="22">
        <f>'29'!G97</f>
        <v>-824</v>
      </c>
      <c r="Z32" s="22">
        <f t="shared" si="7"/>
        <v>-4089</v>
      </c>
      <c r="AA32" s="19">
        <f>'29'!G132</f>
        <v>227.54000000000087</v>
      </c>
      <c r="AB32" s="19">
        <f>'29'!G133</f>
        <v>-1</v>
      </c>
      <c r="AC32" s="19">
        <f>'29'!G134</f>
        <v>-416.13999999999942</v>
      </c>
      <c r="AD32" s="19">
        <f>'29'!G135</f>
        <v>-148</v>
      </c>
      <c r="AE32" s="19">
        <f t="shared" si="8"/>
        <v>-337.59999999999854</v>
      </c>
      <c r="AF32" s="23">
        <f t="shared" si="2"/>
        <v>-133650.94000000003</v>
      </c>
      <c r="AG32" s="23">
        <f t="shared" si="9"/>
        <v>395.88548578199232</v>
      </c>
      <c r="AH32" s="19">
        <f>'29'!G136</f>
        <v>-233.47999999999956</v>
      </c>
      <c r="AI32" s="19">
        <f>'29'!G137</f>
        <v>-24.370000000002619</v>
      </c>
      <c r="AJ32" s="19">
        <f>'29'!G138</f>
        <v>-87.559999999997672</v>
      </c>
      <c r="AK32" s="19">
        <f t="shared" si="10"/>
        <v>-345.40999999999985</v>
      </c>
      <c r="AL32" s="19">
        <f>'29'!G139</f>
        <v>-238.72000000000003</v>
      </c>
      <c r="AM32" s="19">
        <f>'29'!G140</f>
        <v>0</v>
      </c>
      <c r="AN32" s="19"/>
      <c r="AO32" s="19">
        <f t="shared" si="11"/>
        <v>-238.72000000000003</v>
      </c>
      <c r="AP32" s="258">
        <f>'29'!G123</f>
        <v>-8223.8499999999767</v>
      </c>
      <c r="AQ32" s="261">
        <f>'29'!G35</f>
        <v>-64059.589999999967</v>
      </c>
      <c r="AR32" s="19">
        <f>'29'!G37</f>
        <v>383003.9</v>
      </c>
      <c r="AS32" s="19">
        <f>'29'!G38</f>
        <v>106900.51000000001</v>
      </c>
      <c r="AT32" s="19">
        <f>'29'!G39</f>
        <v>821804.61</v>
      </c>
      <c r="AU32" s="19">
        <f>'29'!G40</f>
        <v>0</v>
      </c>
      <c r="AV32" s="19">
        <f>'29'!G41</f>
        <v>-26662.370000000003</v>
      </c>
      <c r="AW32" s="19">
        <f>'29'!G42</f>
        <v>-202.84999999999854</v>
      </c>
      <c r="AX32" s="19">
        <f>'29'!G43</f>
        <v>-62735.199999999953</v>
      </c>
      <c r="AY32" s="23">
        <f>'29'!G44</f>
        <v>0</v>
      </c>
      <c r="AZ32" s="262">
        <f>'29'!G36</f>
        <v>-21072.840000000026</v>
      </c>
      <c r="BA32" s="261">
        <f>'29'!G49</f>
        <v>-20746.580000000016</v>
      </c>
      <c r="BB32" s="19">
        <f>'29'!G51</f>
        <v>-13015.919999999998</v>
      </c>
      <c r="BC32" s="19">
        <f>'29'!G52</f>
        <v>-18110.710000000021</v>
      </c>
      <c r="BD32" s="19">
        <f>'29'!G53</f>
        <v>-35921.540000000037</v>
      </c>
      <c r="BE32" s="19">
        <f>'29'!G54</f>
        <v>-1866.83</v>
      </c>
      <c r="BF32" s="19">
        <f>'29'!G55</f>
        <v>-78464.69</v>
      </c>
      <c r="BG32" s="19">
        <f>'29'!G56</f>
        <v>-28321.030000000028</v>
      </c>
      <c r="BH32" s="19">
        <f>'29'!G57</f>
        <v>-7711.33</v>
      </c>
      <c r="BI32" s="262">
        <f>'29'!G50</f>
        <v>-35982.060000000056</v>
      </c>
      <c r="BJ32" s="401">
        <f t="shared" si="12"/>
        <v>-133650.94000000003</v>
      </c>
      <c r="BK32" s="401">
        <f>'29'!G84</f>
        <v>-15718</v>
      </c>
      <c r="BL32" s="23">
        <f t="shared" si="13"/>
        <v>48.615942260671723</v>
      </c>
      <c r="BM32" s="23">
        <f t="shared" si="14"/>
        <v>-132.24632945005274</v>
      </c>
      <c r="BN32" s="24">
        <f t="shared" si="15"/>
        <v>-0.14941313270184448</v>
      </c>
      <c r="BO32" s="25">
        <f t="shared" si="16"/>
        <v>-1135167.4000000046</v>
      </c>
      <c r="BP32" s="213">
        <f t="shared" si="17"/>
        <v>-219815.46999999997</v>
      </c>
      <c r="BQ32">
        <f t="shared" si="18"/>
        <v>2.3254006220379244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/>
      <c r="I33" s="19">
        <f>'30'!G7</f>
        <v>18917</v>
      </c>
      <c r="J33" s="19">
        <v>10</v>
      </c>
      <c r="K33" s="242">
        <f t="shared" si="3"/>
        <v>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46285.600000000326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202</v>
      </c>
      <c r="B35" s="30"/>
      <c r="C35" s="31"/>
      <c r="D35" s="32">
        <f>AVERAGE(D4:D34)</f>
        <v>24.419354838709676</v>
      </c>
      <c r="E35" s="33"/>
      <c r="F35" s="415">
        <f>AVERAGE(F4:F34)</f>
        <v>1.5223483870967742</v>
      </c>
      <c r="G35" s="34">
        <f>SUM(G4:G34)</f>
        <v>942</v>
      </c>
      <c r="H35" s="34">
        <f>SUM(H4:H34)</f>
        <v>560305</v>
      </c>
      <c r="I35" s="34">
        <f t="shared" ref="I35:BO35" si="20">SUM(I4:I34)</f>
        <v>937</v>
      </c>
      <c r="J35" s="34">
        <f t="shared" si="20"/>
        <v>309</v>
      </c>
      <c r="K35" s="34">
        <f t="shared" si="20"/>
        <v>5583576</v>
      </c>
      <c r="L35" s="34">
        <f t="shared" si="20"/>
        <v>4.6386138613860624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4850</v>
      </c>
      <c r="Q35" s="34">
        <f t="shared" si="20"/>
        <v>4154</v>
      </c>
      <c r="R35" s="34">
        <f t="shared" si="20"/>
        <v>649900</v>
      </c>
      <c r="S35" s="34">
        <f t="shared" si="20"/>
        <v>4473.8857287435776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628.14999999995052</v>
      </c>
      <c r="AG35" s="34">
        <f t="shared" si="20"/>
        <v>5958.1813231187198</v>
      </c>
      <c r="AH35" s="34">
        <f t="shared" si="20"/>
        <v>-12.149999999997817</v>
      </c>
      <c r="AI35" s="34">
        <f t="shared" si="20"/>
        <v>8.0600000000013097</v>
      </c>
      <c r="AJ35" s="34">
        <f t="shared" si="20"/>
        <v>0.14999999999417923</v>
      </c>
      <c r="AK35" s="34">
        <f t="shared" si="20"/>
        <v>-3.9400000000023283</v>
      </c>
      <c r="AL35" s="34">
        <f t="shared" si="20"/>
        <v>-8.6700000000000728</v>
      </c>
      <c r="AM35" s="34">
        <f t="shared" si="20"/>
        <v>7.9200000000000728</v>
      </c>
      <c r="AN35" s="34">
        <f t="shared" si="20"/>
        <v>0</v>
      </c>
      <c r="AO35" s="34">
        <f t="shared" si="20"/>
        <v>-0.75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-3633.5699999999997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-3964.3300000000454</v>
      </c>
      <c r="BE35" s="34">
        <f t="shared" si="20"/>
        <v>-8.8500000000003638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628.14999999995052</v>
      </c>
      <c r="BK35" s="34">
        <f t="shared" si="20"/>
        <v>-155</v>
      </c>
      <c r="BL35" s="34">
        <f t="shared" si="20"/>
        <v>1490.1137620987649</v>
      </c>
      <c r="BM35" s="34">
        <f t="shared" si="20"/>
        <v>488.0065056636044</v>
      </c>
      <c r="BN35" s="34">
        <f t="shared" si="20"/>
        <v>2.8721464842094369</v>
      </c>
      <c r="BO35" s="34">
        <f t="shared" si="20"/>
        <v>6394199.0500000082</v>
      </c>
      <c r="BP35" s="213">
        <f t="shared" si="17"/>
        <v>133.47000000002299</v>
      </c>
      <c r="BQ35">
        <f t="shared" si="18"/>
        <v>1.2351105649288999E-3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1.5223483870967742</v>
      </c>
      <c r="G37" s="213"/>
      <c r="H37" s="213"/>
      <c r="I37" s="213">
        <f>AVERAGE(I4:I35)</f>
        <v>58.5625</v>
      </c>
    </row>
    <row r="38" spans="1:69">
      <c r="B38" s="36" t="s">
        <v>68</v>
      </c>
      <c r="F38" s="414">
        <f>AVERAGE(F4:F35)</f>
        <v>1.5223483870967742</v>
      </c>
      <c r="G38" s="414"/>
      <c r="H38" s="414"/>
    </row>
    <row r="41" spans="1:69">
      <c r="BJ41">
        <f>(BJ31+BK31)/400</f>
        <v>15.99569999999996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13" workbookViewId="0">
      <selection activeCell="C29" sqref="C29"/>
    </sheetView>
  </sheetViews>
  <sheetFormatPr defaultRowHeight="15.75"/>
  <cols>
    <col min="2" max="2" width="9.109375" style="1250" customWidth="1"/>
    <col min="3" max="3" width="7.44140625" style="1250" customWidth="1"/>
    <col min="4" max="4" width="7.5546875" style="1250" customWidth="1"/>
    <col min="5" max="5" width="7.88671875" style="1250" customWidth="1"/>
    <col min="6" max="6" width="10.6640625" style="1250" customWidth="1"/>
  </cols>
  <sheetData>
    <row r="1" spans="1:7" ht="47.25">
      <c r="A1" s="1112"/>
      <c r="B1" s="1324" t="s">
        <v>311</v>
      </c>
      <c r="C1" s="1324" t="s">
        <v>309</v>
      </c>
      <c r="D1" s="1324" t="s">
        <v>310</v>
      </c>
      <c r="E1" s="1324" t="s">
        <v>313</v>
      </c>
      <c r="F1" s="1324" t="s">
        <v>312</v>
      </c>
      <c r="G1" s="1363" t="s">
        <v>329</v>
      </c>
    </row>
    <row r="2" spans="1:7">
      <c r="A2" s="1112">
        <v>1</v>
      </c>
      <c r="B2" s="1325"/>
      <c r="C2" s="1326">
        <v>71</v>
      </c>
      <c r="D2" s="1326">
        <v>20</v>
      </c>
      <c r="E2" s="1326">
        <f>SUM(C2:D2)/202%</f>
        <v>45.049504950495049</v>
      </c>
      <c r="F2" s="1362">
        <v>327</v>
      </c>
      <c r="G2" s="1113">
        <f>C2+D2</f>
        <v>91</v>
      </c>
    </row>
    <row r="3" spans="1:7">
      <c r="A3" s="1112">
        <v>2</v>
      </c>
      <c r="B3" s="1325"/>
      <c r="C3" s="1326">
        <v>98</v>
      </c>
      <c r="D3" s="1326">
        <v>22</v>
      </c>
      <c r="E3" s="1326">
        <f t="shared" ref="E3:E5" si="0">SUM(C3:D3)/202%</f>
        <v>59.405940594059409</v>
      </c>
      <c r="F3" s="1362">
        <v>310</v>
      </c>
      <c r="G3" s="1113">
        <f t="shared" ref="G3:G30" si="1">C3+D3</f>
        <v>120</v>
      </c>
    </row>
    <row r="4" spans="1:7">
      <c r="A4" s="1112">
        <v>3</v>
      </c>
      <c r="B4" s="1325"/>
      <c r="C4" s="1326">
        <v>92</v>
      </c>
      <c r="D4" s="1326">
        <v>20</v>
      </c>
      <c r="E4" s="1326">
        <f t="shared" si="0"/>
        <v>55.445544554455445</v>
      </c>
      <c r="F4" s="1362">
        <v>386</v>
      </c>
      <c r="G4" s="1113">
        <f t="shared" si="1"/>
        <v>112</v>
      </c>
    </row>
    <row r="5" spans="1:7">
      <c r="A5" s="1112">
        <v>4</v>
      </c>
      <c r="B5" s="1325"/>
      <c r="C5" s="1326">
        <v>92</v>
      </c>
      <c r="D5" s="1326">
        <v>20</v>
      </c>
      <c r="E5" s="1326">
        <f t="shared" si="0"/>
        <v>55.445544554455445</v>
      </c>
      <c r="F5" s="1362">
        <v>558</v>
      </c>
      <c r="G5" s="1113">
        <f t="shared" si="1"/>
        <v>112</v>
      </c>
    </row>
    <row r="6" spans="1:7">
      <c r="A6" s="1112">
        <v>5</v>
      </c>
      <c r="B6" s="1325"/>
      <c r="C6" s="1326">
        <v>85</v>
      </c>
      <c r="D6" s="1326">
        <v>20</v>
      </c>
      <c r="E6" s="1326">
        <f t="shared" ref="E6:E30" si="2">SUM(C6:D6)/202%</f>
        <v>51.980198019801982</v>
      </c>
      <c r="F6" s="1362">
        <v>416</v>
      </c>
      <c r="G6" s="1113">
        <f t="shared" si="1"/>
        <v>105</v>
      </c>
    </row>
    <row r="7" spans="1:7">
      <c r="A7" s="1112">
        <v>6</v>
      </c>
      <c r="B7" s="1325"/>
      <c r="C7" s="1326">
        <v>133</v>
      </c>
      <c r="D7" s="1326">
        <v>17</v>
      </c>
      <c r="E7" s="1326">
        <f t="shared" si="2"/>
        <v>74.257425742574256</v>
      </c>
      <c r="F7" s="1362">
        <v>582</v>
      </c>
      <c r="G7" s="1113">
        <f t="shared" si="1"/>
        <v>150</v>
      </c>
    </row>
    <row r="8" spans="1:7">
      <c r="A8" s="1112">
        <v>7</v>
      </c>
      <c r="B8" s="1325"/>
      <c r="C8" s="1326">
        <v>90</v>
      </c>
      <c r="D8" s="1326">
        <v>17</v>
      </c>
      <c r="E8" s="1326">
        <f t="shared" si="2"/>
        <v>52.970297029702969</v>
      </c>
      <c r="F8" s="1362">
        <v>437</v>
      </c>
      <c r="G8" s="1113">
        <f t="shared" si="1"/>
        <v>107</v>
      </c>
    </row>
    <row r="9" spans="1:7">
      <c r="A9" s="1112">
        <v>8</v>
      </c>
      <c r="B9" s="1325"/>
      <c r="C9" s="1326">
        <v>102</v>
      </c>
      <c r="D9" s="1326">
        <v>18</v>
      </c>
      <c r="E9" s="1326">
        <f t="shared" si="2"/>
        <v>59.405940594059409</v>
      </c>
      <c r="F9" s="1362">
        <v>355</v>
      </c>
      <c r="G9" s="1113">
        <f t="shared" si="1"/>
        <v>120</v>
      </c>
    </row>
    <row r="10" spans="1:7">
      <c r="A10" s="1112">
        <v>9</v>
      </c>
      <c r="B10" s="1325"/>
      <c r="C10" s="1326">
        <v>108</v>
      </c>
      <c r="D10" s="1326">
        <v>17</v>
      </c>
      <c r="E10" s="1326">
        <f t="shared" si="2"/>
        <v>61.881188118811878</v>
      </c>
      <c r="F10" s="1362">
        <v>382</v>
      </c>
      <c r="G10" s="1113">
        <f t="shared" si="1"/>
        <v>125</v>
      </c>
    </row>
    <row r="11" spans="1:7">
      <c r="A11" s="1112">
        <v>10</v>
      </c>
      <c r="B11" s="1325"/>
      <c r="C11" s="1326">
        <v>127</v>
      </c>
      <c r="D11" s="1326">
        <v>15</v>
      </c>
      <c r="E11" s="1326">
        <f t="shared" si="2"/>
        <v>70.297029702970292</v>
      </c>
      <c r="F11" s="1362">
        <v>434</v>
      </c>
      <c r="G11" s="1113">
        <f t="shared" si="1"/>
        <v>142</v>
      </c>
    </row>
    <row r="12" spans="1:7">
      <c r="A12" s="1112">
        <v>11</v>
      </c>
      <c r="B12" s="1325"/>
      <c r="C12" s="1326">
        <v>114</v>
      </c>
      <c r="D12" s="1326">
        <v>8</v>
      </c>
      <c r="E12" s="1326">
        <f t="shared" si="2"/>
        <v>60.396039603960396</v>
      </c>
      <c r="F12" s="1362">
        <v>309</v>
      </c>
      <c r="G12" s="1113">
        <f t="shared" si="1"/>
        <v>122</v>
      </c>
    </row>
    <row r="13" spans="1:7">
      <c r="A13" s="1112">
        <v>12</v>
      </c>
      <c r="B13" s="1325"/>
      <c r="C13" s="1326">
        <v>129</v>
      </c>
      <c r="D13" s="1326">
        <v>2</v>
      </c>
      <c r="E13" s="1326">
        <f t="shared" si="2"/>
        <v>64.851485148514854</v>
      </c>
      <c r="F13" s="1326">
        <v>505</v>
      </c>
      <c r="G13" s="1113">
        <f t="shared" si="1"/>
        <v>131</v>
      </c>
    </row>
    <row r="14" spans="1:7">
      <c r="A14" s="1112">
        <v>13</v>
      </c>
      <c r="B14" s="1325"/>
      <c r="C14" s="1326">
        <v>195</v>
      </c>
      <c r="D14" s="1326">
        <v>0</v>
      </c>
      <c r="E14" s="1326">
        <f t="shared" si="2"/>
        <v>96.534653465346537</v>
      </c>
      <c r="F14" s="1326">
        <v>581</v>
      </c>
      <c r="G14" s="1113">
        <f t="shared" si="1"/>
        <v>195</v>
      </c>
    </row>
    <row r="15" spans="1:7">
      <c r="A15" s="1112">
        <v>14</v>
      </c>
      <c r="B15" s="1325"/>
      <c r="C15" s="1326">
        <v>192</v>
      </c>
      <c r="D15" s="1326">
        <v>0</v>
      </c>
      <c r="E15" s="1326">
        <f t="shared" si="2"/>
        <v>95.049504950495049</v>
      </c>
      <c r="F15" s="1326">
        <v>1020</v>
      </c>
      <c r="G15" s="1113">
        <f t="shared" si="1"/>
        <v>192</v>
      </c>
    </row>
    <row r="16" spans="1:7">
      <c r="A16" s="1112">
        <v>15</v>
      </c>
      <c r="B16" s="1325"/>
      <c r="C16" s="1326">
        <v>124</v>
      </c>
      <c r="D16" s="1326">
        <v>2</v>
      </c>
      <c r="E16" s="1326">
        <f t="shared" si="2"/>
        <v>62.376237623762378</v>
      </c>
      <c r="F16" s="1326">
        <v>916</v>
      </c>
      <c r="G16" s="1113">
        <f t="shared" si="1"/>
        <v>126</v>
      </c>
    </row>
    <row r="17" spans="1:7">
      <c r="A17" s="1112">
        <v>16</v>
      </c>
      <c r="B17" s="1325"/>
      <c r="C17" s="1326">
        <v>118</v>
      </c>
      <c r="D17" s="1326">
        <v>2</v>
      </c>
      <c r="E17" s="1326">
        <f t="shared" si="2"/>
        <v>59.405940594059409</v>
      </c>
      <c r="F17" s="1326">
        <v>797</v>
      </c>
      <c r="G17" s="1113">
        <f t="shared" si="1"/>
        <v>120</v>
      </c>
    </row>
    <row r="18" spans="1:7">
      <c r="A18" s="1112">
        <v>17</v>
      </c>
      <c r="B18" s="1325"/>
      <c r="C18" s="1326">
        <v>89</v>
      </c>
      <c r="D18" s="1326">
        <v>2</v>
      </c>
      <c r="E18" s="1326">
        <f t="shared" si="2"/>
        <v>45.049504950495049</v>
      </c>
      <c r="F18" s="1326">
        <v>395</v>
      </c>
      <c r="G18" s="1113">
        <f t="shared" si="1"/>
        <v>91</v>
      </c>
    </row>
    <row r="19" spans="1:7">
      <c r="A19" s="1112">
        <v>18</v>
      </c>
      <c r="B19" s="1325"/>
      <c r="C19" s="1250">
        <v>91</v>
      </c>
      <c r="D19" s="1250">
        <v>0</v>
      </c>
      <c r="E19" s="1326">
        <f t="shared" si="2"/>
        <v>45.049504950495049</v>
      </c>
      <c r="F19" s="1250">
        <v>404</v>
      </c>
      <c r="G19" s="1113">
        <f t="shared" si="1"/>
        <v>91</v>
      </c>
    </row>
    <row r="20" spans="1:7">
      <c r="A20" s="1112">
        <v>19</v>
      </c>
      <c r="B20" s="1325"/>
      <c r="C20" s="1326">
        <v>163</v>
      </c>
      <c r="D20" s="1326">
        <v>0</v>
      </c>
      <c r="E20" s="1326">
        <f t="shared" si="2"/>
        <v>80.693069306930695</v>
      </c>
      <c r="F20" s="1326">
        <v>459</v>
      </c>
      <c r="G20" s="1113">
        <f t="shared" si="1"/>
        <v>163</v>
      </c>
    </row>
    <row r="21" spans="1:7">
      <c r="A21" s="1112">
        <v>20</v>
      </c>
      <c r="B21" s="1325"/>
      <c r="C21" s="1326">
        <v>195</v>
      </c>
      <c r="D21" s="1326">
        <v>2</v>
      </c>
      <c r="E21" s="1326">
        <f t="shared" si="2"/>
        <v>97.524752475247524</v>
      </c>
      <c r="F21" s="1326">
        <v>537</v>
      </c>
      <c r="G21" s="1113">
        <f t="shared" si="1"/>
        <v>197</v>
      </c>
    </row>
    <row r="22" spans="1:7">
      <c r="A22" s="1112">
        <v>21</v>
      </c>
      <c r="B22" s="1325"/>
      <c r="C22" s="1326">
        <v>97</v>
      </c>
      <c r="D22" s="1326">
        <v>2</v>
      </c>
      <c r="E22" s="1326">
        <f t="shared" si="2"/>
        <v>49.009900990099013</v>
      </c>
      <c r="F22" s="1326">
        <v>561</v>
      </c>
      <c r="G22" s="1113">
        <f t="shared" si="1"/>
        <v>99</v>
      </c>
    </row>
    <row r="23" spans="1:7">
      <c r="A23" s="1112">
        <v>22</v>
      </c>
      <c r="B23" s="1325"/>
      <c r="C23" s="1326">
        <v>106</v>
      </c>
      <c r="D23" s="1326">
        <v>1</v>
      </c>
      <c r="E23" s="1326">
        <f t="shared" si="2"/>
        <v>52.970297029702969</v>
      </c>
      <c r="F23" s="1326">
        <v>344</v>
      </c>
      <c r="G23" s="1113">
        <f t="shared" si="1"/>
        <v>107</v>
      </c>
    </row>
    <row r="24" spans="1:7">
      <c r="A24" s="1112">
        <v>23</v>
      </c>
      <c r="B24" s="1325"/>
      <c r="C24" s="1326">
        <v>115</v>
      </c>
      <c r="D24" s="1326">
        <v>1</v>
      </c>
      <c r="E24" s="1326">
        <f t="shared" si="2"/>
        <v>57.425742574257427</v>
      </c>
      <c r="F24" s="1326">
        <v>379</v>
      </c>
      <c r="G24" s="1113">
        <f t="shared" si="1"/>
        <v>116</v>
      </c>
    </row>
    <row r="25" spans="1:7">
      <c r="A25" s="1112">
        <v>24</v>
      </c>
      <c r="B25" s="1325"/>
      <c r="C25" s="1326">
        <v>106</v>
      </c>
      <c r="D25" s="1326">
        <v>1</v>
      </c>
      <c r="E25" s="1326">
        <f t="shared" si="2"/>
        <v>52.970297029702969</v>
      </c>
      <c r="F25" s="1326">
        <v>628</v>
      </c>
      <c r="G25" s="1113">
        <f t="shared" si="1"/>
        <v>107</v>
      </c>
    </row>
    <row r="26" spans="1:7">
      <c r="A26" s="1112">
        <v>25</v>
      </c>
      <c r="B26" s="1325"/>
      <c r="C26" s="1326">
        <v>92</v>
      </c>
      <c r="D26" s="1326">
        <v>1</v>
      </c>
      <c r="E26" s="1326">
        <f t="shared" si="2"/>
        <v>46.039603960396036</v>
      </c>
      <c r="F26" s="1326">
        <v>326</v>
      </c>
      <c r="G26" s="1113">
        <f t="shared" si="1"/>
        <v>93</v>
      </c>
    </row>
    <row r="27" spans="1:7">
      <c r="A27" s="1112">
        <v>26</v>
      </c>
      <c r="B27" s="1325"/>
      <c r="C27" s="1326">
        <v>108</v>
      </c>
      <c r="D27" s="1326">
        <v>1</v>
      </c>
      <c r="E27" s="1326">
        <f t="shared" si="2"/>
        <v>53.960396039603957</v>
      </c>
      <c r="F27" s="1326">
        <v>408</v>
      </c>
      <c r="G27" s="1113">
        <f t="shared" si="1"/>
        <v>109</v>
      </c>
    </row>
    <row r="28" spans="1:7">
      <c r="A28" s="1112">
        <v>27</v>
      </c>
      <c r="B28" s="1325"/>
      <c r="C28" s="1326"/>
      <c r="D28" s="1326"/>
      <c r="E28" s="1326">
        <f t="shared" si="2"/>
        <v>0</v>
      </c>
      <c r="F28" s="1326"/>
      <c r="G28" s="1113">
        <f t="shared" si="1"/>
        <v>0</v>
      </c>
    </row>
    <row r="29" spans="1:7">
      <c r="A29" s="1112">
        <v>28</v>
      </c>
      <c r="B29" s="1325"/>
      <c r="C29" s="1326"/>
      <c r="D29" s="1326"/>
      <c r="E29" s="1326">
        <f t="shared" si="2"/>
        <v>0</v>
      </c>
      <c r="F29" s="1326"/>
      <c r="G29" s="1113">
        <f t="shared" si="1"/>
        <v>0</v>
      </c>
    </row>
    <row r="30" spans="1:7">
      <c r="A30" s="1112">
        <v>29</v>
      </c>
      <c r="B30" s="1325"/>
      <c r="C30" s="1326"/>
      <c r="D30" s="1326"/>
      <c r="E30" s="1326">
        <f t="shared" si="2"/>
        <v>0</v>
      </c>
      <c r="F30" s="1326"/>
      <c r="G30" s="1113">
        <f t="shared" si="1"/>
        <v>0</v>
      </c>
    </row>
    <row r="31" spans="1:7">
      <c r="A31" s="1112">
        <v>30</v>
      </c>
      <c r="B31" s="1326"/>
      <c r="C31" s="1326"/>
      <c r="D31" s="1326"/>
      <c r="E31" s="1326"/>
      <c r="F31" s="1326"/>
      <c r="G31" s="1112"/>
    </row>
    <row r="32" spans="1:7">
      <c r="A32" s="1112">
        <v>31</v>
      </c>
      <c r="B32" s="1326"/>
      <c r="C32" s="1326"/>
      <c r="D32" s="1326"/>
      <c r="E32" s="1326"/>
      <c r="F32" s="1326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5"/>
      <c r="C3" s="1156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6">
        <v>15</v>
      </c>
      <c r="S3" s="1156">
        <v>16</v>
      </c>
      <c r="T3" s="1156">
        <v>17</v>
      </c>
      <c r="U3" s="1156">
        <v>18</v>
      </c>
      <c r="V3" s="1156">
        <v>19</v>
      </c>
      <c r="W3" s="1156">
        <v>20</v>
      </c>
      <c r="X3" s="1156">
        <v>21</v>
      </c>
      <c r="Y3" s="1156">
        <v>22</v>
      </c>
      <c r="Z3" s="1156">
        <v>23</v>
      </c>
      <c r="AA3" s="1156">
        <v>24</v>
      </c>
      <c r="AB3" s="1156">
        <v>25</v>
      </c>
      <c r="AC3" s="1156">
        <v>26</v>
      </c>
      <c r="AD3" s="1156">
        <v>27</v>
      </c>
      <c r="AE3" s="1156">
        <v>28</v>
      </c>
      <c r="AF3" s="1156">
        <v>29</v>
      </c>
      <c r="AG3" s="1156">
        <v>30</v>
      </c>
      <c r="AH3" s="1156">
        <v>31</v>
      </c>
      <c r="AI3" s="1156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150</v>
      </c>
      <c r="Z5" s="526">
        <f>'23'!G18</f>
        <v>160</v>
      </c>
      <c r="AA5" s="526">
        <f>'24'!G18</f>
        <v>140</v>
      </c>
      <c r="AB5" s="526">
        <f>'25'!G18</f>
        <v>140</v>
      </c>
      <c r="AC5" s="526">
        <f>'26'!G18</f>
        <v>120</v>
      </c>
      <c r="AD5" s="526">
        <f>'27'!G18</f>
        <v>180</v>
      </c>
      <c r="AE5" s="526">
        <f>'28'!G18</f>
        <v>170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51</v>
      </c>
      <c r="Z6" s="526">
        <f>'23'!G19</f>
        <v>51</v>
      </c>
      <c r="AA6" s="526">
        <f>'24'!G19</f>
        <v>52</v>
      </c>
      <c r="AB6" s="526">
        <f>'25'!G19</f>
        <v>52</v>
      </c>
      <c r="AC6" s="526">
        <f>'26'!G19</f>
        <v>51</v>
      </c>
      <c r="AD6" s="526">
        <f>'27'!G19</f>
        <v>54</v>
      </c>
      <c r="AE6" s="526">
        <f>'28'!G19</f>
        <v>52</v>
      </c>
      <c r="AF6" s="526">
        <f>'29'!G19</f>
        <v>-1525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122</v>
      </c>
      <c r="Z7" s="526">
        <f>'23'!G92</f>
        <v>104</v>
      </c>
      <c r="AA7" s="526">
        <f>'24'!G92</f>
        <v>88</v>
      </c>
      <c r="AB7" s="526">
        <f>'25'!G92</f>
        <v>103</v>
      </c>
      <c r="AC7" s="526">
        <f>'26'!G92</f>
        <v>69</v>
      </c>
      <c r="AD7" s="526">
        <f>'27'!G92</f>
        <v>146</v>
      </c>
      <c r="AE7" s="526">
        <f>'28'!G92</f>
        <v>144</v>
      </c>
      <c r="AF7" s="526">
        <f>'29'!G92</f>
        <v>-3290</v>
      </c>
      <c r="AG7" s="526">
        <f>'30'!G92</f>
        <v>74</v>
      </c>
      <c r="AH7" s="526">
        <f>'31'!G92</f>
        <v>91</v>
      </c>
      <c r="AI7" s="524"/>
    </row>
    <row r="8" spans="2:35">
      <c r="B8" s="1404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107</v>
      </c>
      <c r="Z8" s="526">
        <f>'23'!G95</f>
        <v>101</v>
      </c>
      <c r="AA8" s="526">
        <f>'24'!G95</f>
        <v>71</v>
      </c>
      <c r="AB8" s="526">
        <f>'25'!G95</f>
        <v>103</v>
      </c>
      <c r="AC8" s="526">
        <f>'26'!G95</f>
        <v>79</v>
      </c>
      <c r="AD8" s="526">
        <f>'27'!G95</f>
        <v>85</v>
      </c>
      <c r="AE8" s="526">
        <f>'28'!G95</f>
        <v>90</v>
      </c>
      <c r="AF8" s="526">
        <f>'29'!G95</f>
        <v>-2403</v>
      </c>
      <c r="AG8" s="526">
        <f>'30'!G95</f>
        <v>54</v>
      </c>
      <c r="AH8" s="526">
        <f>'31'!G95</f>
        <v>69</v>
      </c>
      <c r="AI8" s="524"/>
    </row>
    <row r="9" spans="2:35">
      <c r="B9" s="1404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21</v>
      </c>
      <c r="Z9" s="526">
        <f>'23'!G96</f>
        <v>18</v>
      </c>
      <c r="AA9" s="526">
        <f>'24'!G96</f>
        <v>13</v>
      </c>
      <c r="AB9" s="526">
        <f>'25'!G96</f>
        <v>14</v>
      </c>
      <c r="AC9" s="526">
        <f>'26'!G96</f>
        <v>12</v>
      </c>
      <c r="AD9" s="526">
        <f>'27'!G96</f>
        <v>16</v>
      </c>
      <c r="AE9" s="526">
        <f>'28'!G96</f>
        <v>40</v>
      </c>
      <c r="AF9" s="526">
        <f>'29'!G96</f>
        <v>-862</v>
      </c>
      <c r="AG9" s="526">
        <f>'30'!G96</f>
        <v>38</v>
      </c>
      <c r="AH9" s="526">
        <f>'31'!G96</f>
        <v>26</v>
      </c>
      <c r="AI9" s="524"/>
    </row>
    <row r="10" spans="2:35">
      <c r="B10" s="1404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17</v>
      </c>
      <c r="Z10" s="526">
        <f>'23'!G97</f>
        <v>14</v>
      </c>
      <c r="AA10" s="526">
        <f>'24'!G97</f>
        <v>18</v>
      </c>
      <c r="AB10" s="526">
        <f>'25'!G97</f>
        <v>15</v>
      </c>
      <c r="AC10" s="526">
        <f>'26'!G97</f>
        <v>19</v>
      </c>
      <c r="AD10" s="526">
        <f>'27'!G97</f>
        <v>31</v>
      </c>
      <c r="AE10" s="526">
        <f>'28'!G97</f>
        <v>30</v>
      </c>
      <c r="AF10" s="526">
        <f>'29'!G97</f>
        <v>-824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404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71</v>
      </c>
      <c r="Z12" s="526">
        <f>'23'!G98</f>
        <v>82</v>
      </c>
      <c r="AA12" s="526">
        <f>'24'!G98</f>
        <v>94</v>
      </c>
      <c r="AB12" s="526">
        <f>'25'!G98</f>
        <v>108</v>
      </c>
      <c r="AC12" s="526">
        <f>'26'!G98</f>
        <v>129</v>
      </c>
      <c r="AD12" s="526">
        <f>'27'!G98</f>
        <v>62</v>
      </c>
      <c r="AE12" s="526">
        <f>'28'!G98</f>
        <v>69</v>
      </c>
      <c r="AF12" s="526">
        <f>'29'!G98</f>
        <v>-2186</v>
      </c>
      <c r="AG12" s="526">
        <f>'30'!G98</f>
        <v>57</v>
      </c>
      <c r="AH12" s="526">
        <f>'31'!G98</f>
        <v>75</v>
      </c>
      <c r="AI12" s="524"/>
    </row>
    <row r="13" spans="2:35">
      <c r="B13" s="1404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21</v>
      </c>
      <c r="Z13" s="526">
        <f>'23'!G114</f>
        <v>14</v>
      </c>
      <c r="AA13" s="526">
        <f>'24'!G114</f>
        <v>30</v>
      </c>
      <c r="AB13" s="526">
        <f>'25'!G114</f>
        <v>19</v>
      </c>
      <c r="AC13" s="526">
        <f>'26'!G114</f>
        <v>16</v>
      </c>
      <c r="AD13" s="526">
        <f>'27'!G114</f>
        <v>22</v>
      </c>
      <c r="AE13" s="526">
        <f>'28'!G114</f>
        <v>32</v>
      </c>
      <c r="AF13" s="526">
        <f>'29'!G114</f>
        <v>-554</v>
      </c>
      <c r="AG13" s="526">
        <f>'30'!G114</f>
        <v>13</v>
      </c>
      <c r="AH13" s="526">
        <f>'31'!G114</f>
        <v>20</v>
      </c>
      <c r="AI13" s="524"/>
    </row>
    <row r="14" spans="2:35">
      <c r="B14" s="1404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10</v>
      </c>
      <c r="Z14" s="526">
        <f>'23'!G115</f>
        <v>2</v>
      </c>
      <c r="AA14" s="526">
        <f>'24'!G115</f>
        <v>11</v>
      </c>
      <c r="AB14" s="526">
        <f>'25'!G115</f>
        <v>5</v>
      </c>
      <c r="AC14" s="526">
        <f>'26'!G115</f>
        <v>6</v>
      </c>
      <c r="AD14" s="526">
        <f>'27'!G115</f>
        <v>25</v>
      </c>
      <c r="AE14" s="526">
        <f>'28'!G115</f>
        <v>23</v>
      </c>
      <c r="AF14" s="526">
        <f>'29'!G115</f>
        <v>-252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404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8</v>
      </c>
      <c r="Z16" s="526">
        <f>'23'!G104</f>
        <v>10</v>
      </c>
      <c r="AA16" s="526">
        <f>'24'!G104</f>
        <v>10</v>
      </c>
      <c r="AB16" s="526">
        <f>'25'!G104</f>
        <v>0</v>
      </c>
      <c r="AC16" s="526">
        <f>'26'!G104</f>
        <v>3</v>
      </c>
      <c r="AD16" s="526">
        <f>'27'!G104</f>
        <v>0</v>
      </c>
      <c r="AE16" s="526">
        <f>'28'!G104</f>
        <v>0</v>
      </c>
      <c r="AF16" s="526">
        <f>'29'!G104</f>
        <v>-118</v>
      </c>
      <c r="AG16" s="526">
        <f>'30'!G104</f>
        <v>0</v>
      </c>
      <c r="AH16" s="526">
        <f>'31'!G104</f>
        <v>0</v>
      </c>
      <c r="AI16" s="524"/>
    </row>
    <row r="17" spans="2:35">
      <c r="B17" s="1404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12</v>
      </c>
      <c r="Z17" s="526">
        <f>'23'!G105</f>
        <v>13</v>
      </c>
      <c r="AA17" s="526">
        <f>'24'!G105</f>
        <v>9</v>
      </c>
      <c r="AB17" s="526">
        <f>'25'!G105</f>
        <v>6</v>
      </c>
      <c r="AC17" s="526">
        <f>'26'!G105</f>
        <v>9</v>
      </c>
      <c r="AD17" s="526">
        <f>'27'!G105</f>
        <v>8</v>
      </c>
      <c r="AE17" s="526">
        <f>'28'!G105</f>
        <v>9</v>
      </c>
      <c r="AF17" s="526">
        <f>'29'!G105</f>
        <v>-261</v>
      </c>
      <c r="AG17" s="526">
        <f>'30'!G105</f>
        <v>3</v>
      </c>
      <c r="AH17" s="526">
        <f>'31'!G105</f>
        <v>12</v>
      </c>
      <c r="AI17" s="524"/>
    </row>
    <row r="18" spans="2:35">
      <c r="B18" s="1404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5</v>
      </c>
      <c r="Z18" s="526">
        <f>'23'!G106</f>
        <v>6</v>
      </c>
      <c r="AA18" s="526">
        <f>'24'!G106</f>
        <v>5</v>
      </c>
      <c r="AB18" s="526">
        <f>'25'!G106</f>
        <v>4</v>
      </c>
      <c r="AC18" s="526">
        <f>'26'!G106</f>
        <v>6</v>
      </c>
      <c r="AD18" s="526">
        <f>'27'!G106</f>
        <v>6</v>
      </c>
      <c r="AE18" s="526">
        <f>'28'!G106</f>
        <v>6</v>
      </c>
      <c r="AF18" s="526">
        <f>'29'!G106</f>
        <v>-177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404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62</v>
      </c>
      <c r="Z20" s="526">
        <f>'23'!G109</f>
        <v>59</v>
      </c>
      <c r="AA20" s="526">
        <f>'24'!G109</f>
        <v>82</v>
      </c>
      <c r="AB20" s="526">
        <f>'25'!G109</f>
        <v>40</v>
      </c>
      <c r="AC20" s="526">
        <f>'26'!G109</f>
        <v>60</v>
      </c>
      <c r="AD20" s="526">
        <f>'27'!G109</f>
        <v>82</v>
      </c>
      <c r="AE20" s="526">
        <f>'28'!G109</f>
        <v>61</v>
      </c>
      <c r="AF20" s="526">
        <f>'29'!G109</f>
        <v>-1808</v>
      </c>
      <c r="AG20" s="526">
        <f>'30'!G109</f>
        <v>63</v>
      </c>
      <c r="AH20" s="526">
        <f>'31'!G109</f>
        <v>66</v>
      </c>
      <c r="AI20" s="524"/>
    </row>
    <row r="21" spans="2:35">
      <c r="B21" s="1404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70</v>
      </c>
      <c r="Z21" s="526">
        <f>'23'!G110</f>
        <v>89</v>
      </c>
      <c r="AA21" s="526">
        <f>'24'!G110</f>
        <v>41</v>
      </c>
      <c r="AB21" s="526">
        <f>'25'!G110</f>
        <v>148</v>
      </c>
      <c r="AC21" s="526">
        <f>'26'!G110</f>
        <v>123</v>
      </c>
      <c r="AD21" s="526">
        <f>'27'!G110</f>
        <v>95</v>
      </c>
      <c r="AE21" s="526">
        <f>'28'!G110</f>
        <v>49</v>
      </c>
      <c r="AF21" s="526">
        <f>'29'!G110</f>
        <v>-2144</v>
      </c>
      <c r="AG21" s="526">
        <f>'30'!G110</f>
        <v>91</v>
      </c>
      <c r="AH21" s="526">
        <f>'31'!G110</f>
        <v>67</v>
      </c>
      <c r="AI21" s="524"/>
    </row>
    <row r="22" spans="2:35">
      <c r="B22" s="1404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8</v>
      </c>
      <c r="Z22" s="526">
        <f>'23'!G111</f>
        <v>5</v>
      </c>
      <c r="AA22" s="526">
        <f>'24'!G111</f>
        <v>10</v>
      </c>
      <c r="AB22" s="526">
        <f>'25'!G111</f>
        <v>0</v>
      </c>
      <c r="AC22" s="526">
        <f>'26'!G111</f>
        <v>12</v>
      </c>
      <c r="AD22" s="526">
        <f>'27'!G111</f>
        <v>7</v>
      </c>
      <c r="AE22" s="526">
        <f>'28'!G111</f>
        <v>0</v>
      </c>
      <c r="AF22" s="526">
        <f>'29'!G111</f>
        <v>-254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176</v>
      </c>
      <c r="Z24" s="526">
        <f t="shared" si="0"/>
        <v>149</v>
      </c>
      <c r="AA24" s="526">
        <f t="shared" si="0"/>
        <v>143</v>
      </c>
      <c r="AB24" s="526">
        <f t="shared" si="0"/>
        <v>156</v>
      </c>
      <c r="AC24" s="526">
        <f t="shared" si="0"/>
        <v>132</v>
      </c>
      <c r="AD24" s="526">
        <f t="shared" si="0"/>
        <v>179</v>
      </c>
      <c r="AE24" s="526">
        <f t="shared" si="0"/>
        <v>215</v>
      </c>
      <c r="AF24" s="526">
        <f t="shared" si="0"/>
        <v>-4895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141</v>
      </c>
      <c r="Z26" s="526">
        <f t="shared" si="1"/>
        <v>146</v>
      </c>
      <c r="AA26" s="526">
        <f t="shared" si="1"/>
        <v>186</v>
      </c>
      <c r="AB26" s="526">
        <f t="shared" si="1"/>
        <v>148</v>
      </c>
      <c r="AC26" s="526">
        <f t="shared" si="1"/>
        <v>201</v>
      </c>
      <c r="AD26" s="526">
        <f t="shared" si="1"/>
        <v>151</v>
      </c>
      <c r="AE26" s="526">
        <f t="shared" si="1"/>
        <v>130</v>
      </c>
      <c r="AF26" s="526">
        <f t="shared" si="1"/>
        <v>-4248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86</v>
      </c>
      <c r="X28" s="1113">
        <f t="shared" si="3"/>
        <v>72</v>
      </c>
      <c r="Y28" s="1113">
        <f t="shared" si="3"/>
        <v>107</v>
      </c>
      <c r="Z28" s="1113">
        <f t="shared" si="3"/>
        <v>101</v>
      </c>
      <c r="AA28" s="1113">
        <f t="shared" si="3"/>
        <v>71</v>
      </c>
      <c r="AB28" s="1113">
        <f t="shared" si="3"/>
        <v>103</v>
      </c>
      <c r="AC28" s="1113">
        <f t="shared" si="3"/>
        <v>79</v>
      </c>
      <c r="AD28" s="1113">
        <f t="shared" si="3"/>
        <v>85</v>
      </c>
      <c r="AE28" s="1113">
        <f t="shared" si="3"/>
        <v>90</v>
      </c>
      <c r="AF28" s="1113">
        <f t="shared" si="3"/>
        <v>-2403</v>
      </c>
      <c r="AG28" s="1113">
        <f t="shared" si="3"/>
        <v>54</v>
      </c>
      <c r="AH28" s="1113">
        <f t="shared" si="3"/>
        <v>69</v>
      </c>
      <c r="AI28" s="1112"/>
    </row>
    <row r="29" spans="2:3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88</v>
      </c>
      <c r="X29" s="1113">
        <f t="shared" si="4"/>
        <v>88</v>
      </c>
      <c r="Y29" s="1113">
        <f t="shared" si="4"/>
        <v>69</v>
      </c>
      <c r="Z29" s="1113">
        <f t="shared" si="4"/>
        <v>48</v>
      </c>
      <c r="AA29" s="1113">
        <f t="shared" si="4"/>
        <v>72</v>
      </c>
      <c r="AB29" s="1113">
        <f t="shared" si="4"/>
        <v>53</v>
      </c>
      <c r="AC29" s="1113">
        <f t="shared" si="4"/>
        <v>53</v>
      </c>
      <c r="AD29" s="1113">
        <f t="shared" si="4"/>
        <v>94</v>
      </c>
      <c r="AE29" s="1113">
        <f t="shared" si="4"/>
        <v>125</v>
      </c>
      <c r="AF29" s="1113">
        <f t="shared" si="4"/>
        <v>-2492</v>
      </c>
      <c r="AG29" s="1113">
        <f t="shared" si="4"/>
        <v>80</v>
      </c>
      <c r="AH29" s="1113">
        <f t="shared" si="4"/>
        <v>81</v>
      </c>
      <c r="AI29" s="1112"/>
    </row>
    <row r="30" spans="2:3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50.574712643678161</v>
      </c>
      <c r="X30" s="1112">
        <f t="shared" si="5"/>
        <v>55</v>
      </c>
      <c r="Y30" s="1112">
        <f t="shared" si="5"/>
        <v>39.204545454545453</v>
      </c>
      <c r="Z30" s="1112">
        <f t="shared" si="5"/>
        <v>32.214765100671144</v>
      </c>
      <c r="AA30" s="1112">
        <f t="shared" si="5"/>
        <v>50.349650349650354</v>
      </c>
      <c r="AB30" s="1112">
        <f t="shared" si="5"/>
        <v>33.974358974358971</v>
      </c>
      <c r="AC30" s="1112">
        <f t="shared" si="5"/>
        <v>40.151515151515149</v>
      </c>
      <c r="AD30" s="1112">
        <f t="shared" si="5"/>
        <v>52.513966480446925</v>
      </c>
      <c r="AE30" s="1112">
        <f t="shared" si="5"/>
        <v>58.139534883720934</v>
      </c>
      <c r="AF30" s="1112">
        <f t="shared" si="5"/>
        <v>50.909090909090907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topLeftCell="A3" zoomScale="85" zoomScaleNormal="85" workbookViewId="0">
      <pane ySplit="2" topLeftCell="A5" activePane="bottomLeft" state="frozen"/>
      <selection activeCell="A3" sqref="A3"/>
      <selection pane="bottomLeft" activeCell="AF14" sqref="AF14"/>
    </sheetView>
  </sheetViews>
  <sheetFormatPr defaultRowHeight="15.75"/>
  <cols>
    <col min="1" max="1" width="8.88671875" style="1123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123" customWidth="1"/>
    <col min="29" max="47" width="7" style="1123" customWidth="1"/>
    <col min="48" max="16384" width="8.88671875" style="1123"/>
  </cols>
  <sheetData>
    <row r="1" spans="1:49" ht="16.5" thickBot="1">
      <c r="B1" s="1123"/>
      <c r="C1" s="1123"/>
      <c r="D1" s="1123"/>
      <c r="E1" s="1123"/>
      <c r="F1" s="1123"/>
      <c r="G1" s="1123"/>
      <c r="H1" s="1123"/>
      <c r="I1" s="1123"/>
    </row>
    <row r="2" spans="1:49">
      <c r="B2" s="1401" t="s">
        <v>20</v>
      </c>
      <c r="C2" s="1402"/>
      <c r="D2" s="1402"/>
      <c r="E2" s="1402"/>
      <c r="F2" s="1402"/>
      <c r="G2" s="1402"/>
      <c r="H2" s="1402"/>
      <c r="I2" s="1403"/>
      <c r="J2" s="1407" t="s">
        <v>88</v>
      </c>
      <c r="K2" s="1407"/>
      <c r="L2" s="1407"/>
      <c r="M2" s="1407"/>
      <c r="N2" s="1407"/>
      <c r="O2" s="1407"/>
      <c r="P2" s="1407"/>
      <c r="Q2" s="1407"/>
      <c r="R2" s="1407"/>
      <c r="S2" s="1407"/>
      <c r="T2" s="1407"/>
      <c r="U2" s="1407"/>
      <c r="V2" s="1407"/>
      <c r="W2" s="1407"/>
      <c r="X2" s="1407"/>
      <c r="Y2" s="1407"/>
      <c r="Z2" s="1407"/>
      <c r="AA2" s="1407"/>
      <c r="AB2" s="1407"/>
      <c r="AC2" s="1407"/>
      <c r="AD2" s="1407"/>
      <c r="AE2" s="1407"/>
      <c r="AF2" s="1407"/>
      <c r="AG2" s="1407"/>
      <c r="AH2" s="1407"/>
      <c r="AI2" s="1407"/>
      <c r="AJ2" s="1406"/>
      <c r="AK2" s="1406"/>
      <c r="AL2" s="1406"/>
      <c r="AM2" s="1406"/>
      <c r="AN2" s="1406"/>
      <c r="AO2" s="1406"/>
      <c r="AP2" s="1406"/>
      <c r="AQ2" s="1203"/>
      <c r="AR2" s="1405" t="s">
        <v>89</v>
      </c>
      <c r="AS2" s="1405"/>
      <c r="AT2" s="1405"/>
      <c r="AU2" s="1405"/>
    </row>
    <row r="3" spans="1:49">
      <c r="B3" s="1377"/>
      <c r="C3" s="477"/>
      <c r="D3" s="477"/>
      <c r="E3" s="477"/>
      <c r="F3" s="477"/>
      <c r="G3" s="477"/>
      <c r="H3" s="477"/>
      <c r="I3" s="1378"/>
      <c r="J3" s="1376"/>
      <c r="K3" s="1376"/>
      <c r="L3" s="1376"/>
      <c r="M3" s="1376"/>
      <c r="N3" s="1376"/>
      <c r="O3" s="1376"/>
      <c r="P3" s="1376"/>
      <c r="Q3" s="1376"/>
      <c r="R3" s="1376"/>
      <c r="S3" s="1376"/>
      <c r="T3" s="1376"/>
      <c r="U3" s="1376"/>
      <c r="V3" s="1376"/>
      <c r="W3" s="1379"/>
      <c r="X3" s="1379"/>
      <c r="Y3" s="1379"/>
      <c r="Z3" s="1379"/>
      <c r="AA3" s="1379"/>
      <c r="AB3" s="1379"/>
      <c r="AC3" s="1379"/>
      <c r="AD3" s="1379"/>
      <c r="AE3" s="1379"/>
      <c r="AF3" s="1379"/>
      <c r="AG3" s="1379"/>
      <c r="AH3" s="1379"/>
      <c r="AI3" s="1376"/>
      <c r="AJ3" s="1408" t="s">
        <v>140</v>
      </c>
      <c r="AK3" s="1408"/>
      <c r="AL3" s="1408"/>
      <c r="AM3" s="1408"/>
      <c r="AN3" s="1408"/>
      <c r="AO3" s="1408"/>
      <c r="AP3" s="1408"/>
      <c r="AQ3" s="1409" t="s">
        <v>344</v>
      </c>
      <c r="AR3" s="1409"/>
      <c r="AS3" s="1409"/>
      <c r="AT3" s="1409"/>
      <c r="AU3" s="1409"/>
    </row>
    <row r="4" spans="1:49" ht="34.5" customHeight="1">
      <c r="A4" s="1124"/>
      <c r="B4" s="1380" t="s">
        <v>345</v>
      </c>
      <c r="C4" s="1381" t="s">
        <v>346</v>
      </c>
      <c r="D4" s="1381" t="s">
        <v>347</v>
      </c>
      <c r="E4" s="1381" t="s">
        <v>348</v>
      </c>
      <c r="F4" s="1381" t="s">
        <v>343</v>
      </c>
      <c r="G4" s="1381" t="s">
        <v>53</v>
      </c>
      <c r="H4" s="1382" t="s">
        <v>62</v>
      </c>
      <c r="I4" s="1382" t="s">
        <v>55</v>
      </c>
      <c r="J4" s="1124" t="s">
        <v>90</v>
      </c>
      <c r="K4" s="1124" t="s">
        <v>91</v>
      </c>
      <c r="L4" s="1124" t="s">
        <v>106</v>
      </c>
      <c r="M4" s="1124" t="s">
        <v>349</v>
      </c>
      <c r="N4" s="1124" t="s">
        <v>350</v>
      </c>
      <c r="O4" s="1124" t="s">
        <v>351</v>
      </c>
      <c r="P4" s="1124" t="s">
        <v>352</v>
      </c>
      <c r="Q4" s="1124" t="s">
        <v>92</v>
      </c>
      <c r="R4" s="1124" t="s">
        <v>353</v>
      </c>
      <c r="S4" s="1124" t="s">
        <v>354</v>
      </c>
      <c r="T4" s="1124" t="s">
        <v>337</v>
      </c>
      <c r="U4" s="1124" t="s">
        <v>77</v>
      </c>
      <c r="V4" s="1124" t="s">
        <v>355</v>
      </c>
      <c r="W4" s="1125" t="s">
        <v>356</v>
      </c>
      <c r="X4" s="1125" t="s">
        <v>102</v>
      </c>
      <c r="Y4" s="1125" t="s">
        <v>96</v>
      </c>
      <c r="Z4" s="1125" t="s">
        <v>97</v>
      </c>
      <c r="AA4" s="472" t="s">
        <v>357</v>
      </c>
      <c r="AB4" s="473" t="s">
        <v>99</v>
      </c>
      <c r="AC4" s="473" t="s">
        <v>99</v>
      </c>
      <c r="AD4" s="473" t="s">
        <v>100</v>
      </c>
      <c r="AE4" s="473" t="s">
        <v>336</v>
      </c>
      <c r="AF4" s="473" t="s">
        <v>102</v>
      </c>
      <c r="AG4" s="473" t="s">
        <v>103</v>
      </c>
      <c r="AH4" s="473" t="s">
        <v>104</v>
      </c>
      <c r="AI4" s="1124" t="s">
        <v>201</v>
      </c>
      <c r="AJ4" s="1124" t="s">
        <v>358</v>
      </c>
      <c r="AK4" s="1124" t="s">
        <v>105</v>
      </c>
      <c r="AL4" s="1124" t="s">
        <v>106</v>
      </c>
      <c r="AM4" s="1124" t="s">
        <v>107</v>
      </c>
      <c r="AN4" s="1124" t="s">
        <v>108</v>
      </c>
      <c r="AO4" s="1124" t="s">
        <v>109</v>
      </c>
      <c r="AP4" s="1124" t="s">
        <v>359</v>
      </c>
      <c r="AQ4" s="1124" t="s">
        <v>105</v>
      </c>
      <c r="AR4" s="1124" t="s">
        <v>41</v>
      </c>
      <c r="AS4" s="1124" t="s">
        <v>42</v>
      </c>
      <c r="AT4" s="1124" t="s">
        <v>330</v>
      </c>
      <c r="AU4" s="1124" t="s">
        <v>110</v>
      </c>
    </row>
    <row r="5" spans="1:49">
      <c r="A5" s="1126">
        <v>43862</v>
      </c>
      <c r="B5" s="261">
        <f>SUM('1'!G35,'1'!G49)</f>
        <v>2996.0400000000081</v>
      </c>
      <c r="C5" s="261">
        <f>SUM('1'!H37,'1'!H51)</f>
        <v>1437.8300000000017</v>
      </c>
      <c r="D5" s="261">
        <f>SUM('1'!G38,'1'!G52)</f>
        <v>2015.0400000000373</v>
      </c>
      <c r="E5" s="261">
        <f>SUM('1'!G39,'1'!G53)</f>
        <v>4103.7600000000093</v>
      </c>
      <c r="F5" s="261">
        <f>SUM('1'!G41,'1'!G42,'1'!G55,'1'!G56)</f>
        <v>4366.5100000000239</v>
      </c>
      <c r="G5" s="261">
        <f>SUM('1'!G43,'1'!G57)</f>
        <v>2272.9599999999627</v>
      </c>
      <c r="H5" s="1127">
        <f>'1'!G50</f>
        <v>1021.359999999986</v>
      </c>
      <c r="I5" s="1127">
        <f>'1'!G36</f>
        <v>555.20000000001164</v>
      </c>
      <c r="J5" s="1127">
        <f>'1'!G72</f>
        <v>84</v>
      </c>
      <c r="K5" s="1127">
        <f>'1'!$G$73</f>
        <v>0</v>
      </c>
      <c r="L5" s="1127">
        <f>'1'!$G$74</f>
        <v>23</v>
      </c>
      <c r="M5" s="1127">
        <f>'1'!$G$75</f>
        <v>183</v>
      </c>
      <c r="N5" s="1127">
        <f>'1'!$G$76</f>
        <v>74</v>
      </c>
      <c r="O5" s="1127">
        <f>'1'!$G$77</f>
        <v>48</v>
      </c>
      <c r="P5" s="1127">
        <f>'1'!$G$78</f>
        <v>334</v>
      </c>
      <c r="Q5" s="1127">
        <f>'1'!$G$79</f>
        <v>205</v>
      </c>
      <c r="R5" s="1127">
        <f>'1'!$G$80</f>
        <v>308</v>
      </c>
      <c r="S5" s="1127">
        <f>'1'!$G$81</f>
        <v>76</v>
      </c>
      <c r="T5" s="1127">
        <f>'1'!$G$82</f>
        <v>45</v>
      </c>
      <c r="U5" s="1127">
        <f>'1'!$G$58</f>
        <v>174.52000000000044</v>
      </c>
      <c r="V5" s="1127">
        <f>'1'!$G$83</f>
        <v>433</v>
      </c>
      <c r="W5" s="1127">
        <f>'1'!G86</f>
        <v>124.35999999998603</v>
      </c>
      <c r="X5" s="1127">
        <f>'1'!G87</f>
        <v>31.399999999994179</v>
      </c>
      <c r="Y5" s="1127">
        <f>'1'!G88</f>
        <v>87</v>
      </c>
      <c r="Z5" s="1127">
        <f>'1'!G89+'1'!G90</f>
        <v>75.900000000002819</v>
      </c>
      <c r="AA5" s="1127">
        <f>'1'!$G$62</f>
        <v>0</v>
      </c>
      <c r="AB5" s="1127">
        <f>'1'!$G$63</f>
        <v>14.460000000000036</v>
      </c>
      <c r="AC5" s="1127">
        <f>'1'!$G$64</f>
        <v>445.6299999999901</v>
      </c>
      <c r="AD5" s="1127">
        <f>'1'!$G$65</f>
        <v>382.89999999999418</v>
      </c>
      <c r="AE5" s="1127">
        <f>'1'!$G$66</f>
        <v>390.09000000000015</v>
      </c>
      <c r="AF5" s="1127">
        <f>'1'!$G$67</f>
        <v>657.86000000001513</v>
      </c>
      <c r="AG5" s="1127">
        <f>'1'!$G$68</f>
        <v>327.79000000000087</v>
      </c>
      <c r="AH5" s="1127">
        <f>'1'!$G$69</f>
        <v>319.90000000000146</v>
      </c>
      <c r="AI5" s="1127">
        <f>'1'!$G$84</f>
        <v>521</v>
      </c>
      <c r="AJ5" s="1127">
        <f>'1'!$G$15</f>
        <v>797.95000000018626</v>
      </c>
      <c r="AK5" s="1127">
        <f>'1'!$G$123</f>
        <v>270.38000000000466</v>
      </c>
      <c r="AL5" s="1127">
        <f>'1'!$G$124</f>
        <v>0</v>
      </c>
      <c r="AM5" s="1127">
        <f>'1'!$G$125</f>
        <v>59</v>
      </c>
      <c r="AN5" s="1127">
        <f>'1'!$G$126</f>
        <v>28.200000000004366</v>
      </c>
      <c r="AO5" s="1127">
        <f>'1'!$G$127</f>
        <v>0</v>
      </c>
      <c r="AP5" s="1127">
        <f>AJ5-SUM(AK5:AO5)</f>
        <v>440.37000000017724</v>
      </c>
      <c r="AQ5" s="1127">
        <f>SUM('1'!G139:G140)</f>
        <v>7.9500000000000455</v>
      </c>
      <c r="AR5" s="1127">
        <f>'1'!$G$136</f>
        <v>7.8899999999994179</v>
      </c>
      <c r="AS5" s="1127">
        <f>'1'!$G$137</f>
        <v>0.40000000000145519</v>
      </c>
      <c r="AT5" s="1127">
        <f>'1'!$G$138</f>
        <v>0</v>
      </c>
      <c r="AU5" s="1124">
        <f>SUM(AR5:AT5)</f>
        <v>8.2900000000008731</v>
      </c>
    </row>
    <row r="6" spans="1:49">
      <c r="A6" s="1126">
        <v>43863</v>
      </c>
      <c r="B6" s="261">
        <f>SUM('2'!G35,'2'!G49)</f>
        <v>3058.9100000000035</v>
      </c>
      <c r="C6" s="261">
        <f>SUM('2'!G37,'2'!G51)</f>
        <v>1441.429999999993</v>
      </c>
      <c r="D6" s="261">
        <f>SUM('2'!G38,'2'!G52)</f>
        <v>2022.289999999979</v>
      </c>
      <c r="E6" s="261">
        <f>SUM('2'!G39,'2'!G53)</f>
        <v>4158.9699999999721</v>
      </c>
      <c r="F6" s="261">
        <f>SUM('2'!G41,'2'!G42,'2'!G55,'2'!G56)</f>
        <v>4172.5799999999945</v>
      </c>
      <c r="G6" s="261">
        <f>SUM('2'!G43,'2'!G57)</f>
        <v>2260.1300000000047</v>
      </c>
      <c r="H6" s="1127">
        <f>'2'!G50</f>
        <v>1036.3300000000163</v>
      </c>
      <c r="I6" s="1127">
        <f>'2'!G36</f>
        <v>621.34999999997672</v>
      </c>
      <c r="J6" s="1127">
        <f>'2'!G72</f>
        <v>84</v>
      </c>
      <c r="K6" s="1127">
        <f>'2'!$G$73</f>
        <v>0</v>
      </c>
      <c r="L6" s="1127">
        <f>'2'!$G$74</f>
        <v>27</v>
      </c>
      <c r="M6" s="1127">
        <f>'2'!$G$75</f>
        <v>184</v>
      </c>
      <c r="N6" s="1127">
        <f>'2'!$G$76</f>
        <v>73</v>
      </c>
      <c r="O6" s="1127">
        <f>'2'!$G$77</f>
        <v>59</v>
      </c>
      <c r="P6" s="1127">
        <f>'2'!$G$78</f>
        <v>380</v>
      </c>
      <c r="Q6" s="1127">
        <f>'2'!$G$79</f>
        <v>196</v>
      </c>
      <c r="R6" s="1127">
        <f>'2'!$G$80</f>
        <v>318</v>
      </c>
      <c r="S6" s="1117">
        <f>'2'!$G$81</f>
        <v>102</v>
      </c>
      <c r="T6" s="1117">
        <f>'2'!$G$82</f>
        <v>55</v>
      </c>
      <c r="U6" s="1117">
        <f>'2'!$G$58</f>
        <v>153.56999999999971</v>
      </c>
      <c r="V6" s="1117">
        <f>'2'!$G$83</f>
        <v>428</v>
      </c>
      <c r="W6" s="1117">
        <f>'2'!G86</f>
        <v>141.64000000001397</v>
      </c>
      <c r="X6" s="1127">
        <f>'2'!G87</f>
        <v>34.30000000000291</v>
      </c>
      <c r="Y6" s="1127">
        <f>'2'!G88</f>
        <v>54</v>
      </c>
      <c r="Z6" s="1127">
        <f>'2'!G89+'2'!G90</f>
        <v>95.19999999999709</v>
      </c>
      <c r="AA6" s="1127">
        <f>'2'!$G$62</f>
        <v>0</v>
      </c>
      <c r="AB6" s="1127">
        <f>'2'!$G$63</f>
        <v>15.009999999999991</v>
      </c>
      <c r="AC6" s="1127">
        <f>'2'!$G$64</f>
        <v>435.91000000000349</v>
      </c>
      <c r="AD6" s="1127">
        <f>'2'!$G$65</f>
        <v>377.99000000000524</v>
      </c>
      <c r="AE6" s="1127">
        <f>'2'!$G$66</f>
        <v>404.17000000000007</v>
      </c>
      <c r="AF6" s="1127">
        <f>'2'!$G$67</f>
        <v>670.60999999998603</v>
      </c>
      <c r="AG6" s="1127">
        <f>'2'!$G$68</f>
        <v>341.34999999999854</v>
      </c>
      <c r="AH6" s="1127">
        <f>'2'!$G$69</f>
        <v>310.38999999999942</v>
      </c>
      <c r="AI6" s="1127">
        <f>'2'!$G$84</f>
        <v>534</v>
      </c>
      <c r="AJ6" s="1127">
        <f>'2'!$G$15</f>
        <v>860.89999999990687</v>
      </c>
      <c r="AK6" s="1127">
        <f>'2'!$G$123</f>
        <v>258.21999999997206</v>
      </c>
      <c r="AL6" s="1127">
        <f>'2'!$G$124</f>
        <v>0</v>
      </c>
      <c r="AM6" s="1127">
        <f>'2'!$G$125</f>
        <v>62</v>
      </c>
      <c r="AN6" s="1127">
        <f>'2'!$G$126</f>
        <v>52.099999999998545</v>
      </c>
      <c r="AO6" s="1127">
        <f>'2'!$G$127</f>
        <v>3</v>
      </c>
      <c r="AP6" s="1127">
        <f t="shared" ref="AP6:AP35" si="0">AJ6-SUM(AK6:AO6)</f>
        <v>485.57999999993626</v>
      </c>
      <c r="AQ6" s="1127">
        <f>SUM('2'!G139:G140)</f>
        <v>7.6300000000001091</v>
      </c>
      <c r="AR6" s="1127">
        <f>'2'!$G$136</f>
        <v>8.7300000000032014</v>
      </c>
      <c r="AS6" s="1127">
        <f>'2'!$G$137</f>
        <v>0.18999999999869033</v>
      </c>
      <c r="AT6" s="1127">
        <f>'2'!$G$138</f>
        <v>0</v>
      </c>
      <c r="AU6" s="1124">
        <f t="shared" ref="AU6:AU35" si="1">SUM(AR6:AT6)</f>
        <v>8.9200000000018917</v>
      </c>
    </row>
    <row r="7" spans="1:49" s="1129" customFormat="1">
      <c r="A7" s="1126">
        <v>43864</v>
      </c>
      <c r="B7" s="261">
        <f>SUM('3'!G35,'3'!G49)</f>
        <v>2582.3299999999581</v>
      </c>
      <c r="C7" s="261">
        <f>SUM('3'!G37,'3'!G51)</f>
        <v>1532</v>
      </c>
      <c r="D7" s="261">
        <f>SUM('3'!G38,'3'!G52)</f>
        <v>1949</v>
      </c>
      <c r="E7" s="261">
        <f>SUM('3'!G39,'3'!G53)</f>
        <v>4269</v>
      </c>
      <c r="F7" s="261">
        <f>SUM('3'!G41,'3'!G42,'3'!G55,'3'!G56)</f>
        <v>4011</v>
      </c>
      <c r="G7" s="261">
        <f>SUM('3'!G43,'3'!G57)</f>
        <v>2293</v>
      </c>
      <c r="H7" s="1117">
        <f>'3'!G50</f>
        <v>1386</v>
      </c>
      <c r="I7" s="1117">
        <f>'3'!G36</f>
        <v>784</v>
      </c>
      <c r="J7" s="1117">
        <f>'3'!G72</f>
        <v>88</v>
      </c>
      <c r="K7" s="1117">
        <f>'3'!$G$73</f>
        <v>1</v>
      </c>
      <c r="L7" s="1117">
        <f>'3'!$G$74</f>
        <v>24</v>
      </c>
      <c r="M7" s="1117">
        <f>'3'!$G$75</f>
        <v>192</v>
      </c>
      <c r="N7" s="1117">
        <f>'3'!$G$76</f>
        <v>89</v>
      </c>
      <c r="O7" s="1117">
        <f>'3'!$G$77</f>
        <v>47</v>
      </c>
      <c r="P7" s="1117">
        <f>'3'!$G$78</f>
        <v>425</v>
      </c>
      <c r="Q7" s="1117">
        <f>'3'!$G$79</f>
        <v>203</v>
      </c>
      <c r="R7" s="1117">
        <f>'3'!$G$80</f>
        <v>327</v>
      </c>
      <c r="S7" s="1117">
        <f>'3'!$G$81</f>
        <v>104</v>
      </c>
      <c r="T7" s="1117">
        <f>'3'!$G$82</f>
        <v>41</v>
      </c>
      <c r="U7" s="1117">
        <f>'3'!$G$58</f>
        <v>170</v>
      </c>
      <c r="V7" s="1117">
        <f>'3'!$G$83</f>
        <v>394</v>
      </c>
      <c r="W7" s="1127">
        <f>'3'!G86</f>
        <v>146</v>
      </c>
      <c r="X7" s="1127">
        <f>'1'!G87</f>
        <v>31.399999999994179</v>
      </c>
      <c r="Y7" s="1127">
        <f>'3'!G88</f>
        <v>63</v>
      </c>
      <c r="Z7" s="1127">
        <f>'3'!G89+'3'!G90</f>
        <v>66</v>
      </c>
      <c r="AA7" s="1117">
        <f>'3'!$G$62</f>
        <v>0</v>
      </c>
      <c r="AB7" s="1117">
        <f>'3'!$G$63</f>
        <v>15</v>
      </c>
      <c r="AC7" s="1117">
        <f>'3'!$G$64</f>
        <v>418</v>
      </c>
      <c r="AD7" s="1117">
        <f>'3'!$G$65</f>
        <v>374</v>
      </c>
      <c r="AE7" s="1117">
        <f>'3'!$G$66</f>
        <v>419</v>
      </c>
      <c r="AF7" s="864">
        <f>'3'!$G$67</f>
        <v>725</v>
      </c>
      <c r="AG7" s="864">
        <f>'3'!$G$68</f>
        <v>331</v>
      </c>
      <c r="AH7" s="1117">
        <f>'3'!$G$69</f>
        <v>313</v>
      </c>
      <c r="AI7" s="1117">
        <f>'3'!$G$84</f>
        <v>457</v>
      </c>
      <c r="AJ7" s="1117">
        <f>'3'!$G$15</f>
        <v>873</v>
      </c>
      <c r="AK7" s="1117">
        <f>'3'!$G$123</f>
        <v>265</v>
      </c>
      <c r="AL7" s="1117">
        <f>'3'!$G$124</f>
        <v>0</v>
      </c>
      <c r="AM7" s="1117">
        <f>'3'!$G$125</f>
        <v>83</v>
      </c>
      <c r="AN7" s="1117">
        <f>'3'!$G$126</f>
        <v>57</v>
      </c>
      <c r="AO7" s="1117">
        <f>'3'!$G$127</f>
        <v>4</v>
      </c>
      <c r="AP7" s="1117">
        <f t="shared" si="0"/>
        <v>464</v>
      </c>
      <c r="AQ7" s="1127">
        <f>SUM('3'!G139:G140)</f>
        <v>7.7799999999999727</v>
      </c>
      <c r="AR7" s="1117">
        <f>'3'!$G$136</f>
        <v>3.4199999999982538</v>
      </c>
      <c r="AS7" s="1117">
        <f>'3'!$G$137</f>
        <v>4.4700000000011642</v>
      </c>
      <c r="AT7" s="1117">
        <f>'3'!$G$138</f>
        <v>0</v>
      </c>
      <c r="AU7" s="1128">
        <f t="shared" si="1"/>
        <v>7.8899999999994179</v>
      </c>
    </row>
    <row r="8" spans="1:49">
      <c r="A8" s="1126">
        <v>43865</v>
      </c>
      <c r="B8" s="261">
        <f>SUM('4'!G35,'4'!G49)</f>
        <v>2607</v>
      </c>
      <c r="C8" s="261">
        <f>SUM('4'!G37,'4'!G51)</f>
        <v>1509</v>
      </c>
      <c r="D8" s="261">
        <f>SUM('4'!G38,'4'!G52)</f>
        <v>1911.12</v>
      </c>
      <c r="E8" s="261">
        <f>SUM('4'!G39,'4'!G53)</f>
        <v>4148</v>
      </c>
      <c r="F8" s="261">
        <f>SUM('4'!G41,'4'!G42,'4'!G55,'4'!G56)</f>
        <v>3732.8999999999505</v>
      </c>
      <c r="G8" s="261">
        <f>SUM('4'!G43,'4'!G57)</f>
        <v>2251</v>
      </c>
      <c r="H8" s="1127">
        <f>'4'!G50</f>
        <v>1085</v>
      </c>
      <c r="I8" s="1127">
        <f>'4'!G36</f>
        <v>594</v>
      </c>
      <c r="J8" s="1127">
        <f>'4'!G72</f>
        <v>83</v>
      </c>
      <c r="K8" s="1127">
        <f>'4'!$G$73</f>
        <v>0</v>
      </c>
      <c r="L8" s="1127">
        <f>'4'!$G$74</f>
        <v>32</v>
      </c>
      <c r="M8" s="1127">
        <f>'4'!$G$74</f>
        <v>32</v>
      </c>
      <c r="N8" s="1127">
        <f>'4'!$G$76</f>
        <v>87</v>
      </c>
      <c r="O8" s="1127">
        <f>'4'!$G$77</f>
        <v>71</v>
      </c>
      <c r="P8" s="1127">
        <f>'4'!$G$78</f>
        <v>432</v>
      </c>
      <c r="Q8" s="1127">
        <f>'4'!$G$79</f>
        <v>193</v>
      </c>
      <c r="R8" s="1117">
        <f>'4'!$G$80</f>
        <v>310</v>
      </c>
      <c r="S8" s="1117">
        <f>'4'!$G$81</f>
        <v>95</v>
      </c>
      <c r="T8" s="1127">
        <f>'4'!$G$82</f>
        <v>28</v>
      </c>
      <c r="U8" s="1127">
        <f>'4'!$G$58</f>
        <v>179</v>
      </c>
      <c r="V8" s="1127">
        <f>'4'!$G$83</f>
        <v>418</v>
      </c>
      <c r="W8" s="1127">
        <f>'4'!G86</f>
        <v>133</v>
      </c>
      <c r="X8" s="1127">
        <f>'4'!G87</f>
        <v>29</v>
      </c>
      <c r="Y8" s="1127">
        <f>'4'!G88</f>
        <v>75</v>
      </c>
      <c r="Z8" s="1127">
        <f>'4'!G89+'4'!G90</f>
        <v>83</v>
      </c>
      <c r="AA8" s="1127">
        <f>'4'!$G$62</f>
        <v>-1.0000000002037268E-3</v>
      </c>
      <c r="AB8" s="1127">
        <f>'4'!$G$63</f>
        <v>14</v>
      </c>
      <c r="AC8" s="1127">
        <f>'4'!$G$64</f>
        <v>419</v>
      </c>
      <c r="AD8" s="1127">
        <f>'4'!$G$65</f>
        <v>371</v>
      </c>
      <c r="AE8" s="1127">
        <f>'4'!$G$66</f>
        <v>396</v>
      </c>
      <c r="AF8" s="1127">
        <f>'4'!$G$67</f>
        <v>701</v>
      </c>
      <c r="AG8" s="1127">
        <f>'4'!$G$68</f>
        <v>343</v>
      </c>
      <c r="AH8" s="1127">
        <f>'4'!$G$69</f>
        <v>296</v>
      </c>
      <c r="AI8" s="1127">
        <f>'4'!$G$84</f>
        <v>474</v>
      </c>
      <c r="AJ8" s="1127">
        <f>'4'!$G$15</f>
        <v>796</v>
      </c>
      <c r="AK8" s="1127">
        <f>'4'!$G$123</f>
        <v>275</v>
      </c>
      <c r="AL8" s="1127">
        <f>'4'!$G$124</f>
        <v>0</v>
      </c>
      <c r="AM8" s="1127">
        <f>'4'!$G$125</f>
        <v>68</v>
      </c>
      <c r="AN8" s="1127">
        <f>'4'!$G$126</f>
        <v>32</v>
      </c>
      <c r="AO8" s="1127">
        <f>'4'!$G$127</f>
        <v>1</v>
      </c>
      <c r="AP8" s="1127">
        <f t="shared" si="0"/>
        <v>420</v>
      </c>
      <c r="AQ8" s="1127">
        <f>SUM('4'!G139:G140)</f>
        <v>8.0499999999999545</v>
      </c>
      <c r="AR8" s="1127">
        <f>'4'!$G$136</f>
        <v>5.2299999999995634</v>
      </c>
      <c r="AS8" s="1127">
        <f>'4'!$G$137</f>
        <v>2.1699999999982538</v>
      </c>
      <c r="AT8" s="1127">
        <f>'4'!$G$138</f>
        <v>0</v>
      </c>
      <c r="AU8" s="1124">
        <f t="shared" si="1"/>
        <v>7.3999999999978172</v>
      </c>
    </row>
    <row r="9" spans="1:49">
      <c r="A9" s="1126">
        <v>43866</v>
      </c>
      <c r="B9" s="261">
        <f>SUM('5'!G35,'5'!G49)</f>
        <v>2649</v>
      </c>
      <c r="C9" s="261">
        <f>SUM('5'!G37,'5'!G51)</f>
        <v>1458</v>
      </c>
      <c r="D9" s="261">
        <f>SUM('5'!G38,'5'!G52)</f>
        <v>2075</v>
      </c>
      <c r="E9" s="261">
        <f>SUM('5'!G39,'5'!G53)</f>
        <v>4228</v>
      </c>
      <c r="F9" s="261">
        <f>SUM('5'!G41,'5'!G42,'5'!G55,'5'!G56)</f>
        <v>3652</v>
      </c>
      <c r="G9" s="261">
        <f>SUM('5'!G43,'5'!G57)</f>
        <v>2265</v>
      </c>
      <c r="H9" s="1127">
        <f>'5'!G50</f>
        <v>1105</v>
      </c>
      <c r="I9" s="1127">
        <f>'5'!G36</f>
        <v>564</v>
      </c>
      <c r="J9" s="1127">
        <f>'5'!G72</f>
        <v>70</v>
      </c>
      <c r="K9" s="1127">
        <f>'5'!$G$73</f>
        <v>1</v>
      </c>
      <c r="L9" s="1127">
        <f>'5'!$G$74</f>
        <v>28</v>
      </c>
      <c r="M9" s="1138">
        <f>'5'!$G$75</f>
        <v>173</v>
      </c>
      <c r="N9" s="1127">
        <f>'5'!$G$76</f>
        <v>84</v>
      </c>
      <c r="O9" s="1117">
        <f>'5'!$G$77</f>
        <v>82</v>
      </c>
      <c r="P9" s="1137">
        <f>'5'!$G$78</f>
        <v>399</v>
      </c>
      <c r="Q9" s="1137">
        <f>'5'!$G$79</f>
        <v>193</v>
      </c>
      <c r="R9" s="1130">
        <f>'5'!$G$80</f>
        <v>310</v>
      </c>
      <c r="S9" s="1137">
        <f>'5'!$G$81</f>
        <v>100</v>
      </c>
      <c r="T9" s="1127">
        <f>'5'!$G$82</f>
        <v>22</v>
      </c>
      <c r="U9" s="1127">
        <f>'5'!$G$58</f>
        <v>143</v>
      </c>
      <c r="V9" s="1127">
        <f>'5'!$G$83</f>
        <v>503</v>
      </c>
      <c r="W9" s="1137">
        <f>'5'!G86</f>
        <v>112</v>
      </c>
      <c r="X9" s="1127">
        <f>'5'!G87</f>
        <v>33</v>
      </c>
      <c r="Y9" s="1127">
        <f>'5'!G88</f>
        <v>64</v>
      </c>
      <c r="Z9" s="1127">
        <f>'5'!G89+'5'!G90</f>
        <v>104</v>
      </c>
      <c r="AA9" s="1127">
        <f>'5'!$G$62</f>
        <v>-0.18799999999828287</v>
      </c>
      <c r="AB9" s="1127">
        <f>'5'!$G$63</f>
        <v>15</v>
      </c>
      <c r="AC9" s="1127">
        <f>'5'!$G$64</f>
        <v>452</v>
      </c>
      <c r="AD9" s="1127">
        <f>'5'!$G$65</f>
        <v>370</v>
      </c>
      <c r="AE9" s="1127">
        <f>'5'!$G$66</f>
        <v>388</v>
      </c>
      <c r="AF9" s="1127">
        <f>'5'!$G$67</f>
        <v>710</v>
      </c>
      <c r="AG9" s="1127">
        <f>'5'!$G$68</f>
        <v>344</v>
      </c>
      <c r="AH9" s="1127">
        <f>'5'!$G$69</f>
        <v>297</v>
      </c>
      <c r="AI9" s="1127">
        <f>'5'!$G$84</f>
        <v>467</v>
      </c>
      <c r="AJ9" s="1137">
        <f>'5'!$G$15</f>
        <v>778</v>
      </c>
      <c r="AK9" s="1127">
        <f>'5'!$G$123</f>
        <v>269</v>
      </c>
      <c r="AL9" s="1127">
        <f>'5'!$G$124</f>
        <v>0</v>
      </c>
      <c r="AM9" s="1127">
        <f>'5'!$G$125</f>
        <v>77</v>
      </c>
      <c r="AN9" s="1127">
        <f>'5'!$G$126</f>
        <v>30</v>
      </c>
      <c r="AO9" s="1127">
        <f>'5'!$G$127</f>
        <v>5</v>
      </c>
      <c r="AP9" s="1127">
        <f t="shared" si="0"/>
        <v>397</v>
      </c>
      <c r="AQ9" s="1127">
        <f>SUM('5'!G139:G140)</f>
        <v>7.3800000000001091</v>
      </c>
      <c r="AR9" s="1127">
        <f>'5'!$G$136</f>
        <v>5.9900000000016007</v>
      </c>
      <c r="AS9" s="1127">
        <f>'5'!$G$137</f>
        <v>0.61000000000058208</v>
      </c>
      <c r="AT9" s="1127">
        <f>'5'!$G$138</f>
        <v>0</v>
      </c>
      <c r="AU9" s="1124">
        <f t="shared" si="1"/>
        <v>6.6000000000021828</v>
      </c>
    </row>
    <row r="10" spans="1:49">
      <c r="A10" s="1126">
        <v>43867</v>
      </c>
      <c r="B10" s="261">
        <f>SUM('6'!G35,'6'!G49)</f>
        <v>2648</v>
      </c>
      <c r="C10" s="261">
        <f>SUM('6'!G37,'6'!G51)</f>
        <v>1509</v>
      </c>
      <c r="D10" s="261">
        <f>SUM('6'!G38,'6'!G52)</f>
        <v>2000</v>
      </c>
      <c r="E10" s="261">
        <f>SUM('6'!G39,'6'!G53)</f>
        <v>4153</v>
      </c>
      <c r="F10" s="261">
        <f>SUM('6'!G41,'6'!G42,'6'!G55,'6'!G56)</f>
        <v>3905</v>
      </c>
      <c r="G10" s="261">
        <f>SUM('6'!G43,'6'!G57)</f>
        <v>2282</v>
      </c>
      <c r="H10" s="1127">
        <f>'6'!G50</f>
        <v>1480</v>
      </c>
      <c r="I10" s="1127">
        <f>'6'!G36</f>
        <v>729</v>
      </c>
      <c r="J10" s="1127">
        <f>'6'!G72</f>
        <v>67</v>
      </c>
      <c r="K10" s="1127">
        <f>'6'!$G$73</f>
        <v>0</v>
      </c>
      <c r="L10" s="1127">
        <f>'6'!$G$74</f>
        <v>30</v>
      </c>
      <c r="M10" s="1127">
        <f>'6'!$G$75</f>
        <v>171</v>
      </c>
      <c r="N10" s="1127">
        <f>'6'!$G$76</f>
        <v>81</v>
      </c>
      <c r="O10" s="1127">
        <f>'6'!$G$77</f>
        <v>64</v>
      </c>
      <c r="P10" s="1117">
        <f>'6'!$G$78</f>
        <v>468</v>
      </c>
      <c r="Q10" s="1117">
        <f>'6'!$G$79</f>
        <v>203</v>
      </c>
      <c r="R10" s="1117">
        <f>'6'!$G$80</f>
        <v>308</v>
      </c>
      <c r="S10" s="1117">
        <f>'6'!$G$81</f>
        <v>104</v>
      </c>
      <c r="T10" s="1117">
        <f>'6'!$G$82</f>
        <v>21</v>
      </c>
      <c r="U10" s="1117">
        <f>'6'!$G$58</f>
        <v>158</v>
      </c>
      <c r="V10" s="1117">
        <f>'6'!$G$83</f>
        <v>485</v>
      </c>
      <c r="W10" s="1117">
        <f>'6'!G86</f>
        <v>159</v>
      </c>
      <c r="X10" s="1117">
        <f>'6'!G87</f>
        <v>20</v>
      </c>
      <c r="Y10" s="1117">
        <f>'6'!G88</f>
        <v>63</v>
      </c>
      <c r="Z10" s="1117">
        <f>'6'!G89+'6'!G90</f>
        <v>51</v>
      </c>
      <c r="AA10" s="1127">
        <f>'6'!$G$62</f>
        <v>0</v>
      </c>
      <c r="AB10" s="1127">
        <f>'6'!$G$63</f>
        <v>14</v>
      </c>
      <c r="AC10" s="1127">
        <f>'6'!$G$64</f>
        <v>405</v>
      </c>
      <c r="AD10" s="1127">
        <f>'6'!$G$65</f>
        <v>367</v>
      </c>
      <c r="AE10" s="1127">
        <f>'6'!$G$66</f>
        <v>393</v>
      </c>
      <c r="AF10" s="1127">
        <f>'6'!$G$67</f>
        <v>715</v>
      </c>
      <c r="AG10" s="1127">
        <f>'6'!$G$68</f>
        <v>355</v>
      </c>
      <c r="AH10" s="1127">
        <f>'6'!$G$69</f>
        <v>280</v>
      </c>
      <c r="AI10" s="1127">
        <f>'6'!$G$84</f>
        <v>477</v>
      </c>
      <c r="AJ10" s="1127">
        <f>'6'!$G$15</f>
        <v>814</v>
      </c>
      <c r="AK10" s="1165">
        <f>'6'!$G$123</f>
        <v>288</v>
      </c>
      <c r="AL10" s="1127">
        <f>'6'!$G$124</f>
        <v>0</v>
      </c>
      <c r="AM10" s="1127">
        <f>'6'!$G$125</f>
        <v>63</v>
      </c>
      <c r="AN10" s="1127">
        <f>'6'!$G$126</f>
        <v>43</v>
      </c>
      <c r="AO10" s="1127">
        <f>'6'!$G$127</f>
        <v>3</v>
      </c>
      <c r="AP10" s="1127">
        <f t="shared" si="0"/>
        <v>417</v>
      </c>
      <c r="AQ10" s="1127">
        <f>SUM('6'!G139:G140)</f>
        <v>8.9899999999997817</v>
      </c>
      <c r="AR10" s="1127">
        <f>'6'!$G$136</f>
        <v>4.7999999999992724</v>
      </c>
      <c r="AS10" s="1127">
        <f>'6'!$G$137</f>
        <v>2.25</v>
      </c>
      <c r="AT10" s="1127">
        <f>'6'!$G$138</f>
        <v>0</v>
      </c>
      <c r="AU10" s="1124">
        <f t="shared" si="1"/>
        <v>7.0499999999992724</v>
      </c>
    </row>
    <row r="11" spans="1:49">
      <c r="A11" s="1126">
        <v>43868</v>
      </c>
      <c r="B11" s="261">
        <f>SUM('7'!G35,'7'!G49)</f>
        <v>2499.6700000000128</v>
      </c>
      <c r="C11" s="261">
        <f>SUM('7'!G37,'7'!G51)</f>
        <v>1427</v>
      </c>
      <c r="D11" s="261">
        <f>SUM('7'!G38,'7'!G52)</f>
        <v>2118</v>
      </c>
      <c r="E11" s="261">
        <f>SUM('7'!G39,'7'!G53)</f>
        <v>4176</v>
      </c>
      <c r="F11" s="261">
        <f>SUM('7'!G41,'7'!G42,'7'!G55,'7'!G56)</f>
        <v>3495.9800000000032</v>
      </c>
      <c r="G11" s="261">
        <f>SUM('7'!G43,'7'!G57)</f>
        <v>2319</v>
      </c>
      <c r="H11" s="1127">
        <f>'7'!G50</f>
        <v>1109</v>
      </c>
      <c r="I11" s="1127">
        <f>'7'!G36</f>
        <v>577.80999999999767</v>
      </c>
      <c r="J11" s="1127">
        <f>'7'!G72</f>
        <v>82</v>
      </c>
      <c r="K11" s="1127">
        <f>'7'!$G$73</f>
        <v>0</v>
      </c>
      <c r="L11" s="1127">
        <f>'7'!$G$74</f>
        <v>24</v>
      </c>
      <c r="M11" s="1127">
        <f>'7'!$G$75</f>
        <v>179</v>
      </c>
      <c r="N11" s="1127">
        <f>'7'!$G$76</f>
        <v>87</v>
      </c>
      <c r="O11" s="1127">
        <f>'7'!$G$77</f>
        <v>51</v>
      </c>
      <c r="P11" s="1117">
        <f>'7'!$G$78</f>
        <v>458</v>
      </c>
      <c r="Q11" s="1117">
        <f>'7'!$G$79</f>
        <v>194</v>
      </c>
      <c r="R11" s="1117">
        <f>'7'!$G$80</f>
        <v>317</v>
      </c>
      <c r="S11" s="1117">
        <f>'7'!$G$81</f>
        <v>103</v>
      </c>
      <c r="T11" s="1117">
        <f>'7'!$G$82</f>
        <v>26</v>
      </c>
      <c r="U11" s="1117">
        <f>'7'!$G$58</f>
        <v>169</v>
      </c>
      <c r="V11" s="1130">
        <f>'7'!$G$83</f>
        <v>481</v>
      </c>
      <c r="W11" s="1153">
        <f>'7'!G86</f>
        <v>114</v>
      </c>
      <c r="X11" s="1117">
        <f>'7'!G87</f>
        <v>0.5</v>
      </c>
      <c r="Y11" s="1117">
        <f>'7'!G88</f>
        <v>30</v>
      </c>
      <c r="Z11" s="1117">
        <f>'7'!G89+'7'!G90</f>
        <v>49</v>
      </c>
      <c r="AA11" s="1127">
        <f>'7'!$G$62</f>
        <v>0</v>
      </c>
      <c r="AB11" s="1127">
        <f>'7'!$G$63</f>
        <v>14</v>
      </c>
      <c r="AC11" s="1127">
        <f>'7'!$G$64</f>
        <v>374.60000000000582</v>
      </c>
      <c r="AD11" s="1127">
        <f>'7'!$G$65</f>
        <v>378.66999999999825</v>
      </c>
      <c r="AE11" s="1127">
        <f>'7'!$G$66</f>
        <v>409</v>
      </c>
      <c r="AF11" s="1127">
        <f>'7'!$G$67</f>
        <v>727.98999999999069</v>
      </c>
      <c r="AG11" s="1130">
        <f>'7'!$G$68</f>
        <v>330</v>
      </c>
      <c r="AH11" s="1127">
        <f>'7'!$G$69</f>
        <v>310</v>
      </c>
      <c r="AI11" s="1127">
        <f>'7'!$G$84</f>
        <v>466</v>
      </c>
      <c r="AJ11" s="1127">
        <f>'7'!$G$15</f>
        <v>844.44999999995343</v>
      </c>
      <c r="AK11" s="1165">
        <f>'7'!$G$123</f>
        <v>296</v>
      </c>
      <c r="AL11" s="1127">
        <f>'7'!$G$124</f>
        <v>1.3999999999941792</v>
      </c>
      <c r="AM11" s="1127">
        <f>'7'!$G$125</f>
        <v>60.970000000001164</v>
      </c>
      <c r="AN11" s="1127">
        <f>'7'!$G$126</f>
        <v>40</v>
      </c>
      <c r="AO11" s="1127">
        <f>'7'!$G$127</f>
        <v>2</v>
      </c>
      <c r="AP11" s="1127">
        <f t="shared" si="0"/>
        <v>444.07999999995809</v>
      </c>
      <c r="AQ11" s="1127">
        <f>SUM('7'!G139:G140)</f>
        <v>8.6300000000001091</v>
      </c>
      <c r="AR11" s="1127">
        <f>'7'!$G$136</f>
        <v>7.9199999999982538</v>
      </c>
      <c r="AS11" s="1127">
        <f>'7'!$G$137</f>
        <v>-2.9999999998835847E-2</v>
      </c>
      <c r="AT11" s="1127">
        <f>'7'!$G$138</f>
        <v>0</v>
      </c>
      <c r="AU11" s="1124">
        <f t="shared" si="1"/>
        <v>7.8899999999994179</v>
      </c>
    </row>
    <row r="12" spans="1:49">
      <c r="A12" s="1126">
        <v>43869</v>
      </c>
      <c r="B12" s="261">
        <f>SUM('8'!G35,'8'!G49)</f>
        <v>2518.2400000000198</v>
      </c>
      <c r="C12" s="261">
        <f>SUM('8'!G37,'8'!G51)</f>
        <v>1776.1899999999982</v>
      </c>
      <c r="D12" s="261">
        <f>SUM('8'!G38,'8'!G52)</f>
        <v>2039.630000000021</v>
      </c>
      <c r="E12" s="261">
        <f>SUM('8'!G39,'8'!G53)</f>
        <v>4170.2900000000091</v>
      </c>
      <c r="F12" s="261">
        <f>SUM('8'!G41,'8'!G42,'8'!G55,'8'!G56)</f>
        <v>3857.8899999999994</v>
      </c>
      <c r="G12" s="261">
        <f>SUM('8'!G43,'8'!G57)</f>
        <v>2339.6700000000419</v>
      </c>
      <c r="H12" s="1127">
        <f>'8'!G50</f>
        <v>1081</v>
      </c>
      <c r="I12" s="1127">
        <f>'8'!G36</f>
        <v>628.59999999997672</v>
      </c>
      <c r="J12" s="1127">
        <f>'8'!G72</f>
        <v>67</v>
      </c>
      <c r="K12" s="1127">
        <f>'8'!$G$73</f>
        <v>0</v>
      </c>
      <c r="L12" s="1127">
        <f>'8'!$G$74</f>
        <v>23</v>
      </c>
      <c r="M12" s="1127">
        <f>'8'!$G$75</f>
        <v>178</v>
      </c>
      <c r="N12" s="1127">
        <f>'8'!$G$76</f>
        <v>95</v>
      </c>
      <c r="O12" s="1127">
        <f>'8'!$G$77</f>
        <v>49</v>
      </c>
      <c r="P12" s="1117">
        <f>'8'!$G$78</f>
        <v>413</v>
      </c>
      <c r="Q12" s="1117">
        <f>'8'!$G$79</f>
        <v>170</v>
      </c>
      <c r="R12" s="1117">
        <f>'8'!$G$80</f>
        <v>264.96000000002095</v>
      </c>
      <c r="S12" s="1117">
        <f>'8'!$G$81</f>
        <v>89</v>
      </c>
      <c r="T12" s="1117">
        <f>'8'!$G$82</f>
        <v>24.80000000000291</v>
      </c>
      <c r="U12" s="1117">
        <f>'8'!$G$58</f>
        <v>201.56000000000131</v>
      </c>
      <c r="V12" s="1117">
        <f>'8'!$G$83</f>
        <v>484</v>
      </c>
      <c r="W12" s="1117">
        <f>'8'!G86</f>
        <v>131</v>
      </c>
      <c r="X12" s="1117">
        <f>'8'!G87</f>
        <v>32</v>
      </c>
      <c r="Y12" s="1117">
        <f>'8'!G88</f>
        <v>65.559999999997672</v>
      </c>
      <c r="Z12" s="1117">
        <f>'8'!G89+'8'!G90</f>
        <v>68.000000000002728</v>
      </c>
      <c r="AA12" s="1127">
        <f>'8'!$G$62</f>
        <v>0</v>
      </c>
      <c r="AB12" s="1127">
        <f>'8'!$G$63</f>
        <v>14</v>
      </c>
      <c r="AC12" s="1127">
        <f>'8'!$G$64</f>
        <v>418.39999999999418</v>
      </c>
      <c r="AD12" s="1127">
        <f>'8'!$G$65</f>
        <v>388.90000000000873</v>
      </c>
      <c r="AE12" s="1127">
        <f>'8'!$G$66</f>
        <v>393</v>
      </c>
      <c r="AF12" s="1127">
        <f>'8'!$G$67</f>
        <v>697.54000000000815</v>
      </c>
      <c r="AG12" s="1127">
        <f>'8'!$G$68</f>
        <v>344</v>
      </c>
      <c r="AH12" s="1127">
        <f>'8'!$G$69</f>
        <v>284</v>
      </c>
      <c r="AI12" s="1127">
        <f>'8'!$G$84</f>
        <v>476</v>
      </c>
      <c r="AJ12" s="1127">
        <f>'8'!$G$15</f>
        <v>816.28000000002794</v>
      </c>
      <c r="AK12" s="1127">
        <f>'8'!$G$123</f>
        <v>274.97999999998137</v>
      </c>
      <c r="AL12" s="1127">
        <f>'8'!$G$124</f>
        <v>0</v>
      </c>
      <c r="AM12" s="1127">
        <f>'8'!$G$125</f>
        <v>56.75</v>
      </c>
      <c r="AN12" s="1127">
        <f>'8'!$G$126</f>
        <v>32.30000000000291</v>
      </c>
      <c r="AO12" s="1127">
        <f>'8'!$G$127</f>
        <v>2</v>
      </c>
      <c r="AP12" s="1127">
        <f t="shared" si="0"/>
        <v>450.25000000004366</v>
      </c>
      <c r="AQ12" s="1127">
        <f>SUM('8'!G139:G140)</f>
        <v>8</v>
      </c>
      <c r="AR12" s="1127">
        <f>'8'!$G$136</f>
        <v>8.6300000000010186</v>
      </c>
      <c r="AS12" s="1127">
        <f>'8'!$G$137</f>
        <v>2.9999999998835847E-2</v>
      </c>
      <c r="AT12" s="1127">
        <f>'8'!$G$138</f>
        <v>0</v>
      </c>
      <c r="AU12" s="1124">
        <f t="shared" si="1"/>
        <v>8.6599999999998545</v>
      </c>
    </row>
    <row r="13" spans="1:49">
      <c r="A13" s="1126">
        <v>43870</v>
      </c>
      <c r="B13" s="261">
        <f>SUM('9'!G35,'9'!G49)</f>
        <v>2513.9199999999255</v>
      </c>
      <c r="C13" s="261">
        <f>SUM('9'!G37,'9'!G51)</f>
        <v>1433.25</v>
      </c>
      <c r="D13" s="261">
        <f>SUM('9'!G38,'9'!G52)</f>
        <v>1896.54</v>
      </c>
      <c r="E13" s="261">
        <f>SUM('9'!G39,'9'!G53)</f>
        <v>4116.22</v>
      </c>
      <c r="F13" s="261">
        <f>SUM('9'!G41,'9'!G42,'9'!G55,'9'!G56)</f>
        <v>3536</v>
      </c>
      <c r="G13" s="261">
        <f>SUM('9'!G43,'9'!G57)</f>
        <v>2539.3299999999581</v>
      </c>
      <c r="H13" s="1127">
        <f>'9'!G50</f>
        <v>1173</v>
      </c>
      <c r="I13" s="1127">
        <f>'9'!G36</f>
        <v>645.40000000002328</v>
      </c>
      <c r="J13" s="1127">
        <f>'9'!G72</f>
        <v>50</v>
      </c>
      <c r="K13" s="1127">
        <f>'9'!$G$73</f>
        <v>0</v>
      </c>
      <c r="L13" s="1127">
        <f>'9'!$G$74</f>
        <v>24</v>
      </c>
      <c r="M13" s="1127">
        <f>'9'!$G$75</f>
        <v>175</v>
      </c>
      <c r="N13" s="1127">
        <f>'9'!$G$76</f>
        <v>143</v>
      </c>
      <c r="O13" s="1127">
        <f>'9'!$G$77</f>
        <v>44</v>
      </c>
      <c r="P13" s="1117">
        <f>'9'!$G$78</f>
        <v>412</v>
      </c>
      <c r="Q13" s="1117">
        <f>'9'!$G$79</f>
        <v>190</v>
      </c>
      <c r="R13" s="1117">
        <f>'9'!$G$80</f>
        <v>286.03999999997905</v>
      </c>
      <c r="S13" s="1117">
        <f>'9'!$G$81</f>
        <v>102.92000000004191</v>
      </c>
      <c r="T13" s="1117">
        <f>'9'!$G$82</f>
        <v>32.020000000004075</v>
      </c>
      <c r="U13" s="1117">
        <f>'9'!$G$58</f>
        <v>100.22999999999956</v>
      </c>
      <c r="V13" s="1117">
        <f>'9'!$G$83</f>
        <v>413</v>
      </c>
      <c r="W13" s="1117">
        <f>'9'!G86</f>
        <v>134.79999999998836</v>
      </c>
      <c r="X13" s="1117">
        <f>'9'!G87</f>
        <v>35.80000000000291</v>
      </c>
      <c r="Y13" s="1117">
        <f>'9'!G88</f>
        <v>50.440000000002328</v>
      </c>
      <c r="Z13" s="1117">
        <f>'9'!G89+'9'!H90</f>
        <v>65</v>
      </c>
      <c r="AA13" s="1127">
        <f>'9'!$G$62</f>
        <v>0</v>
      </c>
      <c r="AB13" s="1127">
        <f>'9'!$G$63</f>
        <v>13.25</v>
      </c>
      <c r="AC13" s="1127">
        <f>'9'!$G$64</f>
        <v>406</v>
      </c>
      <c r="AD13" s="1137">
        <f>'9'!$G$65</f>
        <v>377.30999999999767</v>
      </c>
      <c r="AE13" s="1137">
        <f>'9'!$G$66</f>
        <v>378</v>
      </c>
      <c r="AF13" s="1127">
        <f>'9'!$G$67</f>
        <v>693.47000000000116</v>
      </c>
      <c r="AG13" s="1127">
        <f>'9'!$G$68</f>
        <v>343</v>
      </c>
      <c r="AH13" s="1127">
        <f>'9'!$G$69</f>
        <v>276</v>
      </c>
      <c r="AI13" s="1127">
        <f>'9'!$G$84</f>
        <v>482</v>
      </c>
      <c r="AJ13" s="1127">
        <f>'9'!$G$15</f>
        <v>637.05000000004657</v>
      </c>
      <c r="AK13" s="1127">
        <f>'9'!$G$123</f>
        <v>310.02000000001863</v>
      </c>
      <c r="AL13" s="1127">
        <f>'9'!$G$124</f>
        <v>0</v>
      </c>
      <c r="AM13" s="1127">
        <f>'9'!$G$125</f>
        <v>47.85999999998603</v>
      </c>
      <c r="AN13" s="1127">
        <f>'9'!$G$126</f>
        <v>31.69999999999709</v>
      </c>
      <c r="AO13" s="1127">
        <f>'9'!$G$127</f>
        <v>1.7999999999992724</v>
      </c>
      <c r="AP13" s="1127">
        <f t="shared" si="0"/>
        <v>245.67000000004555</v>
      </c>
      <c r="AQ13" s="1127">
        <f>SUM('9'!G139:G140)</f>
        <v>9</v>
      </c>
      <c r="AR13" s="1127">
        <f>'9'!$G$136</f>
        <v>0.25</v>
      </c>
      <c r="AS13" s="1127">
        <f>'9'!$G$137</f>
        <v>-2.9999999998835847E-2</v>
      </c>
      <c r="AT13" s="1127">
        <f>'9'!$G$138</f>
        <v>9.0800000000017462</v>
      </c>
      <c r="AU13" s="1124">
        <f t="shared" si="1"/>
        <v>9.3000000000029104</v>
      </c>
    </row>
    <row r="14" spans="1:49">
      <c r="A14" s="1126">
        <v>43871</v>
      </c>
      <c r="B14" s="261">
        <f>SUM('10'!G35,'10'!G49)</f>
        <v>2661.1700000000419</v>
      </c>
      <c r="C14" s="261">
        <f>SUM('10'!G37,'10'!G51)</f>
        <v>1454.9699999999998</v>
      </c>
      <c r="D14" s="261">
        <f>SUM('10'!G38,'10'!G52)</f>
        <v>1901.54</v>
      </c>
      <c r="E14" s="261">
        <f>SUM('10'!G39,'10'!G53)</f>
        <v>4189.4699999999993</v>
      </c>
      <c r="F14" s="261">
        <f>SUM('10'!G41,'10'!G42,'10'!G55,'10'!G56)</f>
        <v>3867.4000000000015</v>
      </c>
      <c r="G14" s="261">
        <f>SUM('10'!G43,'10'!G57)</f>
        <v>2548</v>
      </c>
      <c r="H14" s="1127">
        <f>'10'!G50</f>
        <v>1043</v>
      </c>
      <c r="I14" s="1127">
        <f>'10'!G36</f>
        <v>614.0800000000163</v>
      </c>
      <c r="J14" s="1127">
        <f>'10'!G72</f>
        <v>44</v>
      </c>
      <c r="K14" s="1127">
        <f>'10'!$G$73</f>
        <v>0</v>
      </c>
      <c r="L14" s="1127">
        <f>'10'!$G$74</f>
        <v>15.209999999999999</v>
      </c>
      <c r="M14" s="1127">
        <f>'10'!$G$75</f>
        <v>183.85</v>
      </c>
      <c r="N14" s="1127">
        <f>'10'!$G$76</f>
        <v>80.050000000000011</v>
      </c>
      <c r="O14" s="1127">
        <f>'10'!$G$77</f>
        <v>48</v>
      </c>
      <c r="P14" s="1117">
        <f>'10'!$G$78</f>
        <v>433</v>
      </c>
      <c r="Q14" s="1117">
        <f>'10'!$G$79</f>
        <v>185</v>
      </c>
      <c r="R14" s="1131">
        <f>'10'!$G$80</f>
        <v>284.76000000000931</v>
      </c>
      <c r="S14" s="1131">
        <f>'10'!$G$81</f>
        <v>103.07999999995809</v>
      </c>
      <c r="T14" s="1117">
        <f>'10'!$G$82</f>
        <v>25.159999999988941</v>
      </c>
      <c r="U14" s="1117">
        <f>'10'!$G$58</f>
        <v>197.62999999999738</v>
      </c>
      <c r="V14" s="1117">
        <f>'10'!$G$83</f>
        <v>262</v>
      </c>
      <c r="W14" s="1117">
        <f>'10'!G86</f>
        <v>147.20000000001164</v>
      </c>
      <c r="X14" s="1117">
        <f>'10'!G87</f>
        <v>36.099999999991269</v>
      </c>
      <c r="Y14" s="1117">
        <f>'10'!G88</f>
        <v>83</v>
      </c>
      <c r="Z14" s="1117">
        <f>'10'!G87+'10'!H90</f>
        <v>49.799999999991087</v>
      </c>
      <c r="AA14" s="1127">
        <f>'10'!$G$62</f>
        <v>0</v>
      </c>
      <c r="AB14" s="1127">
        <f>'10'!$G$63</f>
        <v>12.450000000000045</v>
      </c>
      <c r="AC14" s="1127">
        <f>'10'!$G$64</f>
        <v>440.7100000000064</v>
      </c>
      <c r="AD14" s="1127">
        <f>'10'!$G$65</f>
        <v>374.11999999999534</v>
      </c>
      <c r="AE14" s="1127">
        <f>'10'!$G$66</f>
        <v>374</v>
      </c>
      <c r="AF14" s="1127">
        <f>'10'!$G$67</f>
        <v>725</v>
      </c>
      <c r="AG14" s="1127">
        <f>'10'!$G$68</f>
        <v>345</v>
      </c>
      <c r="AH14" s="1127">
        <f>'10'!$G$69</f>
        <v>295.80000000000291</v>
      </c>
      <c r="AI14" s="1127">
        <f>'10'!$G$84</f>
        <v>496</v>
      </c>
      <c r="AJ14" s="1127">
        <f>'10'!$G$15</f>
        <v>899.0999999998603</v>
      </c>
      <c r="AK14" s="1127">
        <f>'10'!$G$123</f>
        <v>286</v>
      </c>
      <c r="AL14" s="1127">
        <f>'10'!$G$124</f>
        <v>0</v>
      </c>
      <c r="AM14" s="1127">
        <f>'10'!$G$125</f>
        <v>78.260000000009313</v>
      </c>
      <c r="AN14" s="1127">
        <f>'10'!$G$126</f>
        <v>32</v>
      </c>
      <c r="AO14" s="1127">
        <f>'10'!$G$127</f>
        <v>1.2000000000007276</v>
      </c>
      <c r="AP14" s="1127">
        <f t="shared" si="0"/>
        <v>501.63999999985026</v>
      </c>
      <c r="AQ14" s="1127">
        <f>SUM('10'!G139:G140)</f>
        <v>8.3800000000001091</v>
      </c>
      <c r="AR14" s="1127">
        <f>'10'!$G$136</f>
        <v>8.6199999999989814</v>
      </c>
      <c r="AS14" s="1127">
        <f>'10'!$G$137</f>
        <v>0</v>
      </c>
      <c r="AT14" s="1127">
        <f>'10'!$G$138</f>
        <v>2.0299999999988358</v>
      </c>
      <c r="AU14" s="1124">
        <f t="shared" si="1"/>
        <v>10.649999999997817</v>
      </c>
    </row>
    <row r="15" spans="1:49">
      <c r="A15" s="1126">
        <v>43872</v>
      </c>
      <c r="B15" s="261">
        <f>SUM('11'!G35,'11'!G49)</f>
        <v>2358</v>
      </c>
      <c r="C15" s="261">
        <f>SUM('11'!G37,'11'!G51)</f>
        <v>1472.3200000000006</v>
      </c>
      <c r="D15" s="261">
        <f>SUM('11'!G38,'11'!G52)</f>
        <v>1831</v>
      </c>
      <c r="E15" s="261">
        <f>SUM('11'!G39,'11'!G53)</f>
        <v>4103.5300000000007</v>
      </c>
      <c r="F15" s="261">
        <f>SUM('11'!G41,'11'!G42,'11'!G55,'11'!G56)</f>
        <v>4051.5999999999985</v>
      </c>
      <c r="G15" s="261">
        <f>SUM('11'!G43,'11'!G57)</f>
        <v>2543</v>
      </c>
      <c r="H15" s="1127">
        <f>'11'!G50</f>
        <v>1038.710000000021</v>
      </c>
      <c r="I15" s="1127">
        <f>'11'!G36</f>
        <v>697.10999999998603</v>
      </c>
      <c r="J15" s="1127">
        <f>'11'!G72</f>
        <v>50</v>
      </c>
      <c r="K15" s="1127">
        <f>'11'!$G$73</f>
        <v>1</v>
      </c>
      <c r="L15" s="1127">
        <f>'11'!$G$74</f>
        <v>15.119999999999997</v>
      </c>
      <c r="M15" s="1127">
        <f>'11'!$G$75</f>
        <v>171.48000000000002</v>
      </c>
      <c r="N15" s="1127">
        <f>'11'!$G$76</f>
        <v>60.669999999999987</v>
      </c>
      <c r="O15" s="1127">
        <f>'11'!$G$77</f>
        <v>58</v>
      </c>
      <c r="P15" s="1117">
        <f>'11'!$G$78</f>
        <v>434</v>
      </c>
      <c r="Q15" s="1117">
        <f>'11'!$G$79</f>
        <v>186</v>
      </c>
      <c r="R15" s="1117">
        <f>'11'!$G$80</f>
        <v>318.15999999997439</v>
      </c>
      <c r="S15" s="1117">
        <f>'11'!$G$81</f>
        <v>122.52000000001863</v>
      </c>
      <c r="T15" s="1117">
        <f>'11'!$G$82</f>
        <v>23.480000000010477</v>
      </c>
      <c r="U15" s="1117">
        <f>'11'!$G$58</f>
        <v>167.58000000000175</v>
      </c>
      <c r="V15" s="1117">
        <f>'11'!$G$83</f>
        <v>306</v>
      </c>
      <c r="W15" s="1117">
        <f>'11'!G86</f>
        <v>114.88000000000466</v>
      </c>
      <c r="X15" s="1117">
        <f>'11'!G87</f>
        <v>30.900000000008731</v>
      </c>
      <c r="Y15" s="1117">
        <f>'11'!G88</f>
        <v>67.700000000011642</v>
      </c>
      <c r="Z15" s="1117">
        <f>'11'!G87+'11'!H90</f>
        <v>34.600000000009004</v>
      </c>
      <c r="AA15" s="1127">
        <f>'11'!$G$62</f>
        <v>0</v>
      </c>
      <c r="AB15" s="1127">
        <f>'11'!$G$63</f>
        <v>12.299999999999955</v>
      </c>
      <c r="AC15" s="1127">
        <f>'11'!$G$64</f>
        <v>394.2899999999936</v>
      </c>
      <c r="AD15" s="1127">
        <f>'11'!$G$65</f>
        <v>370</v>
      </c>
      <c r="AE15" s="1127">
        <f>'11'!$G$66</f>
        <v>381</v>
      </c>
      <c r="AF15" s="1127">
        <f>'11'!$G$67</f>
        <v>708</v>
      </c>
      <c r="AG15" s="1127">
        <f>'11'!$G$68</f>
        <v>322</v>
      </c>
      <c r="AH15" s="1127">
        <f>'11'!$G$69</f>
        <v>312.19999999999709</v>
      </c>
      <c r="AI15" s="1127">
        <f>'11'!$G$84</f>
        <v>447</v>
      </c>
      <c r="AJ15" s="1127">
        <f>'11'!$G$15</f>
        <v>887.12000000011176</v>
      </c>
      <c r="AK15" s="1127">
        <f>'11'!$G$123</f>
        <v>302.85999999998603</v>
      </c>
      <c r="AL15" s="1127">
        <f>'11'!$G$124</f>
        <v>0</v>
      </c>
      <c r="AM15" s="1127">
        <f>'11'!$G$125</f>
        <v>65.019999999989523</v>
      </c>
      <c r="AN15" s="1127">
        <f>'11'!$G$126</f>
        <v>38.80000000000291</v>
      </c>
      <c r="AO15" s="1127">
        <f>'11'!$G$127</f>
        <v>0</v>
      </c>
      <c r="AP15" s="1127">
        <f t="shared" si="0"/>
        <v>480.4400000001333</v>
      </c>
      <c r="AQ15" s="1127">
        <f>SUM('11'!G139:G140)</f>
        <v>9.4099999999998545</v>
      </c>
      <c r="AR15" s="1127">
        <f>'11'!$G$136</f>
        <v>7.8400000000001455</v>
      </c>
      <c r="AS15" s="1127">
        <f>'11'!$G$137</f>
        <v>0</v>
      </c>
      <c r="AT15" s="1127">
        <f>'11'!$G$138</f>
        <v>3</v>
      </c>
      <c r="AU15" s="1124">
        <f t="shared" si="1"/>
        <v>10.840000000000146</v>
      </c>
    </row>
    <row r="16" spans="1:49">
      <c r="A16" s="1126">
        <v>43873</v>
      </c>
      <c r="B16" s="261">
        <f>SUM('12'!G35,'12'!G49)</f>
        <v>2407.0799999999581</v>
      </c>
      <c r="C16" s="261">
        <f>SUM('12'!G37,'12'!G51)</f>
        <v>1504.1999999999998</v>
      </c>
      <c r="D16" s="261">
        <f>SUM('12'!G38,'12'!G52)</f>
        <v>1990.9400000000005</v>
      </c>
      <c r="E16" s="261">
        <f>SUM('12'!G39,'12'!G53)</f>
        <v>4063.9000000000015</v>
      </c>
      <c r="F16" s="261">
        <f>SUM('12'!G41,'12'!G42,'12'!G55,'12'!G56)</f>
        <v>4885.5740000000078</v>
      </c>
      <c r="G16" s="261">
        <f>SUM('12'!G43,'12'!G57)</f>
        <v>2400.0300000000279</v>
      </c>
      <c r="H16" s="1127">
        <f>'12'!G50</f>
        <v>1046.039999999979</v>
      </c>
      <c r="I16" s="1127">
        <f>'12'!G36</f>
        <v>611.75</v>
      </c>
      <c r="J16" s="1127">
        <f>'12'!G72</f>
        <v>100</v>
      </c>
      <c r="K16" s="1127">
        <f>'12'!$G$73</f>
        <v>3</v>
      </c>
      <c r="L16" s="1127">
        <f>'12'!$G$74</f>
        <v>14.780000000000001</v>
      </c>
      <c r="M16" s="1127">
        <f>'12'!$G$75</f>
        <v>182.45</v>
      </c>
      <c r="N16" s="1127">
        <f>'12'!$G$76</f>
        <v>81.20999999999998</v>
      </c>
      <c r="O16" s="1127">
        <f>'12'!$G$77</f>
        <v>54</v>
      </c>
      <c r="P16" s="1117">
        <f>'12'!$G$78</f>
        <v>368</v>
      </c>
      <c r="Q16" s="1117">
        <f>'12'!$G$79</f>
        <v>174</v>
      </c>
      <c r="R16" s="1117">
        <f>'12'!$G$80</f>
        <v>295.52000000001863</v>
      </c>
      <c r="S16" s="1117">
        <f>'12'!$G$81</f>
        <v>103.91999999992549</v>
      </c>
      <c r="T16" s="1117">
        <f>'12'!$G$82</f>
        <v>23.229999999995925</v>
      </c>
      <c r="U16" s="1117">
        <f>'12'!$G$58</f>
        <v>180.08000000000175</v>
      </c>
      <c r="V16" s="1117">
        <f>'12'!$G$83</f>
        <v>303</v>
      </c>
      <c r="W16" s="1117">
        <f>'12'!G86</f>
        <v>119.03999999997905</v>
      </c>
      <c r="X16" s="1117">
        <f>'12'!G87</f>
        <v>27.30000000000291</v>
      </c>
      <c r="Y16" s="1117">
        <f>'12'!G88</f>
        <v>75.459999999991851</v>
      </c>
      <c r="Z16" s="1117">
        <f>'12'!G87+'12'!H90</f>
        <v>32.000000000002728</v>
      </c>
      <c r="AA16" s="1127">
        <f>'12'!$G$62</f>
        <v>0</v>
      </c>
      <c r="AB16" s="1127">
        <f>'12'!$G$63</f>
        <v>7.8699999999998909</v>
      </c>
      <c r="AC16" s="1127">
        <f>'12'!$G$64</f>
        <v>424.58999999999651</v>
      </c>
      <c r="AD16" s="1127">
        <f>'12'!$G$65</f>
        <v>376.19999999999709</v>
      </c>
      <c r="AE16" s="1127">
        <f>'12'!$G$66</f>
        <v>359.14500000000044</v>
      </c>
      <c r="AF16" s="1127">
        <f>'12'!$G$67</f>
        <v>665.70999999999185</v>
      </c>
      <c r="AG16" s="1127">
        <f>'12'!$G$68</f>
        <v>349.86000000000058</v>
      </c>
      <c r="AH16" s="1127">
        <f>'12'!$G$69</f>
        <v>306.55000000000291</v>
      </c>
      <c r="AI16" s="1127">
        <f>'12'!$G$84</f>
        <v>348</v>
      </c>
      <c r="AJ16" s="1127">
        <f>'12'!$G$15</f>
        <v>914.91800000006333</v>
      </c>
      <c r="AK16" s="1165">
        <f>'12'!$G$123</f>
        <v>274.02000000001863</v>
      </c>
      <c r="AL16" s="1127">
        <f>'12'!$G$124</f>
        <v>0</v>
      </c>
      <c r="AM16" s="1154">
        <f>'12'!$G$125</f>
        <v>78.14000000001397</v>
      </c>
      <c r="AN16" s="1127">
        <f>'12'!$G$126</f>
        <v>37.69999999999709</v>
      </c>
      <c r="AO16" s="1127">
        <f>'12'!$G$127</f>
        <v>3.3999999999996362</v>
      </c>
      <c r="AP16" s="1127">
        <f t="shared" si="0"/>
        <v>521.65800000003401</v>
      </c>
      <c r="AQ16" s="1127">
        <f>SUM('12'!G139:G140)</f>
        <v>6.8099999999997181</v>
      </c>
      <c r="AR16" s="1127">
        <f>'12'!$G$136</f>
        <v>8.8600000000005821</v>
      </c>
      <c r="AS16" s="1127">
        <f>'12'!$G$137</f>
        <v>2.9999999998835847E-2</v>
      </c>
      <c r="AT16" s="1127">
        <f>'12'!$G$138</f>
        <v>5.5200000000040745</v>
      </c>
      <c r="AU16" s="1124">
        <f t="shared" si="1"/>
        <v>14.410000000003492</v>
      </c>
      <c r="AW16" s="1132">
        <f>AK16-AM16</f>
        <v>195.88000000000466</v>
      </c>
    </row>
    <row r="17" spans="1:49">
      <c r="A17" s="1126">
        <v>43874</v>
      </c>
      <c r="B17" s="261">
        <f>SUM('13'!G35,'13'!G49)</f>
        <v>2703.7200000000885</v>
      </c>
      <c r="C17" s="261">
        <f>SUM('13'!G37,'13'!G51)</f>
        <v>1599.92</v>
      </c>
      <c r="D17" s="261">
        <f>SUM('13'!G38,'13'!G52)</f>
        <v>2319.92</v>
      </c>
      <c r="E17" s="261">
        <f>SUM('13'!G39,'13'!G53)</f>
        <v>4383.7999999999993</v>
      </c>
      <c r="F17" s="261">
        <f>SUM('13'!G41,'13'!G42,'13'!G55,'13'!G56)</f>
        <v>4412.4599999999919</v>
      </c>
      <c r="G17" s="261">
        <f>SUM('13'!G43,'13'!G57)</f>
        <v>2375.4899999999161</v>
      </c>
      <c r="H17" s="1127">
        <f>'13'!G50</f>
        <v>1132.1599999999744</v>
      </c>
      <c r="I17" s="1127">
        <f>'13'!G36</f>
        <v>685.5800000000163</v>
      </c>
      <c r="J17" s="1127">
        <f>'13'!G72</f>
        <v>87</v>
      </c>
      <c r="K17" s="1127">
        <f>'13'!$G$73</f>
        <v>3</v>
      </c>
      <c r="L17" s="1127">
        <f>'13'!$G$74</f>
        <v>23.934999999999995</v>
      </c>
      <c r="M17" s="1127">
        <f>'13'!$G$75</f>
        <v>190.29999999999995</v>
      </c>
      <c r="N17" s="1127">
        <f>'13'!$G$76</f>
        <v>81.100000000000023</v>
      </c>
      <c r="O17" s="1127">
        <f>'13'!$G$77</f>
        <v>55</v>
      </c>
      <c r="P17" s="1117">
        <f>'13'!$G$78</f>
        <v>416</v>
      </c>
      <c r="Q17" s="1117">
        <f>'13'!$G$79</f>
        <v>215</v>
      </c>
      <c r="R17" s="1117">
        <f>'13'!$G$80</f>
        <v>314.23999999999069</v>
      </c>
      <c r="S17" s="1117">
        <f>'13'!$G$81</f>
        <v>127.68000000005122</v>
      </c>
      <c r="T17" s="1117">
        <f>'13'!$G$82</f>
        <v>27.330000000001746</v>
      </c>
      <c r="U17" s="1117">
        <f>'13'!$G$58</f>
        <v>193.88999999999942</v>
      </c>
      <c r="V17" s="1117">
        <f>'13'!$G$83</f>
        <v>561</v>
      </c>
      <c r="W17" s="1117">
        <f>'13'!G86</f>
        <v>107.52000000001863</v>
      </c>
      <c r="X17" s="1117">
        <f>'13'!G87</f>
        <v>25.399999999994179</v>
      </c>
      <c r="Y17" s="1117">
        <f>'13'!G88</f>
        <v>75.829999999987194</v>
      </c>
      <c r="Z17" s="1117">
        <f>'13'!G87+'13'!H90</f>
        <v>26.399999999994179</v>
      </c>
      <c r="AA17" s="1127">
        <f>'13'!$G$62</f>
        <v>0.18000000000029104</v>
      </c>
      <c r="AB17" s="1127">
        <f>'13'!$G$63</f>
        <v>13.380000000000109</v>
      </c>
      <c r="AC17" s="1127">
        <f>'13'!$G$64</f>
        <v>400.85000000000582</v>
      </c>
      <c r="AD17" s="1127">
        <f>'13'!$G$65</f>
        <v>392.63999999999942</v>
      </c>
      <c r="AE17" s="1127">
        <f>'13'!$G$66</f>
        <v>399.95799999999872</v>
      </c>
      <c r="AF17" s="1127">
        <f>'13'!$G$67</f>
        <v>714.61999999999534</v>
      </c>
      <c r="AG17" s="1127">
        <f>'13'!$G$68</f>
        <v>366.91000000000349</v>
      </c>
      <c r="AH17" s="1127">
        <f>'13'!$G$69</f>
        <v>319.48999999999796</v>
      </c>
      <c r="AI17" s="1127">
        <f>'13'!$G$84</f>
        <v>512</v>
      </c>
      <c r="AJ17" s="1127">
        <f>'13'!$G$15</f>
        <v>1043.6699999999255</v>
      </c>
      <c r="AK17" s="1165">
        <f>'13'!$G$123</f>
        <v>293.52000000001863</v>
      </c>
      <c r="AL17" s="1127">
        <f>'13'!$G$124</f>
        <v>0</v>
      </c>
      <c r="AM17" s="1127">
        <f>'13'!$G$125</f>
        <v>99.25</v>
      </c>
      <c r="AN17" s="1127">
        <f>'13'!$G$126</f>
        <v>48.80000000000291</v>
      </c>
      <c r="AO17" s="1127">
        <f>'13'!$G$127</f>
        <v>4.8999999999996362</v>
      </c>
      <c r="AP17" s="1127">
        <f t="shared" si="0"/>
        <v>597.19999999990432</v>
      </c>
      <c r="AQ17" s="1127">
        <f>SUM('13'!G139:G140)</f>
        <v>8.5099999999999909</v>
      </c>
      <c r="AR17" s="1127">
        <f>'13'!$G$136</f>
        <v>9.2999999999992724</v>
      </c>
      <c r="AS17" s="1127">
        <f>'13'!$G$137</f>
        <v>0</v>
      </c>
      <c r="AT17" s="1127">
        <f>'13'!$G$138</f>
        <v>2.9700000000011642</v>
      </c>
      <c r="AU17" s="1124">
        <f t="shared" si="1"/>
        <v>12.270000000000437</v>
      </c>
      <c r="AW17" s="1132">
        <f t="shared" ref="AW17:AW35" si="2">AK17-AP17</f>
        <v>-303.67999999988569</v>
      </c>
    </row>
    <row r="18" spans="1:49">
      <c r="A18" s="1126">
        <v>43875</v>
      </c>
      <c r="B18" s="261">
        <f>SUM('14'!G35,'14'!G49)</f>
        <v>2968.1999999999534</v>
      </c>
      <c r="C18" s="261">
        <f>SUM('14'!G37,'14'!G51)</f>
        <v>1580.2299999999996</v>
      </c>
      <c r="D18" s="261">
        <f>SUM('14'!G38,'14'!G52)</f>
        <v>2441.0599999999995</v>
      </c>
      <c r="E18" s="261">
        <f>SUM('14'!G39,'14'!G53)</f>
        <v>4655.1399999999994</v>
      </c>
      <c r="F18" s="261">
        <f>SUM('14'!G41,'14'!G42,'14'!G55,'14'!G56)</f>
        <v>5638.7550000000047</v>
      </c>
      <c r="G18" s="261">
        <f>SUM('14'!G43,'14'!G57)</f>
        <v>2360.0800000000745</v>
      </c>
      <c r="H18" s="1127">
        <f>'14'!G50</f>
        <v>1369.2800000000279</v>
      </c>
      <c r="I18" s="1127">
        <f>'14'!G36</f>
        <v>864.61999999999534</v>
      </c>
      <c r="J18" s="1127">
        <f>'14'!G72</f>
        <v>103</v>
      </c>
      <c r="K18" s="1127">
        <f>'14'!$G$73</f>
        <v>1</v>
      </c>
      <c r="L18" s="1127">
        <f>'14'!$G$74</f>
        <v>61.495000000000005</v>
      </c>
      <c r="M18" s="1127">
        <f>'14'!$G$75</f>
        <v>207.68000000000006</v>
      </c>
      <c r="N18" s="1127">
        <f>'14'!$G$76</f>
        <v>90.509999999999991</v>
      </c>
      <c r="O18" s="1127">
        <f>'14'!$G$77</f>
        <v>54</v>
      </c>
      <c r="P18" s="1117">
        <f>'14'!$G$78</f>
        <v>454</v>
      </c>
      <c r="Q18" s="1117">
        <f>'14'!$G$79</f>
        <v>192</v>
      </c>
      <c r="R18" s="1117">
        <f>'14'!$G$80</f>
        <v>386.88000000000466</v>
      </c>
      <c r="S18" s="1117">
        <f>'14'!$G$81</f>
        <v>135.19999999995343</v>
      </c>
      <c r="T18" s="1117">
        <f>'14'!$G$82</f>
        <v>26.929999999993015</v>
      </c>
      <c r="U18" s="1117">
        <f>'14'!$G$58</f>
        <v>225.36999999999534</v>
      </c>
      <c r="V18" s="1117">
        <f>'14'!$G$83</f>
        <v>490</v>
      </c>
      <c r="W18" s="1117">
        <f>'14'!G86</f>
        <v>22</v>
      </c>
      <c r="X18" s="1117">
        <f>'14'!G87</f>
        <v>10.5</v>
      </c>
      <c r="Y18" s="1117">
        <f>'14'!G88</f>
        <v>41.820000000006985</v>
      </c>
      <c r="Z18" s="1117">
        <f>'14'!G87+'14'!H90</f>
        <v>11.5</v>
      </c>
      <c r="AA18" s="1127">
        <f>'14'!$G$62</f>
        <v>0</v>
      </c>
      <c r="AB18" s="1127">
        <f>'14'!$G$63</f>
        <v>13.230000000000018</v>
      </c>
      <c r="AC18" s="1127">
        <f>'14'!$G$64</f>
        <v>391.25999999999476</v>
      </c>
      <c r="AD18" s="1127">
        <f>'14'!$G$65</f>
        <v>404.08999999999651</v>
      </c>
      <c r="AE18" s="1127">
        <f>'14'!$G$66</f>
        <v>402.83699999999953</v>
      </c>
      <c r="AF18" s="1127">
        <f>'14'!$G$67</f>
        <v>738.36000000001513</v>
      </c>
      <c r="AG18" s="1127">
        <f>'14'!$G$68</f>
        <v>357.76699999999255</v>
      </c>
      <c r="AH18" s="1127">
        <f>'14'!$G$69</f>
        <v>312.34999999999854</v>
      </c>
      <c r="AI18" s="1127">
        <f>'14'!$G$84</f>
        <v>498</v>
      </c>
      <c r="AJ18" s="1127">
        <f>'14'!$G$15</f>
        <v>1135.4930000000168</v>
      </c>
      <c r="AK18" s="1127">
        <f>'14'!$G$123</f>
        <v>307.53000000002794</v>
      </c>
      <c r="AL18" s="1127">
        <f>'14'!$G$124</f>
        <v>0</v>
      </c>
      <c r="AM18" s="1127">
        <f>'14'!$G$125</f>
        <v>112.33999999999651</v>
      </c>
      <c r="AN18" s="1127">
        <f>'14'!$G$126</f>
        <v>52.099999999998545</v>
      </c>
      <c r="AO18" s="1127">
        <f>'14'!$G$127</f>
        <v>8.5</v>
      </c>
      <c r="AP18" s="1127">
        <f t="shared" si="0"/>
        <v>655.02299999999377</v>
      </c>
      <c r="AQ18" s="1127">
        <f>SUM('14'!G139:G140)</f>
        <v>8.9500000000000455</v>
      </c>
      <c r="AR18" s="1127">
        <f>'14'!$G$136</f>
        <v>9.9700000000011642</v>
      </c>
      <c r="AS18" s="1127">
        <f>'14'!$G$137</f>
        <v>0</v>
      </c>
      <c r="AT18" s="1127">
        <f>'14'!$G$138</f>
        <v>7.4099999999889405</v>
      </c>
      <c r="AU18" s="1124">
        <f t="shared" si="1"/>
        <v>17.379999999990105</v>
      </c>
      <c r="AW18" s="1132">
        <f>AK18-AP18</f>
        <v>-347.49299999996583</v>
      </c>
    </row>
    <row r="19" spans="1:49">
      <c r="A19" s="1126">
        <v>43876</v>
      </c>
      <c r="B19" s="261">
        <f>SUM('15'!G35,'15'!G49)</f>
        <v>2919.7600000000093</v>
      </c>
      <c r="C19" s="261">
        <f>SUM('15'!G37,'15'!G51)</f>
        <v>1580.0900000000001</v>
      </c>
      <c r="D19" s="261">
        <f>SUM('15'!G38,'15'!G52)</f>
        <v>2468.8999999999996</v>
      </c>
      <c r="E19" s="261">
        <f>SUM('15'!G39,'15'!G53)</f>
        <v>4654.59</v>
      </c>
      <c r="F19" s="261">
        <f>SUM('15'!G41,'15'!G42,'15'!G55,'15'!G56)</f>
        <v>5582.9709999999905</v>
      </c>
      <c r="G19" s="261">
        <f>SUM('15'!G43,'15'!G57)</f>
        <v>2346.1600000000326</v>
      </c>
      <c r="H19" s="1127">
        <f>'15'!G50</f>
        <v>1990</v>
      </c>
      <c r="I19" s="1127">
        <f>'15'!G36</f>
        <v>941.51999999996042</v>
      </c>
      <c r="J19" s="1127">
        <f>'15'!G72</f>
        <v>93</v>
      </c>
      <c r="K19" s="1127">
        <f>'15'!$G$73</f>
        <v>1</v>
      </c>
      <c r="L19" s="1127">
        <f>'15'!$G$74</f>
        <v>63.379999999999995</v>
      </c>
      <c r="M19" s="1127">
        <f>'15'!$G$75</f>
        <v>209.36</v>
      </c>
      <c r="N19" s="1127">
        <f>'15'!$G$76</f>
        <v>79.009999999999991</v>
      </c>
      <c r="O19" s="1127">
        <f>'15'!$G$77</f>
        <v>54</v>
      </c>
      <c r="P19" s="1117">
        <f>'15'!$G$78</f>
        <v>401</v>
      </c>
      <c r="Q19" s="1117">
        <f>'15'!$G$79</f>
        <v>211</v>
      </c>
      <c r="R19" s="1117">
        <f>'15'!$G$80</f>
        <v>412.96000000002095</v>
      </c>
      <c r="S19" s="1117">
        <f>'15'!$G$81</f>
        <v>139.72000000008848</v>
      </c>
      <c r="T19" s="1117">
        <f>'15'!$G$82</f>
        <v>28.059999999997672</v>
      </c>
      <c r="U19" s="1117">
        <f>'15'!$G$58</f>
        <v>286.33000000000175</v>
      </c>
      <c r="V19" s="1117">
        <f>'15'!$G$83</f>
        <v>538</v>
      </c>
      <c r="W19" s="1117">
        <f>'15'!G86</f>
        <v>104.40000000002328</v>
      </c>
      <c r="X19" s="1117">
        <f>'15'!G87</f>
        <v>34.30000000000291</v>
      </c>
      <c r="Y19" s="1117">
        <f>'15'!G88</f>
        <v>77.080000000016298</v>
      </c>
      <c r="Z19" s="1117">
        <f>'15'!G87+'15'!H90</f>
        <v>38.30000000000291</v>
      </c>
      <c r="AA19" s="1127">
        <f>'15'!$G$62</f>
        <v>0</v>
      </c>
      <c r="AB19" s="1127">
        <f>'15'!$G$63</f>
        <v>12.220000000000027</v>
      </c>
      <c r="AC19" s="1127">
        <f>'15'!$G$64</f>
        <v>426.88000000000466</v>
      </c>
      <c r="AD19" s="1127">
        <f>'15'!$G$65</f>
        <v>404.42000000001281</v>
      </c>
      <c r="AE19" s="1127">
        <f>'15'!$G$66</f>
        <v>400.69000000000233</v>
      </c>
      <c r="AF19" s="1127">
        <f>'15'!$G$67</f>
        <v>714.48000000001048</v>
      </c>
      <c r="AG19" s="1127">
        <f>'15'!$G$68</f>
        <v>337.84300000000803</v>
      </c>
      <c r="AH19" s="1127">
        <f>'15'!$G$69</f>
        <v>305.81999999999971</v>
      </c>
      <c r="AI19" s="1127">
        <f>'15'!$G$84</f>
        <v>536</v>
      </c>
      <c r="AJ19" s="1127">
        <f>'15'!$G$15</f>
        <v>1235.2890000001062</v>
      </c>
      <c r="AK19" s="1127">
        <f>'15'!$G$123</f>
        <v>276.40999999991618</v>
      </c>
      <c r="AL19" s="1127">
        <f>'15'!$G$124</f>
        <v>0</v>
      </c>
      <c r="AM19" s="1127">
        <f>'15'!$G$125</f>
        <v>135.35000000000582</v>
      </c>
      <c r="AN19" s="1127">
        <f>'15'!$G$126</f>
        <v>41.5</v>
      </c>
      <c r="AO19" s="1127">
        <f>'15'!$G$127</f>
        <v>5.5</v>
      </c>
      <c r="AP19" s="1127">
        <f t="shared" si="0"/>
        <v>776.52900000018417</v>
      </c>
      <c r="AQ19" s="1127">
        <f>SUM('15'!G139:G140)</f>
        <v>7.7899999999999636</v>
      </c>
      <c r="AR19" s="1127">
        <f>'15'!$G$136</f>
        <v>10.5</v>
      </c>
      <c r="AS19" s="1127">
        <f>'15'!$G$137</f>
        <v>4.2600000000020373</v>
      </c>
      <c r="AT19" s="1127">
        <f>'15'!$G$138</f>
        <v>0.69000000000232831</v>
      </c>
      <c r="AU19" s="1124">
        <f t="shared" si="1"/>
        <v>15.450000000004366</v>
      </c>
      <c r="AW19" s="1132">
        <f t="shared" si="2"/>
        <v>-500.11900000026799</v>
      </c>
    </row>
    <row r="20" spans="1:49">
      <c r="A20" s="1126">
        <v>43877</v>
      </c>
      <c r="B20" s="261">
        <f>SUM('16'!G35,'16'!G49)</f>
        <v>3038.5200000000186</v>
      </c>
      <c r="C20" s="261">
        <f>SUM('16'!G37,'16'!G51)</f>
        <v>1517.1100000000006</v>
      </c>
      <c r="D20" s="261">
        <f>SUM('16'!G38,'16'!G52)</f>
        <v>2233.6500000000015</v>
      </c>
      <c r="E20" s="261">
        <f>SUM('16'!G39,'16'!G53)</f>
        <v>4228.1200000000026</v>
      </c>
      <c r="F20" s="261">
        <f>SUM('16'!G41,'16'!G42,'16'!G55,'16'!G56)</f>
        <v>4709.0199999999895</v>
      </c>
      <c r="G20" s="261">
        <f>SUM('16'!G43,'16'!G57)</f>
        <v>2361.359999999986</v>
      </c>
      <c r="H20" s="1127">
        <f>'16'!G50</f>
        <v>1255</v>
      </c>
      <c r="I20" s="1127">
        <f>'16'!G36</f>
        <v>957.28000000002794</v>
      </c>
      <c r="J20" s="1127">
        <f>'16'!G72</f>
        <v>96</v>
      </c>
      <c r="K20" s="1127">
        <f>'16'!$G$73</f>
        <v>1</v>
      </c>
      <c r="L20" s="1127">
        <f>'16'!$G$74</f>
        <v>49.52000000000001</v>
      </c>
      <c r="M20" s="1127">
        <f>'16'!$G$75</f>
        <v>202.6099999999999</v>
      </c>
      <c r="N20" s="1127">
        <f>'16'!$G$76</f>
        <v>72.600000000000023</v>
      </c>
      <c r="O20" s="1127">
        <f>'16'!$G$77</f>
        <v>54</v>
      </c>
      <c r="P20" s="1117">
        <f>'16'!$G$78</f>
        <v>383</v>
      </c>
      <c r="Q20" s="1117">
        <f>'16'!$G$79</f>
        <v>212</v>
      </c>
      <c r="R20" s="1117">
        <f>'16'!$G$80</f>
        <v>391.47999999998137</v>
      </c>
      <c r="S20" s="1117">
        <f>'16'!$G$81</f>
        <v>120.95999999996275</v>
      </c>
      <c r="T20" s="1117">
        <f>'16'!$G$82</f>
        <v>26.430000000007567</v>
      </c>
      <c r="U20" s="1117">
        <f>'16'!$G$58</f>
        <v>210.52999999999884</v>
      </c>
      <c r="V20" s="1117">
        <f>'16'!$G$83</f>
        <v>497</v>
      </c>
      <c r="W20" s="1117">
        <f>'16'!G86</f>
        <v>108.19999999995343</v>
      </c>
      <c r="X20" s="1117">
        <f>'16'!G87</f>
        <v>20.19999999999709</v>
      </c>
      <c r="Y20" s="1117">
        <f>'16'!G88</f>
        <v>80.019999999989523</v>
      </c>
      <c r="Z20" s="1117">
        <f>'16'!G87+'16'!H90</f>
        <v>24.999999999997272</v>
      </c>
      <c r="AA20" s="1127">
        <f>'16'!$G$62</f>
        <v>0</v>
      </c>
      <c r="AB20" s="1127">
        <f>'16'!$G$63</f>
        <v>11.930000000000064</v>
      </c>
      <c r="AC20" s="1127">
        <f>'16'!$G$64</f>
        <v>432.27000000000407</v>
      </c>
      <c r="AD20" s="1127">
        <f>'16'!$G$65</f>
        <v>401.56999999999243</v>
      </c>
      <c r="AE20" s="1127">
        <f>'16'!$G$66</f>
        <v>409.7599999999984</v>
      </c>
      <c r="AF20" s="1127">
        <f>'16'!$G$67</f>
        <v>678.07999999998719</v>
      </c>
      <c r="AG20" s="1127">
        <f>'16'!$G$68</f>
        <v>314.79999999998836</v>
      </c>
      <c r="AH20" s="1127">
        <f>'16'!$G$69</f>
        <v>302.34999999999854</v>
      </c>
      <c r="AI20" s="1127">
        <f>'16'!$G$84</f>
        <v>659</v>
      </c>
      <c r="AJ20" s="1127">
        <f>'16'!$G$15</f>
        <v>1012.5699999998324</v>
      </c>
      <c r="AK20" s="1165">
        <f>'16'!$G$123</f>
        <v>274.44000000006054</v>
      </c>
      <c r="AL20" s="1127">
        <f>'16'!$G$124</f>
        <v>0</v>
      </c>
      <c r="AM20" s="1127">
        <f>'16'!$G$125</f>
        <v>87.940000000002328</v>
      </c>
      <c r="AN20" s="1127">
        <f>'16'!$G$126</f>
        <v>24.799999999995634</v>
      </c>
      <c r="AO20" s="1127">
        <f>'16'!$G$127</f>
        <v>2.1000000000003638</v>
      </c>
      <c r="AP20" s="1127">
        <f t="shared" si="0"/>
        <v>623.2899999997735</v>
      </c>
      <c r="AQ20" s="1127">
        <f>SUM('16'!G139:G140)</f>
        <v>7.8900000000001</v>
      </c>
      <c r="AR20" s="1127">
        <f>'16'!$G$136</f>
        <v>10.340000000000146</v>
      </c>
      <c r="AS20" s="1127">
        <f>'16'!$G$137</f>
        <v>0</v>
      </c>
      <c r="AT20" s="1127">
        <f>'16'!$G$138</f>
        <v>4.5899999999965075</v>
      </c>
      <c r="AU20" s="1124">
        <f t="shared" si="1"/>
        <v>14.929999999996653</v>
      </c>
      <c r="AW20" s="1132">
        <f t="shared" si="2"/>
        <v>-348.84999999971296</v>
      </c>
    </row>
    <row r="21" spans="1:49">
      <c r="A21" s="1126">
        <v>43878</v>
      </c>
      <c r="B21" s="261">
        <f>SUM('17'!G35,'17'!G49)</f>
        <v>2711.640000000014</v>
      </c>
      <c r="C21" s="261">
        <f>SUM('17'!G37,'17'!G51)</f>
        <v>1476.619999999999</v>
      </c>
      <c r="D21" s="261">
        <f>SUM('17'!G38,'17'!G52)</f>
        <v>2001.3899999999994</v>
      </c>
      <c r="E21" s="261">
        <f>SUM('17'!G39,'17'!G53)</f>
        <v>4187.6299999999974</v>
      </c>
      <c r="F21" s="261">
        <f>SUM('17'!G41,'17'!G42,'17'!G55,'17'!G56)</f>
        <v>4529.1700000000201</v>
      </c>
      <c r="G21" s="261">
        <f>SUM('17'!G43,'17'!G57)</f>
        <v>2334.7999999999302</v>
      </c>
      <c r="H21" s="1127">
        <f>'18'!G50</f>
        <v>1128.5600000000559</v>
      </c>
      <c r="I21" s="1127">
        <f>'18'!G36</f>
        <v>883.79999999998836</v>
      </c>
      <c r="J21" s="1127">
        <f>'18'!G72</f>
        <v>65</v>
      </c>
      <c r="K21" s="1127">
        <f>'17'!$G$73</f>
        <v>0</v>
      </c>
      <c r="L21" s="1127">
        <f>'17'!$G$74</f>
        <v>52.419999999999987</v>
      </c>
      <c r="M21" s="1127">
        <f>'17'!$G$75</f>
        <v>190.22000000000003</v>
      </c>
      <c r="N21" s="1127">
        <f>'17'!$G$76</f>
        <v>77.5</v>
      </c>
      <c r="O21" s="1127">
        <f>'17'!$G$77</f>
        <v>54</v>
      </c>
      <c r="P21" s="1117">
        <f>'17'!$G$78</f>
        <v>362</v>
      </c>
      <c r="Q21" s="1117">
        <f>'17'!$G$79</f>
        <v>192</v>
      </c>
      <c r="R21" s="1117">
        <f>'17'!$G$80</f>
        <v>341.96000000002095</v>
      </c>
      <c r="S21" s="1117">
        <f>'17'!$G$81</f>
        <v>91.160000000032596</v>
      </c>
      <c r="T21" s="1117">
        <f>'17'!$G$82</f>
        <v>28.880000000004657</v>
      </c>
      <c r="U21" s="1117">
        <f>'17'!$G$58</f>
        <v>201.11000000000058</v>
      </c>
      <c r="V21" s="1117">
        <f>'17'!$G$83</f>
        <v>450</v>
      </c>
      <c r="W21" s="1117">
        <f>'17'!G86</f>
        <v>58.960000000020955</v>
      </c>
      <c r="X21" s="1117">
        <f>'17'!G87</f>
        <v>30.69999999999709</v>
      </c>
      <c r="Y21" s="1117">
        <f>'17'!G88</f>
        <v>82.989999999990687</v>
      </c>
      <c r="Z21" s="1117">
        <f>'17'!G87+'17'!H90</f>
        <v>34.19999999999709</v>
      </c>
      <c r="AA21" s="1127">
        <f>'17'!$G$62</f>
        <v>0</v>
      </c>
      <c r="AB21" s="1127">
        <f>'17'!$G$63</f>
        <v>13.7199999999998</v>
      </c>
      <c r="AC21" s="1127">
        <f>'17'!$G$64</f>
        <v>429.92999999999302</v>
      </c>
      <c r="AD21" s="1127">
        <f>'17'!$G$65</f>
        <v>403.88999999999942</v>
      </c>
      <c r="AE21" s="1127">
        <f>'17'!$G$66</f>
        <v>394.95000000000073</v>
      </c>
      <c r="AF21" s="1127">
        <f>'17'!$G$67</f>
        <v>678.64000000001397</v>
      </c>
      <c r="AG21" s="1127">
        <f>'17'!$G$68</f>
        <v>338.99000000000524</v>
      </c>
      <c r="AH21" s="1127">
        <f>'17'!$G$69</f>
        <v>307.69000000000233</v>
      </c>
      <c r="AI21" s="1127">
        <f>'17'!$G$84</f>
        <v>482</v>
      </c>
      <c r="AJ21" s="1127">
        <f>'17'!$G$15</f>
        <v>930.51000000000931</v>
      </c>
      <c r="AK21" s="1127">
        <f>'17'!$G$123</f>
        <v>259.15000000002328</v>
      </c>
      <c r="AL21" s="1127">
        <f>'17'!$G$124</f>
        <v>0</v>
      </c>
      <c r="AM21" s="1127">
        <f>'17'!$G$125</f>
        <v>67.600000000005821</v>
      </c>
      <c r="AN21" s="1127">
        <f>'17'!$G$126</f>
        <v>16.100000000005821</v>
      </c>
      <c r="AO21" s="1127">
        <f>'17'!$G$127</f>
        <v>4.7000000000007276</v>
      </c>
      <c r="AP21" s="1127">
        <f t="shared" si="0"/>
        <v>582.95999999997366</v>
      </c>
      <c r="AQ21" s="1127">
        <f>SUM('17'!G139:G140)</f>
        <v>7.4700000000000273</v>
      </c>
      <c r="AR21" s="1127">
        <f>'17'!$G$136</f>
        <v>9.6500000000014552</v>
      </c>
      <c r="AS21" s="1127">
        <f>'17'!$G$137</f>
        <v>0</v>
      </c>
      <c r="AT21" s="1127">
        <f>'17'!$G$138</f>
        <v>4.3100000000122236</v>
      </c>
      <c r="AU21" s="1124">
        <f t="shared" si="1"/>
        <v>13.960000000013679</v>
      </c>
      <c r="AW21" s="1132">
        <f t="shared" si="2"/>
        <v>-323.80999999995038</v>
      </c>
    </row>
    <row r="22" spans="1:49">
      <c r="A22" s="1126">
        <v>43879</v>
      </c>
      <c r="B22" s="261">
        <f>SUM('18'!G35,'18'!G49)</f>
        <v>2740.1599999999162</v>
      </c>
      <c r="C22" s="261">
        <f>SUM('18'!G37,'18'!G51)</f>
        <v>1468.9300000000003</v>
      </c>
      <c r="D22" s="261">
        <f>SUM('18'!G38,'18'!G52)</f>
        <v>2050.5400000000009</v>
      </c>
      <c r="E22" s="261">
        <f>SUM('18'!G39,'18'!G53)</f>
        <v>4281.18</v>
      </c>
      <c r="F22" s="261">
        <f>SUM('18'!G41,'18'!G42,'18'!G55,'18'!G56)</f>
        <v>4586.8699999999371</v>
      </c>
      <c r="G22" s="261">
        <f>SUM('18'!G43,'18'!G57)</f>
        <v>2334.1600000000326</v>
      </c>
      <c r="H22" s="1127">
        <f>'18'!G50</f>
        <v>1128.5600000000559</v>
      </c>
      <c r="I22" s="1127">
        <f>'18'!G36</f>
        <v>883.79999999998836</v>
      </c>
      <c r="J22" s="1127">
        <f>'18'!G72</f>
        <v>65</v>
      </c>
      <c r="K22" s="1127">
        <f>'18'!$G$73</f>
        <v>0</v>
      </c>
      <c r="L22" s="1127">
        <f>'18'!$G$74</f>
        <v>52.019999999999982</v>
      </c>
      <c r="M22" s="1127">
        <f>'18'!$G$75</f>
        <v>200.05999999999995</v>
      </c>
      <c r="N22" s="1127">
        <f>'18'!$G$76</f>
        <v>87.440000000000055</v>
      </c>
      <c r="O22" s="1127">
        <f>'18'!$G$77</f>
        <v>51</v>
      </c>
      <c r="P22" s="1117">
        <f>'18'!$G$78</f>
        <v>370</v>
      </c>
      <c r="Q22" s="1117">
        <f>'18'!$G$79</f>
        <v>176</v>
      </c>
      <c r="R22" s="1130">
        <f>'18'!$G$80</f>
        <v>337.03999999997905</v>
      </c>
      <c r="S22" s="1130">
        <f>'18'!$G$81</f>
        <v>94.839999999967404</v>
      </c>
      <c r="T22" s="1130">
        <f>'18'!$G$82</f>
        <v>20.679999999993015</v>
      </c>
      <c r="U22" s="1130">
        <f>'18'!$G$58</f>
        <v>214.38000000000466</v>
      </c>
      <c r="V22" s="1130">
        <f>'18'!$G$83</f>
        <v>499</v>
      </c>
      <c r="W22" s="1130">
        <f>'18'!G86</f>
        <v>129</v>
      </c>
      <c r="X22" s="1117">
        <f>'18'!G87</f>
        <v>30.30000000000291</v>
      </c>
      <c r="Y22" s="1117">
        <f>'18'!G88</f>
        <v>76.100000000005821</v>
      </c>
      <c r="Z22" s="1117">
        <f>'18'!G87+'18'!H90</f>
        <v>34.100000000002638</v>
      </c>
      <c r="AA22" s="1127">
        <f>'18'!$G$62</f>
        <v>0</v>
      </c>
      <c r="AB22" s="1127">
        <f>'18'!$G$63</f>
        <v>13.370000000000118</v>
      </c>
      <c r="AC22" s="1127">
        <f>'18'!$G$64</f>
        <v>429.19999999999709</v>
      </c>
      <c r="AD22" s="1127">
        <f>'18'!$G$65</f>
        <v>397.29000000000815</v>
      </c>
      <c r="AE22" s="1127">
        <f>'18'!$G$66</f>
        <v>398.93999999999869</v>
      </c>
      <c r="AF22" s="1127">
        <f>'18'!$G$67</f>
        <v>665.10999999998603</v>
      </c>
      <c r="AG22" s="1127">
        <f>'18'!$G$68</f>
        <v>390.13000000000466</v>
      </c>
      <c r="AH22" s="1127">
        <f>'18'!$G$69</f>
        <v>316.0199999999968</v>
      </c>
      <c r="AI22" s="1127">
        <f>'18'!$G$84</f>
        <v>482</v>
      </c>
      <c r="AJ22" s="1127">
        <f>'18'!$G$15</f>
        <v>840.14000000013039</v>
      </c>
      <c r="AK22" s="1127">
        <f>'18'!$G$123</f>
        <v>260.40999999991618</v>
      </c>
      <c r="AL22" s="1127">
        <f>'18'!$G$124</f>
        <v>0</v>
      </c>
      <c r="AM22" s="1127">
        <f>'18'!$G$125</f>
        <v>77.269999999989523</v>
      </c>
      <c r="AN22" s="1127">
        <f>'18'!$G$126</f>
        <v>25.69999999999709</v>
      </c>
      <c r="AO22" s="1127">
        <f>'18'!$G$127</f>
        <v>1.1000000000003638</v>
      </c>
      <c r="AP22" s="1127">
        <f t="shared" si="0"/>
        <v>475.66000000022723</v>
      </c>
      <c r="AQ22" s="1127">
        <f>SUM('18'!G139:G140)</f>
        <v>7.5599999999999454</v>
      </c>
      <c r="AR22" s="1127">
        <f>'18'!$G$136</f>
        <v>5.6599999999998545</v>
      </c>
      <c r="AS22" s="1127">
        <f>'18'!$G$137</f>
        <v>2.2700000000004366</v>
      </c>
      <c r="AT22" s="1127">
        <f>'18'!$G$138</f>
        <v>4.3799999999901047</v>
      </c>
      <c r="AU22" s="1124">
        <f t="shared" si="1"/>
        <v>12.309999999990396</v>
      </c>
      <c r="AW22" s="1132">
        <f t="shared" si="2"/>
        <v>-215.25000000031105</v>
      </c>
    </row>
    <row r="23" spans="1:49" s="1129" customFormat="1">
      <c r="A23" s="1126">
        <v>43880</v>
      </c>
      <c r="B23" s="261">
        <f>SUM('19'!G35,'19'!G49)</f>
        <v>2680.9200000000419</v>
      </c>
      <c r="C23" s="261">
        <f>SUM('19'!G37,'19'!G51)</f>
        <v>1478.1700000000019</v>
      </c>
      <c r="D23" s="261">
        <f>SUM('19'!G38,'19'!G52)</f>
        <v>1916.8899999999776</v>
      </c>
      <c r="E23" s="261">
        <f>SUM('19'!G39,'19'!G53)</f>
        <v>4163.1299999999901</v>
      </c>
      <c r="F23" s="261">
        <f>SUM('19'!G41,'19'!G42,'19'!G55,'19'!G56)</f>
        <v>4133.3100000000559</v>
      </c>
      <c r="G23" s="261">
        <f>SUM('19'!G43,'19'!G57)</f>
        <v>2308.92</v>
      </c>
      <c r="H23" s="1117">
        <f>'19'!G50</f>
        <v>1435.9699999999721</v>
      </c>
      <c r="I23" s="1117">
        <f>'19'!G36</f>
        <v>664.45000000001164</v>
      </c>
      <c r="J23" s="1117">
        <f>'19'!G72</f>
        <v>71</v>
      </c>
      <c r="K23" s="1117">
        <f>'19'!$G$73</f>
        <v>0</v>
      </c>
      <c r="L23" s="1117">
        <f>'19'!$G$74</f>
        <v>29.220000000000027</v>
      </c>
      <c r="M23" s="1117">
        <f>'19'!$G$75</f>
        <v>160.3900000000001</v>
      </c>
      <c r="N23" s="1117">
        <f>'19'!$G$76</f>
        <v>69.059999999999945</v>
      </c>
      <c r="O23" s="1117">
        <f>'19'!$G$77</f>
        <v>52</v>
      </c>
      <c r="P23" s="1117">
        <f>'19'!$G$78</f>
        <v>333</v>
      </c>
      <c r="Q23" s="1117">
        <f>'19'!$G$79</f>
        <v>178</v>
      </c>
      <c r="R23" s="1117">
        <f>'19'!$G$80</f>
        <v>344</v>
      </c>
      <c r="S23" s="1117">
        <f>'19'!$G$81</f>
        <v>108</v>
      </c>
      <c r="T23" s="1117">
        <f>'19'!$G$82</f>
        <v>25</v>
      </c>
      <c r="U23" s="1117">
        <f>'19'!$G$58</f>
        <v>219.30999999999767</v>
      </c>
      <c r="V23" s="1117">
        <f>'19'!$G$83</f>
        <v>355</v>
      </c>
      <c r="W23" s="1117">
        <f>'19'!G86</f>
        <v>142</v>
      </c>
      <c r="X23" s="1117">
        <f>'19'!G87</f>
        <v>25</v>
      </c>
      <c r="Y23" s="1117">
        <f>'19'!G88</f>
        <v>93</v>
      </c>
      <c r="Z23" s="1117">
        <f>'19'!G87+'19'!H90</f>
        <v>29.800000000000182</v>
      </c>
      <c r="AA23" s="1117">
        <f>'19'!$G$62</f>
        <v>2.0000000000436557E-2</v>
      </c>
      <c r="AB23" s="1117">
        <f>'19'!$G$63</f>
        <v>13.279999999999973</v>
      </c>
      <c r="AC23" s="1117">
        <f>'19'!$G$64</f>
        <v>412.02000000000407</v>
      </c>
      <c r="AD23" s="1117">
        <f>'19'!$G$65</f>
        <v>402.89999999999418</v>
      </c>
      <c r="AE23" s="1117">
        <f>'19'!$G$66</f>
        <v>405.72000000000116</v>
      </c>
      <c r="AF23" s="1117">
        <f>'19'!$G$67</f>
        <v>639</v>
      </c>
      <c r="AG23" s="1117">
        <f>'19'!$G$68</f>
        <v>342.69999999999709</v>
      </c>
      <c r="AH23" s="1117">
        <f>'19'!$G$69</f>
        <v>311.7300000000032</v>
      </c>
      <c r="AI23" s="1117">
        <f>'19'!$G$84</f>
        <v>499</v>
      </c>
      <c r="AJ23" s="1117">
        <f>'19'!$G$15</f>
        <v>881.40999999991618</v>
      </c>
      <c r="AK23" s="1117">
        <f>'19'!$G$123</f>
        <v>241.6600000000326</v>
      </c>
      <c r="AL23" s="1117">
        <f>'19'!$G$124</f>
        <v>-0.39999999999417923</v>
      </c>
      <c r="AM23" s="1117">
        <f>'19'!$G$125</f>
        <v>89.25</v>
      </c>
      <c r="AN23" s="1117">
        <f>'19'!$G$126</f>
        <v>23.5</v>
      </c>
      <c r="AO23" s="1117">
        <f>'19'!$G$127</f>
        <v>1.7999999999992724</v>
      </c>
      <c r="AP23" s="1117">
        <f t="shared" si="0"/>
        <v>525.59999999987849</v>
      </c>
      <c r="AQ23" s="1117">
        <f>SUM('19'!G139:G140)</f>
        <v>6.9700000000000273</v>
      </c>
      <c r="AR23" s="1117">
        <f>'19'!$G$136</f>
        <v>8.0999999999985448</v>
      </c>
      <c r="AS23" s="1117">
        <f>'19'!$G$137</f>
        <v>0</v>
      </c>
      <c r="AT23" s="1117">
        <f>'19'!$G$138</f>
        <v>2.8400000000110595</v>
      </c>
      <c r="AU23" s="1128">
        <f t="shared" si="1"/>
        <v>10.940000000009604</v>
      </c>
      <c r="AW23" s="1133">
        <f t="shared" si="2"/>
        <v>-283.9399999998459</v>
      </c>
    </row>
    <row r="24" spans="1:49">
      <c r="A24" s="1126">
        <v>43881</v>
      </c>
      <c r="B24" s="261">
        <f>SUM('20'!G35,'20'!G49)</f>
        <v>2854</v>
      </c>
      <c r="C24" s="261">
        <f>SUM('20'!G37,'20'!G51)</f>
        <v>1511</v>
      </c>
      <c r="D24" s="261">
        <f>SUM('20'!G38,'20'!G52)</f>
        <v>1965</v>
      </c>
      <c r="E24" s="261">
        <f>SUM('20'!G39,'20'!G53)</f>
        <v>4389</v>
      </c>
      <c r="F24" s="261">
        <f>SUM('20'!G41,'20'!G42,'20'!G55,'20'!G56)</f>
        <v>4051</v>
      </c>
      <c r="G24" s="261">
        <f>SUM('20'!G43,'20'!G57)</f>
        <v>2302</v>
      </c>
      <c r="H24" s="1127">
        <f>'20'!G50</f>
        <v>1156</v>
      </c>
      <c r="I24" s="1127">
        <f>'20'!G36</f>
        <v>625</v>
      </c>
      <c r="J24" s="1127">
        <f>'20'!G72</f>
        <v>66</v>
      </c>
      <c r="K24" s="1127">
        <f>'20'!$G$73</f>
        <v>1</v>
      </c>
      <c r="L24" s="1127">
        <f>'20'!$G$74</f>
        <v>20</v>
      </c>
      <c r="M24" s="1127">
        <f>'20'!$G$75</f>
        <v>178</v>
      </c>
      <c r="N24" s="1127">
        <f>'20'!$G$76</f>
        <v>78</v>
      </c>
      <c r="O24" s="1127">
        <f>'20'!$G$77</f>
        <v>48</v>
      </c>
      <c r="P24" s="1117">
        <f>'20'!$G$78</f>
        <v>402</v>
      </c>
      <c r="Q24" s="1117">
        <f>'20'!$G$79</f>
        <v>191</v>
      </c>
      <c r="R24" s="1117">
        <f>'20'!$G$80</f>
        <v>356</v>
      </c>
      <c r="S24" s="1117">
        <f>'20'!$G$81</f>
        <v>90</v>
      </c>
      <c r="T24" s="1117">
        <f>'20'!$G$82</f>
        <v>26</v>
      </c>
      <c r="U24" s="1117">
        <f>'20'!$G$58</f>
        <v>251</v>
      </c>
      <c r="V24" s="1117">
        <f>'20'!$G$83</f>
        <v>399</v>
      </c>
      <c r="W24" s="1117">
        <f>'20'!G86</f>
        <v>115</v>
      </c>
      <c r="X24" s="1117">
        <f>'20'!G87</f>
        <v>14</v>
      </c>
      <c r="Y24" s="1117">
        <f>'20'!G88</f>
        <v>67</v>
      </c>
      <c r="Z24" s="1117">
        <f>'20'!G87+'20'!H90</f>
        <v>19.800000000000182</v>
      </c>
      <c r="AA24" s="1127">
        <f>'20'!$G$62</f>
        <v>0</v>
      </c>
      <c r="AB24" s="1127">
        <f>'20'!$G$63</f>
        <v>12</v>
      </c>
      <c r="AC24" s="1127">
        <f>'20'!$G$64</f>
        <v>400</v>
      </c>
      <c r="AD24" s="1127">
        <f>'20'!$G$65</f>
        <v>404</v>
      </c>
      <c r="AE24" s="1127">
        <f>'20'!$G$66</f>
        <v>411</v>
      </c>
      <c r="AF24" s="1127">
        <f>'20'!$G$67</f>
        <v>695</v>
      </c>
      <c r="AG24" s="1127">
        <f>'20'!$G$68</f>
        <v>1350</v>
      </c>
      <c r="AH24" s="1127">
        <f>'20'!$G$69</f>
        <v>318</v>
      </c>
      <c r="AI24" s="1127">
        <f>'20'!$G$84</f>
        <v>562</v>
      </c>
      <c r="AJ24" s="1127">
        <f>'20'!$G$15</f>
        <v>1086</v>
      </c>
      <c r="AK24" s="1127">
        <f>'20'!$G$123</f>
        <v>300</v>
      </c>
      <c r="AL24" s="1127">
        <f>'20'!$G$124</f>
        <v>0</v>
      </c>
      <c r="AM24" s="1127">
        <f>'20'!$G$125</f>
        <v>86</v>
      </c>
      <c r="AN24" s="1127">
        <f>'20'!$G$126</f>
        <v>30</v>
      </c>
      <c r="AO24" s="1127">
        <f>'20'!$G$127</f>
        <v>3</v>
      </c>
      <c r="AP24" s="1127">
        <f t="shared" si="0"/>
        <v>667</v>
      </c>
      <c r="AQ24" s="1127">
        <f>SUM('20'!G139:G140)</f>
        <v>8.6199999999998909</v>
      </c>
      <c r="AR24" s="1127">
        <f>'20'!$G$136</f>
        <v>10.880000000001019</v>
      </c>
      <c r="AS24" s="1127">
        <f>'20'!$G$137</f>
        <v>0</v>
      </c>
      <c r="AT24" s="1127">
        <f>'20'!$G$138</f>
        <v>5.8699999999953434</v>
      </c>
      <c r="AU24" s="1124">
        <f t="shared" si="1"/>
        <v>16.749999999996362</v>
      </c>
      <c r="AW24" s="1132">
        <f t="shared" si="2"/>
        <v>-367</v>
      </c>
    </row>
    <row r="25" spans="1:49">
      <c r="A25" s="1126">
        <v>43882</v>
      </c>
      <c r="B25" s="261">
        <f>SUM('21'!G35,'21'!G49)</f>
        <v>3035</v>
      </c>
      <c r="C25" s="261">
        <f>SUM('21'!G37,'21'!G51)</f>
        <v>1522</v>
      </c>
      <c r="D25" s="261">
        <f>SUM('21'!G38,'21'!G52)</f>
        <v>2026</v>
      </c>
      <c r="E25" s="261">
        <f>SUM('21'!G39,'21'!G53)</f>
        <v>4214</v>
      </c>
      <c r="F25" s="261">
        <f>SUM('21'!G41,'21'!G42,'21'!G55,'21'!G56)</f>
        <v>4354</v>
      </c>
      <c r="G25" s="261">
        <f>SUM('21'!G43,'21'!G57)</f>
        <v>2354</v>
      </c>
      <c r="H25" s="1127">
        <f>'21'!G50</f>
        <v>1111</v>
      </c>
      <c r="I25" s="1127">
        <f>'21'!G36</f>
        <v>776</v>
      </c>
      <c r="J25" s="1127">
        <f>'21'!G72</f>
        <v>22</v>
      </c>
      <c r="K25" s="1127">
        <f>'21'!$G$73</f>
        <v>22</v>
      </c>
      <c r="L25" s="1127">
        <f>'21'!$G$74</f>
        <v>35</v>
      </c>
      <c r="M25" s="1127">
        <f>'21'!$G$75</f>
        <v>175</v>
      </c>
      <c r="N25" s="1127">
        <f>'21'!$G$76</f>
        <v>76</v>
      </c>
      <c r="O25" s="1127">
        <f>'21'!$G$77</f>
        <v>50</v>
      </c>
      <c r="P25" s="1117">
        <f>'21'!$G$78</f>
        <v>454</v>
      </c>
      <c r="Q25" s="1117">
        <f>'21'!$G$79</f>
        <v>172</v>
      </c>
      <c r="R25" s="1117">
        <f>'21'!$G$80</f>
        <v>386</v>
      </c>
      <c r="S25" s="1117">
        <f>'21'!$G$81</f>
        <v>110</v>
      </c>
      <c r="T25" s="1117">
        <f>'21'!$G$82</f>
        <v>22</v>
      </c>
      <c r="U25" s="1117">
        <f>'21'!$G$58</f>
        <v>188</v>
      </c>
      <c r="V25" s="1117">
        <f>'21'!$G$83</f>
        <v>429</v>
      </c>
      <c r="W25" s="1117">
        <f>'21'!G86</f>
        <v>73</v>
      </c>
      <c r="X25" s="1117">
        <f>'21'!G87</f>
        <v>9</v>
      </c>
      <c r="Y25" s="1117">
        <f>'21'!G88</f>
        <v>35</v>
      </c>
      <c r="Z25" s="1117">
        <f>'21'!G87+'21'!H90</f>
        <v>15.800000000000182</v>
      </c>
      <c r="AA25" s="1127">
        <f>'21'!$G$62</f>
        <v>0</v>
      </c>
      <c r="AB25" s="1127">
        <f>'21'!$G$63</f>
        <v>14</v>
      </c>
      <c r="AC25" s="1127">
        <f>'21'!$G$64</f>
        <v>398</v>
      </c>
      <c r="AD25" s="1127">
        <f>'21'!$G$65</f>
        <v>400</v>
      </c>
      <c r="AE25" s="1127">
        <f>'21'!$G$66</f>
        <v>372</v>
      </c>
      <c r="AF25" s="1127">
        <f>'21'!$G$67</f>
        <v>716</v>
      </c>
      <c r="AG25" s="1127">
        <f>'21'!$G$68</f>
        <v>310</v>
      </c>
      <c r="AH25" s="1127">
        <f>'21'!$G$69</f>
        <v>339</v>
      </c>
      <c r="AI25" s="1127">
        <f>'21'!$G$84</f>
        <v>568</v>
      </c>
      <c r="AJ25" s="1127">
        <f>'21'!$G$15</f>
        <v>940</v>
      </c>
      <c r="AK25" s="1127">
        <f>'21'!$G$123</f>
        <v>283</v>
      </c>
      <c r="AL25" s="1127">
        <f>'21'!$G$124</f>
        <v>0</v>
      </c>
      <c r="AM25" s="1127">
        <f>'21'!$G$125</f>
        <v>80</v>
      </c>
      <c r="AN25" s="1127">
        <f>'21'!$G$126</f>
        <v>30</v>
      </c>
      <c r="AO25" s="1127">
        <f>'21'!$G$127</f>
        <v>2</v>
      </c>
      <c r="AP25" s="1127">
        <f t="shared" si="0"/>
        <v>545</v>
      </c>
      <c r="AQ25" s="1127">
        <f>SUM('21'!G139:G140)</f>
        <v>8.1500000000000909</v>
      </c>
      <c r="AR25" s="1127">
        <f>'21'!$G$136</f>
        <v>8.4599999999991269</v>
      </c>
      <c r="AS25" s="1127">
        <f>'21'!$G$137</f>
        <v>0</v>
      </c>
      <c r="AT25" s="1127">
        <f>'21'!$G$138</f>
        <v>3.5999999999912689</v>
      </c>
      <c r="AU25" s="1124">
        <f t="shared" si="1"/>
        <v>12.059999999990396</v>
      </c>
      <c r="AW25" s="1132">
        <f t="shared" si="2"/>
        <v>-262</v>
      </c>
    </row>
    <row r="26" spans="1:49">
      <c r="A26" s="1126">
        <v>43883</v>
      </c>
      <c r="B26" s="261">
        <f>SUM('22'!G35,'22'!G49)</f>
        <v>2796</v>
      </c>
      <c r="C26" s="261">
        <f>SUM('22'!G37,'22'!G51)</f>
        <v>1467</v>
      </c>
      <c r="D26" s="261">
        <f>SUM('22'!G38,'22'!G52)</f>
        <v>2080</v>
      </c>
      <c r="E26" s="261">
        <f>SUM('22'!G39,'22'!G53)</f>
        <v>4115</v>
      </c>
      <c r="F26" s="261">
        <f>SUM('22'!G41,'22'!G42,'22'!G55,'22'!G56)</f>
        <v>4684</v>
      </c>
      <c r="G26" s="261">
        <f>SUM('22'!G43,'22'!G57)</f>
        <v>2349</v>
      </c>
      <c r="H26" s="1127">
        <f>'22'!G50</f>
        <v>1196</v>
      </c>
      <c r="I26" s="1127">
        <f>'22'!G36</f>
        <v>729</v>
      </c>
      <c r="J26" s="1127">
        <f>'22'!G72</f>
        <v>83</v>
      </c>
      <c r="K26" s="1127">
        <f>'22'!$G$73</f>
        <v>0</v>
      </c>
      <c r="L26" s="1127">
        <f>'22'!$G$74</f>
        <v>17</v>
      </c>
      <c r="M26" s="1127">
        <f>'22'!$G$75</f>
        <v>187</v>
      </c>
      <c r="N26" s="1127">
        <f>'22'!$G$76</f>
        <v>71</v>
      </c>
      <c r="O26" s="1127">
        <f>'22'!$G$77</f>
        <v>51</v>
      </c>
      <c r="P26" s="1117">
        <f>'22'!$G$78</f>
        <v>384</v>
      </c>
      <c r="Q26" s="1117">
        <f>'22'!$G$79</f>
        <v>186</v>
      </c>
      <c r="R26" s="1117">
        <f>'22'!$G$80</f>
        <v>367</v>
      </c>
      <c r="S26" s="1117">
        <f>'22'!$G$81</f>
        <v>132</v>
      </c>
      <c r="T26" s="1117">
        <f>'22'!$G$82</f>
        <v>28</v>
      </c>
      <c r="U26" s="1117">
        <f>'22'!$G$58</f>
        <v>205</v>
      </c>
      <c r="V26" s="1117">
        <f>'22'!$G$83</f>
        <v>514</v>
      </c>
      <c r="W26" s="1117">
        <f>'22'!G86</f>
        <v>138</v>
      </c>
      <c r="X26" s="1117">
        <f>'22'!G87</f>
        <v>33</v>
      </c>
      <c r="Y26" s="1117">
        <f>'22'!G88</f>
        <v>60</v>
      </c>
      <c r="Z26" s="1117">
        <f>'22'!G87+'22'!H90</f>
        <v>45.800000000000182</v>
      </c>
      <c r="AA26" s="1127">
        <f>'22'!$G$62</f>
        <v>0</v>
      </c>
      <c r="AB26" s="1127">
        <f>'22'!$G$63</f>
        <v>13</v>
      </c>
      <c r="AC26" s="1127">
        <f>'22'!$G$64</f>
        <v>470</v>
      </c>
      <c r="AD26" s="1127">
        <f>'22'!$G$65</f>
        <v>376</v>
      </c>
      <c r="AE26" s="1127">
        <f>'22'!$G$66</f>
        <v>379</v>
      </c>
      <c r="AF26" s="1127">
        <f>'22'!$G$67</f>
        <v>671</v>
      </c>
      <c r="AG26" s="1127">
        <f>'22'!$G$68</f>
        <v>308</v>
      </c>
      <c r="AH26" s="1127">
        <f>'22'!$G$69</f>
        <v>330</v>
      </c>
      <c r="AI26" s="1127">
        <f>'22'!$G$84</f>
        <v>565</v>
      </c>
      <c r="AJ26" s="1127">
        <f>'22'!$G$15</f>
        <v>935</v>
      </c>
      <c r="AK26" s="1165">
        <f>'22'!$G$123</f>
        <v>252</v>
      </c>
      <c r="AL26" s="1127">
        <f>'22'!$G$124</f>
        <v>0</v>
      </c>
      <c r="AM26" s="1127">
        <f>'22'!$G$125</f>
        <v>76</v>
      </c>
      <c r="AN26" s="1127">
        <f>'22'!$G$126</f>
        <v>18</v>
      </c>
      <c r="AO26" s="1127">
        <f>'22'!$G$127</f>
        <v>2</v>
      </c>
      <c r="AP26" s="1127">
        <f t="shared" si="0"/>
        <v>587</v>
      </c>
      <c r="AQ26" s="1127">
        <f>SUM('22'!G139:G140)</f>
        <v>7.2999999999999545</v>
      </c>
      <c r="AR26" s="1127">
        <f>'22'!$G$136</f>
        <v>10.490000000001601</v>
      </c>
      <c r="AS26" s="1127">
        <f>'22'!$G$137</f>
        <v>0</v>
      </c>
      <c r="AT26" s="1127">
        <f>'22'!$G$138</f>
        <v>4.7300000000104774</v>
      </c>
      <c r="AU26" s="1124">
        <f t="shared" si="1"/>
        <v>15.220000000012078</v>
      </c>
      <c r="AW26" s="1132">
        <f t="shared" si="2"/>
        <v>-335</v>
      </c>
    </row>
    <row r="27" spans="1:49">
      <c r="A27" s="1126">
        <v>43884</v>
      </c>
      <c r="B27" s="261">
        <f>SUM('23'!G35,'23'!G49)</f>
        <v>3006</v>
      </c>
      <c r="C27" s="261">
        <f>SUM('23'!G37,'23'!G51)</f>
        <v>1462</v>
      </c>
      <c r="D27" s="261">
        <f>SUM('23'!G38,'23'!G52)</f>
        <v>2020</v>
      </c>
      <c r="E27" s="261">
        <f>SUM('23'!G39,'23'!G53)</f>
        <v>4149.8300000000017</v>
      </c>
      <c r="F27" s="261">
        <f>SUM('23'!G41,'23'!G42,'23'!G55,'23'!G56)</f>
        <v>5151</v>
      </c>
      <c r="G27" s="261">
        <f>SUM('23'!G43,'23'!G57)</f>
        <v>2348</v>
      </c>
      <c r="H27" s="1127">
        <f>'23'!G50</f>
        <v>1384.710000000021</v>
      </c>
      <c r="I27" s="1127">
        <f>'23'!G36</f>
        <v>911</v>
      </c>
      <c r="J27" s="1127">
        <f>'23'!G72</f>
        <v>110</v>
      </c>
      <c r="K27" s="1127">
        <f>'23'!G72</f>
        <v>110</v>
      </c>
      <c r="L27" s="1127">
        <f>'23'!$G$74</f>
        <v>15</v>
      </c>
      <c r="M27" s="1127">
        <f>'23'!$G$75</f>
        <v>174</v>
      </c>
      <c r="N27" s="1127">
        <f>'23'!$G$76</f>
        <v>74</v>
      </c>
      <c r="O27" s="1127">
        <f>'23'!$G$77</f>
        <v>47</v>
      </c>
      <c r="P27" s="1117">
        <f>'23'!$G$78</f>
        <v>309</v>
      </c>
      <c r="Q27" s="1117">
        <f>'23'!$G$79</f>
        <v>198</v>
      </c>
      <c r="R27" s="1117">
        <f>'23'!$G$80</f>
        <v>368</v>
      </c>
      <c r="S27" s="1117">
        <f>'23'!$G$81</f>
        <v>144</v>
      </c>
      <c r="T27" s="1117">
        <f>'23'!$G$82</f>
        <v>22</v>
      </c>
      <c r="U27" s="1117">
        <f>'23'!$G$58</f>
        <v>208</v>
      </c>
      <c r="V27" s="1163">
        <f>'23'!$G$83</f>
        <v>502</v>
      </c>
      <c r="W27" s="1117">
        <f>'23'!$G$86</f>
        <v>147</v>
      </c>
      <c r="X27" s="1117">
        <f>'23'!G87</f>
        <v>38.30000000000291</v>
      </c>
      <c r="Y27" s="1117">
        <f>'23'!G88</f>
        <v>36</v>
      </c>
      <c r="Z27" s="1117">
        <f>'23'!G87+'23'!H90</f>
        <v>42.30000000000291</v>
      </c>
      <c r="AA27" s="1127">
        <f>'23'!$G$62</f>
        <v>-0.2000000000007276</v>
      </c>
      <c r="AB27" s="1127">
        <f>'23'!$G$63</f>
        <v>11</v>
      </c>
      <c r="AC27" s="1127">
        <f>'23'!$G$64</f>
        <v>539</v>
      </c>
      <c r="AD27" s="1127">
        <f>'23'!$G$65</f>
        <v>381</v>
      </c>
      <c r="AE27" s="1127">
        <f>'23'!$G$66</f>
        <v>375</v>
      </c>
      <c r="AF27" s="1127">
        <f>'23'!$G$67</f>
        <v>639</v>
      </c>
      <c r="AG27" s="1127">
        <f>'23'!$G$68</f>
        <v>292</v>
      </c>
      <c r="AH27" s="1127">
        <f>'23'!$G$69</f>
        <v>327</v>
      </c>
      <c r="AI27" s="1127">
        <f>'23'!$G$84</f>
        <v>533</v>
      </c>
      <c r="AJ27" s="1127">
        <f>'23'!$G$15</f>
        <v>972.81000000005588</v>
      </c>
      <c r="AK27" s="1127">
        <f>'23'!$G$123</f>
        <v>252</v>
      </c>
      <c r="AL27" s="1127">
        <f>'23'!$G$124</f>
        <v>0</v>
      </c>
      <c r="AM27" s="1127">
        <f>'23'!$G$125</f>
        <v>77</v>
      </c>
      <c r="AN27" s="1127">
        <f>'23'!$G$126</f>
        <v>22</v>
      </c>
      <c r="AO27" s="1127">
        <f>'23'!$G$127</f>
        <v>2</v>
      </c>
      <c r="AP27" s="1127">
        <f t="shared" si="0"/>
        <v>619.81000000005588</v>
      </c>
      <c r="AQ27" s="1127">
        <f>SUM('23'!G139:G140)</f>
        <v>7.2300000000000182</v>
      </c>
      <c r="AR27" s="1127">
        <f>'23'!$G$136</f>
        <v>9.5099999999983993</v>
      </c>
      <c r="AS27" s="1127">
        <f>'23'!$G$137</f>
        <v>0</v>
      </c>
      <c r="AT27" s="1127">
        <f>'23'!$G$138</f>
        <v>5.9400000000023283</v>
      </c>
      <c r="AU27" s="1124">
        <f t="shared" si="1"/>
        <v>15.450000000000728</v>
      </c>
      <c r="AW27" s="1132">
        <f t="shared" si="2"/>
        <v>-367.81000000005588</v>
      </c>
    </row>
    <row r="28" spans="1:49" s="1166" customFormat="1">
      <c r="A28" s="1126">
        <v>43885</v>
      </c>
      <c r="B28" s="261">
        <f>SUM('24'!G35,'24'!G49)</f>
        <v>3198</v>
      </c>
      <c r="C28" s="261">
        <f>SUM('24'!G37,'24'!G51)</f>
        <v>1506</v>
      </c>
      <c r="D28" s="261">
        <f>SUM('24'!G38,'24'!G52)</f>
        <v>2074</v>
      </c>
      <c r="E28" s="261">
        <f>SUM('24'!G39,'24'!G53)</f>
        <v>4084.1699999999983</v>
      </c>
      <c r="F28" s="261">
        <f>SUM('24'!G41,'24'!G42,'24'!G55,'24'!G56)</f>
        <v>5857</v>
      </c>
      <c r="G28" s="261">
        <f>SUM('24'!G43,'24'!G57)</f>
        <v>2469</v>
      </c>
      <c r="H28" s="1127">
        <f>'24'!G50</f>
        <v>1749.289999999979</v>
      </c>
      <c r="I28" s="1117">
        <f>'24'!G36</f>
        <v>1101</v>
      </c>
      <c r="J28" s="1117">
        <f>'23'!G73</f>
        <v>5</v>
      </c>
      <c r="K28" s="1117">
        <f>'23'!G73</f>
        <v>5</v>
      </c>
      <c r="L28" s="1117">
        <f>'24'!$G$74</f>
        <v>16</v>
      </c>
      <c r="M28" s="1117">
        <f>'24'!$G$75</f>
        <v>175</v>
      </c>
      <c r="N28" s="1117">
        <f>'24'!$G$76</f>
        <v>82</v>
      </c>
      <c r="O28" s="1117">
        <f>'24'!$G$77</f>
        <v>52</v>
      </c>
      <c r="P28" s="1117">
        <f>'24'!$G$78</f>
        <v>319</v>
      </c>
      <c r="Q28" s="1117">
        <f>'24'!$G$79</f>
        <v>182</v>
      </c>
      <c r="R28" s="1117">
        <f>'24'!$G$80</f>
        <v>394</v>
      </c>
      <c r="S28" s="1117">
        <f>'24'!$G$81</f>
        <v>151</v>
      </c>
      <c r="T28" s="1117">
        <f>'24'!$G$82</f>
        <v>28</v>
      </c>
      <c r="U28" s="1117">
        <f>'24'!$G$58</f>
        <v>190</v>
      </c>
      <c r="V28" s="1117">
        <f>'24'!$G$83</f>
        <v>502</v>
      </c>
      <c r="W28" s="1117">
        <f>'24'!G86</f>
        <v>166</v>
      </c>
      <c r="X28" s="1117">
        <f>'24'!G87</f>
        <v>36.099999999991269</v>
      </c>
      <c r="Y28" s="1117">
        <f>'24'!G88</f>
        <v>51</v>
      </c>
      <c r="Z28" s="1117">
        <f>'24'!G87+'24'!H90</f>
        <v>42.099999999991269</v>
      </c>
      <c r="AA28" s="1117">
        <f>'24'!$G$62</f>
        <v>0.18000000000029104</v>
      </c>
      <c r="AB28" s="1117">
        <f>'24'!$G$63</f>
        <v>14</v>
      </c>
      <c r="AC28" s="1117">
        <f>'24'!$G$64</f>
        <v>514</v>
      </c>
      <c r="AD28" s="1117">
        <f>'24'!$G$65</f>
        <v>391</v>
      </c>
      <c r="AE28" s="1117">
        <f>'24'!$G$66</f>
        <v>391</v>
      </c>
      <c r="AF28" s="1117">
        <f>'24'!$G$67</f>
        <v>610</v>
      </c>
      <c r="AG28" s="1117">
        <f>'24'!$G$68</f>
        <v>289</v>
      </c>
      <c r="AH28" s="1117">
        <f>'24'!$G$69</f>
        <v>321</v>
      </c>
      <c r="AI28" s="1117">
        <f>'24'!$G$84</f>
        <v>602</v>
      </c>
      <c r="AJ28" s="1117">
        <f>'24'!$G$15</f>
        <v>787.75</v>
      </c>
      <c r="AK28" s="1165">
        <f>'24'!$G$123</f>
        <v>260</v>
      </c>
      <c r="AL28" s="1165">
        <f>'24'!$G$124</f>
        <v>0</v>
      </c>
      <c r="AM28" s="1165">
        <f>'24'!$G$125</f>
        <v>74</v>
      </c>
      <c r="AN28" s="1117">
        <f>'24'!$G$126</f>
        <v>16</v>
      </c>
      <c r="AO28" s="1117">
        <f>'24'!$G$127</f>
        <v>2</v>
      </c>
      <c r="AP28" s="1165">
        <f>AJ28-SUM(AK28:AO28)</f>
        <v>435.75</v>
      </c>
      <c r="AQ28" s="1117">
        <f>SUM('24'!G139:G140)</f>
        <v>7.5999999999999091</v>
      </c>
      <c r="AR28" s="1117">
        <f>'24'!$G$136</f>
        <v>0</v>
      </c>
      <c r="AS28" s="1117">
        <f>'24'!$G$137</f>
        <v>7.75</v>
      </c>
      <c r="AT28" s="1117">
        <f>'24'!$G$138</f>
        <v>1.1499999999941792</v>
      </c>
      <c r="AU28" s="1128">
        <f t="shared" si="1"/>
        <v>8.8999999999941792</v>
      </c>
      <c r="AW28" s="1167">
        <f t="shared" si="2"/>
        <v>-175.75</v>
      </c>
    </row>
    <row r="29" spans="1:49">
      <c r="A29" s="1126">
        <v>43886</v>
      </c>
      <c r="B29" s="261">
        <f>SUM('25'!G35,'25'!G49)</f>
        <v>3189</v>
      </c>
      <c r="C29" s="261">
        <f>SUM('25'!G37,'25'!G51)</f>
        <v>1492</v>
      </c>
      <c r="D29" s="261">
        <f>SUM('25'!G38,'25'!G52)</f>
        <v>1987</v>
      </c>
      <c r="E29" s="261">
        <f>SUM('25'!G39,'25'!G53)</f>
        <v>4098</v>
      </c>
      <c r="F29" s="261">
        <f>SUM('25'!G41,'25'!G42,'25'!G55,'25'!G56)</f>
        <v>5048</v>
      </c>
      <c r="G29" s="261">
        <f>SUM('25'!G43,'25'!G57)</f>
        <v>2279</v>
      </c>
      <c r="H29" s="1127">
        <f>'25'!G50</f>
        <v>1200</v>
      </c>
      <c r="I29" s="1127">
        <f>'25'!G36</f>
        <v>743</v>
      </c>
      <c r="J29" s="1127">
        <f>'25'!G72</f>
        <v>75</v>
      </c>
      <c r="K29" s="1127">
        <f>'25'!$G$73</f>
        <v>1</v>
      </c>
      <c r="L29" s="1127">
        <f>'25'!$G$74</f>
        <v>15</v>
      </c>
      <c r="M29" s="1127">
        <f>'25'!$G$75</f>
        <v>153</v>
      </c>
      <c r="N29" s="1127">
        <f>'25'!$G$76</f>
        <v>77</v>
      </c>
      <c r="O29" s="1127">
        <f>'25'!$G$77</f>
        <v>44</v>
      </c>
      <c r="P29" s="1117">
        <f>'25'!$G$78</f>
        <v>284</v>
      </c>
      <c r="Q29" s="1117">
        <f>'25'!$G$79</f>
        <v>204</v>
      </c>
      <c r="R29" s="1117">
        <f>'25'!$G$80</f>
        <v>369</v>
      </c>
      <c r="S29" s="1117">
        <f>'25'!$G$81</f>
        <v>126</v>
      </c>
      <c r="T29" s="1117">
        <f>'25'!$G$82</f>
        <v>24</v>
      </c>
      <c r="U29" s="1117">
        <f>'25'!$G$58</f>
        <v>158</v>
      </c>
      <c r="V29" s="1117">
        <f>'25'!$G$83</f>
        <v>480</v>
      </c>
      <c r="W29" s="1117">
        <f>'25'!G86</f>
        <v>135</v>
      </c>
      <c r="X29" s="1117">
        <f>'25'!G87</f>
        <v>35.600000000005821</v>
      </c>
      <c r="Y29" s="1117">
        <f>'25'!G88</f>
        <v>46</v>
      </c>
      <c r="Z29" s="1117">
        <f>'25'!G87+'25'!H90</f>
        <v>38.600000000005821</v>
      </c>
      <c r="AA29" s="1127">
        <f>'25'!$G$62</f>
        <v>0</v>
      </c>
      <c r="AB29" s="1127">
        <f>'25'!$G$63</f>
        <v>14</v>
      </c>
      <c r="AC29" s="1127">
        <f>'25'!$G$64</f>
        <v>532</v>
      </c>
      <c r="AD29" s="1127">
        <f>'25'!$G$65</f>
        <v>392</v>
      </c>
      <c r="AE29" s="1127">
        <f>'25'!$G$66</f>
        <v>394</v>
      </c>
      <c r="AF29" s="1127">
        <f>'25'!$G$67</f>
        <v>599</v>
      </c>
      <c r="AG29" s="1127">
        <f>'25'!$G$68</f>
        <v>295</v>
      </c>
      <c r="AH29" s="1127">
        <f>'25'!$G$69</f>
        <v>324</v>
      </c>
      <c r="AI29" s="1127">
        <f>'25'!$G$84</f>
        <v>554</v>
      </c>
      <c r="AJ29" s="1127">
        <f>'25'!$G$15</f>
        <v>861.98999999999069</v>
      </c>
      <c r="AK29" s="1127">
        <f>'25'!$G$123</f>
        <v>265</v>
      </c>
      <c r="AL29" s="1127">
        <f>'25'!$G$124</f>
        <v>0</v>
      </c>
      <c r="AM29" s="1127">
        <f>'25'!$G$125</f>
        <v>67</v>
      </c>
      <c r="AN29" s="1127">
        <f>'25'!$G$126</f>
        <v>22</v>
      </c>
      <c r="AO29" s="1127">
        <f>'25'!$G$127</f>
        <v>0</v>
      </c>
      <c r="AP29" s="1127">
        <f t="shared" si="0"/>
        <v>507.98999999999069</v>
      </c>
      <c r="AQ29" s="1127">
        <f>SUM('25'!G139:G140)</f>
        <v>7.6500000000000909</v>
      </c>
      <c r="AR29" s="1127">
        <f>'25'!$G$136</f>
        <v>9</v>
      </c>
      <c r="AS29" s="1127">
        <f>'25'!$G$137</f>
        <v>-0.31000000000130967</v>
      </c>
      <c r="AT29" s="1127">
        <f>'25'!$G$138</f>
        <v>1</v>
      </c>
      <c r="AU29" s="1124">
        <f t="shared" si="1"/>
        <v>9.6899999999986903</v>
      </c>
      <c r="AW29" s="1132">
        <f t="shared" si="2"/>
        <v>-242.98999999999069</v>
      </c>
    </row>
    <row r="30" spans="1:49">
      <c r="A30" s="1126">
        <v>43887</v>
      </c>
      <c r="B30" s="261">
        <f>SUM('26'!G35,'26'!G49)</f>
        <v>3115</v>
      </c>
      <c r="C30" s="261">
        <f>SUM('26'!G37,'26'!G51)</f>
        <v>1421</v>
      </c>
      <c r="D30" s="261">
        <f>SUM('26'!G38,'26'!G52)</f>
        <v>1988</v>
      </c>
      <c r="E30" s="261">
        <f>SUM('26'!G39,'26'!G53)</f>
        <v>4202</v>
      </c>
      <c r="F30" s="261">
        <f>SUM('26'!G41,'26'!G42,'26'!G55,'26'!G56)</f>
        <v>5077</v>
      </c>
      <c r="G30" s="261">
        <f>SUM('26'!G43,'26'!G57)</f>
        <v>2292</v>
      </c>
      <c r="H30" s="1127">
        <f>'26'!G50</f>
        <v>1005</v>
      </c>
      <c r="I30" s="1127">
        <f>'26'!G36</f>
        <v>610</v>
      </c>
      <c r="J30" s="1127">
        <f>'26'!G72</f>
        <v>68</v>
      </c>
      <c r="K30" s="1127">
        <f>'26'!$G$73</f>
        <v>0</v>
      </c>
      <c r="L30" s="1127">
        <f>'26'!$G$74</f>
        <v>15</v>
      </c>
      <c r="M30" s="1127">
        <f>'26'!$G$75</f>
        <v>172</v>
      </c>
      <c r="N30" s="1127">
        <f>'26'!$G$76</f>
        <v>82</v>
      </c>
      <c r="O30" s="1127">
        <f>'26'!$G$77</f>
        <v>47</v>
      </c>
      <c r="P30" s="1117">
        <f>'26'!$G$78</f>
        <v>345</v>
      </c>
      <c r="Q30" s="1117">
        <f>'26'!$G$79</f>
        <v>198</v>
      </c>
      <c r="R30" s="1117">
        <f>'26'!$G$80</f>
        <v>353</v>
      </c>
      <c r="S30" s="1117">
        <f>'26'!$G$81</f>
        <v>123</v>
      </c>
      <c r="T30" s="1117">
        <f>'26'!$G$82</f>
        <v>19</v>
      </c>
      <c r="U30" s="1117">
        <f>'26'!$G$58</f>
        <v>177</v>
      </c>
      <c r="V30" s="1117">
        <f>'26'!$G$83</f>
        <v>495</v>
      </c>
      <c r="W30" s="1117">
        <f>'26'!G86</f>
        <v>90</v>
      </c>
      <c r="X30" s="1117">
        <f>'26'!G87</f>
        <v>37.19999999999709</v>
      </c>
      <c r="Y30" s="1117">
        <f>'26'!G88</f>
        <v>99</v>
      </c>
      <c r="Z30" s="1117">
        <f>'26'!G87+'26'!H90</f>
        <v>42.19999999999709</v>
      </c>
      <c r="AA30" s="1127">
        <f>'26'!$G$62</f>
        <v>0</v>
      </c>
      <c r="AB30" s="1127">
        <f>'26'!$G$63</f>
        <v>15</v>
      </c>
      <c r="AC30" s="1127">
        <f>'26'!$G$64</f>
        <v>556</v>
      </c>
      <c r="AD30" s="1127">
        <f>'26'!$G$65</f>
        <v>396</v>
      </c>
      <c r="AE30" s="1127">
        <f>'26'!$G$66</f>
        <v>390</v>
      </c>
      <c r="AF30" s="1127">
        <f>'26'!$G$67</f>
        <v>657</v>
      </c>
      <c r="AG30" s="1127">
        <f>'26'!$G$68</f>
        <v>306</v>
      </c>
      <c r="AH30" s="1127">
        <f>'26'!$G$69</f>
        <v>333</v>
      </c>
      <c r="AI30" s="1127">
        <f>'26'!$G$84</f>
        <v>617</v>
      </c>
      <c r="AJ30" s="1127">
        <f>'26'!$G$15</f>
        <v>838.44999999995343</v>
      </c>
      <c r="AK30" s="1127">
        <f>'26'!$G$123</f>
        <v>251</v>
      </c>
      <c r="AL30" s="1127">
        <f>'26'!$G$124</f>
        <v>0</v>
      </c>
      <c r="AM30" s="1127">
        <f>'26'!$G$125</f>
        <v>57</v>
      </c>
      <c r="AN30" s="1127">
        <f>'26'!$G$126</f>
        <v>23</v>
      </c>
      <c r="AO30" s="1127">
        <f>'26'!$G$127</f>
        <v>1</v>
      </c>
      <c r="AP30" s="1127">
        <f t="shared" si="0"/>
        <v>506.44999999995343</v>
      </c>
      <c r="AQ30" s="1127">
        <f>SUM('26'!G139:G140)</f>
        <v>7.2400000000000091</v>
      </c>
      <c r="AR30" s="1127">
        <f>'26'!$G$136</f>
        <v>8.5999999999985448</v>
      </c>
      <c r="AS30" s="1127">
        <f>'26'!$G$137</f>
        <v>0.31000000000130967</v>
      </c>
      <c r="AT30" s="1127">
        <f>'26'!$G$138</f>
        <v>4.8099999999976717</v>
      </c>
      <c r="AU30" s="1124">
        <f t="shared" si="1"/>
        <v>13.719999999997526</v>
      </c>
      <c r="AW30" s="1132">
        <f t="shared" si="2"/>
        <v>-255.44999999995343</v>
      </c>
    </row>
    <row r="31" spans="1:49">
      <c r="A31" s="1126">
        <v>43888</v>
      </c>
      <c r="B31" s="261">
        <f>SUM('27'!G35,'27'!G49)</f>
        <v>3121.4799999999814</v>
      </c>
      <c r="C31" s="261">
        <f>SUM('27'!G37,'27'!G51)</f>
        <v>1489.989999999998</v>
      </c>
      <c r="D31" s="261">
        <f>SUM('27'!G38,'27'!G52)</f>
        <v>2224.4650000000183</v>
      </c>
      <c r="E31" s="261">
        <f>SUM('27'!G39,'27'!G53)</f>
        <v>4174.9600000000064</v>
      </c>
      <c r="F31" s="261">
        <f>SUM('27'!G41,'27'!G42,'27'!G55,'27'!G56)</f>
        <v>5238.6600000000471</v>
      </c>
      <c r="G31" s="261">
        <f>SUM('27'!G43,'27'!G57)</f>
        <v>2278.5599999999813</v>
      </c>
      <c r="H31" s="1127">
        <f>'27'!G50</f>
        <v>972.27000000001863</v>
      </c>
      <c r="I31" s="1127">
        <f>'27'!G36</f>
        <v>562.3300000000163</v>
      </c>
      <c r="J31" s="1127">
        <f>'27'!G72</f>
        <v>79</v>
      </c>
      <c r="K31" s="1127">
        <f>'27'!$G$73</f>
        <v>0</v>
      </c>
      <c r="L31" s="1127">
        <f>'27'!$G$74</f>
        <v>21.299999999999955</v>
      </c>
      <c r="M31" s="1127">
        <f>'27'!$G$75</f>
        <v>172.88000000000011</v>
      </c>
      <c r="N31" s="1127">
        <f>'27'!$G$76</f>
        <v>78.170000000000073</v>
      </c>
      <c r="O31" s="1127">
        <f>'27'!$G$77</f>
        <v>45</v>
      </c>
      <c r="P31" s="1117">
        <f>'27'!$G$78</f>
        <v>325</v>
      </c>
      <c r="Q31" s="1117">
        <f>'27'!$G$79</f>
        <v>181</v>
      </c>
      <c r="R31" s="1117">
        <f>'27'!$G$80</f>
        <v>369.84000000002561</v>
      </c>
      <c r="S31" s="1117">
        <f>'27'!$G$81</f>
        <v>124.52000000001863</v>
      </c>
      <c r="T31" s="1117">
        <f>'27'!$G$82</f>
        <v>26.820000000006985</v>
      </c>
      <c r="U31" s="1117">
        <f>'27'!$G$58</f>
        <v>219.66000000000349</v>
      </c>
      <c r="V31" s="1117">
        <f>'27'!$G$83</f>
        <v>476</v>
      </c>
      <c r="W31" s="1117">
        <f>'27'!G86</f>
        <v>64.440000000002328</v>
      </c>
      <c r="X31" s="1117">
        <f>'27'!G87</f>
        <v>27.400000000008731</v>
      </c>
      <c r="Y31" s="1117">
        <f>'27'!G88</f>
        <v>32.899999999994179</v>
      </c>
      <c r="Z31" s="1117">
        <f>'27'!G87+'27'!H90</f>
        <v>29.300000000008822</v>
      </c>
      <c r="AA31" s="1127">
        <f>'27'!$G$62</f>
        <v>0</v>
      </c>
      <c r="AB31" s="1127">
        <f>'27'!$G$63</f>
        <v>14.009999999999991</v>
      </c>
      <c r="AC31" s="1127">
        <f>'27'!$G$64</f>
        <v>487.85000000000582</v>
      </c>
      <c r="AD31" s="1127">
        <f>'27'!$G$65</f>
        <v>392.92000000001281</v>
      </c>
      <c r="AE31" s="1127">
        <f>'27'!$G$66</f>
        <v>386.43999999999869</v>
      </c>
      <c r="AF31" s="1127">
        <f>'27'!$G$67</f>
        <v>661.42999999999302</v>
      </c>
      <c r="AG31" s="1127">
        <f>'27'!$G$68</f>
        <v>332.60000000000582</v>
      </c>
      <c r="AH31" s="1127">
        <f>'27'!$G$69</f>
        <v>318.66000000000349</v>
      </c>
      <c r="AI31" s="1127">
        <f>'27'!$G$84</f>
        <v>672</v>
      </c>
      <c r="AJ31" s="1127">
        <f>'27'!$G$15</f>
        <v>961.60299999988638</v>
      </c>
      <c r="AK31" s="1127">
        <f>'27'!$G$123</f>
        <v>252.09799999999814</v>
      </c>
      <c r="AL31" s="1127">
        <f>'27'!$G$124</f>
        <v>0.39999999999417923</v>
      </c>
      <c r="AM31" s="1127">
        <f>'27'!$G$125</f>
        <v>78.529999999998836</v>
      </c>
      <c r="AN31" s="1127">
        <f>'27'!$G$126</f>
        <v>25.5</v>
      </c>
      <c r="AO31" s="1127">
        <f>'27'!$G$127</f>
        <v>2.3999999999996362</v>
      </c>
      <c r="AP31" s="1127">
        <f t="shared" si="0"/>
        <v>602.67499999989559</v>
      </c>
      <c r="AQ31" s="1127">
        <f>SUM('27'!G139:G140)</f>
        <v>7.2999999999999545</v>
      </c>
      <c r="AR31" s="1127">
        <f>'27'!$G$136</f>
        <v>11.940000000002328</v>
      </c>
      <c r="AS31" s="1127">
        <f>'27'!$G$137</f>
        <v>0</v>
      </c>
      <c r="AT31" s="1127">
        <f>'27'!$G$138</f>
        <v>4.0899999999965075</v>
      </c>
      <c r="AU31" s="1124">
        <f t="shared" si="1"/>
        <v>16.029999999998836</v>
      </c>
      <c r="AW31" s="1132">
        <f t="shared" si="2"/>
        <v>-350.57699999989745</v>
      </c>
    </row>
    <row r="32" spans="1:49">
      <c r="A32" s="1126">
        <v>43889</v>
      </c>
      <c r="B32" s="261">
        <f>SUM('28'!G35,'28'!G49)</f>
        <v>3316.2399999999907</v>
      </c>
      <c r="C32" s="261">
        <f>SUM('28'!G37,'28'!G51)</f>
        <v>1486.0299999999988</v>
      </c>
      <c r="D32" s="261">
        <f>SUM('28'!G38,'28'!G52)</f>
        <v>2272.7350000000006</v>
      </c>
      <c r="E32" s="261">
        <f>SUM('28'!G39,'28'!G53)</f>
        <v>4370.9400000000023</v>
      </c>
      <c r="F32" s="261">
        <f>SUM('28'!G41,'28'!G42,'28'!G55,'28'!G56)</f>
        <v>5659.2799999999843</v>
      </c>
      <c r="G32" s="261">
        <f>SUM('28'!G43,'28'!G57)</f>
        <v>2391.5999999999767</v>
      </c>
      <c r="H32" s="1127">
        <f>'28'!G50</f>
        <v>1090.7600000000093</v>
      </c>
      <c r="I32" s="1127">
        <f>'28'!G36</f>
        <v>614.23999999999069</v>
      </c>
      <c r="J32" s="1127">
        <f>'28'!G72</f>
        <v>81</v>
      </c>
      <c r="K32" s="1127">
        <f>'28'!$G$73</f>
        <v>1</v>
      </c>
      <c r="L32" s="1127">
        <f>'28'!$G$74</f>
        <v>48.870000000000005</v>
      </c>
      <c r="M32" s="1127">
        <f>'28'!$G$75</f>
        <v>162.33999999999969</v>
      </c>
      <c r="N32" s="1127">
        <f>'28'!$G$76</f>
        <v>81.169999999999845</v>
      </c>
      <c r="O32" s="1127">
        <f>'28'!$G$77</f>
        <v>48</v>
      </c>
      <c r="P32" s="1117">
        <f>'28'!$G$78</f>
        <v>413</v>
      </c>
      <c r="Q32" s="1117">
        <f>'28'!$G$79</f>
        <v>238</v>
      </c>
      <c r="R32" s="1117">
        <f>'28'!$G$80</f>
        <v>407.79999999998836</v>
      </c>
      <c r="S32" s="1117">
        <f>'28'!$G$81</f>
        <v>145.31999999994878</v>
      </c>
      <c r="T32" s="1117">
        <f>'28'!$G$82</f>
        <v>16.659999999988941</v>
      </c>
      <c r="U32" s="1117">
        <f>'28'!$G$58</f>
        <v>195.0399999999936</v>
      </c>
      <c r="V32" s="1117">
        <f>'28'!$G$83</f>
        <v>611</v>
      </c>
      <c r="W32" s="1117">
        <f>'28'!G86</f>
        <v>85.090000000025611</v>
      </c>
      <c r="X32" s="1117">
        <f>'28'!G87</f>
        <v>13.099999999991269</v>
      </c>
      <c r="Y32" s="1117">
        <f>'28'!G88</f>
        <v>30.709999999991851</v>
      </c>
      <c r="Z32" s="1117">
        <f>'28'!G87+'28'!H90</f>
        <v>14.099999999991269</v>
      </c>
      <c r="AA32" s="1127">
        <f>'28'!$G$62</f>
        <v>7.0000000014260877E-3</v>
      </c>
      <c r="AB32" s="1127">
        <f>'28'!$G$63</f>
        <v>15.349999999999909</v>
      </c>
      <c r="AC32" s="1127">
        <f>'28'!$G$64</f>
        <v>490.44999999999709</v>
      </c>
      <c r="AD32" s="1127">
        <f>'28'!$G$65</f>
        <v>416.37999999997555</v>
      </c>
      <c r="AE32" s="1127">
        <f>'28'!$G$66</f>
        <v>404.31000000000131</v>
      </c>
      <c r="AF32" s="1127">
        <f>'28'!$G$67</f>
        <v>693.39999999999418</v>
      </c>
      <c r="AG32" s="1127">
        <f>'28'!$G$68</f>
        <v>370.91999999999825</v>
      </c>
      <c r="AH32" s="1127">
        <f>'28'!$G$69</f>
        <v>341.42999999999302</v>
      </c>
      <c r="AI32" s="1127">
        <f>'28'!$G$84</f>
        <v>739</v>
      </c>
      <c r="AJ32" s="1127">
        <f>'28'!$G$15</f>
        <v>1060.0070000002161</v>
      </c>
      <c r="AK32" s="1127">
        <f>'28'!$G$123</f>
        <v>273.74199999996927</v>
      </c>
      <c r="AL32" s="1127">
        <f>'28'!$G$124</f>
        <v>0</v>
      </c>
      <c r="AM32" s="1127">
        <f>'28'!$G$125</f>
        <v>67.809999999997672</v>
      </c>
      <c r="AN32" s="1127">
        <f>'28'!$G$126</f>
        <v>41.400000000001455</v>
      </c>
      <c r="AO32" s="1127">
        <f>'28'!$G$127</f>
        <v>2.3999999999996362</v>
      </c>
      <c r="AP32" s="1127">
        <f t="shared" si="0"/>
        <v>674.65500000024804</v>
      </c>
      <c r="AQ32" s="1127">
        <f>SUM('28'!G139:G140)</f>
        <v>8.3100000000004002</v>
      </c>
      <c r="AR32" s="1127">
        <f>'28'!$G$136</f>
        <v>9.6699999999982538</v>
      </c>
      <c r="AS32" s="1127">
        <f>'28'!$G$137</f>
        <v>0</v>
      </c>
      <c r="AT32" s="1127">
        <f>'28'!$G$138</f>
        <v>5.4400000000023283</v>
      </c>
      <c r="AU32" s="1124">
        <f t="shared" si="1"/>
        <v>15.110000000000582</v>
      </c>
      <c r="AW32" s="1132">
        <f t="shared" si="2"/>
        <v>-400.91300000027877</v>
      </c>
    </row>
    <row r="33" spans="1:49">
      <c r="A33" s="1126">
        <v>43890</v>
      </c>
      <c r="B33" s="261">
        <f>SUM('29'!G35,'29'!G49)</f>
        <v>-84806.169999999984</v>
      </c>
      <c r="C33" s="261">
        <f>SUM('29'!G37,'29'!G51)</f>
        <v>369987.98000000004</v>
      </c>
      <c r="D33" s="261">
        <f>SUM('29'!G38,'29'!G52)</f>
        <v>88789.799999999988</v>
      </c>
      <c r="E33" s="261">
        <f>SUM('29'!G39,'29'!G53)</f>
        <v>785883.07</v>
      </c>
      <c r="F33" s="261">
        <f>SUM('29'!G41,'29'!G42,'29'!G55,'3'!G56)</f>
        <v>-105329.91</v>
      </c>
      <c r="G33" s="261">
        <f>SUM('29'!G43,'29'!G57)</f>
        <v>-70446.529999999955</v>
      </c>
      <c r="H33" s="1127">
        <f>'29'!G50</f>
        <v>-35982.060000000056</v>
      </c>
      <c r="I33" s="1127">
        <f>'29'!G36</f>
        <v>-21072.840000000026</v>
      </c>
      <c r="J33" s="1127">
        <f>'29'!G72</f>
        <v>-2312</v>
      </c>
      <c r="K33" s="1127">
        <f>'29'!$G$73</f>
        <v>-44</v>
      </c>
      <c r="L33" s="1127">
        <f>'29'!$G$74</f>
        <v>881716.83</v>
      </c>
      <c r="M33" s="1127">
        <f>'29'!$G$75</f>
        <v>733600.78</v>
      </c>
      <c r="N33" s="1127">
        <f>'29'!$G$76</f>
        <v>685355.66</v>
      </c>
      <c r="O33" s="1127">
        <f>'29'!$G$77</f>
        <v>-1586</v>
      </c>
      <c r="P33" s="1127">
        <f>'29'!$G$78</f>
        <v>-11758</v>
      </c>
      <c r="Q33" s="1127">
        <f>'29'!$G$79</f>
        <v>-5786</v>
      </c>
      <c r="R33" s="1127">
        <f>'29'!$G$80</f>
        <v>-10170.640000000014</v>
      </c>
      <c r="S33" s="1127">
        <f>'29'!$G$81</f>
        <v>-3375.8399999999674</v>
      </c>
      <c r="T33" s="1127">
        <f>'29'!$G$82</f>
        <v>-862.94000000000233</v>
      </c>
      <c r="U33" s="1127">
        <f>'29'!$G$58</f>
        <v>-5654.3099999999977</v>
      </c>
      <c r="V33" s="1127">
        <f>'29'!$G$83</f>
        <v>-13497</v>
      </c>
      <c r="W33" s="1127">
        <f>'29'!G86</f>
        <v>-3480.5300000000279</v>
      </c>
      <c r="X33" s="1127">
        <f>'29'!G87</f>
        <v>-796.69999999999709</v>
      </c>
      <c r="Y33" s="1127">
        <f>'29'!G88</f>
        <v>-1881.6599999999744</v>
      </c>
      <c r="Z33" s="1127">
        <f>'29'!G87+'29'!H90</f>
        <v>-897.69999999999709</v>
      </c>
      <c r="AA33" s="1127">
        <f>'29'!$G$62</f>
        <v>-7.0000000014260877E-3</v>
      </c>
      <c r="AB33" s="1127">
        <f>'29'!$G$63</f>
        <v>-401.4699999999998</v>
      </c>
      <c r="AC33" s="1127">
        <f>'29'!$G$64</f>
        <v>-13165.900000000009</v>
      </c>
      <c r="AD33" s="1127">
        <f>'29'!$G$65</f>
        <v>-11648.649999999994</v>
      </c>
      <c r="AE33" s="1127">
        <f>'29'!$G$66</f>
        <v>-11838.91</v>
      </c>
      <c r="AF33" s="1127">
        <f>'29'!$G$67</f>
        <v>-20572.459999999992</v>
      </c>
      <c r="AG33" s="1127">
        <f>'29'!$G$68</f>
        <v>-9990.7300000000032</v>
      </c>
      <c r="AH33" s="1127">
        <f>'29'!$G$69</f>
        <v>-9359.0899999999965</v>
      </c>
      <c r="AI33" s="1127">
        <f>'29'!$G$84</f>
        <v>-15718</v>
      </c>
      <c r="AJ33" s="1127">
        <f>'29'!$G$15</f>
        <v>-26977.64000000013</v>
      </c>
      <c r="AK33" s="1127">
        <f>'29'!$G$123</f>
        <v>-8223.8499999999767</v>
      </c>
      <c r="AL33" s="1127">
        <f>'29'!$G$124</f>
        <v>-1.3999999999941792</v>
      </c>
      <c r="AM33" s="1127">
        <f>'29'!$G$125</f>
        <v>-2239.570000000007</v>
      </c>
      <c r="AN33" s="1127">
        <f>'29'!$G$126</f>
        <v>-986.90000000000146</v>
      </c>
      <c r="AO33" s="1127">
        <f>'29'!$G$127</f>
        <v>-80.799999999999272</v>
      </c>
      <c r="AP33" s="1127">
        <f t="shared" si="0"/>
        <v>-15445.120000000152</v>
      </c>
      <c r="AQ33" s="1127">
        <f>SUM('29'!G139:G140)</f>
        <v>-238.72000000000003</v>
      </c>
      <c r="AR33" s="1127">
        <f>'29'!$G$136</f>
        <v>-233.47999999999956</v>
      </c>
      <c r="AS33" s="1127">
        <f>'29'!$G$137</f>
        <v>-24.370000000002619</v>
      </c>
      <c r="AT33" s="1127">
        <f>'29'!$G$138</f>
        <v>-87.559999999997672</v>
      </c>
      <c r="AU33" s="1124">
        <f t="shared" si="1"/>
        <v>-345.40999999999985</v>
      </c>
      <c r="AW33" s="1132">
        <f t="shared" si="2"/>
        <v>7221.2700000001751</v>
      </c>
    </row>
    <row r="34" spans="1:49" s="1129" customFormat="1">
      <c r="A34" s="1126">
        <v>43891</v>
      </c>
      <c r="B34" s="261">
        <f>SUM('30'!G49,'30'!G49)</f>
        <v>5940</v>
      </c>
      <c r="C34" s="261">
        <f>SUM('30'!G51,'30'!G51)</f>
        <v>3031.7200000000012</v>
      </c>
      <c r="D34" s="261">
        <f>SUM('30'!G52,'30'!G52)</f>
        <v>3993.8199999999488</v>
      </c>
      <c r="E34" s="261">
        <f>SUM('30'!G53,'30'!G53)</f>
        <v>8318.0600000000559</v>
      </c>
      <c r="F34" s="261">
        <f>SUM('30'!G41,'30'!G42,'30'!G55,'30'!G56)</f>
        <v>3768.9499999999971</v>
      </c>
      <c r="G34" s="261">
        <f>SUM('30'!G57,'30'!G57)</f>
        <v>0</v>
      </c>
      <c r="H34" s="1117">
        <f>'30'!G50</f>
        <v>1114.0300000000279</v>
      </c>
      <c r="I34" s="1117">
        <f>'30'!G36</f>
        <v>587.20000000001164</v>
      </c>
      <c r="J34" s="1117">
        <f>'30'!G72</f>
        <v>84</v>
      </c>
      <c r="K34" s="1117">
        <f>'30'!$G$73</f>
        <v>0</v>
      </c>
      <c r="L34" s="1117">
        <f>'30'!$G$74</f>
        <v>33</v>
      </c>
      <c r="M34" s="1117">
        <f>'30'!$G$75</f>
        <v>182</v>
      </c>
      <c r="N34" s="1117">
        <f>'30'!$G$76</f>
        <v>70</v>
      </c>
      <c r="O34" s="1117">
        <f>'30'!$G$77</f>
        <v>44</v>
      </c>
      <c r="P34" s="1117">
        <f>'30'!$G$78</f>
        <v>376</v>
      </c>
      <c r="Q34" s="1117">
        <f>'30'!$G$79</f>
        <v>179</v>
      </c>
      <c r="R34" s="1117">
        <f>'30'!$G$80</f>
        <v>291</v>
      </c>
      <c r="S34" s="1117">
        <f>'30'!$G$81</f>
        <v>94.520000000018626</v>
      </c>
      <c r="T34" s="1117">
        <f>'30'!$G$82</f>
        <v>48.370000000009895</v>
      </c>
      <c r="U34" s="1117">
        <f>'30'!$G$58</f>
        <v>107.85000000000218</v>
      </c>
      <c r="V34" s="1117">
        <f>'30'!$G$83</f>
        <v>374</v>
      </c>
      <c r="W34" s="1117">
        <f>'30'!G86</f>
        <v>145</v>
      </c>
      <c r="X34" s="1117">
        <f>'30'!G87</f>
        <v>21.5</v>
      </c>
      <c r="Y34" s="1117">
        <f>'30'!G88</f>
        <v>81.049999999988358</v>
      </c>
      <c r="Z34" s="1117">
        <f>'30'!G87+'30'!H90</f>
        <v>23.599999999999909</v>
      </c>
      <c r="AA34" s="1117">
        <f>'30'!$G$62</f>
        <v>0</v>
      </c>
      <c r="AB34" s="1117">
        <f>'30'!$G$63</f>
        <v>12.759999999999991</v>
      </c>
      <c r="AC34" s="1117">
        <f>'30'!$G$64</f>
        <v>401.60000000000582</v>
      </c>
      <c r="AD34" s="1117">
        <f>'30'!$G$65</f>
        <v>389.35000000000582</v>
      </c>
      <c r="AE34" s="1117">
        <f>'30'!$G$66</f>
        <v>423.15999999999985</v>
      </c>
      <c r="AF34" s="1117">
        <f>'30'!$G$67</f>
        <v>677.63000000000466</v>
      </c>
      <c r="AG34" s="1117">
        <f>'30'!$G$68</f>
        <v>315.20999999999913</v>
      </c>
      <c r="AH34" s="1117">
        <f>'30'!$G$69</f>
        <v>314.55999999999767</v>
      </c>
      <c r="AI34" s="1117">
        <f>'30'!$G$84</f>
        <v>489</v>
      </c>
      <c r="AJ34" s="1117">
        <f>'30'!$G$15</f>
        <v>667.76000000000931</v>
      </c>
      <c r="AK34" s="1117">
        <f>'30'!$G$123</f>
        <v>270.01000000000931</v>
      </c>
      <c r="AL34" s="1117">
        <f>'30'!$G$124</f>
        <v>0</v>
      </c>
      <c r="AM34" s="1117">
        <f>'30'!$G$125</f>
        <v>52.230000000010477</v>
      </c>
      <c r="AN34" s="1117">
        <f>'30'!$G$126</f>
        <v>31</v>
      </c>
      <c r="AO34" s="1117">
        <f>'30'!$G$127</f>
        <v>5</v>
      </c>
      <c r="AP34" s="1117">
        <f t="shared" si="0"/>
        <v>309.51999999998952</v>
      </c>
      <c r="AQ34" s="1117">
        <f>SUM('30'!G139:G140)</f>
        <v>7.9199999999998454</v>
      </c>
      <c r="AR34" s="1117">
        <f>'30'!$G$136</f>
        <v>3.75</v>
      </c>
      <c r="AS34" s="1117">
        <f>'30'!$G$137</f>
        <v>0</v>
      </c>
      <c r="AT34" s="1117">
        <f>'30'!$G$138</f>
        <v>4.1100000000005821</v>
      </c>
      <c r="AU34" s="1128">
        <f t="shared" si="1"/>
        <v>7.8600000000005821</v>
      </c>
      <c r="AW34" s="1133">
        <f t="shared" si="2"/>
        <v>-39.509999999980209</v>
      </c>
    </row>
    <row r="35" spans="1:49">
      <c r="A35" s="1126">
        <v>43892</v>
      </c>
      <c r="B35" s="261">
        <f>SUM('31'!G35,'31'!G49)</f>
        <v>2943.1700000000419</v>
      </c>
      <c r="C35" s="261">
        <f>SUM('31'!G37,'31'!G51)</f>
        <v>1548.8800000000047</v>
      </c>
      <c r="D35" s="261">
        <f>SUM('31'!G38,'31'!G52)</f>
        <v>2107.6400000000094</v>
      </c>
      <c r="E35" s="261">
        <f>SUM('31'!G39,'31'!G53)</f>
        <v>4206.2700000000186</v>
      </c>
      <c r="F35" s="261">
        <f>SUM('31'!G41,'31'!G42,'31'!G55,'31'!G56)</f>
        <v>3635.0600000000341</v>
      </c>
      <c r="G35" s="261">
        <f>SUM('31'!G43,'31'!G57)</f>
        <v>2312.4000000000233</v>
      </c>
      <c r="H35" s="1127">
        <f>'31'!G50</f>
        <v>1022.3099999999977</v>
      </c>
      <c r="I35" s="1127">
        <f>'31'!G36</f>
        <v>531.52000000001863</v>
      </c>
      <c r="J35" s="1127">
        <f>'31'!G72</f>
        <v>101</v>
      </c>
      <c r="K35" s="1127">
        <f>'31'!$G$73</f>
        <v>0</v>
      </c>
      <c r="L35" s="1127">
        <f>'31'!$G$74</f>
        <v>33</v>
      </c>
      <c r="M35" s="1127">
        <f>'31'!$G$74</f>
        <v>33</v>
      </c>
      <c r="N35" s="1127">
        <f>'31'!$G$76</f>
        <v>74</v>
      </c>
      <c r="O35" s="1117">
        <f>'31'!$G$77</f>
        <v>61</v>
      </c>
      <c r="P35" s="1117">
        <f>'31'!$G$78</f>
        <v>472</v>
      </c>
      <c r="Q35" s="1117">
        <f>'31'!$G$79</f>
        <v>189</v>
      </c>
      <c r="R35" s="1117">
        <f>'31'!$G$80</f>
        <v>333</v>
      </c>
      <c r="S35" s="1117">
        <f>'31'!$G$81</f>
        <v>112.47999999998137</v>
      </c>
      <c r="T35" s="1117">
        <f>'31'!$G$82</f>
        <v>52.089999999996508</v>
      </c>
      <c r="U35" s="1117">
        <f>'31'!$G$58</f>
        <v>209.66999999999825</v>
      </c>
      <c r="V35" s="1117">
        <f>'31'!$G$83</f>
        <v>415</v>
      </c>
      <c r="W35" s="1117">
        <f>'31'!G86</f>
        <v>73</v>
      </c>
      <c r="X35" s="1117">
        <f>'31'!G88</f>
        <v>38</v>
      </c>
      <c r="Y35" s="1117">
        <f>'31'!G89</f>
        <v>64</v>
      </c>
      <c r="Z35" s="1117">
        <f>'31'!G87+'31'!H90</f>
        <v>17.80000000000291</v>
      </c>
      <c r="AA35" s="1127">
        <f>'31'!$G$62</f>
        <v>8.9999999981955625E-3</v>
      </c>
      <c r="AB35" s="1127">
        <f>'31'!$G$63</f>
        <v>13.879999999999882</v>
      </c>
      <c r="AC35" s="1127">
        <f>'31'!$G$64</f>
        <v>420.4600000000064</v>
      </c>
      <c r="AD35" s="1127">
        <f>'31'!$G$65</f>
        <v>395.11000000000058</v>
      </c>
      <c r="AE35" s="1127">
        <f>'31'!$G$66</f>
        <v>415.73999999999978</v>
      </c>
      <c r="AF35" s="1127">
        <f>'31'!$G$67</f>
        <v>727.52999999999884</v>
      </c>
      <c r="AG35" s="1127">
        <f>'31'!$G$68</f>
        <v>296.86000000000058</v>
      </c>
      <c r="AH35" s="1127">
        <f>'31'!$G$69</f>
        <v>316.15000000000146</v>
      </c>
      <c r="AI35" s="1127">
        <f>'31'!$G$84</f>
        <v>504</v>
      </c>
      <c r="AJ35" s="1127">
        <f>'31'!$G$15</f>
        <v>868.41999999992549</v>
      </c>
      <c r="AK35" s="1127">
        <f>'31'!$G$123</f>
        <v>282.40000000002328</v>
      </c>
      <c r="AL35" s="1127">
        <f>'31'!$G$124</f>
        <v>0</v>
      </c>
      <c r="AM35" s="1127">
        <f>'31'!$G$125</f>
        <v>56</v>
      </c>
      <c r="AN35" s="1127">
        <f>'31'!$G$126</f>
        <v>40.69999999999709</v>
      </c>
      <c r="AO35" s="1127">
        <f>'31'!$G$127</f>
        <v>4</v>
      </c>
      <c r="AP35" s="1127">
        <f t="shared" si="0"/>
        <v>485.31999999990512</v>
      </c>
      <c r="AQ35" s="1127">
        <f>SUM('31'!G139:G140)</f>
        <v>8.25</v>
      </c>
      <c r="AR35" s="1127">
        <f>'31'!$G$136</f>
        <v>9.4799999999995634</v>
      </c>
      <c r="AS35" s="1127">
        <f>'31'!$G$137</f>
        <v>0</v>
      </c>
      <c r="AT35" s="1127">
        <f>'31'!$G$138</f>
        <v>0</v>
      </c>
      <c r="AU35" s="1124">
        <f t="shared" si="1"/>
        <v>9.4799999999995634</v>
      </c>
      <c r="AW35" s="1132">
        <f t="shared" si="2"/>
        <v>-202.91999999988184</v>
      </c>
    </row>
    <row r="36" spans="1:49">
      <c r="A36" s="1168"/>
      <c r="B36" s="34">
        <f t="shared" ref="B36:G36" si="3">SUM(B5:B35)</f>
        <v>2970</v>
      </c>
      <c r="C36" s="34">
        <f t="shared" si="3"/>
        <v>416581.86</v>
      </c>
      <c r="D36" s="34">
        <f t="shared" si="3"/>
        <v>152710.90999999997</v>
      </c>
      <c r="E36" s="34">
        <f t="shared" si="3"/>
        <v>916639.03</v>
      </c>
      <c r="F36" s="34">
        <f t="shared" si="3"/>
        <v>28321.030000000021</v>
      </c>
      <c r="G36" s="34">
        <f t="shared" si="3"/>
        <v>-2336.8800000000047</v>
      </c>
      <c r="H36" s="1123"/>
      <c r="I36" s="1123"/>
      <c r="O36" s="1129"/>
      <c r="P36" s="1129"/>
      <c r="Q36" s="1129"/>
      <c r="R36" s="1129"/>
      <c r="S36" s="1129"/>
      <c r="T36" s="1129"/>
      <c r="U36" s="1129"/>
      <c r="V36" s="1129"/>
      <c r="W36" s="1129"/>
      <c r="X36" s="1129"/>
      <c r="Y36" s="1129"/>
      <c r="Z36" s="1129"/>
    </row>
    <row r="37" spans="1:49">
      <c r="A37" s="1169"/>
      <c r="B37" s="35">
        <f t="shared" ref="B37:G37" si="4">B19-B18</f>
        <v>-48.439999999944121</v>
      </c>
      <c r="C37" s="35">
        <f t="shared" si="4"/>
        <v>-0.13999999999941792</v>
      </c>
      <c r="D37" s="35">
        <f t="shared" si="4"/>
        <v>27.840000000000146</v>
      </c>
      <c r="E37" s="35">
        <f t="shared" si="4"/>
        <v>-0.5499999999992724</v>
      </c>
      <c r="F37" s="35">
        <f t="shared" si="4"/>
        <v>-55.784000000014203</v>
      </c>
      <c r="G37" s="35">
        <f t="shared" si="4"/>
        <v>-13.92000000004191</v>
      </c>
      <c r="H37" s="35"/>
      <c r="I37" s="35"/>
      <c r="AK37" s="1171" t="s">
        <v>111</v>
      </c>
      <c r="AL37" s="1172">
        <v>191</v>
      </c>
      <c r="AM37" s="1172"/>
      <c r="AN37" s="1172"/>
    </row>
    <row r="38" spans="1:49">
      <c r="A38" s="1169"/>
      <c r="AK38" s="1172"/>
      <c r="AL38" s="1172">
        <v>88</v>
      </c>
      <c r="AM38" s="1172"/>
      <c r="AN38" s="1172"/>
    </row>
    <row r="39" spans="1:49">
      <c r="A39" s="1169"/>
      <c r="AK39" s="1172"/>
      <c r="AL39" s="1173">
        <f>SUM(AL37:AL38)</f>
        <v>279</v>
      </c>
      <c r="AM39" s="1174" t="s">
        <v>112</v>
      </c>
      <c r="AN39" s="1174">
        <v>335</v>
      </c>
    </row>
    <row r="40" spans="1:49">
      <c r="A40" s="1169"/>
      <c r="AK40" s="1172"/>
      <c r="AL40" s="1172"/>
      <c r="AM40" s="1172"/>
      <c r="AN40" s="1172"/>
    </row>
    <row r="41" spans="1:49">
      <c r="A41" s="1169"/>
      <c r="J41" s="1132"/>
      <c r="K41" s="1132"/>
      <c r="L41" s="1132"/>
      <c r="M41" s="1132"/>
      <c r="N41" s="1132"/>
      <c r="O41" s="1132"/>
      <c r="P41" s="1132"/>
      <c r="Q41" s="1132"/>
      <c r="R41" s="1132"/>
      <c r="S41" s="1132"/>
      <c r="T41" s="1132"/>
      <c r="U41" s="1132"/>
      <c r="V41" s="1132"/>
      <c r="W41" s="1132"/>
      <c r="X41" s="1132"/>
      <c r="Y41" s="1132"/>
      <c r="Z41" s="1132"/>
      <c r="AA41" s="1132"/>
      <c r="AB41" s="1132"/>
      <c r="AC41" s="1132"/>
      <c r="AD41" s="1132"/>
      <c r="AE41" s="1132"/>
      <c r="AF41" s="1132"/>
      <c r="AG41" s="1132"/>
      <c r="AH41" s="1132"/>
      <c r="AJ41" s="1132"/>
      <c r="AK41" s="1171" t="s">
        <v>113</v>
      </c>
      <c r="AL41" s="1173">
        <v>168</v>
      </c>
      <c r="AM41" s="1172"/>
      <c r="AN41" s="1172"/>
    </row>
    <row r="42" spans="1:49">
      <c r="A42" s="1169"/>
      <c r="AK42" s="1172"/>
      <c r="AL42" s="1172"/>
      <c r="AM42" s="1174" t="s">
        <v>114</v>
      </c>
      <c r="AN42" s="1172"/>
    </row>
    <row r="43" spans="1:49">
      <c r="A43" s="1169"/>
      <c r="AK43" s="1172" t="s">
        <v>115</v>
      </c>
      <c r="AL43" s="1172">
        <f>20*38.68</f>
        <v>773.6</v>
      </c>
      <c r="AM43" s="1172" t="s">
        <v>116</v>
      </c>
      <c r="AN43" s="1172"/>
    </row>
    <row r="44" spans="1:49">
      <c r="A44" s="1169"/>
    </row>
    <row r="45" spans="1:49">
      <c r="A45" s="1169"/>
    </row>
    <row r="46" spans="1:49">
      <c r="A46" s="1169"/>
    </row>
    <row r="47" spans="1:49">
      <c r="A47" s="1169"/>
    </row>
    <row r="48" spans="1:49">
      <c r="A48" s="1169"/>
    </row>
    <row r="49" spans="1:1">
      <c r="A49" s="1169"/>
    </row>
    <row r="50" spans="1:1">
      <c r="A50" s="1169"/>
    </row>
    <row r="51" spans="1:1">
      <c r="A51" s="1169"/>
    </row>
    <row r="52" spans="1:1">
      <c r="A52" s="1169"/>
    </row>
    <row r="53" spans="1:1">
      <c r="A53" s="1169"/>
    </row>
    <row r="54" spans="1:1">
      <c r="A54" s="1169"/>
    </row>
    <row r="55" spans="1:1">
      <c r="A55" s="1169"/>
    </row>
    <row r="56" spans="1:1">
      <c r="A56" s="1169"/>
    </row>
    <row r="57" spans="1:1">
      <c r="A57" s="1169"/>
    </row>
    <row r="58" spans="1:1">
      <c r="A58" s="1169"/>
    </row>
    <row r="59" spans="1:1">
      <c r="A59" s="1169"/>
    </row>
    <row r="60" spans="1:1">
      <c r="A60" s="1169"/>
    </row>
    <row r="61" spans="1:1">
      <c r="A61" s="1169"/>
    </row>
    <row r="62" spans="1:1">
      <c r="A62" s="1169"/>
    </row>
    <row r="63" spans="1:1">
      <c r="A63" s="1169"/>
    </row>
    <row r="64" spans="1:1">
      <c r="A64" s="1169"/>
    </row>
    <row r="65" spans="1:1">
      <c r="A65" s="1169"/>
    </row>
    <row r="66" spans="1:1">
      <c r="A66" s="1169"/>
    </row>
    <row r="67" spans="1:1">
      <c r="A67" s="1169"/>
    </row>
    <row r="68" spans="1:1">
      <c r="A68" s="1169"/>
    </row>
    <row r="69" spans="1:1">
      <c r="A69" s="1169"/>
    </row>
    <row r="70" spans="1:1">
      <c r="A70" s="1169"/>
    </row>
    <row r="71" spans="1:1">
      <c r="A71" s="1169"/>
    </row>
    <row r="72" spans="1:1">
      <c r="A72" s="1169"/>
    </row>
    <row r="73" spans="1:1">
      <c r="A73" s="1169"/>
    </row>
    <row r="74" spans="1:1">
      <c r="A74" s="1169"/>
    </row>
    <row r="75" spans="1:1">
      <c r="A75" s="1169"/>
    </row>
    <row r="76" spans="1:1">
      <c r="A76" s="1169"/>
    </row>
    <row r="77" spans="1:1">
      <c r="A77" s="1169"/>
    </row>
    <row r="78" spans="1:1">
      <c r="A78" s="1169"/>
    </row>
    <row r="79" spans="1:1">
      <c r="A79" s="1169"/>
    </row>
    <row r="80" spans="1:1">
      <c r="A80" s="1169"/>
    </row>
    <row r="81" spans="1:1">
      <c r="A81" s="1169"/>
    </row>
    <row r="82" spans="1:1">
      <c r="A82" s="1169"/>
    </row>
    <row r="83" spans="1:1">
      <c r="A83" s="1169"/>
    </row>
    <row r="84" spans="1:1">
      <c r="A84" s="1169"/>
    </row>
    <row r="85" spans="1:1">
      <c r="A85" s="1169"/>
    </row>
    <row r="86" spans="1:1">
      <c r="A86" s="1169"/>
    </row>
    <row r="87" spans="1:1">
      <c r="A87" s="1170"/>
    </row>
    <row r="88" spans="1:1">
      <c r="A88" s="1170"/>
    </row>
    <row r="89" spans="1:1">
      <c r="A89" s="1170"/>
    </row>
    <row r="90" spans="1:1">
      <c r="A90" s="1170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23" zoomScale="61" zoomScaleNormal="61" zoomScaleSheetLayoutView="61" zoomScalePageLayoutView="70" workbookViewId="0">
      <selection activeCell="G139" sqref="G139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317</v>
      </c>
      <c r="B2" s="1118">
        <v>44228</v>
      </c>
      <c r="C2" s="1232" t="s">
        <v>69</v>
      </c>
      <c r="D2" s="688">
        <v>0.47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25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140</v>
      </c>
      <c r="B15" s="666"/>
      <c r="C15" s="666"/>
      <c r="D15" s="599" t="s">
        <v>141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147</v>
      </c>
      <c r="B22" s="666"/>
      <c r="C22" s="666"/>
      <c r="D22" s="599" t="s">
        <v>148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149</v>
      </c>
      <c r="B23" s="666"/>
      <c r="C23" s="666"/>
      <c r="D23" s="599" t="s">
        <v>148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448" t="s">
        <v>193</v>
      </c>
      <c r="B74" s="1449"/>
      <c r="C74" s="1450"/>
      <c r="D74" s="599" t="s">
        <v>187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>
      <c r="A84" s="1234" t="s">
        <v>201</v>
      </c>
      <c r="B84" s="648"/>
      <c r="C84" s="648"/>
      <c r="D84" s="554" t="s">
        <v>132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>
      <c r="A89" s="812" t="s">
        <v>203</v>
      </c>
      <c r="B89" s="813"/>
      <c r="C89" s="813"/>
      <c r="D89" s="814" t="s">
        <v>183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>
      <c r="A94" s="1413" t="s">
        <v>208</v>
      </c>
      <c r="B94" s="1414"/>
      <c r="C94" s="1415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215</v>
      </c>
      <c r="J100" s="629">
        <f>H100/DAY(B2)</f>
        <v>6</v>
      </c>
      <c r="K100" s="411"/>
      <c r="L100" s="408"/>
      <c r="N100" s="413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>
      <c r="A121" s="1460"/>
      <c r="B121" s="1461"/>
      <c r="C121" s="1228"/>
      <c r="D121" s="637"/>
      <c r="E121" s="637" t="s">
        <v>215</v>
      </c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>
      <c r="A133" s="876" t="s">
        <v>242</v>
      </c>
      <c r="B133" s="1328"/>
      <c r="C133" s="1328"/>
      <c r="D133" s="600" t="s">
        <v>239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29"/>
      <c r="J133" s="630">
        <f>H133/DAY(B2)</f>
        <v>0</v>
      </c>
      <c r="N133" s="803"/>
      <c r="O133" s="413"/>
    </row>
    <row r="134" spans="1:15" ht="27.75">
      <c r="A134" s="1230" t="s">
        <v>243</v>
      </c>
      <c r="B134" s="1231"/>
      <c r="C134" s="1231"/>
      <c r="D134" s="599" t="s">
        <v>239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263</v>
      </c>
      <c r="B160" s="869"/>
      <c r="C160" s="869"/>
      <c r="D160" s="587" t="s">
        <v>187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68" t="s">
        <v>264</v>
      </c>
      <c r="B161" s="869"/>
      <c r="C161" s="869"/>
      <c r="D161" s="587" t="s">
        <v>187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68" t="s">
        <v>265</v>
      </c>
      <c r="B162" s="869"/>
      <c r="C162" s="869"/>
      <c r="D162" s="587" t="s">
        <v>187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68" t="s">
        <v>266</v>
      </c>
      <c r="B163" s="869"/>
      <c r="C163" s="869"/>
      <c r="D163" s="587" t="s">
        <v>187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>
      <c r="G172" s="616">
        <f>SUM(G160:G171)</f>
        <v>3416.0210000000034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21" zoomScale="50" zoomScaleSheetLayoutView="50" workbookViewId="0">
      <selection activeCell="G139" sqref="G139:G140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292</v>
      </c>
      <c r="B2" s="1118">
        <v>44229</v>
      </c>
      <c r="C2" s="1232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27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30" t="s">
        <v>140</v>
      </c>
      <c r="B15" s="666"/>
      <c r="C15" s="666"/>
      <c r="D15" s="599" t="s">
        <v>141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145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0" t="s">
        <v>147</v>
      </c>
      <c r="B22" s="666"/>
      <c r="C22" s="666"/>
      <c r="D22" s="599" t="s">
        <v>148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0" t="s">
        <v>149</v>
      </c>
      <c r="B23" s="666"/>
      <c r="C23" s="666"/>
      <c r="D23" s="599" t="s">
        <v>148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150</v>
      </c>
      <c r="B24" s="668"/>
      <c r="C24" s="668"/>
      <c r="D24" s="587" t="s">
        <v>148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167</v>
      </c>
      <c r="B38" s="656"/>
      <c r="C38" s="656"/>
      <c r="D38" s="599" t="s">
        <v>132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416" t="s">
        <v>193</v>
      </c>
      <c r="B74" s="1417"/>
      <c r="C74" s="1418"/>
      <c r="D74" s="599" t="s">
        <v>187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>
      <c r="A84" s="1234" t="s">
        <v>201</v>
      </c>
      <c r="B84" s="648"/>
      <c r="C84" s="648"/>
      <c r="D84" s="554" t="s">
        <v>132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>
      <c r="A85" s="682" t="s">
        <v>202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>
      <c r="A94" s="1413" t="s">
        <v>208</v>
      </c>
      <c r="B94" s="1414"/>
      <c r="C94" s="1415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>
      <c r="A133" s="1230" t="s">
        <v>242</v>
      </c>
      <c r="B133" s="1231"/>
      <c r="C133" s="1231"/>
      <c r="D133" s="599" t="s">
        <v>239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>
      <c r="A134" s="1230" t="s">
        <v>243</v>
      </c>
      <c r="B134" s="1231"/>
      <c r="C134" s="1231"/>
      <c r="D134" s="599" t="s">
        <v>239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69" t="s">
        <v>267</v>
      </c>
      <c r="B157" s="1470"/>
      <c r="C157" s="1470"/>
      <c r="D157" s="1470"/>
      <c r="E157" s="1470"/>
      <c r="F157" s="1470"/>
      <c r="G157" s="1471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263</v>
      </c>
      <c r="B160" s="869"/>
      <c r="C160" s="869"/>
      <c r="D160" s="587" t="s">
        <v>187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>
      <c r="A161" s="868" t="s">
        <v>264</v>
      </c>
      <c r="B161" s="869"/>
      <c r="C161" s="869"/>
      <c r="D161" s="587" t="s">
        <v>187</v>
      </c>
      <c r="E161" s="739">
        <v>43149</v>
      </c>
      <c r="F161" s="739">
        <v>43557</v>
      </c>
      <c r="G161" s="549">
        <f t="shared" si="14"/>
        <v>408</v>
      </c>
    </row>
    <row r="162" spans="1:7">
      <c r="A162" s="868" t="s">
        <v>265</v>
      </c>
      <c r="B162" s="869"/>
      <c r="C162" s="869"/>
      <c r="D162" s="587" t="s">
        <v>187</v>
      </c>
      <c r="E162" s="739">
        <v>13016</v>
      </c>
      <c r="F162" s="739">
        <v>13216</v>
      </c>
      <c r="G162" s="549">
        <f t="shared" si="14"/>
        <v>200</v>
      </c>
    </row>
    <row r="163" spans="1:7">
      <c r="A163" s="868" t="s">
        <v>266</v>
      </c>
      <c r="B163" s="869"/>
      <c r="C163" s="869"/>
      <c r="D163" s="587" t="s">
        <v>187</v>
      </c>
      <c r="E163" s="739">
        <v>5010</v>
      </c>
      <c r="F163" s="739">
        <v>5034</v>
      </c>
      <c r="G163" s="549">
        <f t="shared" si="14"/>
        <v>24</v>
      </c>
    </row>
    <row r="164" spans="1:7">
      <c r="A164" s="870" t="s">
        <v>98</v>
      </c>
      <c r="B164" s="681"/>
      <c r="C164" s="681"/>
      <c r="D164" s="587" t="s">
        <v>187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321</v>
      </c>
      <c r="B2" s="1118">
        <v>44230</v>
      </c>
      <c r="C2" s="1232" t="s">
        <v>69</v>
      </c>
      <c r="D2" s="688">
        <v>0.35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27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>
      <c r="A8" s="763" t="s">
        <v>133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>
      <c r="A9" s="768" t="s">
        <v>134</v>
      </c>
      <c r="B9" s="769"/>
      <c r="C9" s="769"/>
      <c r="D9" s="715" t="s">
        <v>132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>
      <c r="A10" s="757" t="s">
        <v>135</v>
      </c>
      <c r="B10" s="758"/>
      <c r="C10" s="758"/>
      <c r="D10" s="715" t="s">
        <v>132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>
      <c r="A11" s="757" t="s">
        <v>136</v>
      </c>
      <c r="B11" s="758"/>
      <c r="C11" s="758"/>
      <c r="D11" s="715" t="s">
        <v>132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137</v>
      </c>
      <c r="B12" s="758"/>
      <c r="C12" s="758"/>
      <c r="D12" s="715" t="s">
        <v>132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138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6" t="s">
        <v>140</v>
      </c>
      <c r="B15" s="871"/>
      <c r="C15" s="871"/>
      <c r="D15" s="600" t="s">
        <v>141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72" t="s">
        <v>143</v>
      </c>
      <c r="B18" s="1473"/>
      <c r="C18" s="1474"/>
      <c r="D18" s="715" t="s">
        <v>144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>
      <c r="A19" s="1472" t="s">
        <v>71</v>
      </c>
      <c r="B19" s="1473"/>
      <c r="C19" s="1474"/>
      <c r="D19" s="715" t="s">
        <v>144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>
      <c r="A20" s="773" t="s">
        <v>145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0" t="s">
        <v>147</v>
      </c>
      <c r="B22" s="666"/>
      <c r="C22" s="666"/>
      <c r="D22" s="599" t="s">
        <v>148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0" t="s">
        <v>149</v>
      </c>
      <c r="B23" s="666"/>
      <c r="C23" s="666"/>
      <c r="D23" s="599" t="s">
        <v>148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150</v>
      </c>
      <c r="B24" s="668"/>
      <c r="C24" s="668"/>
      <c r="D24" s="587" t="s">
        <v>148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167</v>
      </c>
      <c r="B38" s="656"/>
      <c r="C38" s="656"/>
      <c r="D38" s="599" t="s">
        <v>132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>
      <c r="A74" s="1416" t="s">
        <v>193</v>
      </c>
      <c r="B74" s="1417"/>
      <c r="C74" s="1418"/>
      <c r="D74" s="599" t="s">
        <v>187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>
      <c r="A84" s="1234" t="s">
        <v>201</v>
      </c>
      <c r="B84" s="648"/>
      <c r="C84" s="648"/>
      <c r="D84" s="554" t="s">
        <v>132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>
      <c r="A94" s="1413" t="s">
        <v>208</v>
      </c>
      <c r="B94" s="1414"/>
      <c r="C94" s="1415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60" t="s">
        <v>219</v>
      </c>
      <c r="B104" s="1461"/>
      <c r="C104" s="1228"/>
      <c r="D104" s="699" t="s">
        <v>144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>
      <c r="A105" s="1460" t="s">
        <v>77</v>
      </c>
      <c r="B105" s="1461"/>
      <c r="C105" s="1228"/>
      <c r="D105" s="699" t="s">
        <v>144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>
      <c r="A106" s="1460" t="s">
        <v>78</v>
      </c>
      <c r="B106" s="1477"/>
      <c r="C106" s="1461"/>
      <c r="D106" s="699" t="s">
        <v>144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>
      <c r="A107" s="1456" t="s">
        <v>202</v>
      </c>
      <c r="B107" s="1457"/>
      <c r="C107" s="1228"/>
      <c r="D107" s="699"/>
      <c r="E107" s="608"/>
      <c r="F107" s="739" t="s">
        <v>269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>
      <c r="A108" s="1475" t="s">
        <v>79</v>
      </c>
      <c r="B108" s="1476"/>
      <c r="C108" s="1228"/>
      <c r="D108" s="699" t="s">
        <v>144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>
      <c r="A109" s="1460" t="s">
        <v>220</v>
      </c>
      <c r="B109" s="1461"/>
      <c r="C109" s="1228"/>
      <c r="D109" s="699" t="s">
        <v>144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>
      <c r="A110" s="1460" t="s">
        <v>221</v>
      </c>
      <c r="B110" s="1461"/>
      <c r="C110" s="1228"/>
      <c r="D110" s="699" t="s">
        <v>144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>
      <c r="A111" s="1460" t="s">
        <v>222</v>
      </c>
      <c r="B111" s="1461"/>
      <c r="C111" s="1228"/>
      <c r="D111" s="699" t="s">
        <v>144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>
      <c r="A113" s="1475" t="s">
        <v>223</v>
      </c>
      <c r="B113" s="1476"/>
      <c r="C113" s="1228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460" t="s">
        <v>224</v>
      </c>
      <c r="B114" s="1461"/>
      <c r="C114" s="1227"/>
      <c r="D114" s="699" t="s">
        <v>144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>
      <c r="A115" s="1460" t="s">
        <v>225</v>
      </c>
      <c r="B115" s="1461"/>
      <c r="C115" s="1227"/>
      <c r="D115" s="699" t="s">
        <v>144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>
      <c r="A116" s="1460" t="s">
        <v>226</v>
      </c>
      <c r="B116" s="1461"/>
      <c r="C116" s="1227"/>
      <c r="D116" s="699" t="s">
        <v>144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56" t="s">
        <v>202</v>
      </c>
      <c r="B117" s="1457"/>
      <c r="C117" s="1227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>
      <c r="A133" s="1230" t="s">
        <v>242</v>
      </c>
      <c r="B133" s="1231"/>
      <c r="C133" s="1231"/>
      <c r="D133" s="599" t="s">
        <v>239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30" t="s">
        <v>243</v>
      </c>
      <c r="B134" s="1231"/>
      <c r="C134" s="1231"/>
      <c r="D134" s="599" t="s">
        <v>239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>
      <c r="O154" s="413"/>
    </row>
    <row r="157" spans="1:15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263</v>
      </c>
      <c r="B160" s="869"/>
      <c r="C160" s="869"/>
      <c r="D160" s="587" t="s">
        <v>187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>
      <c r="A161" s="868" t="s">
        <v>264</v>
      </c>
      <c r="B161" s="869"/>
      <c r="C161" s="869"/>
      <c r="D161" s="587" t="s">
        <v>187</v>
      </c>
      <c r="E161" s="739">
        <v>43557</v>
      </c>
      <c r="F161" s="739">
        <v>44054</v>
      </c>
      <c r="G161" s="549">
        <f t="shared" si="17"/>
        <v>497</v>
      </c>
    </row>
    <row r="162" spans="1:7">
      <c r="A162" s="868" t="s">
        <v>265</v>
      </c>
      <c r="B162" s="869"/>
      <c r="C162" s="869"/>
      <c r="D162" s="587" t="s">
        <v>187</v>
      </c>
      <c r="E162" s="739">
        <v>13216</v>
      </c>
      <c r="F162" s="739">
        <v>13431</v>
      </c>
      <c r="G162" s="549">
        <f t="shared" si="17"/>
        <v>215</v>
      </c>
    </row>
    <row r="163" spans="1:7">
      <c r="A163" s="868" t="s">
        <v>266</v>
      </c>
      <c r="B163" s="869"/>
      <c r="C163" s="869"/>
      <c r="D163" s="587" t="s">
        <v>187</v>
      </c>
      <c r="E163" s="739">
        <v>5034</v>
      </c>
      <c r="F163" s="739">
        <v>5050</v>
      </c>
      <c r="G163" s="549">
        <f t="shared" si="17"/>
        <v>16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>
      <c r="A166" s="1468" t="s">
        <v>99</v>
      </c>
      <c r="B166" s="1468"/>
      <c r="C166" s="1468"/>
      <c r="D166" s="599" t="s">
        <v>187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>
      <c r="A167" s="1468" t="s">
        <v>100</v>
      </c>
      <c r="B167" s="1468"/>
      <c r="C167" s="1468"/>
      <c r="D167" s="599" t="s">
        <v>187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>
      <c r="A168" s="1468" t="s">
        <v>101</v>
      </c>
      <c r="B168" s="1468"/>
      <c r="C168" s="1468"/>
      <c r="D168" s="599" t="s">
        <v>187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>
      <c r="A169" s="1468" t="s">
        <v>102</v>
      </c>
      <c r="B169" s="1468"/>
      <c r="C169" s="1468"/>
      <c r="D169" s="599" t="s">
        <v>187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>
      <c r="A170" s="1468" t="s">
        <v>103</v>
      </c>
      <c r="B170" s="1468"/>
      <c r="C170" s="1468"/>
      <c r="D170" s="599" t="s">
        <v>187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>
      <c r="A171" s="1468" t="s">
        <v>104</v>
      </c>
      <c r="B171" s="1468"/>
      <c r="C171" s="1468"/>
      <c r="D171" s="599" t="s">
        <v>187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4" s="281" customFormat="1" ht="27">
      <c r="A2" s="652" t="s">
        <v>322</v>
      </c>
      <c r="B2" s="1118">
        <v>44231</v>
      </c>
      <c r="C2" s="1232" t="s">
        <v>69</v>
      </c>
      <c r="D2" s="688">
        <v>0.38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>
      <c r="A3" s="647"/>
      <c r="B3" s="691"/>
      <c r="C3" s="1232" t="s">
        <v>120</v>
      </c>
      <c r="D3" s="689">
        <v>28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122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34" t="s">
        <v>130</v>
      </c>
      <c r="B6" s="1435"/>
      <c r="C6" s="1436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>
      <c r="A8" s="763" t="s">
        <v>133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6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>
      <c r="A9" s="768" t="s">
        <v>134</v>
      </c>
      <c r="B9" s="769"/>
      <c r="C9" s="769"/>
      <c r="D9" s="715" t="s">
        <v>132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>
      <c r="A10" s="757" t="s">
        <v>135</v>
      </c>
      <c r="B10" s="758"/>
      <c r="C10" s="758"/>
      <c r="D10" s="715" t="s">
        <v>132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>
      <c r="A11" s="757" t="s">
        <v>136</v>
      </c>
      <c r="B11" s="758"/>
      <c r="C11" s="758"/>
      <c r="D11" s="715" t="s">
        <v>132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>
      <c r="A12" s="757" t="s">
        <v>137</v>
      </c>
      <c r="B12" s="758"/>
      <c r="C12" s="758"/>
      <c r="D12" s="715" t="s">
        <v>132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>
      <c r="A13" s="773" t="s">
        <v>138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>
      <c r="A14" s="1437" t="s">
        <v>139</v>
      </c>
      <c r="B14" s="1438"/>
      <c r="C14" s="1439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6" t="s">
        <v>140</v>
      </c>
      <c r="B15" s="871"/>
      <c r="C15" s="871"/>
      <c r="D15" s="600" t="s">
        <v>141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>
      <c r="A17" s="1437" t="s">
        <v>142</v>
      </c>
      <c r="B17" s="1438"/>
      <c r="C17" s="1439"/>
      <c r="D17" s="548"/>
      <c r="E17" s="548"/>
      <c r="F17" s="559"/>
      <c r="G17" s="564" t="s">
        <v>215</v>
      </c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5" t="s">
        <v>144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>
      <c r="A19" s="1472" t="s">
        <v>71</v>
      </c>
      <c r="B19" s="1473"/>
      <c r="C19" s="1474"/>
      <c r="D19" s="715" t="s">
        <v>144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715"/>
      <c r="G20" s="1135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>
      <c r="A21" s="1437" t="s">
        <v>146</v>
      </c>
      <c r="B21" s="1438"/>
      <c r="C21" s="1439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270</v>
      </c>
      <c r="N22" s="413"/>
    </row>
    <row r="23" spans="1:14">
      <c r="A23" s="1230" t="s">
        <v>149</v>
      </c>
      <c r="B23" s="666"/>
      <c r="C23" s="666"/>
      <c r="D23" s="599" t="s">
        <v>148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>
      <c r="A25" s="1442" t="s">
        <v>151</v>
      </c>
      <c r="B25" s="1443"/>
      <c r="C25" s="1444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>
      <c r="A48" s="675" t="s">
        <v>177</v>
      </c>
      <c r="B48" s="1235"/>
      <c r="C48" s="1235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>
      <c r="A64" s="1416" t="s">
        <v>99</v>
      </c>
      <c r="B64" s="1417"/>
      <c r="C64" s="1418"/>
      <c r="D64" s="599" t="s">
        <v>187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>
      <c r="A65" s="1416" t="s">
        <v>100</v>
      </c>
      <c r="B65" s="1417"/>
      <c r="C65" s="1418"/>
      <c r="D65" s="599" t="s">
        <v>187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>
      <c r="A66" s="1416" t="s">
        <v>101</v>
      </c>
      <c r="B66" s="1417"/>
      <c r="C66" s="1418"/>
      <c r="D66" s="599" t="s">
        <v>187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>
      <c r="A67" s="1416" t="s">
        <v>102</v>
      </c>
      <c r="B67" s="1417"/>
      <c r="C67" s="1418"/>
      <c r="D67" s="599" t="s">
        <v>187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>
      <c r="A68" s="1416" t="s">
        <v>103</v>
      </c>
      <c r="B68" s="1417"/>
      <c r="C68" s="1418"/>
      <c r="D68" s="599" t="s">
        <v>187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>
      <c r="A69" s="1416" t="s">
        <v>104</v>
      </c>
      <c r="B69" s="1417"/>
      <c r="C69" s="1418"/>
      <c r="D69" s="599" t="s">
        <v>187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>
      <c r="A73" s="1416" t="s">
        <v>192</v>
      </c>
      <c r="B73" s="1417"/>
      <c r="C73" s="1418"/>
      <c r="D73" s="599" t="s">
        <v>187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16" t="s">
        <v>193</v>
      </c>
      <c r="B74" s="1417"/>
      <c r="C74" s="1418"/>
      <c r="D74" s="599" t="s">
        <v>187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>
      <c r="A75" s="1465" t="s">
        <v>194</v>
      </c>
      <c r="B75" s="1466"/>
      <c r="C75" s="1467"/>
      <c r="D75" s="599" t="s">
        <v>187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>
      <c r="A76" s="1465" t="s">
        <v>195</v>
      </c>
      <c r="B76" s="1466"/>
      <c r="C76" s="1467"/>
      <c r="D76" s="599" t="s">
        <v>187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>
      <c r="A77" s="1416" t="s">
        <v>196</v>
      </c>
      <c r="B77" s="1417"/>
      <c r="C77" s="1418"/>
      <c r="D77" s="599" t="s">
        <v>187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>
      <c r="A78" s="1233" t="s">
        <v>197</v>
      </c>
      <c r="B78" s="1204"/>
      <c r="C78" s="1204"/>
      <c r="D78" s="599" t="s">
        <v>187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>
      <c r="A79" s="1465" t="s">
        <v>92</v>
      </c>
      <c r="B79" s="1466"/>
      <c r="C79" s="1467"/>
      <c r="D79" s="600" t="s">
        <v>187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>
      <c r="A80" s="1465" t="s">
        <v>198</v>
      </c>
      <c r="B80" s="1466"/>
      <c r="C80" s="1467"/>
      <c r="D80" s="600" t="s">
        <v>187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>
      <c r="A84" s="1234" t="s">
        <v>201</v>
      </c>
      <c r="B84" s="648"/>
      <c r="C84" s="648"/>
      <c r="D84" s="554" t="s">
        <v>132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>
      <c r="A94" s="1413" t="s">
        <v>208</v>
      </c>
      <c r="B94" s="1414"/>
      <c r="C94" s="1415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>
      <c r="A97" s="1230" t="s">
        <v>211</v>
      </c>
      <c r="B97" s="1231"/>
      <c r="C97" s="1231"/>
      <c r="D97" s="599" t="s">
        <v>144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>
      <c r="A98" s="1230" t="s">
        <v>212</v>
      </c>
      <c r="B98" s="1231"/>
      <c r="C98" s="1231"/>
      <c r="D98" s="599" t="s">
        <v>144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>
      <c r="A99" s="1230" t="s">
        <v>213</v>
      </c>
      <c r="B99" s="1231"/>
      <c r="C99" s="1231"/>
      <c r="D99" s="599" t="s">
        <v>144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>
      <c r="A101" s="1413" t="s">
        <v>216</v>
      </c>
      <c r="B101" s="1414"/>
      <c r="C101" s="1415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608">
        <f>'3'!F106</f>
        <v>19097</v>
      </c>
      <c r="F106" s="1134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>
      <c r="A107" s="1427" t="s">
        <v>202</v>
      </c>
      <c r="B107" s="1428"/>
      <c r="C107" s="1229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>
      <c r="A112" s="1427" t="s">
        <v>110</v>
      </c>
      <c r="B112" s="1428"/>
      <c r="C112" s="1229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>
      <c r="A161" s="868" t="s">
        <v>264</v>
      </c>
      <c r="B161" s="869"/>
      <c r="C161" s="869"/>
      <c r="D161" s="587" t="s">
        <v>187</v>
      </c>
      <c r="E161" s="739">
        <v>44054</v>
      </c>
      <c r="F161" s="739">
        <v>44539</v>
      </c>
      <c r="G161" s="549">
        <f t="shared" si="16"/>
        <v>485</v>
      </c>
    </row>
    <row r="162" spans="1:7">
      <c r="A162" s="868" t="s">
        <v>265</v>
      </c>
      <c r="B162" s="869"/>
      <c r="C162" s="869"/>
      <c r="D162" s="587" t="s">
        <v>187</v>
      </c>
      <c r="E162" s="739">
        <v>13431</v>
      </c>
      <c r="F162" s="739">
        <v>13657</v>
      </c>
      <c r="G162" s="549">
        <f t="shared" si="16"/>
        <v>226</v>
      </c>
    </row>
    <row r="163" spans="1:7">
      <c r="A163" s="868" t="s">
        <v>266</v>
      </c>
      <c r="B163" s="869"/>
      <c r="C163" s="869"/>
      <c r="D163" s="587" t="s">
        <v>187</v>
      </c>
      <c r="E163" s="739">
        <v>5050</v>
      </c>
      <c r="F163" s="739">
        <v>5067</v>
      </c>
      <c r="G163" s="549">
        <f t="shared" si="16"/>
        <v>17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>
      <c r="A166" s="1468" t="s">
        <v>99</v>
      </c>
      <c r="B166" s="1468"/>
      <c r="C166" s="1468"/>
      <c r="D166" s="599" t="s">
        <v>187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>
      <c r="A167" s="1468" t="s">
        <v>100</v>
      </c>
      <c r="B167" s="1468"/>
      <c r="C167" s="1468"/>
      <c r="D167" s="599" t="s">
        <v>187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>
      <c r="A168" s="1468" t="s">
        <v>101</v>
      </c>
      <c r="B168" s="1468"/>
      <c r="C168" s="1468"/>
      <c r="D168" s="599" t="s">
        <v>187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>
      <c r="A169" s="1468" t="s">
        <v>102</v>
      </c>
      <c r="B169" s="1468"/>
      <c r="C169" s="1468"/>
      <c r="D169" s="599" t="s">
        <v>187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>
      <c r="A170" s="1468" t="s">
        <v>103</v>
      </c>
      <c r="B170" s="1468"/>
      <c r="C170" s="1468"/>
      <c r="D170" s="599" t="s">
        <v>187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323</v>
      </c>
      <c r="B2" s="1118">
        <v>44201</v>
      </c>
      <c r="C2" s="1232" t="s">
        <v>69</v>
      </c>
      <c r="D2" s="688">
        <v>0.42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27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10">
        <f>'4'!F7</f>
        <v>3964496</v>
      </c>
      <c r="F7" s="1340">
        <v>3983020</v>
      </c>
      <c r="G7" s="1345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>
      <c r="A8" s="763" t="s">
        <v>133</v>
      </c>
      <c r="B8" s="764"/>
      <c r="C8" s="765"/>
      <c r="D8" s="766" t="s">
        <v>25</v>
      </c>
      <c r="E8" s="710">
        <f>'4'!F8</f>
        <v>3990282</v>
      </c>
      <c r="F8" s="1341">
        <v>4008878</v>
      </c>
      <c r="G8" s="1345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>
      <c r="A9" s="768" t="s">
        <v>134</v>
      </c>
      <c r="B9" s="769"/>
      <c r="C9" s="769"/>
      <c r="D9" s="715" t="s">
        <v>132</v>
      </c>
      <c r="E9" s="712">
        <f>'4'!F9</f>
        <v>20960</v>
      </c>
      <c r="F9" s="1337">
        <v>22540</v>
      </c>
      <c r="G9" s="1345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>
      <c r="A10" s="757" t="s">
        <v>135</v>
      </c>
      <c r="B10" s="758"/>
      <c r="C10" s="758"/>
      <c r="D10" s="715" t="s">
        <v>132</v>
      </c>
      <c r="E10" s="712">
        <f>'4'!F10</f>
        <v>1239081</v>
      </c>
      <c r="F10" s="1337">
        <v>1255235</v>
      </c>
      <c r="G10" s="1345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>
      <c r="A11" s="757" t="s">
        <v>136</v>
      </c>
      <c r="B11" s="758"/>
      <c r="C11" s="758"/>
      <c r="D11" s="715" t="s">
        <v>132</v>
      </c>
      <c r="E11" s="710">
        <f>'4'!F11</f>
        <v>35540</v>
      </c>
      <c r="F11" s="1340">
        <v>35540</v>
      </c>
      <c r="G11" s="1345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>
      <c r="A12" s="757" t="s">
        <v>137</v>
      </c>
      <c r="B12" s="758"/>
      <c r="C12" s="758"/>
      <c r="D12" s="715" t="s">
        <v>132</v>
      </c>
      <c r="E12" s="712">
        <f>'4'!F12</f>
        <v>38010</v>
      </c>
      <c r="F12" s="1337">
        <v>38010</v>
      </c>
      <c r="G12" s="1345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>
      <c r="A13" s="773" t="s">
        <v>138</v>
      </c>
      <c r="B13" s="774"/>
      <c r="C13" s="774"/>
      <c r="D13" s="715"/>
      <c r="E13" s="710"/>
      <c r="F13" s="1340"/>
      <c r="G13" s="1345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>
      <c r="A14" s="1437" t="s">
        <v>139</v>
      </c>
      <c r="B14" s="1438"/>
      <c r="C14" s="1439"/>
      <c r="D14" s="548"/>
      <c r="E14" s="548"/>
      <c r="F14" s="1182"/>
      <c r="G14" s="1348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3" t="s">
        <v>140</v>
      </c>
      <c r="B15" s="871"/>
      <c r="C15" s="871"/>
      <c r="D15" s="872" t="s">
        <v>141</v>
      </c>
      <c r="E15" s="1344">
        <f>'4'!F15</f>
        <v>1597765</v>
      </c>
      <c r="F15" s="1344">
        <v>1598543</v>
      </c>
      <c r="G15" s="1345">
        <f t="shared" ref="G15" si="2">F15-E15</f>
        <v>778</v>
      </c>
      <c r="H15" s="1346">
        <f>G15+'4'!H15</f>
        <v>4105.8500000000931</v>
      </c>
      <c r="I15" s="1184">
        <v>800</v>
      </c>
      <c r="J15" s="1347">
        <f>H15/DAY(B2)</f>
        <v>821.1700000000186</v>
      </c>
      <c r="K15" s="467"/>
      <c r="L15" s="408"/>
      <c r="N15" s="413"/>
      <c r="O15" s="413"/>
    </row>
    <row r="16" spans="1:15">
      <c r="A16" s="874"/>
      <c r="B16" s="875"/>
      <c r="C16" s="875"/>
      <c r="D16" s="872"/>
      <c r="E16" s="1344"/>
      <c r="F16" s="1344"/>
      <c r="G16" s="1345"/>
      <c r="H16" s="1346"/>
      <c r="I16" s="1180">
        <f>I15-J15</f>
        <v>-21.170000000018604</v>
      </c>
      <c r="J16" s="1347"/>
      <c r="K16" s="467"/>
      <c r="L16" s="408"/>
      <c r="N16" s="413"/>
      <c r="O16" s="413"/>
    </row>
    <row r="17" spans="1:15">
      <c r="A17" s="1437" t="s">
        <v>142</v>
      </c>
      <c r="B17" s="1438"/>
      <c r="C17" s="1439"/>
      <c r="D17" s="548"/>
      <c r="E17" s="548"/>
      <c r="F17" s="1182"/>
      <c r="G17" s="1346"/>
      <c r="H17" s="548"/>
      <c r="I17" s="548"/>
      <c r="J17" s="628"/>
      <c r="K17" s="467"/>
      <c r="L17" s="408"/>
      <c r="N17" s="413"/>
      <c r="O17" s="413"/>
    </row>
    <row r="18" spans="1:15" ht="27.75">
      <c r="A18" s="1472" t="s">
        <v>143</v>
      </c>
      <c r="B18" s="1473"/>
      <c r="C18" s="1474"/>
      <c r="D18" s="715" t="s">
        <v>144</v>
      </c>
      <c r="E18" s="712">
        <f>'4'!F18</f>
        <v>10</v>
      </c>
      <c r="F18" s="1337">
        <v>14</v>
      </c>
      <c r="G18" s="1345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>
      <c r="A19" s="1472" t="s">
        <v>71</v>
      </c>
      <c r="B19" s="1473"/>
      <c r="C19" s="1474"/>
      <c r="D19" s="715" t="s">
        <v>144</v>
      </c>
      <c r="E19" s="712">
        <f>'4'!F19</f>
        <v>133251</v>
      </c>
      <c r="F19" s="1337">
        <v>133292</v>
      </c>
      <c r="G19" s="1345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>
      <c r="A20" s="773" t="s">
        <v>145</v>
      </c>
      <c r="B20" s="774"/>
      <c r="C20" s="774"/>
      <c r="D20" s="715"/>
      <c r="E20" s="715"/>
      <c r="F20" s="715"/>
      <c r="G20" s="1349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>
      <c r="A21" s="1437" t="s">
        <v>146</v>
      </c>
      <c r="B21" s="1438"/>
      <c r="C21" s="1439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147</v>
      </c>
      <c r="B22" s="666"/>
      <c r="C22" s="666"/>
      <c r="D22" s="599" t="s">
        <v>148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149</v>
      </c>
      <c r="B23" s="666"/>
      <c r="C23" s="666"/>
      <c r="D23" s="599" t="s">
        <v>148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  <c r="O33" s="413"/>
    </row>
    <row r="34" spans="1:15">
      <c r="A34" s="675" t="s">
        <v>163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'4'!F35</f>
        <v>634203</v>
      </c>
      <c r="F35" s="1330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'4'!F36</f>
        <v>279046</v>
      </c>
      <c r="F36" s="1330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>
      <c r="A37" s="655" t="s">
        <v>166</v>
      </c>
      <c r="B37" s="656"/>
      <c r="C37" s="656"/>
      <c r="D37" s="599" t="s">
        <v>132</v>
      </c>
      <c r="E37" s="586">
        <f>'4'!F37</f>
        <v>1302</v>
      </c>
      <c r="F37" s="1330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'4'!F38</f>
        <v>904</v>
      </c>
      <c r="F38" s="1331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'4'!F39</f>
        <v>3521</v>
      </c>
      <c r="F39" s="1330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'4'!F40</f>
        <v>0.17</v>
      </c>
      <c r="F40" s="1330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'4'!F41</f>
        <v>58615</v>
      </c>
      <c r="F41" s="1330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'4'!F42</f>
        <v>58926</v>
      </c>
      <c r="F42" s="1330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'4'!F43</f>
        <v>776889</v>
      </c>
      <c r="F43" s="1330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'4'!F44</f>
        <v>0</v>
      </c>
      <c r="F44" s="1330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'4'!F45</f>
        <v>614</v>
      </c>
      <c r="F45" s="1330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'4'!F46</f>
        <v>187</v>
      </c>
      <c r="F46" s="1330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1332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1333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'4'!F49</f>
        <v>251968</v>
      </c>
      <c r="F49" s="1330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'4'!F50</f>
        <v>373146</v>
      </c>
      <c r="F50" s="1330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'4'!F51</f>
        <v>114718</v>
      </c>
      <c r="F51" s="1330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'4'!F52</f>
        <v>500900</v>
      </c>
      <c r="F52" s="1330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'4'!F53</f>
        <v>317457</v>
      </c>
      <c r="F53" s="1330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'4'!F54</f>
        <v>6419</v>
      </c>
      <c r="F54" s="1330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'4'!F55</f>
        <v>41404</v>
      </c>
      <c r="F55" s="1342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'4'!F56</f>
        <v>557739</v>
      </c>
      <c r="F56" s="1342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'4'!F57</f>
        <v>0</v>
      </c>
      <c r="F57" s="1330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'4'!F58</f>
        <v>31209</v>
      </c>
      <c r="F58" s="1334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1332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1332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1335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'4'!F62</f>
        <v>20419.187999999998</v>
      </c>
      <c r="F62" s="1336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'4'!F63</f>
        <v>1391</v>
      </c>
      <c r="F63" s="1336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'4'!F64</f>
        <v>113002</v>
      </c>
      <c r="F64" s="1337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'4'!F65</f>
        <v>123239</v>
      </c>
      <c r="F65" s="1338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'4'!F66</f>
        <v>15769</v>
      </c>
      <c r="F66" s="1337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'4'!F67</f>
        <v>191429</v>
      </c>
      <c r="F67" s="1337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'4'!F68</f>
        <v>64643</v>
      </c>
      <c r="F68" s="1337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'4'!F69</f>
        <v>56963</v>
      </c>
      <c r="F69" s="1337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1339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'4'!F72</f>
        <v>848804</v>
      </c>
      <c r="F72" s="1350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'4'!F73</f>
        <v>885729</v>
      </c>
      <c r="F73" s="1351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>
      <c r="A74" s="1416" t="s">
        <v>193</v>
      </c>
      <c r="B74" s="1417"/>
      <c r="C74" s="1418"/>
      <c r="D74" s="599" t="s">
        <v>187</v>
      </c>
      <c r="E74" s="597">
        <f>'4'!F74</f>
        <v>882475</v>
      </c>
      <c r="F74" s="1350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'4'!F75</f>
        <v>738251</v>
      </c>
      <c r="F75" s="1352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'4'!F76</f>
        <v>687337</v>
      </c>
      <c r="F76" s="1351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6">
        <f>'4'!F77</f>
        <v>697332</v>
      </c>
      <c r="F77" s="1351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'4'!F78</f>
        <v>643524</v>
      </c>
      <c r="F78" s="1352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'4'!F79</f>
        <v>810488</v>
      </c>
      <c r="F79" s="1352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'4'!F80</f>
        <v>486390</v>
      </c>
      <c r="F80" s="1351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'4'!F81</f>
        <v>623152</v>
      </c>
      <c r="F81" s="1351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'4'!F82</f>
        <v>105609</v>
      </c>
      <c r="F82" s="1338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'4'!F83</f>
        <v>985414</v>
      </c>
      <c r="F83" s="1332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>
      <c r="A84" s="1234" t="s">
        <v>201</v>
      </c>
      <c r="B84" s="648"/>
      <c r="C84" s="648"/>
      <c r="D84" s="554" t="s">
        <v>132</v>
      </c>
      <c r="E84" s="704">
        <f>'4'!F84</f>
        <v>418059</v>
      </c>
      <c r="F84" s="1353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704">
        <f>'4'!F85</f>
        <v>0</v>
      </c>
      <c r="F85" s="1185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'4'!F86</f>
        <v>447651</v>
      </c>
      <c r="F86" s="1353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'4'!F87</f>
        <v>78572</v>
      </c>
      <c r="F87" s="1353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'4'!F88</f>
        <v>146781</v>
      </c>
      <c r="F88" s="1353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>
      <c r="A89" s="812" t="s">
        <v>203</v>
      </c>
      <c r="B89" s="813"/>
      <c r="C89" s="813"/>
      <c r="D89" s="814" t="s">
        <v>183</v>
      </c>
      <c r="E89" s="704">
        <f>'4'!F89</f>
        <v>60106</v>
      </c>
      <c r="F89" s="1353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'4'!F90</f>
        <v>3082</v>
      </c>
      <c r="F90" s="1353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1182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'4'!F92</f>
        <v>236922</v>
      </c>
      <c r="F92" s="1337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'4'!F93</f>
        <v>171817</v>
      </c>
      <c r="F93" s="1337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>
      <c r="A94" s="1413" t="s">
        <v>208</v>
      </c>
      <c r="B94" s="1414"/>
      <c r="C94" s="1415"/>
      <c r="D94" s="599"/>
      <c r="E94" s="560"/>
      <c r="F94" s="1337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'4'!F95</f>
        <v>406160</v>
      </c>
      <c r="F95" s="1337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'4'!F96</f>
        <v>100658</v>
      </c>
      <c r="F96" s="1337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'4'!F97</f>
        <v>95787</v>
      </c>
      <c r="F97" s="1337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'4'!F98</f>
        <v>145843</v>
      </c>
      <c r="F98" s="1337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'4'!F99</f>
        <v>6015</v>
      </c>
      <c r="F99" s="1337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'4'!F100</f>
        <v>4260</v>
      </c>
      <c r="F100" s="1337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>
      <c r="A101" s="1413" t="s">
        <v>216</v>
      </c>
      <c r="B101" s="1414"/>
      <c r="C101" s="1415"/>
      <c r="D101" s="600"/>
      <c r="E101" s="600"/>
      <c r="F101" s="1348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1354"/>
      <c r="G102" s="605"/>
      <c r="H102" s="606"/>
      <c r="I102" s="607"/>
      <c r="J102" s="634"/>
      <c r="N102" s="413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1355"/>
      <c r="G103" s="608"/>
      <c r="H103" s="609"/>
      <c r="I103" s="608"/>
      <c r="J103" s="635"/>
      <c r="N103" s="413"/>
      <c r="O103" s="413"/>
    </row>
    <row r="104" spans="1:15" s="481" customFormat="1" ht="27.75">
      <c r="A104" s="1424" t="s">
        <v>219</v>
      </c>
      <c r="B104" s="1425"/>
      <c r="C104" s="1229"/>
      <c r="D104" s="699" t="s">
        <v>144</v>
      </c>
      <c r="E104" s="608">
        <f>'4'!E104</f>
        <v>7010</v>
      </c>
      <c r="F104" s="1355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424" t="s">
        <v>77</v>
      </c>
      <c r="B105" s="1425"/>
      <c r="C105" s="1229"/>
      <c r="D105" s="699" t="s">
        <v>144</v>
      </c>
      <c r="E105" s="608">
        <f>'4'!E105</f>
        <v>35183</v>
      </c>
      <c r="F105" s="1361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'4'!E106</f>
        <v>19097</v>
      </c>
      <c r="F106" s="1355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>
      <c r="A107" s="1427" t="s">
        <v>202</v>
      </c>
      <c r="B107" s="1428"/>
      <c r="C107" s="1229"/>
      <c r="D107" s="699"/>
      <c r="E107" s="608">
        <f>'4'!E107</f>
        <v>0</v>
      </c>
      <c r="F107" s="1355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>
      <c r="A108" s="1429" t="s">
        <v>79</v>
      </c>
      <c r="B108" s="1430"/>
      <c r="C108" s="1229"/>
      <c r="D108" s="699" t="s">
        <v>144</v>
      </c>
      <c r="E108" s="608">
        <f>'4'!E108</f>
        <v>0</v>
      </c>
      <c r="F108" s="1355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424" t="s">
        <v>220</v>
      </c>
      <c r="B109" s="1425"/>
      <c r="C109" s="1229"/>
      <c r="D109" s="699" t="s">
        <v>144</v>
      </c>
      <c r="E109" s="608">
        <f>'4'!E109</f>
        <v>54834</v>
      </c>
      <c r="F109" s="1355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>
      <c r="A110" s="1424" t="s">
        <v>221</v>
      </c>
      <c r="B110" s="1425"/>
      <c r="C110" s="1229"/>
      <c r="D110" s="699" t="s">
        <v>144</v>
      </c>
      <c r="E110" s="608">
        <f>'4'!E110</f>
        <v>28752</v>
      </c>
      <c r="F110" s="1355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>
      <c r="A111" s="1424" t="s">
        <v>222</v>
      </c>
      <c r="B111" s="1425"/>
      <c r="C111" s="1229"/>
      <c r="D111" s="699" t="s">
        <v>144</v>
      </c>
      <c r="E111" s="608">
        <f>'4'!E111</f>
        <v>3770</v>
      </c>
      <c r="F111" s="1355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427" t="s">
        <v>110</v>
      </c>
      <c r="B112" s="1428"/>
      <c r="C112" s="1229"/>
      <c r="D112" s="699"/>
      <c r="E112" s="608">
        <f>'4'!E112</f>
        <v>0</v>
      </c>
      <c r="F112" s="1355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>
        <f>'4'!E113</f>
        <v>0</v>
      </c>
      <c r="F113" s="1355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08">
        <f>'4'!E114</f>
        <v>9840</v>
      </c>
      <c r="F114" s="1356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08">
        <f>'4'!E115</f>
        <v>7441</v>
      </c>
      <c r="F115" s="1356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1356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1356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1357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1357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1356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1358" t="s">
        <v>215</v>
      </c>
      <c r="G121" s="637"/>
      <c r="H121" s="536">
        <f>G121+'4'!H121</f>
        <v>0</v>
      </c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1182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'4'!F123</f>
        <v>804404</v>
      </c>
      <c r="F123" s="1337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703">
        <f>'4'!F124</f>
        <v>73582</v>
      </c>
      <c r="F124" s="1359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'4'!F125</f>
        <v>138120</v>
      </c>
      <c r="F125" s="1337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703">
        <f>'4'!F126</f>
        <v>58561</v>
      </c>
      <c r="F126" s="1359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703">
        <f>'4'!F127</f>
        <v>8824</v>
      </c>
      <c r="F127" s="1359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1337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1333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'4'!F130</f>
        <v>0</v>
      </c>
      <c r="F130" s="1337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'4'!F131</f>
        <v>0</v>
      </c>
      <c r="F131" s="1337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618">
        <f>'4'!F132</f>
        <v>39188</v>
      </c>
      <c r="F132" s="1338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782">
        <f>'4'!F133</f>
        <v>299</v>
      </c>
      <c r="F133" s="1359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782">
        <f>'4'!F134</f>
        <v>39963</v>
      </c>
      <c r="F134" s="1359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782">
        <f>'4'!F135</f>
        <v>32423</v>
      </c>
      <c r="F135" s="1359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618">
        <f>'4'!F136</f>
        <v>22027.23</v>
      </c>
      <c r="F136" s="1338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618">
        <f>'4'!F137</f>
        <v>25027.17</v>
      </c>
      <c r="F137" s="1338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618">
        <f>'4'!F138</f>
        <v>70063.89</v>
      </c>
      <c r="F138" s="1338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782">
        <f>'4'!F139</f>
        <v>1232</v>
      </c>
      <c r="F139" s="1359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'4'!F140</f>
        <v>4334</v>
      </c>
      <c r="F140" s="1337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1182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1185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1332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1340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1340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1340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1340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1340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1340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1340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1340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1340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1360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>
      <c r="A161" s="868" t="s">
        <v>264</v>
      </c>
      <c r="B161" s="869"/>
      <c r="C161" s="869"/>
      <c r="D161" s="587" t="s">
        <v>187</v>
      </c>
      <c r="E161" s="739">
        <v>44539</v>
      </c>
      <c r="F161" s="739">
        <v>45035</v>
      </c>
      <c r="G161" s="549">
        <f t="shared" si="17"/>
        <v>496</v>
      </c>
    </row>
    <row r="162" spans="1:7">
      <c r="A162" s="868" t="s">
        <v>265</v>
      </c>
      <c r="B162" s="869"/>
      <c r="C162" s="869"/>
      <c r="D162" s="587" t="s">
        <v>187</v>
      </c>
      <c r="E162" s="739">
        <v>13657</v>
      </c>
      <c r="F162" s="739">
        <v>13891</v>
      </c>
      <c r="G162" s="549">
        <f t="shared" si="17"/>
        <v>234</v>
      </c>
    </row>
    <row r="163" spans="1:7">
      <c r="A163" s="868" t="s">
        <v>266</v>
      </c>
      <c r="B163" s="869"/>
      <c r="C163" s="869"/>
      <c r="D163" s="587" t="s">
        <v>187</v>
      </c>
      <c r="E163" s="739">
        <v>5067</v>
      </c>
      <c r="F163" s="739">
        <v>5083</v>
      </c>
      <c r="G163" s="549">
        <f t="shared" si="17"/>
        <v>16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7" s="281" customFormat="1" ht="27">
      <c r="A2" s="652" t="s">
        <v>324</v>
      </c>
      <c r="B2" s="1118">
        <v>44233</v>
      </c>
      <c r="C2" s="1232" t="s">
        <v>69</v>
      </c>
      <c r="D2" s="688">
        <v>0.36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7" s="281" customFormat="1" ht="27">
      <c r="A3" s="647"/>
      <c r="B3" s="691"/>
      <c r="C3" s="1232" t="s">
        <v>120</v>
      </c>
      <c r="D3" s="689">
        <v>27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131</v>
      </c>
      <c r="B7" s="758"/>
      <c r="C7" s="758"/>
      <c r="D7" s="715" t="s">
        <v>132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>
      <c r="A8" s="763" t="s">
        <v>133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>
      <c r="A9" s="768" t="s">
        <v>134</v>
      </c>
      <c r="B9" s="769"/>
      <c r="C9" s="769"/>
      <c r="D9" s="715" t="s">
        <v>132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>
      <c r="A10" s="757" t="s">
        <v>135</v>
      </c>
      <c r="B10" s="758"/>
      <c r="C10" s="758"/>
      <c r="D10" s="715" t="s">
        <v>132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>
      <c r="A11" s="757" t="s">
        <v>136</v>
      </c>
      <c r="B11" s="758"/>
      <c r="C11" s="758"/>
      <c r="D11" s="715" t="s">
        <v>132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>
      <c r="A12" s="757" t="s">
        <v>137</v>
      </c>
      <c r="B12" s="758"/>
      <c r="C12" s="758"/>
      <c r="D12" s="715" t="s">
        <v>132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>
      <c r="A13" s="773" t="s">
        <v>138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6" t="s">
        <v>140</v>
      </c>
      <c r="B15" s="871"/>
      <c r="C15" s="871"/>
      <c r="D15" s="600" t="s">
        <v>141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>
      <c r="A16" s="874"/>
      <c r="B16" s="875"/>
      <c r="C16" s="875"/>
      <c r="D16" s="872"/>
      <c r="E16" s="873"/>
      <c r="F16" s="561"/>
      <c r="G16" s="1122"/>
      <c r="H16" s="1139"/>
      <c r="I16" s="563">
        <f>I15-J15</f>
        <v>-19.975000000015484</v>
      </c>
      <c r="J16" s="1140"/>
      <c r="K16" s="467"/>
      <c r="L16" s="408"/>
      <c r="N16" s="413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7" t="s">
        <v>144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>
      <c r="A19" s="1472" t="s">
        <v>71</v>
      </c>
      <c r="B19" s="1473"/>
      <c r="C19" s="1474"/>
      <c r="D19" s="715" t="s">
        <v>144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149</v>
      </c>
      <c r="B23" s="666"/>
      <c r="C23" s="666"/>
      <c r="D23" s="599" t="s">
        <v>148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>
      <c r="A64" s="1416" t="s">
        <v>99</v>
      </c>
      <c r="B64" s="1417"/>
      <c r="C64" s="1418"/>
      <c r="D64" s="599" t="s">
        <v>187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>
      <c r="A65" s="1416" t="s">
        <v>100</v>
      </c>
      <c r="B65" s="1417"/>
      <c r="C65" s="1418"/>
      <c r="D65" s="599" t="s">
        <v>187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>
      <c r="A66" s="1416" t="s">
        <v>101</v>
      </c>
      <c r="B66" s="1417"/>
      <c r="C66" s="1418"/>
      <c r="D66" s="599" t="s">
        <v>187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>
      <c r="A67" s="1416" t="s">
        <v>102</v>
      </c>
      <c r="B67" s="1417"/>
      <c r="C67" s="1418"/>
      <c r="D67" s="599" t="s">
        <v>187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>
      <c r="A68" s="1416" t="s">
        <v>103</v>
      </c>
      <c r="B68" s="1417"/>
      <c r="C68" s="1418"/>
      <c r="D68" s="599" t="s">
        <v>187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>
      <c r="A69" s="1416" t="s">
        <v>104</v>
      </c>
      <c r="B69" s="1417"/>
      <c r="C69" s="1418"/>
      <c r="D69" s="599" t="s">
        <v>187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>
      <c r="A73" s="1416" t="s">
        <v>192</v>
      </c>
      <c r="B73" s="1417"/>
      <c r="C73" s="1418"/>
      <c r="D73" s="599" t="s">
        <v>187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416" t="s">
        <v>193</v>
      </c>
      <c r="B74" s="1417"/>
      <c r="C74" s="1418"/>
      <c r="D74" s="599" t="s">
        <v>187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>
      <c r="A75" s="1465" t="s">
        <v>194</v>
      </c>
      <c r="B75" s="1466"/>
      <c r="C75" s="1467"/>
      <c r="D75" s="599" t="s">
        <v>187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>
      <c r="A76" s="1465" t="s">
        <v>195</v>
      </c>
      <c r="B76" s="1466"/>
      <c r="C76" s="1467"/>
      <c r="D76" s="599" t="s">
        <v>187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>
      <c r="A77" s="1416" t="s">
        <v>196</v>
      </c>
      <c r="B77" s="1417"/>
      <c r="C77" s="1418"/>
      <c r="D77" s="599" t="s">
        <v>187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>
      <c r="A78" s="1233" t="s">
        <v>197</v>
      </c>
      <c r="B78" s="1204"/>
      <c r="C78" s="1204"/>
      <c r="D78" s="599" t="s">
        <v>187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>
      <c r="A79" s="1465" t="s">
        <v>92</v>
      </c>
      <c r="B79" s="1466"/>
      <c r="C79" s="1467"/>
      <c r="D79" s="600" t="s">
        <v>187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>
      <c r="A80" s="1465" t="s">
        <v>198</v>
      </c>
      <c r="B80" s="1466"/>
      <c r="C80" s="1467"/>
      <c r="D80" s="600" t="s">
        <v>187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>
      <c r="A84" s="1234" t="s">
        <v>201</v>
      </c>
      <c r="B84" s="648"/>
      <c r="C84" s="648"/>
      <c r="D84" s="554" t="s">
        <v>132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>
      <c r="A94" s="1413" t="s">
        <v>208</v>
      </c>
      <c r="B94" s="1414"/>
      <c r="C94" s="1415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>
      <c r="A97" s="1230" t="s">
        <v>211</v>
      </c>
      <c r="B97" s="1231"/>
      <c r="C97" s="1231"/>
      <c r="D97" s="599" t="s">
        <v>144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>
      <c r="A98" s="1230" t="s">
        <v>212</v>
      </c>
      <c r="B98" s="1231"/>
      <c r="C98" s="1231"/>
      <c r="D98" s="599" t="s">
        <v>144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>
      <c r="A99" s="1230" t="s">
        <v>213</v>
      </c>
      <c r="B99" s="1231"/>
      <c r="C99" s="1231"/>
      <c r="D99" s="599" t="s">
        <v>144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>
      <c r="A101" s="1413" t="s">
        <v>216</v>
      </c>
      <c r="B101" s="1414"/>
      <c r="C101" s="1415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>
      <c r="A107" s="1427" t="s">
        <v>202</v>
      </c>
      <c r="B107" s="1428"/>
      <c r="C107" s="1229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>
      <c r="A112" s="1427" t="s">
        <v>110</v>
      </c>
      <c r="B112" s="1428"/>
      <c r="C112" s="1229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>
      <c r="A161" s="868" t="s">
        <v>264</v>
      </c>
      <c r="B161" s="869"/>
      <c r="C161" s="869"/>
      <c r="D161" s="587" t="s">
        <v>187</v>
      </c>
      <c r="E161" s="739">
        <v>45035</v>
      </c>
      <c r="F161" s="739">
        <v>45463</v>
      </c>
      <c r="G161" s="549">
        <f t="shared" si="16"/>
        <v>428</v>
      </c>
    </row>
    <row r="162" spans="1:7">
      <c r="A162" s="868" t="s">
        <v>265</v>
      </c>
      <c r="B162" s="869"/>
      <c r="C162" s="869"/>
      <c r="D162" s="587" t="s">
        <v>187</v>
      </c>
      <c r="E162" s="739">
        <v>13891</v>
      </c>
      <c r="F162" s="739">
        <v>14130</v>
      </c>
      <c r="G162" s="549">
        <f t="shared" si="16"/>
        <v>239</v>
      </c>
    </row>
    <row r="163" spans="1:7">
      <c r="A163" s="868" t="s">
        <v>266</v>
      </c>
      <c r="B163" s="869"/>
      <c r="C163" s="869"/>
      <c r="D163" s="587" t="s">
        <v>187</v>
      </c>
      <c r="E163" s="739">
        <v>5083</v>
      </c>
      <c r="F163" s="739">
        <v>5100</v>
      </c>
      <c r="G163" s="549">
        <f t="shared" si="16"/>
        <v>17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34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326</v>
      </c>
      <c r="B2" s="1118">
        <v>44203</v>
      </c>
      <c r="C2" s="1232" t="s">
        <v>69</v>
      </c>
      <c r="D2" s="688">
        <v>0.54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6" s="281" customFormat="1" ht="27">
      <c r="A3" s="647"/>
      <c r="B3" s="691"/>
      <c r="C3" s="1232" t="s">
        <v>120</v>
      </c>
      <c r="D3" s="689">
        <v>26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2" t="s">
        <v>122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123</v>
      </c>
      <c r="B5" s="535"/>
      <c r="C5" s="535"/>
      <c r="D5" s="587" t="s">
        <v>215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215</v>
      </c>
    </row>
    <row r="8" spans="1:16" ht="27.75" thickBot="1">
      <c r="A8" s="763" t="s">
        <v>133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>
      <c r="A9" s="768" t="s">
        <v>134</v>
      </c>
      <c r="B9" s="769"/>
      <c r="C9" s="769"/>
      <c r="D9" s="715" t="s">
        <v>132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>
      <c r="A10" s="757" t="s">
        <v>135</v>
      </c>
      <c r="B10" s="758"/>
      <c r="C10" s="758"/>
      <c r="D10" s="715" t="s">
        <v>132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>
      <c r="A11" s="757" t="s">
        <v>136</v>
      </c>
      <c r="B11" s="758"/>
      <c r="C11" s="758"/>
      <c r="D11" s="715" t="s">
        <v>132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>
      <c r="A12" s="757" t="s">
        <v>137</v>
      </c>
      <c r="B12" s="758"/>
      <c r="C12" s="758"/>
      <c r="D12" s="715" t="s">
        <v>132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6" t="s">
        <v>140</v>
      </c>
      <c r="B15" s="877"/>
      <c r="C15" s="877"/>
      <c r="D15" s="600" t="s">
        <v>141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2">
        <v>800</v>
      </c>
      <c r="J15" s="630">
        <f>H15/DAY(B2)</f>
        <v>823.47142857143524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5" t="s">
        <v>144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>
      <c r="A19" s="1472" t="s">
        <v>71</v>
      </c>
      <c r="B19" s="1473"/>
      <c r="C19" s="1474"/>
      <c r="D19" s="715" t="s">
        <v>144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149</v>
      </c>
      <c r="B23" s="666"/>
      <c r="C23" s="666"/>
      <c r="D23" s="599" t="s">
        <v>148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1141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>
      <c r="A42" s="664" t="s">
        <v>171</v>
      </c>
      <c r="B42" s="665"/>
      <c r="C42" s="665"/>
      <c r="D42" s="600" t="s">
        <v>132</v>
      </c>
      <c r="E42" s="586">
        <f>'6'!F42</f>
        <v>58926</v>
      </c>
      <c r="F42" s="1143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>
      <c r="A56" s="664" t="s">
        <v>182</v>
      </c>
      <c r="B56" s="1151"/>
      <c r="C56" s="1151"/>
      <c r="D56" s="600" t="s">
        <v>183</v>
      </c>
      <c r="E56" s="586">
        <f>'6'!F56</f>
        <v>557739</v>
      </c>
      <c r="F56" s="1143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>
      <c r="A64" s="1416" t="s">
        <v>99</v>
      </c>
      <c r="B64" s="1417"/>
      <c r="C64" s="1418"/>
      <c r="D64" s="599" t="s">
        <v>187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>
      <c r="A65" s="1416" t="s">
        <v>100</v>
      </c>
      <c r="B65" s="1417"/>
      <c r="C65" s="1418"/>
      <c r="D65" s="599" t="s">
        <v>187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>
      <c r="A66" s="1416" t="s">
        <v>101</v>
      </c>
      <c r="B66" s="1417"/>
      <c r="C66" s="1418"/>
      <c r="D66" s="599" t="s">
        <v>187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>
      <c r="A67" s="1416" t="s">
        <v>102</v>
      </c>
      <c r="B67" s="1417"/>
      <c r="C67" s="1418"/>
      <c r="D67" s="599" t="s">
        <v>187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>
      <c r="A68" s="1416" t="s">
        <v>103</v>
      </c>
      <c r="B68" s="1417"/>
      <c r="C68" s="1418"/>
      <c r="D68" s="599" t="s">
        <v>187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>
      <c r="A69" s="1416" t="s">
        <v>104</v>
      </c>
      <c r="B69" s="1417"/>
      <c r="C69" s="1418"/>
      <c r="D69" s="599" t="s">
        <v>187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>
      <c r="A73" s="1416" t="s">
        <v>192</v>
      </c>
      <c r="B73" s="1417"/>
      <c r="C73" s="1418"/>
      <c r="D73" s="599" t="s">
        <v>187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416" t="s">
        <v>193</v>
      </c>
      <c r="B74" s="1417"/>
      <c r="C74" s="1418"/>
      <c r="D74" s="599" t="s">
        <v>187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>
      <c r="A75" s="1465" t="s">
        <v>194</v>
      </c>
      <c r="B75" s="1466"/>
      <c r="C75" s="1467"/>
      <c r="D75" s="599" t="s">
        <v>187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>
      <c r="A76" s="1465" t="s">
        <v>195</v>
      </c>
      <c r="B76" s="1466"/>
      <c r="C76" s="1467"/>
      <c r="D76" s="599" t="s">
        <v>187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>
      <c r="A77" s="1416" t="s">
        <v>196</v>
      </c>
      <c r="B77" s="1417"/>
      <c r="C77" s="1418"/>
      <c r="D77" s="599" t="s">
        <v>187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>
      <c r="A78" s="1233" t="s">
        <v>197</v>
      </c>
      <c r="B78" s="1204"/>
      <c r="C78" s="1204"/>
      <c r="D78" s="599" t="s">
        <v>187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>
      <c r="A79" s="1465" t="s">
        <v>92</v>
      </c>
      <c r="B79" s="1466"/>
      <c r="C79" s="1467"/>
      <c r="D79" s="600" t="s">
        <v>187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>
      <c r="A80" s="1465" t="s">
        <v>198</v>
      </c>
      <c r="B80" s="1466"/>
      <c r="C80" s="1467"/>
      <c r="D80" s="600" t="s">
        <v>187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>
      <c r="A81" s="1465" t="s">
        <v>199</v>
      </c>
      <c r="B81" s="1466"/>
      <c r="C81" s="1467"/>
      <c r="D81" s="600" t="s">
        <v>187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>
      <c r="A82" s="1465" t="s">
        <v>93</v>
      </c>
      <c r="B82" s="1466"/>
      <c r="C82" s="1467"/>
      <c r="D82" s="561" t="s">
        <v>132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>
      <c r="A83" s="1465" t="s">
        <v>200</v>
      </c>
      <c r="B83" s="1466"/>
      <c r="C83" s="1467"/>
      <c r="D83" s="697" t="s">
        <v>132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>
      <c r="A84" s="1234" t="s">
        <v>201</v>
      </c>
      <c r="B84" s="648"/>
      <c r="C84" s="648"/>
      <c r="D84" s="554" t="s">
        <v>132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732" t="s">
        <v>183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732" t="s">
        <v>183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732" t="s">
        <v>183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732" t="s">
        <v>183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732" t="s">
        <v>183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>
      <c r="A94" s="1413" t="s">
        <v>208</v>
      </c>
      <c r="B94" s="1414"/>
      <c r="C94" s="1415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>
      <c r="A97" s="1230" t="s">
        <v>211</v>
      </c>
      <c r="B97" s="1231"/>
      <c r="C97" s="1231"/>
      <c r="D97" s="599" t="s">
        <v>144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>
      <c r="A98" s="1230" t="s">
        <v>212</v>
      </c>
      <c r="B98" s="1231"/>
      <c r="C98" s="1231"/>
      <c r="D98" s="599" t="s">
        <v>144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>
      <c r="A99" s="1230" t="s">
        <v>213</v>
      </c>
      <c r="B99" s="1231"/>
      <c r="C99" s="1231"/>
      <c r="D99" s="599" t="s">
        <v>144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>
      <c r="A101" s="1413" t="s">
        <v>216</v>
      </c>
      <c r="B101" s="1414"/>
      <c r="C101" s="1415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427" t="s">
        <v>202</v>
      </c>
      <c r="B107" s="1428"/>
      <c r="C107" s="1229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>
      <c r="A112" s="1427" t="s">
        <v>110</v>
      </c>
      <c r="B112" s="1428"/>
      <c r="C112" s="1229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1144">
        <f>'6'!F123</f>
        <v>804961</v>
      </c>
      <c r="F123" s="1144">
        <v>805257</v>
      </c>
      <c r="G123" s="1145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1144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1144">
        <f>'6'!F125</f>
        <v>138260</v>
      </c>
      <c r="F125" s="1150">
        <v>138320.97</v>
      </c>
      <c r="G125" s="1146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1144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1144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1142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1148">
        <f>'6'!F138</f>
        <v>70063.89</v>
      </c>
      <c r="F138" s="1149">
        <v>70063.89</v>
      </c>
      <c r="G138" s="1142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1147">
        <f>'6'!F140</f>
        <v>4334</v>
      </c>
      <c r="F140" s="1144">
        <v>4334</v>
      </c>
      <c r="G140" s="1145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1147">
        <f>'6'!F160</f>
        <v>28924</v>
      </c>
      <c r="F160" s="739">
        <v>29006</v>
      </c>
      <c r="G160" s="549">
        <f t="shared" ref="G160:G171" si="16">F160-E160</f>
        <v>82</v>
      </c>
    </row>
    <row r="161" spans="1:7">
      <c r="A161" s="868" t="s">
        <v>264</v>
      </c>
      <c r="B161" s="869"/>
      <c r="C161" s="869"/>
      <c r="D161" s="587" t="s">
        <v>187</v>
      </c>
      <c r="E161" s="1147">
        <f>'6'!F161</f>
        <v>45463</v>
      </c>
      <c r="F161" s="739">
        <v>45879.59</v>
      </c>
      <c r="G161" s="549">
        <f t="shared" si="16"/>
        <v>416.58999999999651</v>
      </c>
    </row>
    <row r="162" spans="1:7">
      <c r="A162" s="868" t="s">
        <v>265</v>
      </c>
      <c r="B162" s="869"/>
      <c r="C162" s="869"/>
      <c r="D162" s="587" t="s">
        <v>187</v>
      </c>
      <c r="E162" s="1147">
        <f>'6'!F162</f>
        <v>14130</v>
      </c>
      <c r="F162" s="739">
        <v>14391</v>
      </c>
      <c r="G162" s="549">
        <f t="shared" si="16"/>
        <v>261</v>
      </c>
    </row>
    <row r="163" spans="1:7">
      <c r="A163" s="868" t="s">
        <v>266</v>
      </c>
      <c r="B163" s="869"/>
      <c r="C163" s="869"/>
      <c r="D163" s="587" t="s">
        <v>187</v>
      </c>
      <c r="E163" s="1147">
        <f>'6'!F163</f>
        <v>5100</v>
      </c>
      <c r="F163" s="739">
        <v>5115.96</v>
      </c>
      <c r="G163" s="549">
        <f t="shared" si="16"/>
        <v>15.960000000000036</v>
      </c>
    </row>
    <row r="164" spans="1:7">
      <c r="A164" s="870" t="s">
        <v>98</v>
      </c>
      <c r="B164" s="681"/>
      <c r="C164" s="681"/>
      <c r="D164" s="587" t="s">
        <v>187</v>
      </c>
      <c r="E164" s="1147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188</v>
      </c>
      <c r="B165" s="681"/>
      <c r="C165" s="681"/>
      <c r="D165" s="587" t="s">
        <v>187</v>
      </c>
      <c r="E165" s="1147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>
      <c r="A166" s="1468" t="s">
        <v>99</v>
      </c>
      <c r="B166" s="1468"/>
      <c r="C166" s="1468"/>
      <c r="D166" s="599" t="s">
        <v>187</v>
      </c>
      <c r="E166" s="1147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>
      <c r="A167" s="1468" t="s">
        <v>100</v>
      </c>
      <c r="B167" s="1468"/>
      <c r="C167" s="1468"/>
      <c r="D167" s="599" t="s">
        <v>187</v>
      </c>
      <c r="E167" s="1147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>
      <c r="A168" s="1468" t="s">
        <v>101</v>
      </c>
      <c r="B168" s="1468"/>
      <c r="C168" s="1468"/>
      <c r="D168" s="599" t="s">
        <v>187</v>
      </c>
      <c r="E168" s="1147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>
      <c r="A169" s="1468" t="s">
        <v>102</v>
      </c>
      <c r="B169" s="1468"/>
      <c r="C169" s="1468"/>
      <c r="D169" s="599" t="s">
        <v>187</v>
      </c>
      <c r="E169" s="1147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>
      <c r="A170" s="1468" t="s">
        <v>103</v>
      </c>
      <c r="B170" s="1468"/>
      <c r="C170" s="1468"/>
      <c r="D170" s="599" t="s">
        <v>187</v>
      </c>
      <c r="E170" s="1147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>
      <c r="A171" s="1468" t="s">
        <v>104</v>
      </c>
      <c r="B171" s="1468"/>
      <c r="C171" s="1468"/>
      <c r="D171" s="599" t="s">
        <v>187</v>
      </c>
      <c r="E171" s="1147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325</v>
      </c>
      <c r="B2" s="1118">
        <v>44235</v>
      </c>
      <c r="C2" s="1232" t="s">
        <v>69</v>
      </c>
      <c r="D2" s="688">
        <v>0.63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25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>
      <c r="A8" s="763" t="s">
        <v>133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>
      <c r="A9" s="768" t="s">
        <v>134</v>
      </c>
      <c r="B9" s="769"/>
      <c r="C9" s="769"/>
      <c r="D9" s="715" t="s">
        <v>132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>
      <c r="A10" s="757" t="s">
        <v>135</v>
      </c>
      <c r="B10" s="758"/>
      <c r="C10" s="758"/>
      <c r="D10" s="715" t="s">
        <v>132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>
      <c r="A11" s="757" t="s">
        <v>136</v>
      </c>
      <c r="B11" s="758"/>
      <c r="C11" s="758"/>
      <c r="D11" s="715" t="s">
        <v>132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>
      <c r="A12" s="757" t="s">
        <v>137</v>
      </c>
      <c r="B12" s="758"/>
      <c r="C12" s="758"/>
      <c r="D12" s="715" t="s">
        <v>132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>
      <c r="A13" s="773" t="s">
        <v>138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215</v>
      </c>
    </row>
    <row r="15" spans="1:15">
      <c r="A15" s="746" t="s">
        <v>140</v>
      </c>
      <c r="B15" s="747"/>
      <c r="C15" s="747"/>
      <c r="D15" s="748" t="s">
        <v>141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5" t="s">
        <v>144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>
      <c r="A19" s="1472" t="s">
        <v>71</v>
      </c>
      <c r="B19" s="1473"/>
      <c r="C19" s="1474"/>
      <c r="D19" s="715" t="s">
        <v>144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>
      <c r="A23" s="1230" t="s">
        <v>149</v>
      </c>
      <c r="B23" s="666"/>
      <c r="C23" s="666"/>
      <c r="D23" s="599" t="s">
        <v>148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'7'!F41</f>
        <v>58616</v>
      </c>
      <c r="F41" s="1143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'7'!F49</f>
        <v>259764.67</v>
      </c>
      <c r="F49" s="1143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'7'!F51</f>
        <v>118942</v>
      </c>
      <c r="F51" s="1143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'7'!F52</f>
        <v>507093</v>
      </c>
      <c r="F52" s="1143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'7'!F53</f>
        <v>329432</v>
      </c>
      <c r="F53" s="1143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'7'!F57</f>
        <v>6534</v>
      </c>
      <c r="F57" s="1143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>
      <c r="A64" s="1416" t="s">
        <v>99</v>
      </c>
      <c r="B64" s="1417"/>
      <c r="C64" s="1418"/>
      <c r="D64" s="599" t="s">
        <v>187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>
      <c r="A65" s="1416" t="s">
        <v>100</v>
      </c>
      <c r="B65" s="1417"/>
      <c r="C65" s="1418"/>
      <c r="D65" s="599" t="s">
        <v>187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>
      <c r="A66" s="1416" t="s">
        <v>101</v>
      </c>
      <c r="B66" s="1417"/>
      <c r="C66" s="1418"/>
      <c r="D66" s="599" t="s">
        <v>187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>
      <c r="A67" s="1416" t="s">
        <v>102</v>
      </c>
      <c r="B67" s="1417"/>
      <c r="C67" s="1418"/>
      <c r="D67" s="599" t="s">
        <v>187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>
      <c r="A68" s="1416" t="s">
        <v>103</v>
      </c>
      <c r="B68" s="1417"/>
      <c r="C68" s="1418"/>
      <c r="D68" s="599" t="s">
        <v>187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>
      <c r="A69" s="1416" t="s">
        <v>104</v>
      </c>
      <c r="B69" s="1417"/>
      <c r="C69" s="1418"/>
      <c r="D69" s="599" t="s">
        <v>187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 t="s">
        <v>269</v>
      </c>
      <c r="G70" s="594"/>
      <c r="H70" s="536"/>
      <c r="I70" s="594"/>
      <c r="J70" s="633"/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>
      <c r="A73" s="1416" t="s">
        <v>192</v>
      </c>
      <c r="B73" s="1417"/>
      <c r="C73" s="1418"/>
      <c r="D73" s="599" t="s">
        <v>187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16" t="s">
        <v>193</v>
      </c>
      <c r="B74" s="1417"/>
      <c r="C74" s="1418"/>
      <c r="D74" s="599" t="s">
        <v>187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>
      <c r="A75" s="1465" t="s">
        <v>194</v>
      </c>
      <c r="B75" s="1466"/>
      <c r="C75" s="1467"/>
      <c r="D75" s="599" t="s">
        <v>187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>
      <c r="A76" s="1465" t="s">
        <v>195</v>
      </c>
      <c r="B76" s="1466"/>
      <c r="C76" s="1467"/>
      <c r="D76" s="599" t="s">
        <v>187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>
      <c r="A77" s="1416" t="s">
        <v>196</v>
      </c>
      <c r="B77" s="1417"/>
      <c r="C77" s="1418"/>
      <c r="D77" s="599" t="s">
        <v>187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>
      <c r="A78" s="1233" t="s">
        <v>197</v>
      </c>
      <c r="B78" s="1204"/>
      <c r="C78" s="1204"/>
      <c r="D78" s="599" t="s">
        <v>187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>
      <c r="A79" s="1465" t="s">
        <v>92</v>
      </c>
      <c r="B79" s="1466"/>
      <c r="C79" s="1467"/>
      <c r="D79" s="600" t="s">
        <v>187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>
      <c r="A80" s="1465" t="s">
        <v>198</v>
      </c>
      <c r="B80" s="1466"/>
      <c r="C80" s="1467"/>
      <c r="D80" s="600" t="s">
        <v>187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>
      <c r="A81" s="1465" t="s">
        <v>199</v>
      </c>
      <c r="B81" s="1466"/>
      <c r="C81" s="1467"/>
      <c r="D81" s="600" t="s">
        <v>187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>
      <c r="A82" s="1465" t="s">
        <v>93</v>
      </c>
      <c r="B82" s="1466"/>
      <c r="C82" s="1467"/>
      <c r="D82" s="561" t="s">
        <v>132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>
      <c r="A83" s="1465" t="s">
        <v>200</v>
      </c>
      <c r="B83" s="1466"/>
      <c r="C83" s="1467"/>
      <c r="D83" s="697" t="s">
        <v>132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>
      <c r="A84" s="1234" t="s">
        <v>201</v>
      </c>
      <c r="B84" s="648"/>
      <c r="C84" s="648"/>
      <c r="D84" s="554" t="s">
        <v>132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>
      <c r="A94" s="1413" t="s">
        <v>208</v>
      </c>
      <c r="B94" s="1414"/>
      <c r="C94" s="1415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>
      <c r="A97" s="1230" t="s">
        <v>211</v>
      </c>
      <c r="B97" s="1231"/>
      <c r="C97" s="1231"/>
      <c r="D97" s="599" t="s">
        <v>144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>
      <c r="A98" s="1230" t="s">
        <v>212</v>
      </c>
      <c r="B98" s="1231"/>
      <c r="C98" s="1231"/>
      <c r="D98" s="599" t="s">
        <v>144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>
      <c r="A99" s="1230" t="s">
        <v>213</v>
      </c>
      <c r="B99" s="1231"/>
      <c r="C99" s="1231"/>
      <c r="D99" s="599" t="s">
        <v>144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>
      <c r="A101" s="1413" t="s">
        <v>216</v>
      </c>
      <c r="B101" s="1414"/>
      <c r="C101" s="1415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>
      <c r="A107" s="1427" t="s">
        <v>202</v>
      </c>
      <c r="B107" s="1428"/>
      <c r="C107" s="1229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>
      <c r="A112" s="1427" t="s">
        <v>110</v>
      </c>
      <c r="B112" s="1428"/>
      <c r="C112" s="1229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1147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>
      <c r="A161" s="868" t="s">
        <v>264</v>
      </c>
      <c r="B161" s="869"/>
      <c r="C161" s="869"/>
      <c r="D161" s="587" t="s">
        <v>187</v>
      </c>
      <c r="E161" s="1147">
        <f>'7'!F161</f>
        <v>45879.59</v>
      </c>
      <c r="F161" s="739">
        <v>46314.44</v>
      </c>
      <c r="G161" s="549">
        <f t="shared" si="16"/>
        <v>434.85000000000582</v>
      </c>
    </row>
    <row r="162" spans="1:7">
      <c r="A162" s="868" t="s">
        <v>265</v>
      </c>
      <c r="B162" s="869"/>
      <c r="C162" s="869"/>
      <c r="D162" s="587" t="s">
        <v>187</v>
      </c>
      <c r="E162" s="1147">
        <f>'7'!F162</f>
        <v>14391</v>
      </c>
      <c r="F162" s="739">
        <v>14652</v>
      </c>
      <c r="G162" s="549">
        <f t="shared" si="16"/>
        <v>261</v>
      </c>
    </row>
    <row r="163" spans="1:7">
      <c r="A163" s="868" t="s">
        <v>266</v>
      </c>
      <c r="B163" s="869"/>
      <c r="C163" s="869"/>
      <c r="D163" s="587" t="s">
        <v>187</v>
      </c>
      <c r="E163" s="1147">
        <f>'7'!F163</f>
        <v>5115.96</v>
      </c>
      <c r="F163" s="739">
        <v>5126.93</v>
      </c>
      <c r="G163" s="549">
        <f t="shared" si="16"/>
        <v>10.970000000000255</v>
      </c>
    </row>
    <row r="164" spans="1:7">
      <c r="A164" s="870" t="s">
        <v>98</v>
      </c>
      <c r="B164" s="681"/>
      <c r="C164" s="681"/>
      <c r="D164" s="587" t="s">
        <v>187</v>
      </c>
      <c r="E164" s="1147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188</v>
      </c>
      <c r="B165" s="681"/>
      <c r="C165" s="681"/>
      <c r="D165" s="587" t="s">
        <v>187</v>
      </c>
      <c r="E165" s="1147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>
      <c r="A166" s="1468" t="s">
        <v>99</v>
      </c>
      <c r="B166" s="1468"/>
      <c r="C166" s="1468"/>
      <c r="D166" s="599" t="s">
        <v>187</v>
      </c>
      <c r="E166" s="1147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>
      <c r="A167" s="1468" t="s">
        <v>100</v>
      </c>
      <c r="B167" s="1468"/>
      <c r="C167" s="1468"/>
      <c r="D167" s="599" t="s">
        <v>187</v>
      </c>
      <c r="E167" s="1147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>
      <c r="A168" s="1468" t="s">
        <v>101</v>
      </c>
      <c r="B168" s="1468"/>
      <c r="C168" s="1468"/>
      <c r="D168" s="599" t="s">
        <v>187</v>
      </c>
      <c r="E168" s="1147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>
      <c r="A169" s="1468" t="s">
        <v>102</v>
      </c>
      <c r="B169" s="1468"/>
      <c r="C169" s="1468"/>
      <c r="D169" s="599" t="s">
        <v>187</v>
      </c>
      <c r="E169" s="1147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>
      <c r="A170" s="1468" t="s">
        <v>103</v>
      </c>
      <c r="B170" s="1468"/>
      <c r="C170" s="1468"/>
      <c r="D170" s="599" t="s">
        <v>187</v>
      </c>
      <c r="E170" s="1147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>
      <c r="A171" s="1468" t="s">
        <v>104</v>
      </c>
      <c r="B171" s="1468"/>
      <c r="C171" s="1468"/>
      <c r="D171" s="599" t="s">
        <v>187</v>
      </c>
      <c r="E171" s="1147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37" zoomScale="55" zoomScaleNormal="80" zoomScaleSheetLayoutView="55" workbookViewId="0">
      <selection activeCell="G55" sqref="G55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4" s="281" customFormat="1" ht="27">
      <c r="A2" s="652" t="s">
        <v>327</v>
      </c>
      <c r="B2" s="1118">
        <v>44236</v>
      </c>
      <c r="C2" s="1232" t="s">
        <v>69</v>
      </c>
      <c r="D2" s="688">
        <v>0.65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281" t="s">
        <v>118</v>
      </c>
    </row>
    <row r="3" spans="1:14" s="281" customFormat="1" ht="27">
      <c r="A3" s="647"/>
      <c r="B3" s="691"/>
      <c r="C3" s="1232" t="s">
        <v>120</v>
      </c>
      <c r="D3" s="689">
        <v>25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407" t="s">
        <v>126</v>
      </c>
    </row>
    <row r="6" spans="1:14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>
      <c r="A8" s="763" t="s">
        <v>133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>
      <c r="A9" s="768" t="s">
        <v>134</v>
      </c>
      <c r="B9" s="769"/>
      <c r="C9" s="769"/>
      <c r="D9" s="715" t="s">
        <v>132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>
      <c r="A10" s="757" t="s">
        <v>135</v>
      </c>
      <c r="B10" s="758"/>
      <c r="C10" s="758"/>
      <c r="D10" s="715" t="s">
        <v>132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>
      <c r="A11" s="757" t="s">
        <v>136</v>
      </c>
      <c r="B11" s="758"/>
      <c r="C11" s="758"/>
      <c r="D11" s="715" t="s">
        <v>132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>
      <c r="A12" s="757" t="s">
        <v>137</v>
      </c>
      <c r="B12" s="758"/>
      <c r="C12" s="758"/>
      <c r="D12" s="715" t="s">
        <v>132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8" t="s">
        <v>140</v>
      </c>
      <c r="B15" s="1269"/>
      <c r="C15" s="1269"/>
      <c r="D15" s="1270" t="s">
        <v>141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3">
        <f>G15+'8'!H15</f>
        <v>7217.6300000001211</v>
      </c>
      <c r="I15" s="1264">
        <v>800</v>
      </c>
      <c r="J15" s="1265">
        <f>H15/DAY(B2)</f>
        <v>801.95888888890238</v>
      </c>
      <c r="K15" s="1257"/>
      <c r="L15" s="1258"/>
      <c r="M15" s="1259"/>
      <c r="N15" s="1260">
        <v>330.54600000008941</v>
      </c>
    </row>
    <row r="16" spans="1:14">
      <c r="A16" s="1261"/>
      <c r="B16" s="1262"/>
      <c r="C16" s="1262"/>
      <c r="D16" s="1255"/>
      <c r="E16" s="1256"/>
      <c r="F16" s="1256"/>
      <c r="G16" s="1266"/>
      <c r="H16" s="1263"/>
      <c r="I16" s="1267">
        <f>I15-J15</f>
        <v>-1.9588888889023792</v>
      </c>
      <c r="J16" s="1265"/>
      <c r="K16" s="1257"/>
      <c r="L16" s="1258"/>
      <c r="M16" s="1259"/>
      <c r="N16" s="1260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5" t="s">
        <v>144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>
      <c r="A19" s="1472" t="s">
        <v>71</v>
      </c>
      <c r="B19" s="1473"/>
      <c r="C19" s="1474"/>
      <c r="D19" s="715" t="s">
        <v>144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>
      <c r="A20" s="773" t="s">
        <v>145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>
      <c r="A23" s="1230" t="s">
        <v>149</v>
      </c>
      <c r="B23" s="666"/>
      <c r="C23" s="666"/>
      <c r="D23" s="599" t="s">
        <v>148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>
      <c r="A24" s="667" t="s">
        <v>150</v>
      </c>
      <c r="B24" s="668"/>
      <c r="C24" s="668"/>
      <c r="D24" s="587" t="s">
        <v>148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>
      <c r="A36" s="655" t="s">
        <v>165</v>
      </c>
      <c r="B36" s="656"/>
      <c r="C36" s="656"/>
      <c r="D36" s="599" t="s">
        <v>132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>
      <c r="A37" s="655" t="s">
        <v>166</v>
      </c>
      <c r="B37" s="656"/>
      <c r="C37" s="656"/>
      <c r="D37" s="599" t="s">
        <v>132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>
      <c r="A38" s="655" t="s">
        <v>167</v>
      </c>
      <c r="B38" s="656"/>
      <c r="C38" s="656"/>
      <c r="D38" s="599" t="s">
        <v>132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>
      <c r="A39" s="655" t="s">
        <v>168</v>
      </c>
      <c r="B39" s="656"/>
      <c r="C39" s="656"/>
      <c r="D39" s="599" t="s">
        <v>132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>
      <c r="A40" s="676" t="s">
        <v>169</v>
      </c>
      <c r="B40" s="677"/>
      <c r="C40" s="677"/>
      <c r="D40" s="599" t="s">
        <v>132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170</v>
      </c>
      <c r="B41" s="656"/>
      <c r="C41" s="656"/>
      <c r="D41" s="599" t="s">
        <v>132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>
      <c r="A42" s="655" t="s">
        <v>171</v>
      </c>
      <c r="B42" s="656"/>
      <c r="C42" s="656"/>
      <c r="D42" s="599" t="s">
        <v>132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>
      <c r="A43" s="655" t="s">
        <v>172</v>
      </c>
      <c r="B43" s="656"/>
      <c r="C43" s="656"/>
      <c r="D43" s="599" t="s">
        <v>132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>
      <c r="A44" s="655" t="s">
        <v>173</v>
      </c>
      <c r="B44" s="656"/>
      <c r="C44" s="656"/>
      <c r="D44" s="599" t="s">
        <v>132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174</v>
      </c>
      <c r="B45" s="656"/>
      <c r="C45" s="656"/>
      <c r="D45" s="599" t="s">
        <v>132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175</v>
      </c>
      <c r="B46" s="656"/>
      <c r="C46" s="656"/>
      <c r="D46" s="599" t="s">
        <v>132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>
      <c r="A50" s="655" t="s">
        <v>178</v>
      </c>
      <c r="B50" s="678"/>
      <c r="C50" s="678"/>
      <c r="D50" s="599" t="s">
        <v>132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>
      <c r="A51" s="655" t="s">
        <v>166</v>
      </c>
      <c r="B51" s="678"/>
      <c r="C51" s="678"/>
      <c r="D51" s="599" t="s">
        <v>132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>
      <c r="A52" s="655" t="s">
        <v>179</v>
      </c>
      <c r="B52" s="678"/>
      <c r="C52" s="678"/>
      <c r="D52" s="599" t="s">
        <v>132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>
      <c r="A53" s="655" t="s">
        <v>168</v>
      </c>
      <c r="B53" s="678"/>
      <c r="C53" s="678"/>
      <c r="D53" s="599" t="s">
        <v>132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>
      <c r="A54" s="655" t="s">
        <v>180</v>
      </c>
      <c r="B54" s="678"/>
      <c r="C54" s="678"/>
      <c r="D54" s="599" t="s">
        <v>132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>
      <c r="A55" s="655" t="s">
        <v>181</v>
      </c>
      <c r="B55" s="678"/>
      <c r="C55" s="678"/>
      <c r="D55" s="599" t="s">
        <v>132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>
      <c r="A56" s="655" t="s">
        <v>182</v>
      </c>
      <c r="B56" s="678"/>
      <c r="C56" s="678"/>
      <c r="D56" s="599" t="s">
        <v>183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>
      <c r="A57" s="655" t="s">
        <v>172</v>
      </c>
      <c r="B57" s="678"/>
      <c r="C57" s="678"/>
      <c r="D57" s="599" t="s">
        <v>132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>
      <c r="A58" s="655" t="s">
        <v>184</v>
      </c>
      <c r="B58" s="678"/>
      <c r="C58" s="678"/>
      <c r="D58" s="599" t="s">
        <v>132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>
      <c r="A63" s="680" t="s">
        <v>188</v>
      </c>
      <c r="B63" s="681"/>
      <c r="C63" s="681"/>
      <c r="D63" s="587" t="s">
        <v>187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>
      <c r="A64" s="1416" t="s">
        <v>99</v>
      </c>
      <c r="B64" s="1417"/>
      <c r="C64" s="1418"/>
      <c r="D64" s="599" t="s">
        <v>187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>
      <c r="A65" s="1416" t="s">
        <v>100</v>
      </c>
      <c r="B65" s="1417"/>
      <c r="C65" s="1418"/>
      <c r="D65" s="599" t="s">
        <v>187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>
      <c r="A66" s="1416" t="s">
        <v>101</v>
      </c>
      <c r="B66" s="1417"/>
      <c r="C66" s="1418"/>
      <c r="D66" s="599" t="s">
        <v>187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>
      <c r="A67" s="1416" t="s">
        <v>102</v>
      </c>
      <c r="B67" s="1417"/>
      <c r="C67" s="1418"/>
      <c r="D67" s="599" t="s">
        <v>187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>
      <c r="A68" s="1416" t="s">
        <v>103</v>
      </c>
      <c r="B68" s="1417"/>
      <c r="C68" s="1418"/>
      <c r="D68" s="599" t="s">
        <v>187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>
      <c r="A69" s="1416" t="s">
        <v>104</v>
      </c>
      <c r="B69" s="1417"/>
      <c r="C69" s="1418"/>
      <c r="D69" s="599" t="s">
        <v>187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>
      <c r="A73" s="1416" t="s">
        <v>192</v>
      </c>
      <c r="B73" s="1417"/>
      <c r="C73" s="1418"/>
      <c r="D73" s="599" t="s">
        <v>187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>
      <c r="A74" s="1416" t="s">
        <v>193</v>
      </c>
      <c r="B74" s="1417"/>
      <c r="C74" s="1418"/>
      <c r="D74" s="599" t="s">
        <v>187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>
      <c r="A75" s="1465" t="s">
        <v>194</v>
      </c>
      <c r="B75" s="1466"/>
      <c r="C75" s="1467"/>
      <c r="D75" s="599" t="s">
        <v>187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>
      <c r="A76" s="1465" t="s">
        <v>195</v>
      </c>
      <c r="B76" s="1466"/>
      <c r="C76" s="1467"/>
      <c r="D76" s="599" t="s">
        <v>187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>
      <c r="A77" s="1416" t="s">
        <v>196</v>
      </c>
      <c r="B77" s="1417"/>
      <c r="C77" s="1418"/>
      <c r="D77" s="599" t="s">
        <v>187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>
      <c r="A78" s="1233" t="s">
        <v>197</v>
      </c>
      <c r="B78" s="1204"/>
      <c r="C78" s="1204"/>
      <c r="D78" s="599" t="s">
        <v>187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>
      <c r="A79" s="1465" t="s">
        <v>92</v>
      </c>
      <c r="B79" s="1466"/>
      <c r="C79" s="1467"/>
      <c r="D79" s="600" t="s">
        <v>187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>
      <c r="A80" s="1465" t="s">
        <v>198</v>
      </c>
      <c r="B80" s="1466"/>
      <c r="C80" s="1467"/>
      <c r="D80" s="600" t="s">
        <v>187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>
      <c r="A81" s="1465" t="s">
        <v>199</v>
      </c>
      <c r="B81" s="1466"/>
      <c r="C81" s="1467"/>
      <c r="D81" s="600" t="s">
        <v>187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>
      <c r="A82" s="1465" t="s">
        <v>93</v>
      </c>
      <c r="B82" s="1466"/>
      <c r="C82" s="1467"/>
      <c r="D82" s="561" t="s">
        <v>132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>
      <c r="A83" s="1465" t="s">
        <v>200</v>
      </c>
      <c r="B83" s="1466"/>
      <c r="C83" s="1467"/>
      <c r="D83" s="697" t="s">
        <v>132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>
      <c r="A84" s="1234" t="s">
        <v>201</v>
      </c>
      <c r="B84" s="648"/>
      <c r="C84" s="648"/>
      <c r="D84" s="554" t="s">
        <v>132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>
      <c r="A93" s="1419" t="s">
        <v>207</v>
      </c>
      <c r="B93" s="1420"/>
      <c r="C93" s="1421"/>
      <c r="D93" s="599" t="s">
        <v>144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>
      <c r="A94" s="1413" t="s">
        <v>208</v>
      </c>
      <c r="B94" s="1414"/>
      <c r="C94" s="1415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>
      <c r="A95" s="1419" t="s">
        <v>209</v>
      </c>
      <c r="B95" s="1420"/>
      <c r="C95" s="1421"/>
      <c r="D95" s="599" t="s">
        <v>144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>
      <c r="A96" s="1230" t="s">
        <v>210</v>
      </c>
      <c r="B96" s="1231"/>
      <c r="C96" s="1231"/>
      <c r="D96" s="599" t="s">
        <v>144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>
      <c r="A97" s="1230" t="s">
        <v>211</v>
      </c>
      <c r="B97" s="1231"/>
      <c r="C97" s="1231"/>
      <c r="D97" s="599" t="s">
        <v>144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>
      <c r="A98" s="1230" t="s">
        <v>212</v>
      </c>
      <c r="B98" s="1231"/>
      <c r="C98" s="1231"/>
      <c r="D98" s="599" t="s">
        <v>144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>
      <c r="A99" s="1230" t="s">
        <v>213</v>
      </c>
      <c r="B99" s="1231"/>
      <c r="C99" s="1231"/>
      <c r="D99" s="599" t="s">
        <v>144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>
      <c r="A100" s="1230" t="s">
        <v>214</v>
      </c>
      <c r="B100" s="1231"/>
      <c r="C100" s="1231"/>
      <c r="D100" s="599" t="s">
        <v>144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>
      <c r="A101" s="1413" t="s">
        <v>216</v>
      </c>
      <c r="B101" s="1414"/>
      <c r="C101" s="1415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427" t="s">
        <v>202</v>
      </c>
      <c r="B107" s="1428"/>
      <c r="C107" s="1229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>
      <c r="A112" s="1427" t="s">
        <v>110</v>
      </c>
      <c r="B112" s="1428"/>
      <c r="C112" s="1229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>
      <c r="A113" s="1429" t="s">
        <v>223</v>
      </c>
      <c r="B113" s="1430"/>
      <c r="C113" s="1229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>
      <c r="A124" s="1230" t="s">
        <v>232</v>
      </c>
      <c r="B124" s="1231"/>
      <c r="C124" s="1231"/>
      <c r="D124" s="599" t="s">
        <v>141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>
      <c r="A125" s="1416" t="s">
        <v>233</v>
      </c>
      <c r="B125" s="1417"/>
      <c r="C125" s="1418"/>
      <c r="D125" s="599" t="s">
        <v>141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>
      <c r="A126" s="686" t="s">
        <v>234</v>
      </c>
      <c r="B126" s="1231"/>
      <c r="C126" s="1231"/>
      <c r="D126" s="599" t="s">
        <v>141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>
      <c r="A127" s="686" t="s">
        <v>235</v>
      </c>
      <c r="B127" s="1231"/>
      <c r="C127" s="1231"/>
      <c r="D127" s="599" t="s">
        <v>141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30" t="s">
        <v>240</v>
      </c>
      <c r="B131" s="1231"/>
      <c r="C131" s="1231"/>
      <c r="D131" s="599" t="s">
        <v>239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30" t="s">
        <v>241</v>
      </c>
      <c r="B132" s="1231"/>
      <c r="C132" s="1231"/>
      <c r="D132" s="599" t="s">
        <v>239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>
      <c r="A133" s="1230" t="s">
        <v>242</v>
      </c>
      <c r="B133" s="1231"/>
      <c r="C133" s="1231"/>
      <c r="D133" s="599" t="s">
        <v>239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30" t="s">
        <v>243</v>
      </c>
      <c r="B134" s="1231"/>
      <c r="C134" s="1231"/>
      <c r="D134" s="599" t="s">
        <v>239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>
      <c r="A135" s="1230" t="s">
        <v>244</v>
      </c>
      <c r="B135" s="1231"/>
      <c r="C135" s="1231"/>
      <c r="D135" s="599" t="s">
        <v>239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>
      <c r="A136" s="1230" t="s">
        <v>245</v>
      </c>
      <c r="B136" s="1231"/>
      <c r="C136" s="1231"/>
      <c r="D136" s="599" t="s">
        <v>239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>
      <c r="A137" s="1230" t="s">
        <v>246</v>
      </c>
      <c r="B137" s="1231"/>
      <c r="C137" s="1231"/>
      <c r="D137" s="599" t="s">
        <v>239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>
      <c r="A138" s="1230" t="s">
        <v>247</v>
      </c>
      <c r="B138" s="1231"/>
      <c r="C138" s="1231"/>
      <c r="D138" s="599" t="s">
        <v>239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>
      <c r="A139" s="1230" t="s">
        <v>248</v>
      </c>
      <c r="B139" s="1231"/>
      <c r="C139" s="1231"/>
      <c r="D139" s="599" t="s">
        <v>239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>
      <c r="A140" s="1230" t="s">
        <v>249</v>
      </c>
      <c r="B140" s="1231"/>
      <c r="C140" s="1231"/>
      <c r="D140" s="599" t="s">
        <v>239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1147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>
      <c r="A161" s="868" t="s">
        <v>264</v>
      </c>
      <c r="B161" s="869"/>
      <c r="C161" s="869"/>
      <c r="D161" s="587" t="s">
        <v>187</v>
      </c>
      <c r="E161" s="1147">
        <f>'8'!F161</f>
        <v>46314.44</v>
      </c>
      <c r="F161" s="739">
        <v>46734.53</v>
      </c>
      <c r="G161" s="549">
        <f t="shared" si="15"/>
        <v>420.08999999999651</v>
      </c>
    </row>
    <row r="162" spans="1:7">
      <c r="A162" s="868" t="s">
        <v>265</v>
      </c>
      <c r="B162" s="869"/>
      <c r="C162" s="869"/>
      <c r="D162" s="587" t="s">
        <v>187</v>
      </c>
      <c r="E162" s="1147">
        <f>'8'!F162</f>
        <v>14652</v>
      </c>
      <c r="F162" s="739">
        <v>14913</v>
      </c>
      <c r="G162" s="549">
        <f t="shared" si="15"/>
        <v>261</v>
      </c>
    </row>
    <row r="163" spans="1:7">
      <c r="A163" s="868" t="s">
        <v>266</v>
      </c>
      <c r="B163" s="869"/>
      <c r="C163" s="869"/>
      <c r="D163" s="587" t="s">
        <v>187</v>
      </c>
      <c r="E163" s="1147">
        <f>'8'!F163</f>
        <v>5126.93</v>
      </c>
      <c r="F163" s="739">
        <v>5133.67</v>
      </c>
      <c r="G163" s="549">
        <f t="shared" si="15"/>
        <v>6.7399999999997817</v>
      </c>
    </row>
    <row r="164" spans="1:7">
      <c r="A164" s="870" t="s">
        <v>98</v>
      </c>
      <c r="B164" s="681"/>
      <c r="C164" s="681"/>
      <c r="D164" s="587" t="s">
        <v>187</v>
      </c>
      <c r="E164" s="1147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70" t="s">
        <v>188</v>
      </c>
      <c r="B165" s="681"/>
      <c r="C165" s="681"/>
      <c r="D165" s="587" t="s">
        <v>187</v>
      </c>
      <c r="E165" s="1147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>
      <c r="A166" s="1468" t="s">
        <v>99</v>
      </c>
      <c r="B166" s="1468"/>
      <c r="C166" s="1468"/>
      <c r="D166" s="599" t="s">
        <v>187</v>
      </c>
      <c r="E166" s="1147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>
      <c r="A167" s="1468" t="s">
        <v>100</v>
      </c>
      <c r="B167" s="1468"/>
      <c r="C167" s="1468"/>
      <c r="D167" s="599" t="s">
        <v>187</v>
      </c>
      <c r="E167" s="1147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>
      <c r="A168" s="1468" t="s">
        <v>101</v>
      </c>
      <c r="B168" s="1468"/>
      <c r="C168" s="1468"/>
      <c r="D168" s="599" t="s">
        <v>187</v>
      </c>
      <c r="E168" s="1147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>
      <c r="A169" s="1468" t="s">
        <v>102</v>
      </c>
      <c r="B169" s="1468"/>
      <c r="C169" s="1468"/>
      <c r="D169" s="599" t="s">
        <v>187</v>
      </c>
      <c r="E169" s="1147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>
      <c r="A170" s="1468" t="s">
        <v>103</v>
      </c>
      <c r="B170" s="1468"/>
      <c r="C170" s="1468"/>
      <c r="D170" s="599" t="s">
        <v>187</v>
      </c>
      <c r="E170" s="1147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>
      <c r="A171" s="1468" t="s">
        <v>104</v>
      </c>
      <c r="B171" s="1468"/>
      <c r="C171" s="1468"/>
      <c r="D171" s="599" t="s">
        <v>187</v>
      </c>
      <c r="E171" s="1147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/>
    <row r="177" spans="6:6" ht="18.75" customHeight="1">
      <c r="F177" s="744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4" s="281" customFormat="1" ht="27">
      <c r="A2" s="652" t="s">
        <v>328</v>
      </c>
      <c r="B2" s="1118">
        <v>44237</v>
      </c>
      <c r="C2" s="1232" t="s">
        <v>69</v>
      </c>
      <c r="D2" s="688">
        <v>0.72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2"/>
    </row>
    <row r="3" spans="1:14" s="281" customFormat="1" ht="27">
      <c r="A3" s="647"/>
      <c r="B3" s="691"/>
      <c r="C3" s="1232" t="s">
        <v>120</v>
      </c>
      <c r="D3" s="689">
        <v>25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>
      <c r="A8" s="763" t="s">
        <v>133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>
      <c r="A9" s="768" t="s">
        <v>134</v>
      </c>
      <c r="B9" s="769"/>
      <c r="C9" s="769"/>
      <c r="D9" s="715" t="s">
        <v>132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>
      <c r="A10" s="757" t="s">
        <v>135</v>
      </c>
      <c r="B10" s="758"/>
      <c r="C10" s="758"/>
      <c r="D10" s="715" t="s">
        <v>132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>
      <c r="A11" s="757" t="s">
        <v>136</v>
      </c>
      <c r="B11" s="758"/>
      <c r="C11" s="758"/>
      <c r="D11" s="715" t="s">
        <v>132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>
      <c r="A12" s="757" t="s">
        <v>137</v>
      </c>
      <c r="B12" s="758"/>
      <c r="C12" s="758"/>
      <c r="D12" s="715" t="s">
        <v>132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6" t="s">
        <v>140</v>
      </c>
      <c r="B15" s="871"/>
      <c r="C15" s="871"/>
      <c r="D15" s="600" t="s">
        <v>141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72" t="s">
        <v>143</v>
      </c>
      <c r="B18" s="1473"/>
      <c r="C18" s="1474"/>
      <c r="D18" s="715" t="s">
        <v>144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>
      <c r="A19" s="1472" t="s">
        <v>71</v>
      </c>
      <c r="B19" s="1473"/>
      <c r="C19" s="1474"/>
      <c r="D19" s="715" t="s">
        <v>144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>
      <c r="A20" s="773" t="s">
        <v>145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30" t="s">
        <v>147</v>
      </c>
      <c r="B22" s="666"/>
      <c r="C22" s="666"/>
      <c r="D22" s="599" t="s">
        <v>148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>
      <c r="A23" s="1230" t="s">
        <v>149</v>
      </c>
      <c r="B23" s="666"/>
      <c r="C23" s="666"/>
      <c r="D23" s="599" t="s">
        <v>148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>
      <c r="A24" s="667" t="s">
        <v>150</v>
      </c>
      <c r="B24" s="668"/>
      <c r="C24" s="668"/>
      <c r="D24" s="587" t="s">
        <v>148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795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164</v>
      </c>
      <c r="B35" s="656"/>
      <c r="C35" s="656"/>
      <c r="D35" s="599" t="s">
        <v>132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>
      <c r="A36" s="655" t="s">
        <v>165</v>
      </c>
      <c r="B36" s="656"/>
      <c r="C36" s="656"/>
      <c r="D36" s="599" t="s">
        <v>132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>
      <c r="A37" s="655" t="s">
        <v>166</v>
      </c>
      <c r="B37" s="656"/>
      <c r="C37" s="656"/>
      <c r="D37" s="599" t="s">
        <v>132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>
      <c r="A38" s="655" t="s">
        <v>167</v>
      </c>
      <c r="B38" s="656"/>
      <c r="C38" s="656"/>
      <c r="D38" s="599" t="s">
        <v>132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>
      <c r="A39" s="655" t="s">
        <v>168</v>
      </c>
      <c r="B39" s="656"/>
      <c r="C39" s="656"/>
      <c r="D39" s="599" t="s">
        <v>132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>
      <c r="A40" s="676" t="s">
        <v>169</v>
      </c>
      <c r="B40" s="677"/>
      <c r="C40" s="677"/>
      <c r="D40" s="599" t="s">
        <v>132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170</v>
      </c>
      <c r="B41" s="656"/>
      <c r="C41" s="656"/>
      <c r="D41" s="599" t="s">
        <v>132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>
      <c r="A42" s="655" t="s">
        <v>171</v>
      </c>
      <c r="B42" s="656"/>
      <c r="C42" s="656"/>
      <c r="D42" s="599" t="s">
        <v>132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>
      <c r="A43" s="655" t="s">
        <v>172</v>
      </c>
      <c r="B43" s="656"/>
      <c r="C43" s="656"/>
      <c r="D43" s="599" t="s">
        <v>132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>
      <c r="A44" s="655" t="s">
        <v>173</v>
      </c>
      <c r="B44" s="656"/>
      <c r="C44" s="656"/>
      <c r="D44" s="599" t="s">
        <v>132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174</v>
      </c>
      <c r="B45" s="656"/>
      <c r="C45" s="656"/>
      <c r="D45" s="599" t="s">
        <v>132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>
      <c r="A46" s="655" t="s">
        <v>175</v>
      </c>
      <c r="B46" s="656"/>
      <c r="C46" s="656"/>
      <c r="D46" s="599" t="s">
        <v>132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164</v>
      </c>
      <c r="B49" s="678"/>
      <c r="C49" s="678"/>
      <c r="D49" s="599" t="s">
        <v>132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>
      <c r="A50" s="655" t="s">
        <v>178</v>
      </c>
      <c r="B50" s="678"/>
      <c r="C50" s="678"/>
      <c r="D50" s="599" t="s">
        <v>132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>
      <c r="A51" s="655" t="s">
        <v>166</v>
      </c>
      <c r="B51" s="678"/>
      <c r="C51" s="678"/>
      <c r="D51" s="599" t="s">
        <v>132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>
      <c r="A52" s="655" t="s">
        <v>179</v>
      </c>
      <c r="B52" s="678"/>
      <c r="C52" s="678"/>
      <c r="D52" s="599" t="s">
        <v>132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>
      <c r="A53" s="655" t="s">
        <v>168</v>
      </c>
      <c r="B53" s="678"/>
      <c r="C53" s="678"/>
      <c r="D53" s="599" t="s">
        <v>132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>
      <c r="A54" s="655" t="s">
        <v>180</v>
      </c>
      <c r="B54" s="678"/>
      <c r="C54" s="678"/>
      <c r="D54" s="599" t="s">
        <v>132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>
      <c r="A55" s="655" t="s">
        <v>181</v>
      </c>
      <c r="B55" s="678"/>
      <c r="C55" s="678"/>
      <c r="D55" s="599" t="s">
        <v>132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>
      <c r="A56" s="655" t="s">
        <v>182</v>
      </c>
      <c r="B56" s="678"/>
      <c r="C56" s="678"/>
      <c r="D56" s="599" t="s">
        <v>183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>
      <c r="A57" s="655" t="s">
        <v>172</v>
      </c>
      <c r="B57" s="678"/>
      <c r="C57" s="678"/>
      <c r="D57" s="599" t="s">
        <v>132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>
      <c r="A58" s="655" t="s">
        <v>184</v>
      </c>
      <c r="B58" s="678"/>
      <c r="C58" s="678"/>
      <c r="D58" s="599" t="s">
        <v>132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98</v>
      </c>
      <c r="B62" s="681"/>
      <c r="C62" s="681"/>
      <c r="D62" s="587" t="s">
        <v>187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>
      <c r="A63" s="680" t="s">
        <v>188</v>
      </c>
      <c r="B63" s="681"/>
      <c r="C63" s="681"/>
      <c r="D63" s="587" t="s">
        <v>187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>
      <c r="A64" s="1416" t="s">
        <v>99</v>
      </c>
      <c r="B64" s="1417"/>
      <c r="C64" s="1418"/>
      <c r="D64" s="599" t="s">
        <v>187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>
      <c r="A65" s="1416" t="s">
        <v>100</v>
      </c>
      <c r="B65" s="1417"/>
      <c r="C65" s="1418"/>
      <c r="D65" s="599" t="s">
        <v>187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>
      <c r="A66" s="1416" t="s">
        <v>101</v>
      </c>
      <c r="B66" s="1417"/>
      <c r="C66" s="1418"/>
      <c r="D66" s="599" t="s">
        <v>187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>
      <c r="A67" s="1416" t="s">
        <v>102</v>
      </c>
      <c r="B67" s="1417"/>
      <c r="C67" s="1418"/>
      <c r="D67" s="599" t="s">
        <v>187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>
      <c r="A68" s="1416" t="s">
        <v>103</v>
      </c>
      <c r="B68" s="1417"/>
      <c r="C68" s="1418"/>
      <c r="D68" s="599" t="s">
        <v>187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>
      <c r="A69" s="1416" t="s">
        <v>104</v>
      </c>
      <c r="B69" s="1417"/>
      <c r="C69" s="1418"/>
      <c r="D69" s="599" t="s">
        <v>187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795"/>
    </row>
    <row r="72" spans="1:14" ht="27.75">
      <c r="A72" s="1416" t="s">
        <v>191</v>
      </c>
      <c r="B72" s="1417"/>
      <c r="C72" s="1418"/>
      <c r="D72" s="599" t="s">
        <v>187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>
      <c r="A73" s="1416" t="s">
        <v>192</v>
      </c>
      <c r="B73" s="1417"/>
      <c r="C73" s="1418"/>
      <c r="D73" s="599" t="s">
        <v>187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>
      <c r="A74" s="1416" t="s">
        <v>193</v>
      </c>
      <c r="B74" s="1417"/>
      <c r="C74" s="1418"/>
      <c r="D74" s="599" t="s">
        <v>187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>
      <c r="A75" s="1465" t="s">
        <v>194</v>
      </c>
      <c r="B75" s="1466"/>
      <c r="C75" s="1467"/>
      <c r="D75" s="599" t="s">
        <v>187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>
      <c r="A76" s="1465" t="s">
        <v>195</v>
      </c>
      <c r="B76" s="1466"/>
      <c r="C76" s="1467"/>
      <c r="D76" s="599" t="s">
        <v>187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>
      <c r="A77" s="1416" t="s">
        <v>196</v>
      </c>
      <c r="B77" s="1417"/>
      <c r="C77" s="1418"/>
      <c r="D77" s="599" t="s">
        <v>187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>
      <c r="A78" s="1233" t="s">
        <v>197</v>
      </c>
      <c r="B78" s="1204"/>
      <c r="C78" s="1204"/>
      <c r="D78" s="599" t="s">
        <v>187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>
      <c r="A79" s="1465" t="s">
        <v>92</v>
      </c>
      <c r="B79" s="1466"/>
      <c r="C79" s="1467"/>
      <c r="D79" s="600" t="s">
        <v>187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>
      <c r="A80" s="1465" t="s">
        <v>198</v>
      </c>
      <c r="B80" s="1466"/>
      <c r="C80" s="1467"/>
      <c r="D80" s="600" t="s">
        <v>187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>
      <c r="A81" s="1465" t="s">
        <v>199</v>
      </c>
      <c r="B81" s="1466"/>
      <c r="C81" s="1467"/>
      <c r="D81" s="600" t="s">
        <v>187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>
      <c r="A82" s="1465" t="s">
        <v>93</v>
      </c>
      <c r="B82" s="1466"/>
      <c r="C82" s="1467"/>
      <c r="D82" s="561" t="s">
        <v>132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>
      <c r="A83" s="1465" t="s">
        <v>200</v>
      </c>
      <c r="B83" s="1466"/>
      <c r="C83" s="1467"/>
      <c r="D83" s="697" t="s">
        <v>132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>
      <c r="A84" s="1234" t="s">
        <v>201</v>
      </c>
      <c r="B84" s="648"/>
      <c r="C84" s="648"/>
      <c r="D84" s="554" t="s">
        <v>132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419" t="s">
        <v>206</v>
      </c>
      <c r="B92" s="1420"/>
      <c r="C92" s="1421"/>
      <c r="D92" s="599" t="s">
        <v>144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>
      <c r="A93" s="1419" t="s">
        <v>207</v>
      </c>
      <c r="B93" s="1420"/>
      <c r="C93" s="1421"/>
      <c r="D93" s="599" t="s">
        <v>144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>
      <c r="A94" s="1413" t="s">
        <v>208</v>
      </c>
      <c r="B94" s="1414"/>
      <c r="C94" s="1415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>
      <c r="A95" s="1419" t="s">
        <v>209</v>
      </c>
      <c r="B95" s="1420"/>
      <c r="C95" s="1421"/>
      <c r="D95" s="599" t="s">
        <v>144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>
      <c r="A96" s="1230" t="s">
        <v>210</v>
      </c>
      <c r="B96" s="1231"/>
      <c r="C96" s="1231"/>
      <c r="D96" s="599" t="s">
        <v>144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>
      <c r="A97" s="1230" t="s">
        <v>211</v>
      </c>
      <c r="B97" s="1231"/>
      <c r="C97" s="1231"/>
      <c r="D97" s="599" t="s">
        <v>144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>
      <c r="A98" s="1230" t="s">
        <v>212</v>
      </c>
      <c r="B98" s="1231"/>
      <c r="C98" s="1231"/>
      <c r="D98" s="599" t="s">
        <v>144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>
      <c r="A99" s="1230" t="s">
        <v>213</v>
      </c>
      <c r="B99" s="1231"/>
      <c r="C99" s="1231"/>
      <c r="D99" s="599" t="s">
        <v>144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>
      <c r="A101" s="1413" t="s">
        <v>216</v>
      </c>
      <c r="B101" s="1414"/>
      <c r="C101" s="1415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>
      <c r="A107" s="1427" t="s">
        <v>202</v>
      </c>
      <c r="B107" s="1428"/>
      <c r="C107" s="1229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>
      <c r="A112" s="1427" t="s">
        <v>110</v>
      </c>
      <c r="B112" s="1428"/>
      <c r="C112" s="1229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>
      <c r="A113" s="1429" t="s">
        <v>223</v>
      </c>
      <c r="B113" s="1430"/>
      <c r="C113" s="1229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795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>
      <c r="A124" s="1230" t="s">
        <v>232</v>
      </c>
      <c r="B124" s="1231"/>
      <c r="C124" s="1231"/>
      <c r="D124" s="599" t="s">
        <v>141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>
      <c r="A126" s="686" t="s">
        <v>234</v>
      </c>
      <c r="B126" s="1231"/>
      <c r="C126" s="1231"/>
      <c r="D126" s="599" t="s">
        <v>141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>
      <c r="A127" s="686" t="s">
        <v>235</v>
      </c>
      <c r="B127" s="1231"/>
      <c r="C127" s="1231"/>
      <c r="D127" s="599" t="s">
        <v>141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30" t="s">
        <v>241</v>
      </c>
      <c r="B132" s="1231"/>
      <c r="C132" s="1231"/>
      <c r="D132" s="599" t="s">
        <v>239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>
      <c r="A133" s="1230" t="s">
        <v>242</v>
      </c>
      <c r="B133" s="1231"/>
      <c r="C133" s="1231"/>
      <c r="D133" s="599" t="s">
        <v>239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>
      <c r="A134" s="1230" t="s">
        <v>243</v>
      </c>
      <c r="B134" s="1231"/>
      <c r="C134" s="1231"/>
      <c r="D134" s="599" t="s">
        <v>239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>
      <c r="A135" s="1230" t="s">
        <v>244</v>
      </c>
      <c r="B135" s="1231"/>
      <c r="C135" s="1231"/>
      <c r="D135" s="599" t="s">
        <v>239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>
      <c r="A136" s="1230" t="s">
        <v>245</v>
      </c>
      <c r="B136" s="1231"/>
      <c r="C136" s="1231"/>
      <c r="D136" s="599" t="s">
        <v>239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>
      <c r="A137" s="1230" t="s">
        <v>246</v>
      </c>
      <c r="B137" s="1231"/>
      <c r="C137" s="1231"/>
      <c r="D137" s="599" t="s">
        <v>239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>
      <c r="A138" s="1230" t="s">
        <v>247</v>
      </c>
      <c r="B138" s="1231"/>
      <c r="C138" s="1231"/>
      <c r="D138" s="599" t="s">
        <v>239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>
      <c r="A139" s="1230" t="s">
        <v>248</v>
      </c>
      <c r="B139" s="1231"/>
      <c r="C139" s="1231"/>
      <c r="D139" s="599" t="s">
        <v>239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69" t="s">
        <v>267</v>
      </c>
      <c r="B157" s="1470"/>
      <c r="C157" s="1470"/>
      <c r="D157" s="1470"/>
      <c r="E157" s="1470"/>
      <c r="F157" s="1470"/>
      <c r="G157" s="1471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263</v>
      </c>
      <c r="B160" s="869"/>
      <c r="C160" s="869"/>
      <c r="D160" s="587" t="s">
        <v>187</v>
      </c>
      <c r="E160" s="1147">
        <f>'9'!F160</f>
        <v>29173.9</v>
      </c>
      <c r="F160" s="739">
        <v>29258.65</v>
      </c>
      <c r="G160" s="549">
        <f>F160-E160</f>
        <v>84.75</v>
      </c>
    </row>
    <row r="161" spans="1:8">
      <c r="A161" s="868" t="s">
        <v>264</v>
      </c>
      <c r="B161" s="869"/>
      <c r="C161" s="869"/>
      <c r="D161" s="587" t="s">
        <v>187</v>
      </c>
      <c r="E161" s="1147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>
      <c r="A162" s="868" t="s">
        <v>265</v>
      </c>
      <c r="B162" s="869"/>
      <c r="C162" s="869"/>
      <c r="D162" s="587" t="s">
        <v>187</v>
      </c>
      <c r="E162" s="1147">
        <f>'9'!F162</f>
        <v>14913</v>
      </c>
      <c r="F162" s="739">
        <v>15149</v>
      </c>
      <c r="G162" s="549">
        <f t="shared" si="15"/>
        <v>236</v>
      </c>
      <c r="H162" s="590"/>
    </row>
    <row r="163" spans="1:8">
      <c r="A163" s="868" t="s">
        <v>266</v>
      </c>
      <c r="B163" s="869"/>
      <c r="C163" s="869"/>
      <c r="D163" s="587" t="s">
        <v>187</v>
      </c>
      <c r="E163" s="1147">
        <f>'9'!F163</f>
        <v>5133.67</v>
      </c>
      <c r="F163" s="739">
        <v>5151</v>
      </c>
      <c r="G163" s="549">
        <f t="shared" si="15"/>
        <v>17.329999999999927</v>
      </c>
    </row>
    <row r="164" spans="1:8">
      <c r="A164" s="870" t="s">
        <v>98</v>
      </c>
      <c r="B164" s="681"/>
      <c r="C164" s="681"/>
      <c r="D164" s="587" t="s">
        <v>187</v>
      </c>
      <c r="E164" s="1147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70" t="s">
        <v>188</v>
      </c>
      <c r="B165" s="681"/>
      <c r="C165" s="681"/>
      <c r="D165" s="587" t="s">
        <v>187</v>
      </c>
      <c r="E165" s="1147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>
      <c r="A166" s="1468" t="s">
        <v>99</v>
      </c>
      <c r="B166" s="1468"/>
      <c r="C166" s="1468"/>
      <c r="D166" s="599" t="s">
        <v>187</v>
      </c>
      <c r="E166" s="1147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>
      <c r="A167" s="1468" t="s">
        <v>100</v>
      </c>
      <c r="B167" s="1468"/>
      <c r="C167" s="1468"/>
      <c r="D167" s="599" t="s">
        <v>187</v>
      </c>
      <c r="E167" s="1147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>
      <c r="A168" s="1468" t="s">
        <v>101</v>
      </c>
      <c r="B168" s="1468"/>
      <c r="C168" s="1468"/>
      <c r="D168" s="599" t="s">
        <v>187</v>
      </c>
      <c r="E168" s="1147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>
      <c r="A169" s="1468" t="s">
        <v>102</v>
      </c>
      <c r="B169" s="1468"/>
      <c r="C169" s="1468"/>
      <c r="D169" s="599" t="s">
        <v>187</v>
      </c>
      <c r="E169" s="1147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>
      <c r="A170" s="1468" t="s">
        <v>103</v>
      </c>
      <c r="B170" s="1468"/>
      <c r="C170" s="1468"/>
      <c r="D170" s="599" t="s">
        <v>187</v>
      </c>
      <c r="E170" s="1147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>
      <c r="A171" s="1468" t="s">
        <v>104</v>
      </c>
      <c r="B171" s="1468"/>
      <c r="C171" s="1468"/>
      <c r="D171" s="599" t="s">
        <v>187</v>
      </c>
      <c r="E171" s="1147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/>
    <row r="177" spans="1:7" ht="44.25" customHeight="1">
      <c r="A177" s="530" t="s">
        <v>217</v>
      </c>
    </row>
    <row r="178" spans="1:7" ht="21.75" customHeight="1">
      <c r="A178" s="530" t="s">
        <v>218</v>
      </c>
    </row>
    <row r="179" spans="1:7" ht="21.75" customHeight="1">
      <c r="A179" s="530" t="s">
        <v>219</v>
      </c>
      <c r="D179" s="614" t="s">
        <v>144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144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144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202</v>
      </c>
      <c r="G182" s="614">
        <f>SUM(G179:G181)</f>
        <v>11</v>
      </c>
    </row>
    <row r="183" spans="1:7" ht="21.75" customHeight="1">
      <c r="A183" s="530" t="s">
        <v>79</v>
      </c>
      <c r="D183" s="614" t="s">
        <v>144</v>
      </c>
    </row>
    <row r="184" spans="1:7" ht="21.75" customHeight="1">
      <c r="A184" s="530" t="s">
        <v>220</v>
      </c>
      <c r="D184" s="614" t="s">
        <v>144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221</v>
      </c>
      <c r="D185" s="614" t="s">
        <v>144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222</v>
      </c>
      <c r="D186" s="614" t="s">
        <v>144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110</v>
      </c>
      <c r="G187" s="614">
        <f>SUM(G184:G186)</f>
        <v>51</v>
      </c>
    </row>
    <row r="188" spans="1:7" ht="21.75" customHeight="1">
      <c r="A188" s="530" t="s">
        <v>223</v>
      </c>
    </row>
    <row r="189" spans="1:7" ht="21.75" customHeight="1">
      <c r="A189" s="530" t="s">
        <v>224</v>
      </c>
      <c r="D189" s="614" t="s">
        <v>144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225</v>
      </c>
      <c r="D190" s="614" t="s">
        <v>144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226</v>
      </c>
      <c r="D191" s="614" t="s">
        <v>144</v>
      </c>
      <c r="G191" s="614">
        <f t="shared" si="19"/>
        <v>0</v>
      </c>
    </row>
    <row r="192" spans="1:7" ht="21.75" customHeight="1"/>
    <row r="193" spans="1:8" ht="36.75" customHeight="1">
      <c r="A193" s="530" t="s">
        <v>202</v>
      </c>
      <c r="G193" s="614">
        <f>SUM(G189:G191)</f>
        <v>7</v>
      </c>
    </row>
    <row r="194" spans="1:8">
      <c r="A194" s="530" t="s">
        <v>227</v>
      </c>
      <c r="D194" s="614" t="s">
        <v>144</v>
      </c>
      <c r="F194" s="744">
        <f>SUM(G92+G19)</f>
        <v>187</v>
      </c>
      <c r="G194" s="614">
        <f>F194+'[4]9'!I145</f>
        <v>187</v>
      </c>
      <c r="H194" s="615" t="e">
        <f>G194/DAY(D147)</f>
        <v>#VALUE!</v>
      </c>
    </row>
    <row r="196" spans="1:8">
      <c r="A196" s="530" t="s">
        <v>228</v>
      </c>
      <c r="D196" s="614" t="s">
        <v>144</v>
      </c>
      <c r="F196" s="744">
        <f>SUM(G95:G97,G189:G191)</f>
        <v>170</v>
      </c>
      <c r="G196" s="614">
        <f>F196+'[4]9'!I147</f>
        <v>170</v>
      </c>
      <c r="H196" s="615" t="e">
        <f>G196/DAY(D147)</f>
        <v>#VALUE!</v>
      </c>
    </row>
    <row r="198" spans="1:8">
      <c r="A198" s="530" t="s">
        <v>229</v>
      </c>
      <c r="D198" s="614" t="s">
        <v>144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314</v>
      </c>
      <c r="B2" s="1118">
        <v>44238</v>
      </c>
      <c r="C2" s="1232" t="s">
        <v>69</v>
      </c>
      <c r="D2" s="688">
        <v>0.64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 t="s">
        <v>118</v>
      </c>
    </row>
    <row r="3" spans="1:16" s="281" customFormat="1" ht="27">
      <c r="A3" s="647"/>
      <c r="B3" s="691"/>
      <c r="C3" s="1232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798" t="s">
        <v>126</v>
      </c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271</v>
      </c>
    </row>
    <row r="7" spans="1:16" ht="30" thickBot="1">
      <c r="A7" s="757" t="s">
        <v>131</v>
      </c>
      <c r="B7" s="758"/>
      <c r="C7" s="758"/>
      <c r="D7" s="715" t="s">
        <v>132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>
      <c r="A8" s="763" t="s">
        <v>133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>
      <c r="A9" s="768" t="s">
        <v>134</v>
      </c>
      <c r="B9" s="769"/>
      <c r="C9" s="769"/>
      <c r="D9" s="715" t="s">
        <v>132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>
      <c r="A10" s="757" t="s">
        <v>135</v>
      </c>
      <c r="B10" s="758"/>
      <c r="C10" s="758"/>
      <c r="D10" s="715" t="s">
        <v>132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>
      <c r="A11" s="757" t="s">
        <v>136</v>
      </c>
      <c r="B11" s="758"/>
      <c r="C11" s="758"/>
      <c r="D11" s="715" t="s">
        <v>132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137</v>
      </c>
      <c r="B12" s="758"/>
      <c r="C12" s="758"/>
      <c r="D12" s="715" t="s">
        <v>132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6" t="s">
        <v>140</v>
      </c>
      <c r="B15" s="877"/>
      <c r="C15" s="877"/>
      <c r="D15" s="600" t="s">
        <v>141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72" t="s">
        <v>143</v>
      </c>
      <c r="B18" s="1473"/>
      <c r="C18" s="1474"/>
      <c r="D18" s="715" t="s">
        <v>144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>
      <c r="A19" s="1472" t="s">
        <v>71</v>
      </c>
      <c r="B19" s="1473"/>
      <c r="C19" s="1474"/>
      <c r="D19" s="715" t="s">
        <v>144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145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30" t="s">
        <v>147</v>
      </c>
      <c r="B22" s="666"/>
      <c r="C22" s="666"/>
      <c r="D22" s="599" t="s">
        <v>148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>
      <c r="A23" s="1230" t="s">
        <v>149</v>
      </c>
      <c r="B23" s="666"/>
      <c r="C23" s="666"/>
      <c r="D23" s="599" t="s">
        <v>148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150</v>
      </c>
      <c r="B24" s="668"/>
      <c r="C24" s="668"/>
      <c r="D24" s="587" t="s">
        <v>148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P33" s="413">
        <f t="shared" si="1"/>
        <v>0</v>
      </c>
    </row>
    <row r="34" spans="1:16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164</v>
      </c>
      <c r="B35" s="656"/>
      <c r="C35" s="656"/>
      <c r="D35" s="599" t="s">
        <v>132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>
      <c r="A36" s="655" t="s">
        <v>165</v>
      </c>
      <c r="B36" s="656"/>
      <c r="C36" s="656"/>
      <c r="D36" s="599" t="s">
        <v>132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>
      <c r="A37" s="655" t="s">
        <v>166</v>
      </c>
      <c r="B37" s="656"/>
      <c r="C37" s="656"/>
      <c r="D37" s="599" t="s">
        <v>132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>
      <c r="A38" s="655" t="s">
        <v>167</v>
      </c>
      <c r="B38" s="656"/>
      <c r="C38" s="656"/>
      <c r="D38" s="599" t="s">
        <v>132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>
      <c r="A39" s="655" t="s">
        <v>168</v>
      </c>
      <c r="B39" s="656"/>
      <c r="C39" s="656"/>
      <c r="D39" s="599" t="s">
        <v>132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>
      <c r="A40" s="676" t="s">
        <v>169</v>
      </c>
      <c r="B40" s="677"/>
      <c r="C40" s="677"/>
      <c r="D40" s="599" t="s">
        <v>132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170</v>
      </c>
      <c r="B41" s="656"/>
      <c r="C41" s="656"/>
      <c r="D41" s="599" t="s">
        <v>132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171</v>
      </c>
      <c r="B42" s="656"/>
      <c r="C42" s="656"/>
      <c r="D42" s="599" t="s">
        <v>132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172</v>
      </c>
      <c r="B43" s="656"/>
      <c r="C43" s="656"/>
      <c r="D43" s="599" t="s">
        <v>132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>
      <c r="A44" s="655" t="s">
        <v>173</v>
      </c>
      <c r="B44" s="656"/>
      <c r="C44" s="656"/>
      <c r="D44" s="599" t="s">
        <v>132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174</v>
      </c>
      <c r="B45" s="656"/>
      <c r="C45" s="656"/>
      <c r="D45" s="599" t="s">
        <v>132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175</v>
      </c>
      <c r="B46" s="656"/>
      <c r="C46" s="656"/>
      <c r="D46" s="599" t="s">
        <v>132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164</v>
      </c>
      <c r="B49" s="678"/>
      <c r="C49" s="678"/>
      <c r="D49" s="599" t="s">
        <v>132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178</v>
      </c>
      <c r="B50" s="678"/>
      <c r="C50" s="678"/>
      <c r="D50" s="599" t="s">
        <v>132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>
      <c r="A51" s="655" t="s">
        <v>166</v>
      </c>
      <c r="B51" s="678"/>
      <c r="C51" s="678"/>
      <c r="D51" s="599" t="s">
        <v>132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>
      <c r="A52" s="655" t="s">
        <v>179</v>
      </c>
      <c r="B52" s="678"/>
      <c r="C52" s="678"/>
      <c r="D52" s="599" t="s">
        <v>132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>
      <c r="A53" s="655" t="s">
        <v>168</v>
      </c>
      <c r="B53" s="678"/>
      <c r="C53" s="678"/>
      <c r="D53" s="599" t="s">
        <v>132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>
      <c r="A54" s="655" t="s">
        <v>180</v>
      </c>
      <c r="B54" s="678"/>
      <c r="C54" s="678"/>
      <c r="D54" s="599" t="s">
        <v>132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>
      <c r="A55" s="655" t="s">
        <v>181</v>
      </c>
      <c r="B55" s="678"/>
      <c r="C55" s="678"/>
      <c r="D55" s="599" t="s">
        <v>132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>
      <c r="A56" s="655" t="s">
        <v>182</v>
      </c>
      <c r="B56" s="678"/>
      <c r="C56" s="678"/>
      <c r="D56" s="599" t="s">
        <v>183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172</v>
      </c>
      <c r="B57" s="678"/>
      <c r="C57" s="678"/>
      <c r="D57" s="599" t="s">
        <v>132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184</v>
      </c>
      <c r="B58" s="678"/>
      <c r="C58" s="678"/>
      <c r="D58" s="599" t="s">
        <v>132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98</v>
      </c>
      <c r="B62" s="681"/>
      <c r="C62" s="681"/>
      <c r="D62" s="587" t="s">
        <v>187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188</v>
      </c>
      <c r="B63" s="681"/>
      <c r="C63" s="681"/>
      <c r="D63" s="587" t="s">
        <v>187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>
      <c r="A64" s="1416" t="s">
        <v>99</v>
      </c>
      <c r="B64" s="1417"/>
      <c r="C64" s="1418"/>
      <c r="D64" s="599" t="s">
        <v>187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>
      <c r="A65" s="1416" t="s">
        <v>100</v>
      </c>
      <c r="B65" s="1417"/>
      <c r="C65" s="1418"/>
      <c r="D65" s="599" t="s">
        <v>187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>
      <c r="A66" s="1416" t="s">
        <v>101</v>
      </c>
      <c r="B66" s="1417"/>
      <c r="C66" s="1418"/>
      <c r="D66" s="599" t="s">
        <v>187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>
      <c r="A67" s="1416" t="s">
        <v>102</v>
      </c>
      <c r="B67" s="1417"/>
      <c r="C67" s="1418"/>
      <c r="D67" s="599" t="s">
        <v>187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>
      <c r="A68" s="1416" t="s">
        <v>103</v>
      </c>
      <c r="B68" s="1417"/>
      <c r="C68" s="1418"/>
      <c r="D68" s="599" t="s">
        <v>187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>
      <c r="A69" s="1416" t="s">
        <v>104</v>
      </c>
      <c r="B69" s="1417"/>
      <c r="C69" s="1418"/>
      <c r="D69" s="599" t="s">
        <v>187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P71" s="413">
        <f t="shared" si="1"/>
        <v>0</v>
      </c>
    </row>
    <row r="72" spans="1:16" ht="27.75">
      <c r="A72" s="1416" t="s">
        <v>191</v>
      </c>
      <c r="B72" s="1417"/>
      <c r="C72" s="1418"/>
      <c r="D72" s="599" t="s">
        <v>187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>
      <c r="A73" s="1416" t="s">
        <v>192</v>
      </c>
      <c r="B73" s="1417"/>
      <c r="C73" s="1418"/>
      <c r="D73" s="599" t="s">
        <v>187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>
      <c r="A74" s="1416" t="s">
        <v>193</v>
      </c>
      <c r="B74" s="1417"/>
      <c r="C74" s="1418"/>
      <c r="D74" s="599" t="s">
        <v>187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>
      <c r="A75" s="1465" t="s">
        <v>194</v>
      </c>
      <c r="B75" s="1466"/>
      <c r="C75" s="1467"/>
      <c r="D75" s="599" t="s">
        <v>187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>
      <c r="A76" s="1465" t="s">
        <v>195</v>
      </c>
      <c r="B76" s="1466"/>
      <c r="C76" s="1467"/>
      <c r="D76" s="599" t="s">
        <v>187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>
      <c r="A77" s="1416" t="s">
        <v>196</v>
      </c>
      <c r="B77" s="1417"/>
      <c r="C77" s="1418"/>
      <c r="D77" s="599" t="s">
        <v>187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>
      <c r="A78" s="1233" t="s">
        <v>197</v>
      </c>
      <c r="B78" s="1204"/>
      <c r="C78" s="1204"/>
      <c r="D78" s="599" t="s">
        <v>187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>
      <c r="A79" s="1465" t="s">
        <v>92</v>
      </c>
      <c r="B79" s="1466"/>
      <c r="C79" s="1467"/>
      <c r="D79" s="600" t="s">
        <v>187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>
      <c r="A80" s="1465" t="s">
        <v>198</v>
      </c>
      <c r="B80" s="1466"/>
      <c r="C80" s="1467"/>
      <c r="D80" s="600" t="s">
        <v>187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>
      <c r="A81" s="1465" t="s">
        <v>199</v>
      </c>
      <c r="B81" s="1466"/>
      <c r="C81" s="1467"/>
      <c r="D81" s="600" t="s">
        <v>187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>
      <c r="A82" s="1465" t="s">
        <v>93</v>
      </c>
      <c r="B82" s="1466"/>
      <c r="C82" s="1467"/>
      <c r="D82" s="561" t="s">
        <v>132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>
      <c r="A83" s="1465" t="s">
        <v>200</v>
      </c>
      <c r="B83" s="1466"/>
      <c r="C83" s="1467"/>
      <c r="D83" s="697" t="s">
        <v>132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>
      <c r="A84" s="1234" t="s">
        <v>201</v>
      </c>
      <c r="B84" s="648"/>
      <c r="C84" s="648"/>
      <c r="D84" s="554" t="s">
        <v>132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419" t="s">
        <v>206</v>
      </c>
      <c r="B92" s="1420"/>
      <c r="C92" s="1421"/>
      <c r="D92" s="599" t="s">
        <v>144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>
      <c r="A93" s="1419" t="s">
        <v>207</v>
      </c>
      <c r="B93" s="1420"/>
      <c r="C93" s="1421"/>
      <c r="D93" s="599" t="s">
        <v>144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>
      <c r="A94" s="1413" t="s">
        <v>208</v>
      </c>
      <c r="B94" s="1414"/>
      <c r="C94" s="1415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>
      <c r="A95" s="1419" t="s">
        <v>209</v>
      </c>
      <c r="B95" s="1420"/>
      <c r="C95" s="1421"/>
      <c r="D95" s="599" t="s">
        <v>144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>
      <c r="A96" s="1230" t="s">
        <v>210</v>
      </c>
      <c r="B96" s="1231"/>
      <c r="C96" s="1231"/>
      <c r="D96" s="599" t="s">
        <v>144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>
      <c r="A97" s="1230" t="s">
        <v>211</v>
      </c>
      <c r="B97" s="1231"/>
      <c r="C97" s="1231"/>
      <c r="D97" s="599" t="s">
        <v>144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>
      <c r="A98" s="1230" t="s">
        <v>212</v>
      </c>
      <c r="B98" s="1231"/>
      <c r="C98" s="1231"/>
      <c r="D98" s="599" t="s">
        <v>144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>
      <c r="A99" s="1230" t="s">
        <v>213</v>
      </c>
      <c r="B99" s="1231"/>
      <c r="C99" s="1231"/>
      <c r="D99" s="599" t="s">
        <v>144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>
      <c r="A100" s="1230" t="s">
        <v>214</v>
      </c>
      <c r="B100" s="1231"/>
      <c r="C100" s="1231"/>
      <c r="D100" s="599" t="s">
        <v>144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424" t="s">
        <v>219</v>
      </c>
      <c r="B104" s="1425"/>
      <c r="C104" s="1229"/>
      <c r="D104" s="699" t="s">
        <v>144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>
      <c r="A105" s="1424" t="s">
        <v>77</v>
      </c>
      <c r="B105" s="1425"/>
      <c r="C105" s="1229"/>
      <c r="D105" s="699" t="s">
        <v>144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>
      <c r="A107" s="1427" t="s">
        <v>202</v>
      </c>
      <c r="B107" s="1428"/>
      <c r="C107" s="1229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>
      <c r="A108" s="1429" t="s">
        <v>79</v>
      </c>
      <c r="B108" s="1430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424" t="s">
        <v>220</v>
      </c>
      <c r="B109" s="1425"/>
      <c r="C109" s="1229"/>
      <c r="D109" s="699" t="s">
        <v>144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>
      <c r="A110" s="1424" t="s">
        <v>221</v>
      </c>
      <c r="B110" s="1425"/>
      <c r="C110" s="1229"/>
      <c r="D110" s="699" t="s">
        <v>144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>
      <c r="A111" s="1424" t="s">
        <v>222</v>
      </c>
      <c r="B111" s="1425"/>
      <c r="C111" s="1229"/>
      <c r="D111" s="699" t="s">
        <v>144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>
      <c r="A112" s="1427" t="s">
        <v>110</v>
      </c>
      <c r="B112" s="1428"/>
      <c r="C112" s="1229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>
      <c r="A113" s="1429" t="s">
        <v>223</v>
      </c>
      <c r="B113" s="1430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30" t="s">
        <v>231</v>
      </c>
      <c r="B123" s="1231"/>
      <c r="C123" s="1231"/>
      <c r="D123" s="599" t="s">
        <v>141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>
      <c r="A124" s="1230" t="s">
        <v>232</v>
      </c>
      <c r="B124" s="1231"/>
      <c r="C124" s="1231"/>
      <c r="D124" s="599" t="s">
        <v>141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>
      <c r="A126" s="686" t="s">
        <v>234</v>
      </c>
      <c r="B126" s="1231"/>
      <c r="C126" s="1231"/>
      <c r="D126" s="599" t="s">
        <v>141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>
      <c r="A127" s="686" t="s">
        <v>235</v>
      </c>
      <c r="B127" s="1231"/>
      <c r="C127" s="1231"/>
      <c r="D127" s="599" t="s">
        <v>141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30" t="s">
        <v>238</v>
      </c>
      <c r="B130" s="1231"/>
      <c r="C130" s="1231"/>
      <c r="D130" s="599" t="s">
        <v>239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30" t="s">
        <v>240</v>
      </c>
      <c r="B131" s="1231"/>
      <c r="C131" s="1231"/>
      <c r="D131" s="599" t="s">
        <v>239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30" t="s">
        <v>241</v>
      </c>
      <c r="B132" s="1231"/>
      <c r="C132" s="1231"/>
      <c r="D132" s="599" t="s">
        <v>239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>
      <c r="A133" s="1230" t="s">
        <v>242</v>
      </c>
      <c r="B133" s="1231"/>
      <c r="C133" s="1231"/>
      <c r="D133" s="599" t="s">
        <v>239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>
      <c r="A134" s="1230" t="s">
        <v>243</v>
      </c>
      <c r="B134" s="1231"/>
      <c r="C134" s="1231"/>
      <c r="D134" s="599" t="s">
        <v>239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>
      <c r="A135" s="1230" t="s">
        <v>244</v>
      </c>
      <c r="B135" s="1231"/>
      <c r="C135" s="1231"/>
      <c r="D135" s="599" t="s">
        <v>239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>
      <c r="A136" s="1230" t="s">
        <v>245</v>
      </c>
      <c r="B136" s="1231"/>
      <c r="C136" s="1231"/>
      <c r="D136" s="599" t="s">
        <v>239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>
      <c r="A137" s="1230" t="s">
        <v>246</v>
      </c>
      <c r="B137" s="1231"/>
      <c r="C137" s="1231"/>
      <c r="D137" s="599" t="s">
        <v>239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>
      <c r="A138" s="1230" t="s">
        <v>247</v>
      </c>
      <c r="B138" s="1231"/>
      <c r="C138" s="1231"/>
      <c r="D138" s="599" t="s">
        <v>239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>
      <c r="A139" s="1230" t="s">
        <v>248</v>
      </c>
      <c r="B139" s="1231"/>
      <c r="C139" s="1231"/>
      <c r="D139" s="599" t="s">
        <v>239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>
      <c r="A140" s="1230" t="s">
        <v>249</v>
      </c>
      <c r="B140" s="1231"/>
      <c r="C140" s="1231"/>
      <c r="D140" s="599" t="s">
        <v>239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 t="s">
        <v>215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263</v>
      </c>
      <c r="B160" s="869"/>
      <c r="C160" s="869"/>
      <c r="D160" s="587" t="s">
        <v>187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>
      <c r="A161" s="868" t="s">
        <v>264</v>
      </c>
      <c r="B161" s="869"/>
      <c r="C161" s="869"/>
      <c r="D161" s="587" t="s">
        <v>187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>
      <c r="A162" s="868" t="s">
        <v>265</v>
      </c>
      <c r="B162" s="869"/>
      <c r="C162" s="869"/>
      <c r="D162" s="587" t="s">
        <v>187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>
      <c r="A163" s="868" t="s">
        <v>266</v>
      </c>
      <c r="B163" s="869"/>
      <c r="C163" s="869"/>
      <c r="D163" s="587" t="s">
        <v>187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>
      <c r="A164" s="870" t="s">
        <v>98</v>
      </c>
      <c r="B164" s="681"/>
      <c r="C164" s="681"/>
      <c r="D164" s="587" t="s">
        <v>187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70" t="s">
        <v>188</v>
      </c>
      <c r="B165" s="681"/>
      <c r="C165" s="681"/>
      <c r="D165" s="587" t="s">
        <v>187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>
      <c r="A166" s="1468" t="s">
        <v>99</v>
      </c>
      <c r="B166" s="1468"/>
      <c r="C166" s="1468"/>
      <c r="D166" s="599" t="s">
        <v>187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>
      <c r="A167" s="1468" t="s">
        <v>100</v>
      </c>
      <c r="B167" s="1468"/>
      <c r="C167" s="1468"/>
      <c r="D167" s="599" t="s">
        <v>187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>
      <c r="A168" s="1468" t="s">
        <v>101</v>
      </c>
      <c r="B168" s="1468"/>
      <c r="C168" s="1468"/>
      <c r="D168" s="599" t="s">
        <v>187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>
      <c r="A169" s="1468" t="s">
        <v>102</v>
      </c>
      <c r="B169" s="1468"/>
      <c r="C169" s="1468"/>
      <c r="D169" s="599" t="s">
        <v>187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>
      <c r="A170" s="1468" t="s">
        <v>103</v>
      </c>
      <c r="B170" s="1468"/>
      <c r="C170" s="1468"/>
      <c r="D170" s="599" t="s">
        <v>187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>
      <c r="A171" s="1468" t="s">
        <v>104</v>
      </c>
      <c r="B171" s="1468"/>
      <c r="C171" s="1468"/>
      <c r="D171" s="599" t="s">
        <v>187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>
      <c r="G172" s="616">
        <f>SUM(G160:G171)</f>
        <v>3258.3699999999908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1"/>
    <col min="16" max="17" width="22.33203125" style="480"/>
    <col min="18" max="16384" width="22.33203125" style="407"/>
  </cols>
  <sheetData>
    <row r="1" spans="1:17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7" s="281" customFormat="1" ht="27">
      <c r="A2" s="652" t="s">
        <v>279</v>
      </c>
      <c r="B2" s="1118">
        <v>44239</v>
      </c>
      <c r="C2" s="1232" t="s">
        <v>69</v>
      </c>
      <c r="D2" s="688">
        <v>0.72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1272"/>
      <c r="P2" s="792"/>
      <c r="Q2" s="792"/>
    </row>
    <row r="3" spans="1:17" s="281" customFormat="1" ht="27">
      <c r="A3" s="647"/>
      <c r="B3" s="691"/>
      <c r="C3" s="1232" t="s">
        <v>120</v>
      </c>
      <c r="D3" s="689">
        <v>24</v>
      </c>
      <c r="E3" s="1440" t="s">
        <v>121</v>
      </c>
      <c r="F3" s="1441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2"/>
      <c r="P3" s="792"/>
      <c r="Q3" s="792"/>
    </row>
    <row r="4" spans="1:17" s="281" customFormat="1" ht="27">
      <c r="A4" s="653"/>
      <c r="B4" s="693"/>
      <c r="C4" s="1232" t="s">
        <v>122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2"/>
      <c r="P4" s="792"/>
      <c r="Q4" s="792"/>
    </row>
    <row r="5" spans="1:17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131</v>
      </c>
      <c r="B7" s="758"/>
      <c r="C7" s="758"/>
      <c r="D7" s="715" t="s">
        <v>132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>
      <c r="A8" s="763" t="s">
        <v>133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>
      <c r="A9" s="768" t="s">
        <v>134</v>
      </c>
      <c r="B9" s="769"/>
      <c r="C9" s="769"/>
      <c r="D9" s="715" t="s">
        <v>132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>
      <c r="A10" s="757" t="s">
        <v>135</v>
      </c>
      <c r="B10" s="758"/>
      <c r="C10" s="758"/>
      <c r="D10" s="715" t="s">
        <v>132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>
      <c r="A11" s="757" t="s">
        <v>136</v>
      </c>
      <c r="B11" s="758"/>
      <c r="C11" s="758"/>
      <c r="D11" s="715" t="s">
        <v>132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>
      <c r="A12" s="757" t="s">
        <v>137</v>
      </c>
      <c r="B12" s="758"/>
      <c r="C12" s="758"/>
      <c r="D12" s="715" t="s">
        <v>132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>
      <c r="A13" s="773" t="s">
        <v>138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6" t="s">
        <v>140</v>
      </c>
      <c r="B15" s="877"/>
      <c r="C15" s="877"/>
      <c r="D15" s="600" t="s">
        <v>141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72" t="s">
        <v>143</v>
      </c>
      <c r="B18" s="1473"/>
      <c r="C18" s="1474"/>
      <c r="D18" s="715" t="s">
        <v>144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>
      <c r="A19" s="1472" t="s">
        <v>71</v>
      </c>
      <c r="B19" s="1473"/>
      <c r="C19" s="1474"/>
      <c r="D19" s="715" t="s">
        <v>144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>
      <c r="A20" s="773" t="s">
        <v>145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30" t="s">
        <v>147</v>
      </c>
      <c r="B22" s="666"/>
      <c r="C22" s="666"/>
      <c r="D22" s="599" t="s">
        <v>148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>
      <c r="A23" s="1230" t="s">
        <v>149</v>
      </c>
      <c r="B23" s="666"/>
      <c r="C23" s="666"/>
      <c r="D23" s="599" t="s">
        <v>148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>
      <c r="A24" s="667" t="s">
        <v>150</v>
      </c>
      <c r="B24" s="668"/>
      <c r="C24" s="668"/>
      <c r="D24" s="587" t="s">
        <v>148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154</v>
      </c>
      <c r="B28" s="670"/>
      <c r="C28" s="671"/>
      <c r="D28" s="696" t="s">
        <v>155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9"/>
      <c r="P33" s="795"/>
    </row>
    <row r="34" spans="1:16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164</v>
      </c>
      <c r="B35" s="656"/>
      <c r="C35" s="656"/>
      <c r="D35" s="599" t="s">
        <v>132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>
      <c r="A36" s="655" t="s">
        <v>165</v>
      </c>
      <c r="B36" s="656"/>
      <c r="C36" s="656"/>
      <c r="D36" s="599" t="s">
        <v>132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>
      <c r="A37" s="655" t="s">
        <v>166</v>
      </c>
      <c r="B37" s="656"/>
      <c r="C37" s="656"/>
      <c r="D37" s="599" t="s">
        <v>132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>
      <c r="A38" s="655" t="s">
        <v>167</v>
      </c>
      <c r="B38" s="656"/>
      <c r="C38" s="656"/>
      <c r="D38" s="599" t="s">
        <v>132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>
      <c r="A39" s="655" t="s">
        <v>168</v>
      </c>
      <c r="B39" s="656"/>
      <c r="C39" s="656"/>
      <c r="D39" s="599" t="s">
        <v>132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>
      <c r="A40" s="676" t="s">
        <v>169</v>
      </c>
      <c r="B40" s="677"/>
      <c r="C40" s="677"/>
      <c r="D40" s="599" t="s">
        <v>132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>
      <c r="A41" s="655" t="s">
        <v>170</v>
      </c>
      <c r="B41" s="656"/>
      <c r="C41" s="656"/>
      <c r="D41" s="599" t="s">
        <v>132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>
      <c r="A42" s="655" t="s">
        <v>171</v>
      </c>
      <c r="B42" s="656"/>
      <c r="C42" s="656"/>
      <c r="D42" s="599" t="s">
        <v>132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>
      <c r="A43" s="655" t="s">
        <v>172</v>
      </c>
      <c r="B43" s="656"/>
      <c r="C43" s="656"/>
      <c r="D43" s="599" t="s">
        <v>132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>
      <c r="A44" s="655" t="s">
        <v>173</v>
      </c>
      <c r="B44" s="656"/>
      <c r="C44" s="656"/>
      <c r="D44" s="599" t="s">
        <v>132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174</v>
      </c>
      <c r="B45" s="656"/>
      <c r="C45" s="656"/>
      <c r="D45" s="599" t="s">
        <v>132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>
      <c r="A46" s="655" t="s">
        <v>175</v>
      </c>
      <c r="B46" s="656"/>
      <c r="C46" s="656"/>
      <c r="D46" s="599" t="s">
        <v>132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164</v>
      </c>
      <c r="B49" s="678"/>
      <c r="C49" s="678"/>
      <c r="D49" s="599" t="s">
        <v>132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>
      <c r="A50" s="655" t="s">
        <v>178</v>
      </c>
      <c r="B50" s="678"/>
      <c r="C50" s="678"/>
      <c r="D50" s="599" t="s">
        <v>132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>
      <c r="A51" s="655" t="s">
        <v>166</v>
      </c>
      <c r="B51" s="678"/>
      <c r="C51" s="678"/>
      <c r="D51" s="599" t="s">
        <v>132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>
      <c r="A52" s="655" t="s">
        <v>179</v>
      </c>
      <c r="B52" s="678"/>
      <c r="C52" s="678"/>
      <c r="D52" s="599" t="s">
        <v>132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>
      <c r="A53" s="655" t="s">
        <v>168</v>
      </c>
      <c r="B53" s="678"/>
      <c r="C53" s="678"/>
      <c r="D53" s="599" t="s">
        <v>132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>
      <c r="A54" s="655" t="s">
        <v>180</v>
      </c>
      <c r="B54" s="678"/>
      <c r="C54" s="678"/>
      <c r="D54" s="599" t="s">
        <v>132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>
      <c r="A55" s="655" t="s">
        <v>181</v>
      </c>
      <c r="B55" s="678"/>
      <c r="C55" s="678"/>
      <c r="D55" s="599" t="s">
        <v>132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>
      <c r="A56" s="655" t="s">
        <v>182</v>
      </c>
      <c r="B56" s="678"/>
      <c r="C56" s="678"/>
      <c r="D56" s="599" t="s">
        <v>183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>
      <c r="A57" s="655" t="s">
        <v>172</v>
      </c>
      <c r="B57" s="678"/>
      <c r="C57" s="678"/>
      <c r="D57" s="599" t="s">
        <v>132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>
      <c r="A58" s="655" t="s">
        <v>184</v>
      </c>
      <c r="B58" s="678"/>
      <c r="C58" s="678"/>
      <c r="D58" s="599" t="s">
        <v>132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98</v>
      </c>
      <c r="B62" s="681"/>
      <c r="C62" s="681"/>
      <c r="D62" s="587" t="s">
        <v>187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>
      <c r="A63" s="680" t="s">
        <v>188</v>
      </c>
      <c r="B63" s="681"/>
      <c r="C63" s="681"/>
      <c r="D63" s="587" t="s">
        <v>187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>
      <c r="A64" s="1416" t="s">
        <v>99</v>
      </c>
      <c r="B64" s="1417"/>
      <c r="C64" s="1418"/>
      <c r="D64" s="599" t="s">
        <v>187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>
      <c r="A65" s="1416" t="s">
        <v>100</v>
      </c>
      <c r="B65" s="1417"/>
      <c r="C65" s="1418"/>
      <c r="D65" s="599" t="s">
        <v>187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>
      <c r="A66" s="1416" t="s">
        <v>101</v>
      </c>
      <c r="B66" s="1417"/>
      <c r="C66" s="1418"/>
      <c r="D66" s="599" t="s">
        <v>187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>
      <c r="A67" s="1416" t="s">
        <v>102</v>
      </c>
      <c r="B67" s="1417"/>
      <c r="C67" s="1418"/>
      <c r="D67" s="599" t="s">
        <v>187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>
      <c r="A68" s="1416" t="s">
        <v>103</v>
      </c>
      <c r="B68" s="1417"/>
      <c r="C68" s="1418"/>
      <c r="D68" s="599" t="s">
        <v>187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>
      <c r="A69" s="1416" t="s">
        <v>104</v>
      </c>
      <c r="B69" s="1417"/>
      <c r="C69" s="1418"/>
      <c r="D69" s="599" t="s">
        <v>187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9"/>
      <c r="P71" s="795"/>
    </row>
    <row r="72" spans="1:16" ht="27.75">
      <c r="A72" s="1416" t="s">
        <v>191</v>
      </c>
      <c r="B72" s="1417"/>
      <c r="C72" s="1418"/>
      <c r="D72" s="599" t="s">
        <v>187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>
      <c r="A73" s="1416" t="s">
        <v>192</v>
      </c>
      <c r="B73" s="1417"/>
      <c r="C73" s="1418"/>
      <c r="D73" s="599" t="s">
        <v>187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>
      <c r="A74" s="1416" t="s">
        <v>193</v>
      </c>
      <c r="B74" s="1417"/>
      <c r="C74" s="1418"/>
      <c r="D74" s="599" t="s">
        <v>187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>
      <c r="A75" s="1465" t="s">
        <v>194</v>
      </c>
      <c r="B75" s="1466"/>
      <c r="C75" s="1467"/>
      <c r="D75" s="599" t="s">
        <v>187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>
      <c r="A76" s="1465" t="s">
        <v>195</v>
      </c>
      <c r="B76" s="1466"/>
      <c r="C76" s="1467"/>
      <c r="D76" s="599" t="s">
        <v>187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>
      <c r="A77" s="1416" t="s">
        <v>196</v>
      </c>
      <c r="B77" s="1417"/>
      <c r="C77" s="1418"/>
      <c r="D77" s="599" t="s">
        <v>187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>
      <c r="A78" s="1233" t="s">
        <v>197</v>
      </c>
      <c r="B78" s="1204"/>
      <c r="C78" s="1204"/>
      <c r="D78" s="599" t="s">
        <v>187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>
      <c r="A79" s="1465" t="s">
        <v>92</v>
      </c>
      <c r="B79" s="1466"/>
      <c r="C79" s="1467"/>
      <c r="D79" s="600" t="s">
        <v>187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>
      <c r="A80" s="1465" t="s">
        <v>198</v>
      </c>
      <c r="B80" s="1466"/>
      <c r="C80" s="1467"/>
      <c r="D80" s="600" t="s">
        <v>187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>
      <c r="A81" s="1465" t="s">
        <v>199</v>
      </c>
      <c r="B81" s="1466"/>
      <c r="C81" s="1467"/>
      <c r="D81" s="600" t="s">
        <v>187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>
      <c r="A82" s="1465" t="s">
        <v>93</v>
      </c>
      <c r="B82" s="1466"/>
      <c r="C82" s="1467"/>
      <c r="D82" s="561" t="s">
        <v>132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>
      <c r="A83" s="1465" t="s">
        <v>200</v>
      </c>
      <c r="B83" s="1466"/>
      <c r="C83" s="1467"/>
      <c r="D83" s="697" t="s">
        <v>132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>
      <c r="A84" s="1234" t="s">
        <v>201</v>
      </c>
      <c r="B84" s="648"/>
      <c r="C84" s="648"/>
      <c r="D84" s="554" t="s">
        <v>132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94</v>
      </c>
      <c r="B86" s="813"/>
      <c r="C86" s="813"/>
      <c r="D86" s="814" t="s">
        <v>183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>
      <c r="A87" s="812" t="s">
        <v>95</v>
      </c>
      <c r="B87" s="813"/>
      <c r="C87" s="813"/>
      <c r="D87" s="814" t="s">
        <v>183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>
      <c r="A88" s="812" t="s">
        <v>96</v>
      </c>
      <c r="B88" s="813"/>
      <c r="C88" s="813"/>
      <c r="D88" s="814" t="s">
        <v>183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>
      <c r="A89" s="812" t="s">
        <v>204</v>
      </c>
      <c r="B89" s="813"/>
      <c r="C89" s="813"/>
      <c r="D89" s="814" t="s">
        <v>183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>
      <c r="A90" s="812" t="s">
        <v>204</v>
      </c>
      <c r="B90" s="813"/>
      <c r="C90" s="813"/>
      <c r="D90" s="814" t="s">
        <v>183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419" t="s">
        <v>206</v>
      </c>
      <c r="B92" s="1420"/>
      <c r="C92" s="1421"/>
      <c r="D92" s="599" t="s">
        <v>144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>
      <c r="A93" s="1419" t="s">
        <v>207</v>
      </c>
      <c r="B93" s="1420"/>
      <c r="C93" s="1421"/>
      <c r="D93" s="599" t="s">
        <v>144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>
      <c r="A94" s="1413" t="s">
        <v>208</v>
      </c>
      <c r="B94" s="1414"/>
      <c r="C94" s="1415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>
      <c r="A95" s="1419" t="s">
        <v>209</v>
      </c>
      <c r="B95" s="1420"/>
      <c r="C95" s="1421"/>
      <c r="D95" s="599" t="s">
        <v>144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>
      <c r="A96" s="1230" t="s">
        <v>210</v>
      </c>
      <c r="B96" s="1231"/>
      <c r="C96" s="1231"/>
      <c r="D96" s="599" t="s">
        <v>144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>
      <c r="A97" s="1230" t="s">
        <v>211</v>
      </c>
      <c r="B97" s="1231"/>
      <c r="C97" s="1231"/>
      <c r="D97" s="599" t="s">
        <v>144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>
      <c r="A98" s="1230" t="s">
        <v>212</v>
      </c>
      <c r="B98" s="1231"/>
      <c r="C98" s="1231"/>
      <c r="D98" s="599" t="s">
        <v>144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>
      <c r="A99" s="1230" t="s">
        <v>213</v>
      </c>
      <c r="B99" s="1231"/>
      <c r="C99" s="1231"/>
      <c r="D99" s="599" t="s">
        <v>144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>
      <c r="A100" s="1230" t="s">
        <v>214</v>
      </c>
      <c r="B100" s="1231"/>
      <c r="C100" s="1231"/>
      <c r="D100" s="599" t="s">
        <v>144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>
      <c r="A101" s="1413" t="s">
        <v>216</v>
      </c>
      <c r="B101" s="1414"/>
      <c r="C101" s="1415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424" t="s">
        <v>219</v>
      </c>
      <c r="B104" s="1425"/>
      <c r="C104" s="1229"/>
      <c r="D104" s="699" t="s">
        <v>144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>
      <c r="A105" s="1424" t="s">
        <v>77</v>
      </c>
      <c r="B105" s="1425"/>
      <c r="C105" s="1229"/>
      <c r="D105" s="699" t="s">
        <v>144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>
      <c r="A106" s="1424" t="s">
        <v>78</v>
      </c>
      <c r="B106" s="1426"/>
      <c r="C106" s="1425"/>
      <c r="D106" s="699" t="s">
        <v>144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>
      <c r="A107" s="1427" t="s">
        <v>202</v>
      </c>
      <c r="B107" s="1428"/>
      <c r="C107" s="1229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>
      <c r="A108" s="1429" t="s">
        <v>79</v>
      </c>
      <c r="B108" s="1430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424" t="s">
        <v>220</v>
      </c>
      <c r="B109" s="1425"/>
      <c r="C109" s="1229"/>
      <c r="D109" s="699" t="s">
        <v>144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>
      <c r="A110" s="1424" t="s">
        <v>221</v>
      </c>
      <c r="B110" s="1425"/>
      <c r="C110" s="1229"/>
      <c r="D110" s="699" t="s">
        <v>144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>
      <c r="A111" s="1424" t="s">
        <v>222</v>
      </c>
      <c r="B111" s="1425"/>
      <c r="C111" s="1229"/>
      <c r="D111" s="699" t="s">
        <v>144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>
      <c r="A112" s="1427" t="s">
        <v>110</v>
      </c>
      <c r="B112" s="1428"/>
      <c r="C112" s="1229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>
      <c r="A113" s="1429" t="s">
        <v>223</v>
      </c>
      <c r="B113" s="1430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424" t="s">
        <v>224</v>
      </c>
      <c r="B114" s="1425"/>
      <c r="C114" s="651"/>
      <c r="D114" s="699" t="s">
        <v>144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>
      <c r="A115" s="1424" t="s">
        <v>225</v>
      </c>
      <c r="B115" s="1425"/>
      <c r="C115" s="651"/>
      <c r="D115" s="699" t="s">
        <v>144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30" t="s">
        <v>231</v>
      </c>
      <c r="B123" s="1231"/>
      <c r="C123" s="1231"/>
      <c r="D123" s="599" t="s">
        <v>141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>
      <c r="A124" s="1230" t="s">
        <v>232</v>
      </c>
      <c r="B124" s="1231"/>
      <c r="C124" s="1231"/>
      <c r="D124" s="599" t="s">
        <v>141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>
      <c r="A125" s="1416" t="s">
        <v>233</v>
      </c>
      <c r="B125" s="1417"/>
      <c r="C125" s="1418"/>
      <c r="D125" s="599" t="s">
        <v>141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>
      <c r="A126" s="686" t="s">
        <v>234</v>
      </c>
      <c r="B126" s="1231"/>
      <c r="C126" s="1231"/>
      <c r="D126" s="599" t="s">
        <v>141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>
      <c r="A127" s="686" t="s">
        <v>235</v>
      </c>
      <c r="B127" s="1231"/>
      <c r="C127" s="1231"/>
      <c r="D127" s="599" t="s">
        <v>141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30" t="s">
        <v>238</v>
      </c>
      <c r="B130" s="1231"/>
      <c r="C130" s="1231"/>
      <c r="D130" s="599" t="s">
        <v>239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30" t="s">
        <v>240</v>
      </c>
      <c r="B131" s="1231"/>
      <c r="C131" s="1231"/>
      <c r="D131" s="599" t="s">
        <v>239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30" t="s">
        <v>241</v>
      </c>
      <c r="B132" s="1231"/>
      <c r="C132" s="1231"/>
      <c r="D132" s="599" t="s">
        <v>239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>
      <c r="A133" s="1230" t="s">
        <v>242</v>
      </c>
      <c r="B133" s="1231"/>
      <c r="C133" s="1231"/>
      <c r="D133" s="599" t="s">
        <v>239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>
      <c r="A134" s="1230" t="s">
        <v>243</v>
      </c>
      <c r="B134" s="1231"/>
      <c r="C134" s="1231"/>
      <c r="D134" s="599" t="s">
        <v>239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>
      <c r="A135" s="1230" t="s">
        <v>244</v>
      </c>
      <c r="B135" s="1231"/>
      <c r="C135" s="1231"/>
      <c r="D135" s="599" t="s">
        <v>239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>
      <c r="A136" s="1230" t="s">
        <v>245</v>
      </c>
      <c r="B136" s="1231"/>
      <c r="C136" s="1231"/>
      <c r="D136" s="599" t="s">
        <v>239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>
      <c r="A137" s="1230" t="s">
        <v>246</v>
      </c>
      <c r="B137" s="1231"/>
      <c r="C137" s="1231"/>
      <c r="D137" s="599" t="s">
        <v>239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>
      <c r="A138" s="1230" t="s">
        <v>247</v>
      </c>
      <c r="B138" s="1231"/>
      <c r="C138" s="1231"/>
      <c r="D138" s="599" t="s">
        <v>239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>
      <c r="A139" s="1230" t="s">
        <v>248</v>
      </c>
      <c r="B139" s="1231"/>
      <c r="C139" s="1231"/>
      <c r="D139" s="599" t="s">
        <v>239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>
      <c r="A140" s="1230" t="s">
        <v>249</v>
      </c>
      <c r="B140" s="1231"/>
      <c r="C140" s="1231"/>
      <c r="D140" s="599" t="s">
        <v>239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263</v>
      </c>
      <c r="B160" s="869"/>
      <c r="C160" s="869"/>
      <c r="D160" s="587" t="s">
        <v>187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>
      <c r="A161" s="868" t="s">
        <v>264</v>
      </c>
      <c r="B161" s="869"/>
      <c r="C161" s="869"/>
      <c r="D161" s="587" t="s">
        <v>187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>
      <c r="A162" s="868" t="s">
        <v>265</v>
      </c>
      <c r="B162" s="869"/>
      <c r="C162" s="869"/>
      <c r="D162" s="587" t="s">
        <v>187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>
      <c r="A163" s="868" t="s">
        <v>266</v>
      </c>
      <c r="B163" s="869"/>
      <c r="C163" s="869"/>
      <c r="D163" s="587" t="s">
        <v>187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>
      <c r="A164" s="870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70" t="s">
        <v>188</v>
      </c>
      <c r="B165" s="681"/>
      <c r="C165" s="681"/>
      <c r="D165" s="587" t="s">
        <v>187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>
      <c r="A166" s="1468" t="s">
        <v>99</v>
      </c>
      <c r="B166" s="1468"/>
      <c r="C166" s="1468"/>
      <c r="D166" s="599" t="s">
        <v>187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>
      <c r="A167" s="1468" t="s">
        <v>100</v>
      </c>
      <c r="B167" s="1468"/>
      <c r="C167" s="1468"/>
      <c r="D167" s="599" t="s">
        <v>187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>
      <c r="A168" s="1468" t="s">
        <v>101</v>
      </c>
      <c r="B168" s="1468"/>
      <c r="C168" s="1468"/>
      <c r="D168" s="599" t="s">
        <v>187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>
      <c r="A169" s="1468" t="s">
        <v>102</v>
      </c>
      <c r="B169" s="1468"/>
      <c r="C169" s="1468"/>
      <c r="D169" s="599" t="s">
        <v>187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>
      <c r="A170" s="1468" t="s">
        <v>103</v>
      </c>
      <c r="B170" s="1468"/>
      <c r="C170" s="1468"/>
      <c r="D170" s="599" t="s">
        <v>187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>
      <c r="A171" s="1468" t="s">
        <v>104</v>
      </c>
      <c r="B171" s="1468"/>
      <c r="C171" s="1468"/>
      <c r="D171" s="599" t="s">
        <v>187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>
      <c r="G172" s="616">
        <f>SUM(G160:G171)</f>
        <v>3251.5509999999895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276</v>
      </c>
      <c r="B2" s="1118">
        <v>44240</v>
      </c>
      <c r="C2" s="1232" t="s">
        <v>69</v>
      </c>
      <c r="D2" s="688">
        <v>0.71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32" t="s">
        <v>120</v>
      </c>
      <c r="D3" s="689">
        <v>26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2" t="s">
        <v>122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140</v>
      </c>
      <c r="B15" s="877"/>
      <c r="C15" s="877"/>
      <c r="D15" s="600" t="s">
        <v>141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72" t="s">
        <v>143</v>
      </c>
      <c r="B18" s="1473"/>
      <c r="C18" s="1474"/>
      <c r="D18" s="715" t="s">
        <v>144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>
      <c r="A19" s="1472" t="s">
        <v>71</v>
      </c>
      <c r="B19" s="1473"/>
      <c r="C19" s="1474"/>
      <c r="D19" s="715" t="s">
        <v>144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30" t="s">
        <v>147</v>
      </c>
      <c r="B22" s="666"/>
      <c r="C22" s="666"/>
      <c r="D22" s="599" t="s">
        <v>148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30" t="s">
        <v>149</v>
      </c>
      <c r="B23" s="666"/>
      <c r="C23" s="666"/>
      <c r="D23" s="599" t="s">
        <v>148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7"/>
      <c r="P33" s="413"/>
    </row>
    <row r="34" spans="1:16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 t="s">
        <v>269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>
      <c r="A64" s="1416" t="s">
        <v>99</v>
      </c>
      <c r="B64" s="1417"/>
      <c r="C64" s="1418"/>
      <c r="D64" s="599" t="s">
        <v>187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>
      <c r="A65" s="1416" t="s">
        <v>100</v>
      </c>
      <c r="B65" s="1417"/>
      <c r="C65" s="1418"/>
      <c r="D65" s="599" t="s">
        <v>187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>
      <c r="A66" s="1416" t="s">
        <v>101</v>
      </c>
      <c r="B66" s="1417"/>
      <c r="C66" s="1418"/>
      <c r="D66" s="599" t="s">
        <v>187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>
      <c r="A67" s="1416" t="s">
        <v>102</v>
      </c>
      <c r="B67" s="1417"/>
      <c r="C67" s="1418"/>
      <c r="D67" s="599" t="s">
        <v>187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>
      <c r="A68" s="1416" t="s">
        <v>103</v>
      </c>
      <c r="B68" s="1417"/>
      <c r="C68" s="1418"/>
      <c r="D68" s="599" t="s">
        <v>187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>
      <c r="A69" s="1416" t="s">
        <v>104</v>
      </c>
      <c r="B69" s="1417"/>
      <c r="C69" s="1418"/>
      <c r="D69" s="599" t="s">
        <v>187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>
      <c r="A70" s="1448" t="s">
        <v>189</v>
      </c>
      <c r="B70" s="1449"/>
      <c r="C70" s="1450"/>
      <c r="D70" s="599" t="s">
        <v>187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7"/>
      <c r="P71" s="413"/>
    </row>
    <row r="72" spans="1:16" ht="27.75">
      <c r="A72" s="1416" t="s">
        <v>191</v>
      </c>
      <c r="B72" s="1417"/>
      <c r="C72" s="1418"/>
      <c r="D72" s="599" t="s">
        <v>187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>
      <c r="A73" s="1416" t="s">
        <v>192</v>
      </c>
      <c r="B73" s="1417"/>
      <c r="C73" s="1418"/>
      <c r="D73" s="599" t="s">
        <v>187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>
      <c r="A74" s="1416" t="s">
        <v>193</v>
      </c>
      <c r="B74" s="1417"/>
      <c r="C74" s="1418"/>
      <c r="D74" s="599" t="s">
        <v>187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>
      <c r="A75" s="1465" t="s">
        <v>194</v>
      </c>
      <c r="B75" s="1466"/>
      <c r="C75" s="1467"/>
      <c r="D75" s="599" t="s">
        <v>187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>
      <c r="A76" s="1465" t="s">
        <v>195</v>
      </c>
      <c r="B76" s="1466"/>
      <c r="C76" s="1467"/>
      <c r="D76" s="599" t="s">
        <v>187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>
      <c r="A77" s="1416" t="s">
        <v>196</v>
      </c>
      <c r="B77" s="1417"/>
      <c r="C77" s="1418"/>
      <c r="D77" s="599" t="s">
        <v>187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>
      <c r="A78" s="1233" t="s">
        <v>197</v>
      </c>
      <c r="B78" s="1204"/>
      <c r="C78" s="1204"/>
      <c r="D78" s="599" t="s">
        <v>187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>
      <c r="A79" s="1465" t="s">
        <v>92</v>
      </c>
      <c r="B79" s="1466"/>
      <c r="C79" s="1467"/>
      <c r="D79" s="600" t="s">
        <v>187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>
      <c r="A80" s="1465" t="s">
        <v>198</v>
      </c>
      <c r="B80" s="1466"/>
      <c r="C80" s="1467"/>
      <c r="D80" s="600" t="s">
        <v>187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>
      <c r="A81" s="1465" t="s">
        <v>199</v>
      </c>
      <c r="B81" s="1466"/>
      <c r="C81" s="1467"/>
      <c r="D81" s="600" t="s">
        <v>187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>
      <c r="A82" s="1465" t="s">
        <v>93</v>
      </c>
      <c r="B82" s="1466"/>
      <c r="C82" s="1467"/>
      <c r="D82" s="561" t="s">
        <v>132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>
      <c r="A83" s="1465" t="s">
        <v>200</v>
      </c>
      <c r="B83" s="1466"/>
      <c r="C83" s="1467"/>
      <c r="D83" s="697" t="s">
        <v>132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>
      <c r="A84" s="1234" t="s">
        <v>201</v>
      </c>
      <c r="B84" s="648"/>
      <c r="C84" s="648"/>
      <c r="D84" s="554" t="s">
        <v>132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19" t="s">
        <v>206</v>
      </c>
      <c r="B92" s="1420"/>
      <c r="C92" s="1421"/>
      <c r="D92" s="599" t="s">
        <v>144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>
      <c r="A93" s="1419" t="s">
        <v>207</v>
      </c>
      <c r="B93" s="1420"/>
      <c r="C93" s="1421"/>
      <c r="D93" s="599" t="s">
        <v>144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>
      <c r="A94" s="1413" t="s">
        <v>208</v>
      </c>
      <c r="B94" s="1414"/>
      <c r="C94" s="1415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>
      <c r="A95" s="1419" t="s">
        <v>209</v>
      </c>
      <c r="B95" s="1420"/>
      <c r="C95" s="1421"/>
      <c r="D95" s="599" t="s">
        <v>144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>
      <c r="A96" s="1230" t="s">
        <v>210</v>
      </c>
      <c r="B96" s="1231"/>
      <c r="C96" s="1231"/>
      <c r="D96" s="599" t="s">
        <v>144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>
      <c r="A97" s="1230" t="s">
        <v>211</v>
      </c>
      <c r="B97" s="1231"/>
      <c r="C97" s="1231"/>
      <c r="D97" s="599" t="s">
        <v>144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>
      <c r="A98" s="1230" t="s">
        <v>212</v>
      </c>
      <c r="B98" s="1231"/>
      <c r="C98" s="1231"/>
      <c r="D98" s="599" t="s">
        <v>144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>
      <c r="A99" s="1230" t="s">
        <v>213</v>
      </c>
      <c r="B99" s="1231"/>
      <c r="C99" s="1231"/>
      <c r="D99" s="599" t="s">
        <v>144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>
      <c r="A100" s="1230" t="s">
        <v>214</v>
      </c>
      <c r="B100" s="1231"/>
      <c r="C100" s="1231"/>
      <c r="D100" s="599" t="s">
        <v>144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24" t="s">
        <v>219</v>
      </c>
      <c r="B104" s="1425"/>
      <c r="C104" s="1229"/>
      <c r="D104" s="699" t="s">
        <v>144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>
      <c r="A105" s="1424" t="s">
        <v>77</v>
      </c>
      <c r="B105" s="1425"/>
      <c r="C105" s="1229"/>
      <c r="D105" s="699" t="s">
        <v>144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>
      <c r="A107" s="1427" t="s">
        <v>202</v>
      </c>
      <c r="B107" s="1428"/>
      <c r="C107" s="1229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>
      <c r="A108" s="1429" t="s">
        <v>79</v>
      </c>
      <c r="B108" s="1430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24" t="s">
        <v>220</v>
      </c>
      <c r="B109" s="1425"/>
      <c r="C109" s="1229"/>
      <c r="D109" s="699" t="s">
        <v>144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>
      <c r="A110" s="1424" t="s">
        <v>221</v>
      </c>
      <c r="B110" s="1425"/>
      <c r="C110" s="1229"/>
      <c r="D110" s="699" t="s">
        <v>144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>
      <c r="A111" s="1424" t="s">
        <v>222</v>
      </c>
      <c r="B111" s="1425"/>
      <c r="C111" s="1229"/>
      <c r="D111" s="699" t="s">
        <v>144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>
      <c r="A112" s="1427" t="s">
        <v>110</v>
      </c>
      <c r="B112" s="1428"/>
      <c r="C112" s="1229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>
      <c r="A113" s="1429" t="s">
        <v>223</v>
      </c>
      <c r="B113" s="1430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30" t="s">
        <v>231</v>
      </c>
      <c r="B123" s="1231"/>
      <c r="C123" s="1231"/>
      <c r="D123" s="599" t="s">
        <v>141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>
      <c r="A124" s="1230" t="s">
        <v>232</v>
      </c>
      <c r="B124" s="1231"/>
      <c r="C124" s="1231"/>
      <c r="D124" s="599" t="s">
        <v>141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31"/>
      <c r="C126" s="1231"/>
      <c r="D126" s="599" t="s">
        <v>141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31"/>
      <c r="C127" s="1231"/>
      <c r="D127" s="599" t="s">
        <v>141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30" t="s">
        <v>238</v>
      </c>
      <c r="B130" s="1231"/>
      <c r="C130" s="1231"/>
      <c r="D130" s="599" t="s">
        <v>239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30" t="s">
        <v>240</v>
      </c>
      <c r="B131" s="1231"/>
      <c r="C131" s="1231"/>
      <c r="D131" s="599" t="s">
        <v>239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30" t="s">
        <v>241</v>
      </c>
      <c r="B132" s="1231"/>
      <c r="C132" s="1231"/>
      <c r="D132" s="599" t="s">
        <v>239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>
      <c r="A133" s="1230" t="s">
        <v>242</v>
      </c>
      <c r="B133" s="1231"/>
      <c r="C133" s="1231"/>
      <c r="D133" s="599" t="s">
        <v>239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30" t="s">
        <v>243</v>
      </c>
      <c r="B134" s="1231"/>
      <c r="C134" s="1231"/>
      <c r="D134" s="599" t="s">
        <v>239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>
      <c r="A135" s="1230" t="s">
        <v>244</v>
      </c>
      <c r="B135" s="1231"/>
      <c r="C135" s="1231"/>
      <c r="D135" s="599" t="s">
        <v>239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30" t="s">
        <v>245</v>
      </c>
      <c r="B136" s="1231"/>
      <c r="C136" s="1231"/>
      <c r="D136" s="599" t="s">
        <v>239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>
      <c r="A137" s="1230" t="s">
        <v>246</v>
      </c>
      <c r="B137" s="1231"/>
      <c r="C137" s="1231"/>
      <c r="D137" s="599" t="s">
        <v>239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>
      <c r="A138" s="1230" t="s">
        <v>247</v>
      </c>
      <c r="B138" s="1231"/>
      <c r="C138" s="1231"/>
      <c r="D138" s="599" t="s">
        <v>239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>
      <c r="A139" s="1230" t="s">
        <v>248</v>
      </c>
      <c r="B139" s="1231"/>
      <c r="C139" s="1231"/>
      <c r="D139" s="599" t="s">
        <v>239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>
      <c r="A140" s="1230" t="s">
        <v>249</v>
      </c>
      <c r="B140" s="1231"/>
      <c r="C140" s="1231"/>
      <c r="D140" s="599" t="s">
        <v>239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263</v>
      </c>
      <c r="B160" s="879"/>
      <c r="C160" s="879"/>
      <c r="D160" s="697" t="s">
        <v>187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>
      <c r="A161" s="878" t="s">
        <v>264</v>
      </c>
      <c r="B161" s="879"/>
      <c r="C161" s="879"/>
      <c r="D161" s="697" t="s">
        <v>187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>
      <c r="A162" s="878" t="s">
        <v>265</v>
      </c>
      <c r="B162" s="879"/>
      <c r="C162" s="879"/>
      <c r="D162" s="697" t="s">
        <v>187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>
      <c r="A163" s="878" t="s">
        <v>266</v>
      </c>
      <c r="B163" s="879"/>
      <c r="C163" s="879"/>
      <c r="D163" s="697" t="s">
        <v>187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>
      <c r="A164" s="880" t="s">
        <v>98</v>
      </c>
      <c r="B164" s="881"/>
      <c r="C164" s="881"/>
      <c r="D164" s="697" t="s">
        <v>187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80" t="s">
        <v>188</v>
      </c>
      <c r="B165" s="881"/>
      <c r="C165" s="881"/>
      <c r="D165" s="697" t="s">
        <v>187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>
      <c r="A166" s="1478" t="s">
        <v>99</v>
      </c>
      <c r="B166" s="1478"/>
      <c r="C166" s="1478"/>
      <c r="D166" s="600" t="s">
        <v>187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>
      <c r="A167" s="1478" t="s">
        <v>100</v>
      </c>
      <c r="B167" s="1478"/>
      <c r="C167" s="1478"/>
      <c r="D167" s="600" t="s">
        <v>187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>
      <c r="A168" s="1478" t="s">
        <v>101</v>
      </c>
      <c r="B168" s="1478"/>
      <c r="C168" s="1478"/>
      <c r="D168" s="600" t="s">
        <v>187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>
      <c r="A169" s="1478" t="s">
        <v>102</v>
      </c>
      <c r="B169" s="1478"/>
      <c r="C169" s="1478"/>
      <c r="D169" s="600" t="s">
        <v>187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>
      <c r="A170" s="1478" t="s">
        <v>103</v>
      </c>
      <c r="B170" s="1478"/>
      <c r="C170" s="1478"/>
      <c r="D170" s="600" t="s">
        <v>187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>
      <c r="A171" s="1478" t="s">
        <v>104</v>
      </c>
      <c r="B171" s="1478"/>
      <c r="C171" s="1478"/>
      <c r="D171" s="600" t="s">
        <v>187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31" t="s">
        <v>272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279</v>
      </c>
      <c r="B2" s="1118">
        <v>44241</v>
      </c>
      <c r="C2" s="1281" t="s">
        <v>69</v>
      </c>
      <c r="D2" s="688">
        <v>0.66830000000000001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81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1" t="s">
        <v>122</v>
      </c>
      <c r="D4" s="688">
        <v>0.64</v>
      </c>
      <c r="E4" s="540"/>
      <c r="F4" s="540"/>
      <c r="G4" s="540"/>
      <c r="H4" s="540"/>
      <c r="I4" s="541"/>
      <c r="J4" s="692" t="s">
        <v>215</v>
      </c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269</v>
      </c>
      <c r="N12" s="800"/>
      <c r="O12" s="807">
        <v>0</v>
      </c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140</v>
      </c>
      <c r="B15" s="877"/>
      <c r="C15" s="877"/>
      <c r="D15" s="600" t="s">
        <v>141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72" t="s">
        <v>143</v>
      </c>
      <c r="B18" s="1473"/>
      <c r="C18" s="1474"/>
      <c r="D18" s="715" t="s">
        <v>144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>
      <c r="A19" s="1472" t="s">
        <v>71</v>
      </c>
      <c r="B19" s="1473"/>
      <c r="C19" s="1474"/>
      <c r="D19" s="715" t="s">
        <v>144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4" t="s">
        <v>147</v>
      </c>
      <c r="B22" s="666"/>
      <c r="C22" s="666"/>
      <c r="D22" s="599" t="s">
        <v>148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4" t="s">
        <v>149</v>
      </c>
      <c r="B23" s="666"/>
      <c r="C23" s="666"/>
      <c r="D23" s="599" t="s">
        <v>148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7"/>
      <c r="P33" s="413"/>
    </row>
    <row r="34" spans="1:16">
      <c r="A34" s="675" t="s">
        <v>163</v>
      </c>
      <c r="B34" s="1276"/>
      <c r="C34" s="127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269</v>
      </c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274</v>
      </c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 t="s">
        <v>215</v>
      </c>
      <c r="D41" s="599" t="s">
        <v>132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>
      <c r="A48" s="675" t="s">
        <v>177</v>
      </c>
      <c r="B48" s="1276"/>
      <c r="C48" s="127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>
      <c r="A64" s="1416" t="s">
        <v>99</v>
      </c>
      <c r="B64" s="1417"/>
      <c r="C64" s="1418"/>
      <c r="D64" s="599" t="s">
        <v>187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>
      <c r="A65" s="1416" t="s">
        <v>100</v>
      </c>
      <c r="B65" s="1417"/>
      <c r="C65" s="1418"/>
      <c r="D65" s="599" t="s">
        <v>187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>
      <c r="A66" s="1416" t="s">
        <v>101</v>
      </c>
      <c r="B66" s="1417"/>
      <c r="C66" s="1418"/>
      <c r="D66" s="599" t="s">
        <v>187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>
      <c r="A67" s="1416" t="s">
        <v>102</v>
      </c>
      <c r="B67" s="1417"/>
      <c r="C67" s="1418"/>
      <c r="D67" s="599" t="s">
        <v>187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>
      <c r="A68" s="1416" t="s">
        <v>103</v>
      </c>
      <c r="B68" s="1417"/>
      <c r="C68" s="1418"/>
      <c r="D68" s="599" t="s">
        <v>187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>
      <c r="A69" s="1416" t="s">
        <v>104</v>
      </c>
      <c r="B69" s="1417"/>
      <c r="C69" s="1418"/>
      <c r="D69" s="599" t="s">
        <v>187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7"/>
      <c r="P71" s="413"/>
    </row>
    <row r="72" spans="1:16" ht="27.75">
      <c r="A72" s="1416" t="s">
        <v>191</v>
      </c>
      <c r="B72" s="1417"/>
      <c r="C72" s="1418"/>
      <c r="D72" s="599" t="s">
        <v>187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>
      <c r="A73" s="1416" t="s">
        <v>192</v>
      </c>
      <c r="B73" s="1417"/>
      <c r="C73" s="1418"/>
      <c r="D73" s="599" t="s">
        <v>187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>
      <c r="A74" s="1416" t="s">
        <v>193</v>
      </c>
      <c r="B74" s="1417"/>
      <c r="C74" s="1418"/>
      <c r="D74" s="599" t="s">
        <v>187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>
      <c r="A75" s="1465" t="s">
        <v>194</v>
      </c>
      <c r="B75" s="1466"/>
      <c r="C75" s="1467"/>
      <c r="D75" s="599" t="s">
        <v>187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>
      <c r="A76" s="1465" t="s">
        <v>195</v>
      </c>
      <c r="B76" s="1466"/>
      <c r="C76" s="1467"/>
      <c r="D76" s="599" t="s">
        <v>187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>
      <c r="A77" s="1416" t="s">
        <v>196</v>
      </c>
      <c r="B77" s="1417"/>
      <c r="C77" s="1418"/>
      <c r="D77" s="599" t="s">
        <v>187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>
      <c r="A78" s="1277" t="s">
        <v>197</v>
      </c>
      <c r="B78" s="1273"/>
      <c r="C78" s="1273"/>
      <c r="D78" s="599" t="s">
        <v>187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>
      <c r="A79" s="1465" t="s">
        <v>92</v>
      </c>
      <c r="B79" s="1466"/>
      <c r="C79" s="1467"/>
      <c r="D79" s="600" t="s">
        <v>187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>
      <c r="A80" s="1465" t="s">
        <v>198</v>
      </c>
      <c r="B80" s="1466"/>
      <c r="C80" s="1467"/>
      <c r="D80" s="600" t="s">
        <v>187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>
      <c r="A81" s="1465" t="s">
        <v>199</v>
      </c>
      <c r="B81" s="1466"/>
      <c r="C81" s="1467"/>
      <c r="D81" s="600" t="s">
        <v>187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>
      <c r="A82" s="1465" t="s">
        <v>93</v>
      </c>
      <c r="B82" s="1466"/>
      <c r="C82" s="1467"/>
      <c r="D82" s="561" t="s">
        <v>132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>
      <c r="A83" s="1465" t="s">
        <v>200</v>
      </c>
      <c r="B83" s="1466"/>
      <c r="C83" s="1467"/>
      <c r="D83" s="697" t="s">
        <v>132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>
      <c r="A84" s="1280" t="s">
        <v>201</v>
      </c>
      <c r="B84" s="648"/>
      <c r="C84" s="648"/>
      <c r="D84" s="554" t="s">
        <v>132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205</v>
      </c>
      <c r="B91" s="1278"/>
      <c r="C91" s="1278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19" t="s">
        <v>206</v>
      </c>
      <c r="B92" s="1420"/>
      <c r="C92" s="1421"/>
      <c r="D92" s="599" t="s">
        <v>144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>
      <c r="A93" s="1419" t="s">
        <v>207</v>
      </c>
      <c r="B93" s="1420"/>
      <c r="C93" s="1421"/>
      <c r="D93" s="599" t="s">
        <v>144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>
      <c r="A94" s="1413" t="s">
        <v>208</v>
      </c>
      <c r="B94" s="1414"/>
      <c r="C94" s="1415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>
      <c r="A95" s="1419" t="s">
        <v>209</v>
      </c>
      <c r="B95" s="1420"/>
      <c r="C95" s="1421"/>
      <c r="D95" s="599" t="s">
        <v>144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>
      <c r="A96" s="1274" t="s">
        <v>210</v>
      </c>
      <c r="B96" s="1275"/>
      <c r="C96" s="1275"/>
      <c r="D96" s="599" t="s">
        <v>144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>
      <c r="A97" s="1274" t="s">
        <v>211</v>
      </c>
      <c r="B97" s="1275"/>
      <c r="C97" s="1275"/>
      <c r="D97" s="599" t="s">
        <v>144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>
      <c r="A98" s="1274" t="s">
        <v>212</v>
      </c>
      <c r="B98" s="1275"/>
      <c r="C98" s="1275"/>
      <c r="D98" s="599" t="s">
        <v>144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>
      <c r="A99" s="1274" t="s">
        <v>213</v>
      </c>
      <c r="B99" s="1275"/>
      <c r="C99" s="1275"/>
      <c r="D99" s="599" t="s">
        <v>144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>
      <c r="A100" s="1274" t="s">
        <v>214</v>
      </c>
      <c r="B100" s="1275"/>
      <c r="C100" s="1275"/>
      <c r="D100" s="599" t="s">
        <v>144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24" t="s">
        <v>219</v>
      </c>
      <c r="B104" s="1425"/>
      <c r="C104" s="1279"/>
      <c r="D104" s="699" t="s">
        <v>144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>
      <c r="A105" s="1424" t="s">
        <v>77</v>
      </c>
      <c r="B105" s="1425"/>
      <c r="C105" s="1279"/>
      <c r="D105" s="699" t="s">
        <v>144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>
      <c r="A107" s="1427" t="s">
        <v>202</v>
      </c>
      <c r="B107" s="1428"/>
      <c r="C107" s="1279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>
      <c r="A108" s="1429" t="s">
        <v>79</v>
      </c>
      <c r="B108" s="1430"/>
      <c r="C108" s="1279"/>
      <c r="D108" s="699" t="s">
        <v>144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24" t="s">
        <v>220</v>
      </c>
      <c r="B109" s="1425"/>
      <c r="C109" s="1279"/>
      <c r="D109" s="699" t="s">
        <v>144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>
      <c r="A110" s="1424" t="s">
        <v>221</v>
      </c>
      <c r="B110" s="1425"/>
      <c r="C110" s="1279"/>
      <c r="D110" s="699" t="s">
        <v>144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>
      <c r="A111" s="1424" t="s">
        <v>222</v>
      </c>
      <c r="B111" s="1425"/>
      <c r="C111" s="1279"/>
      <c r="D111" s="699" t="s">
        <v>144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>
      <c r="A112" s="1427" t="s">
        <v>110</v>
      </c>
      <c r="B112" s="1428"/>
      <c r="C112" s="1279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>
      <c r="A113" s="1429" t="s">
        <v>223</v>
      </c>
      <c r="B113" s="1430"/>
      <c r="C113" s="1279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>
      <c r="A118" s="1458" t="s">
        <v>227</v>
      </c>
      <c r="B118" s="1459"/>
      <c r="C118" s="1282"/>
      <c r="D118" s="701" t="s">
        <v>144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>
      <c r="A119" s="1458" t="s">
        <v>228</v>
      </c>
      <c r="B119" s="1459"/>
      <c r="C119" s="1282"/>
      <c r="D119" s="701" t="s">
        <v>144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>
      <c r="A120" s="1458" t="s">
        <v>229</v>
      </c>
      <c r="B120" s="1459"/>
      <c r="C120" s="1282"/>
      <c r="D120" s="701" t="s">
        <v>144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>
      <c r="A121" s="1460"/>
      <c r="B121" s="1461"/>
      <c r="C121" s="1283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4" t="s">
        <v>231</v>
      </c>
      <c r="B123" s="1275"/>
      <c r="C123" s="1275"/>
      <c r="D123" s="599" t="s">
        <v>141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>
      <c r="A124" s="1274" t="s">
        <v>232</v>
      </c>
      <c r="B124" s="1275"/>
      <c r="C124" s="1275"/>
      <c r="D124" s="599" t="s">
        <v>141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75"/>
      <c r="C126" s="1275"/>
      <c r="D126" s="599" t="s">
        <v>141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75"/>
      <c r="C127" s="1275"/>
      <c r="D127" s="599" t="s">
        <v>141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75"/>
      <c r="C128" s="1275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4" t="s">
        <v>238</v>
      </c>
      <c r="B130" s="1275"/>
      <c r="C130" s="1275"/>
      <c r="D130" s="599" t="s">
        <v>239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4" t="s">
        <v>240</v>
      </c>
      <c r="B131" s="1275"/>
      <c r="C131" s="1275"/>
      <c r="D131" s="599" t="s">
        <v>239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4" t="s">
        <v>241</v>
      </c>
      <c r="B132" s="1275"/>
      <c r="C132" s="1275"/>
      <c r="D132" s="599" t="s">
        <v>239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>
      <c r="A133" s="1274" t="s">
        <v>242</v>
      </c>
      <c r="B133" s="1275"/>
      <c r="C133" s="1275"/>
      <c r="D133" s="599" t="s">
        <v>239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74" t="s">
        <v>243</v>
      </c>
      <c r="B134" s="1275"/>
      <c r="C134" s="1275"/>
      <c r="D134" s="599" t="s">
        <v>239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>
      <c r="A135" s="1274" t="s">
        <v>244</v>
      </c>
      <c r="B135" s="1275"/>
      <c r="C135" s="1275"/>
      <c r="D135" s="599" t="s">
        <v>239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74" t="s">
        <v>245</v>
      </c>
      <c r="B136" s="1275"/>
      <c r="C136" s="1275"/>
      <c r="D136" s="599" t="s">
        <v>239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>
      <c r="A137" s="1274" t="s">
        <v>246</v>
      </c>
      <c r="B137" s="1275"/>
      <c r="C137" s="1275"/>
      <c r="D137" s="599" t="s">
        <v>239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>
      <c r="A138" s="1274" t="s">
        <v>247</v>
      </c>
      <c r="B138" s="1275"/>
      <c r="C138" s="1275"/>
      <c r="D138" s="599" t="s">
        <v>239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>
      <c r="A139" s="1274" t="s">
        <v>248</v>
      </c>
      <c r="B139" s="1275"/>
      <c r="C139" s="1275"/>
      <c r="D139" s="599" t="s">
        <v>239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>
      <c r="A140" s="1274" t="s">
        <v>249</v>
      </c>
      <c r="B140" s="1275"/>
      <c r="C140" s="1275"/>
      <c r="D140" s="599" t="s">
        <v>239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54" t="s">
        <v>250</v>
      </c>
      <c r="B141" s="1455"/>
      <c r="C141" s="1278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263</v>
      </c>
      <c r="B160" s="879"/>
      <c r="C160" s="879"/>
      <c r="D160" s="697" t="s">
        <v>187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8" t="s">
        <v>264</v>
      </c>
      <c r="B161" s="879"/>
      <c r="C161" s="879"/>
      <c r="D161" s="697" t="s">
        <v>187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>
      <c r="A162" s="878" t="s">
        <v>265</v>
      </c>
      <c r="B162" s="879"/>
      <c r="C162" s="879"/>
      <c r="D162" s="697" t="s">
        <v>187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>
      <c r="A163" s="878" t="s">
        <v>266</v>
      </c>
      <c r="B163" s="879"/>
      <c r="C163" s="879"/>
      <c r="D163" s="697" t="s">
        <v>187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>
      <c r="A164" s="880" t="s">
        <v>98</v>
      </c>
      <c r="B164" s="881"/>
      <c r="C164" s="881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80" t="s">
        <v>188</v>
      </c>
      <c r="B165" s="881"/>
      <c r="C165" s="881"/>
      <c r="D165" s="697" t="s">
        <v>187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78" t="s">
        <v>99</v>
      </c>
      <c r="B166" s="1478"/>
      <c r="C166" s="1478"/>
      <c r="D166" s="600" t="s">
        <v>187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78" t="s">
        <v>100</v>
      </c>
      <c r="B167" s="1478"/>
      <c r="C167" s="1478"/>
      <c r="D167" s="600" t="s">
        <v>187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78" t="s">
        <v>101</v>
      </c>
      <c r="B168" s="1478"/>
      <c r="C168" s="1478"/>
      <c r="D168" s="600" t="s">
        <v>187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78" t="s">
        <v>102</v>
      </c>
      <c r="B169" s="1478"/>
      <c r="C169" s="1478"/>
      <c r="D169" s="600" t="s">
        <v>187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78" t="s">
        <v>103</v>
      </c>
      <c r="B170" s="1478"/>
      <c r="C170" s="1478"/>
      <c r="D170" s="600" t="s">
        <v>187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78" t="s">
        <v>104</v>
      </c>
      <c r="B171" s="1478"/>
      <c r="C171" s="1478"/>
      <c r="D171" s="600" t="s">
        <v>187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317</v>
      </c>
      <c r="B2" s="1118">
        <v>44242</v>
      </c>
      <c r="C2" s="1290" t="s">
        <v>69</v>
      </c>
      <c r="D2" s="688">
        <v>0.67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90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90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140</v>
      </c>
      <c r="B15" s="877"/>
      <c r="C15" s="877"/>
      <c r="D15" s="600" t="s">
        <v>141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72" t="s">
        <v>143</v>
      </c>
      <c r="B18" s="1473"/>
      <c r="C18" s="1474"/>
      <c r="D18" s="715" t="s">
        <v>144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>
      <c r="A19" s="1472" t="s">
        <v>71</v>
      </c>
      <c r="B19" s="1473"/>
      <c r="C19" s="1474"/>
      <c r="D19" s="715" t="s">
        <v>144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8" t="s">
        <v>147</v>
      </c>
      <c r="B22" s="666"/>
      <c r="C22" s="666"/>
      <c r="D22" s="599" t="s">
        <v>148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8" t="s">
        <v>149</v>
      </c>
      <c r="B23" s="666"/>
      <c r="C23" s="666"/>
      <c r="D23" s="599" t="s">
        <v>148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7"/>
      <c r="P33" s="413"/>
    </row>
    <row r="34" spans="1:16">
      <c r="A34" s="675" t="s">
        <v>163</v>
      </c>
      <c r="B34" s="1293"/>
      <c r="C34" s="1293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>
      <c r="A48" s="675" t="s">
        <v>177</v>
      </c>
      <c r="B48" s="1293"/>
      <c r="C48" s="1293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>
      <c r="A64" s="1416" t="s">
        <v>99</v>
      </c>
      <c r="B64" s="1417"/>
      <c r="C64" s="1418"/>
      <c r="D64" s="599" t="s">
        <v>187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>
      <c r="A65" s="1416" t="s">
        <v>100</v>
      </c>
      <c r="B65" s="1417"/>
      <c r="C65" s="1418"/>
      <c r="D65" s="599" t="s">
        <v>187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>
      <c r="A66" s="1416" t="s">
        <v>101</v>
      </c>
      <c r="B66" s="1417"/>
      <c r="C66" s="1418"/>
      <c r="D66" s="599" t="s">
        <v>187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>
      <c r="A67" s="1416" t="s">
        <v>102</v>
      </c>
      <c r="B67" s="1417"/>
      <c r="C67" s="1418"/>
      <c r="D67" s="599" t="s">
        <v>187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>
      <c r="A68" s="1416" t="s">
        <v>103</v>
      </c>
      <c r="B68" s="1417"/>
      <c r="C68" s="1418"/>
      <c r="D68" s="599" t="s">
        <v>187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>
      <c r="A69" s="1416" t="s">
        <v>104</v>
      </c>
      <c r="B69" s="1417"/>
      <c r="C69" s="1418"/>
      <c r="D69" s="599" t="s">
        <v>187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7"/>
      <c r="P71" s="413"/>
    </row>
    <row r="72" spans="1:16" ht="27.75">
      <c r="A72" s="1416" t="s">
        <v>191</v>
      </c>
      <c r="B72" s="1417"/>
      <c r="C72" s="1418"/>
      <c r="D72" s="599" t="s">
        <v>187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>
      <c r="A73" s="1416" t="s">
        <v>192</v>
      </c>
      <c r="B73" s="1417"/>
      <c r="C73" s="1418"/>
      <c r="D73" s="599" t="s">
        <v>187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>
      <c r="A74" s="1416" t="s">
        <v>193</v>
      </c>
      <c r="B74" s="1417"/>
      <c r="C74" s="1418"/>
      <c r="D74" s="599" t="s">
        <v>187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>
      <c r="A75" s="1465" t="s">
        <v>194</v>
      </c>
      <c r="B75" s="1466"/>
      <c r="C75" s="1467"/>
      <c r="D75" s="599" t="s">
        <v>187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>
      <c r="A76" s="1465" t="s">
        <v>195</v>
      </c>
      <c r="B76" s="1466"/>
      <c r="C76" s="1467"/>
      <c r="D76" s="599" t="s">
        <v>187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>
      <c r="A77" s="1416" t="s">
        <v>196</v>
      </c>
      <c r="B77" s="1417"/>
      <c r="C77" s="1418"/>
      <c r="D77" s="599" t="s">
        <v>187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>
      <c r="A78" s="1291" t="s">
        <v>197</v>
      </c>
      <c r="B78" s="1284"/>
      <c r="C78" s="1284"/>
      <c r="D78" s="599" t="s">
        <v>187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>
      <c r="A79" s="1465" t="s">
        <v>92</v>
      </c>
      <c r="B79" s="1466"/>
      <c r="C79" s="1467"/>
      <c r="D79" s="600" t="s">
        <v>187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>
      <c r="A80" s="1465" t="s">
        <v>198</v>
      </c>
      <c r="B80" s="1466"/>
      <c r="C80" s="1467"/>
      <c r="D80" s="600" t="s">
        <v>187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>
      <c r="A81" s="1465" t="s">
        <v>199</v>
      </c>
      <c r="B81" s="1466"/>
      <c r="C81" s="1467"/>
      <c r="D81" s="600" t="s">
        <v>187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>
      <c r="A82" s="1479" t="s">
        <v>93</v>
      </c>
      <c r="B82" s="1480"/>
      <c r="C82" s="1481"/>
      <c r="D82" s="561" t="s">
        <v>132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6"/>
      <c r="L82" s="1307"/>
      <c r="N82" s="804"/>
      <c r="O82" s="808"/>
      <c r="P82" s="803"/>
    </row>
    <row r="83" spans="1:16" ht="27.75">
      <c r="A83" s="1465" t="s">
        <v>200</v>
      </c>
      <c r="B83" s="1466"/>
      <c r="C83" s="1467"/>
      <c r="D83" s="697" t="s">
        <v>132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>
      <c r="A84" s="1292" t="s">
        <v>201</v>
      </c>
      <c r="B84" s="648"/>
      <c r="C84" s="648"/>
      <c r="D84" s="554" t="s">
        <v>132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205</v>
      </c>
      <c r="B91" s="1294"/>
      <c r="C91" s="1294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19" t="s">
        <v>206</v>
      </c>
      <c r="B92" s="1420"/>
      <c r="C92" s="1421"/>
      <c r="D92" s="599" t="s">
        <v>144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>
      <c r="A93" s="1419" t="s">
        <v>207</v>
      </c>
      <c r="B93" s="1420"/>
      <c r="C93" s="1421"/>
      <c r="D93" s="599" t="s">
        <v>144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>
      <c r="A94" s="1413" t="s">
        <v>208</v>
      </c>
      <c r="B94" s="1414"/>
      <c r="C94" s="1415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>
      <c r="A95" s="1419" t="s">
        <v>209</v>
      </c>
      <c r="B95" s="1420"/>
      <c r="C95" s="1421"/>
      <c r="D95" s="599" t="s">
        <v>144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>
      <c r="A96" s="1288" t="s">
        <v>210</v>
      </c>
      <c r="B96" s="1289"/>
      <c r="C96" s="1289"/>
      <c r="D96" s="599" t="s">
        <v>144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>
      <c r="A97" s="1288" t="s">
        <v>211</v>
      </c>
      <c r="B97" s="1289"/>
      <c r="C97" s="1289"/>
      <c r="D97" s="599" t="s">
        <v>144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>
      <c r="A98" s="1288" t="s">
        <v>212</v>
      </c>
      <c r="B98" s="1289"/>
      <c r="C98" s="1289"/>
      <c r="D98" s="599" t="s">
        <v>144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>
      <c r="A99" s="1288" t="s">
        <v>213</v>
      </c>
      <c r="B99" s="1289"/>
      <c r="C99" s="1289"/>
      <c r="D99" s="599" t="s">
        <v>144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>
      <c r="A100" s="1288" t="s">
        <v>214</v>
      </c>
      <c r="B100" s="1289"/>
      <c r="C100" s="1289"/>
      <c r="D100" s="599" t="s">
        <v>144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24" t="s">
        <v>219</v>
      </c>
      <c r="B104" s="1425"/>
      <c r="C104" s="1287"/>
      <c r="D104" s="699" t="s">
        <v>144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>
      <c r="A105" s="1424" t="s">
        <v>77</v>
      </c>
      <c r="B105" s="1425"/>
      <c r="C105" s="1287"/>
      <c r="D105" s="699" t="s">
        <v>144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>
      <c r="A107" s="1427" t="s">
        <v>202</v>
      </c>
      <c r="B107" s="1428"/>
      <c r="C107" s="1287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>
      <c r="A108" s="1429" t="s">
        <v>79</v>
      </c>
      <c r="B108" s="1430"/>
      <c r="C108" s="1287"/>
      <c r="D108" s="699" t="s">
        <v>144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24" t="s">
        <v>220</v>
      </c>
      <c r="B109" s="1425"/>
      <c r="C109" s="1287"/>
      <c r="D109" s="699" t="s">
        <v>144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>
      <c r="A110" s="1424" t="s">
        <v>221</v>
      </c>
      <c r="B110" s="1425"/>
      <c r="C110" s="1287"/>
      <c r="D110" s="699" t="s">
        <v>144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>
      <c r="A111" s="1424" t="s">
        <v>222</v>
      </c>
      <c r="B111" s="1425"/>
      <c r="C111" s="1287"/>
      <c r="D111" s="699" t="s">
        <v>144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>
      <c r="A112" s="1427" t="s">
        <v>110</v>
      </c>
      <c r="B112" s="1428"/>
      <c r="C112" s="1287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>
      <c r="A113" s="1429" t="s">
        <v>223</v>
      </c>
      <c r="B113" s="1430"/>
      <c r="C113" s="1287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>
      <c r="A118" s="1458" t="s">
        <v>227</v>
      </c>
      <c r="B118" s="1459"/>
      <c r="C118" s="1285"/>
      <c r="D118" s="701" t="s">
        <v>144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>
      <c r="A119" s="1458" t="s">
        <v>228</v>
      </c>
      <c r="B119" s="1459"/>
      <c r="C119" s="1285"/>
      <c r="D119" s="701" t="s">
        <v>144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>
      <c r="A120" s="1458" t="s">
        <v>229</v>
      </c>
      <c r="B120" s="1459"/>
      <c r="C120" s="1285"/>
      <c r="D120" s="701" t="s">
        <v>144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>
      <c r="A121" s="1460"/>
      <c r="B121" s="1461"/>
      <c r="C121" s="1286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8" t="s">
        <v>231</v>
      </c>
      <c r="B123" s="1289"/>
      <c r="C123" s="1289"/>
      <c r="D123" s="599" t="s">
        <v>141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>
      <c r="A124" s="1288" t="s">
        <v>232</v>
      </c>
      <c r="B124" s="1289"/>
      <c r="C124" s="1289"/>
      <c r="D124" s="599" t="s">
        <v>141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89"/>
      <c r="C126" s="1289"/>
      <c r="D126" s="599" t="s">
        <v>141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89"/>
      <c r="C127" s="1289"/>
      <c r="D127" s="599" t="s">
        <v>141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89"/>
      <c r="C128" s="1289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8" t="s">
        <v>238</v>
      </c>
      <c r="B130" s="1289"/>
      <c r="C130" s="1289"/>
      <c r="D130" s="599" t="s">
        <v>239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8" t="s">
        <v>240</v>
      </c>
      <c r="B131" s="1289"/>
      <c r="C131" s="1289"/>
      <c r="D131" s="599" t="s">
        <v>239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8" t="s">
        <v>241</v>
      </c>
      <c r="B132" s="1289"/>
      <c r="C132" s="1289"/>
      <c r="D132" s="599" t="s">
        <v>239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>
      <c r="A133" s="1288" t="s">
        <v>242</v>
      </c>
      <c r="B133" s="1289"/>
      <c r="C133" s="1289"/>
      <c r="D133" s="599" t="s">
        <v>239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88" t="s">
        <v>243</v>
      </c>
      <c r="B134" s="1289"/>
      <c r="C134" s="1289"/>
      <c r="D134" s="599" t="s">
        <v>239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>
      <c r="A135" s="1288" t="s">
        <v>244</v>
      </c>
      <c r="B135" s="1289"/>
      <c r="C135" s="1289"/>
      <c r="D135" s="599" t="s">
        <v>239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88" t="s">
        <v>245</v>
      </c>
      <c r="B136" s="1289"/>
      <c r="C136" s="1289"/>
      <c r="D136" s="599" t="s">
        <v>239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>
      <c r="A137" s="1288" t="s">
        <v>246</v>
      </c>
      <c r="B137" s="1289"/>
      <c r="C137" s="1289"/>
      <c r="D137" s="599" t="s">
        <v>239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>
      <c r="A138" s="1288" t="s">
        <v>247</v>
      </c>
      <c r="B138" s="1289"/>
      <c r="C138" s="1289"/>
      <c r="D138" s="599" t="s">
        <v>239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>
      <c r="A139" s="1288" t="s">
        <v>248</v>
      </c>
      <c r="B139" s="1289"/>
      <c r="C139" s="1289"/>
      <c r="D139" s="599" t="s">
        <v>239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>
      <c r="A140" s="1288" t="s">
        <v>249</v>
      </c>
      <c r="B140" s="1289"/>
      <c r="C140" s="1289"/>
      <c r="D140" s="599" t="s">
        <v>239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54" t="s">
        <v>250</v>
      </c>
      <c r="B141" s="1455"/>
      <c r="C141" s="1294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263</v>
      </c>
      <c r="B160" s="879"/>
      <c r="C160" s="879"/>
      <c r="D160" s="697" t="s">
        <v>187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8" t="s">
        <v>264</v>
      </c>
      <c r="B161" s="879"/>
      <c r="C161" s="879"/>
      <c r="D161" s="697" t="s">
        <v>187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>
      <c r="A162" s="878" t="s">
        <v>265</v>
      </c>
      <c r="B162" s="879"/>
      <c r="C162" s="879"/>
      <c r="D162" s="697" t="s">
        <v>187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>
      <c r="A163" s="878" t="s">
        <v>266</v>
      </c>
      <c r="B163" s="879"/>
      <c r="C163" s="879"/>
      <c r="D163" s="697" t="s">
        <v>187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>
      <c r="A164" s="880" t="s">
        <v>98</v>
      </c>
      <c r="B164" s="881"/>
      <c r="C164" s="881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188</v>
      </c>
      <c r="B165" s="881"/>
      <c r="C165" s="881"/>
      <c r="D165" s="697" t="s">
        <v>187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78" t="s">
        <v>99</v>
      </c>
      <c r="B166" s="1478"/>
      <c r="C166" s="1478"/>
      <c r="D166" s="600" t="s">
        <v>187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78" t="s">
        <v>100</v>
      </c>
      <c r="B167" s="1478"/>
      <c r="C167" s="1478"/>
      <c r="D167" s="600" t="s">
        <v>187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78" t="s">
        <v>101</v>
      </c>
      <c r="B168" s="1478"/>
      <c r="C168" s="1478"/>
      <c r="D168" s="600" t="s">
        <v>187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78" t="s">
        <v>102</v>
      </c>
      <c r="B169" s="1478"/>
      <c r="C169" s="1478"/>
      <c r="D169" s="600" t="s">
        <v>187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78" t="s">
        <v>103</v>
      </c>
      <c r="B170" s="1478"/>
      <c r="C170" s="1478"/>
      <c r="D170" s="600" t="s">
        <v>187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78" t="s">
        <v>104</v>
      </c>
      <c r="B171" s="1478"/>
      <c r="C171" s="1478"/>
      <c r="D171" s="600" t="s">
        <v>187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331</v>
      </c>
      <c r="B2" s="1118">
        <v>44243</v>
      </c>
      <c r="C2" s="1303" t="s">
        <v>69</v>
      </c>
      <c r="D2" s="688">
        <v>0.63449999999999995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303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3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140</v>
      </c>
      <c r="B15" s="877"/>
      <c r="C15" s="877"/>
      <c r="D15" s="600" t="s">
        <v>141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275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72" t="s">
        <v>143</v>
      </c>
      <c r="B18" s="1473"/>
      <c r="C18" s="1474"/>
      <c r="D18" s="715" t="s">
        <v>144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>
      <c r="A19" s="1472" t="s">
        <v>71</v>
      </c>
      <c r="B19" s="1473"/>
      <c r="C19" s="1474"/>
      <c r="D19" s="715" t="s">
        <v>144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6" t="s">
        <v>147</v>
      </c>
      <c r="B22" s="666"/>
      <c r="C22" s="666"/>
      <c r="D22" s="599" t="s">
        <v>148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6" t="s">
        <v>149</v>
      </c>
      <c r="B23" s="666"/>
      <c r="C23" s="666"/>
      <c r="D23" s="599" t="s">
        <v>148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7"/>
      <c r="P33" s="413"/>
    </row>
    <row r="34" spans="1:16">
      <c r="A34" s="675" t="s">
        <v>163</v>
      </c>
      <c r="B34" s="1298"/>
      <c r="C34" s="129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>
      <c r="A48" s="675" t="s">
        <v>177</v>
      </c>
      <c r="B48" s="1298"/>
      <c r="C48" s="129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>
      <c r="A64" s="1416" t="s">
        <v>99</v>
      </c>
      <c r="B64" s="1417"/>
      <c r="C64" s="1418"/>
      <c r="D64" s="599" t="s">
        <v>187</v>
      </c>
      <c r="E64" s="1320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>
      <c r="A65" s="1416" t="s">
        <v>100</v>
      </c>
      <c r="B65" s="1417"/>
      <c r="C65" s="1418"/>
      <c r="D65" s="599" t="s">
        <v>187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>
      <c r="A66" s="1416" t="s">
        <v>101</v>
      </c>
      <c r="B66" s="1417"/>
      <c r="C66" s="1418"/>
      <c r="D66" s="599" t="s">
        <v>187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>
      <c r="A67" s="1416" t="s">
        <v>102</v>
      </c>
      <c r="B67" s="1417"/>
      <c r="C67" s="1418"/>
      <c r="D67" s="599" t="s">
        <v>187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>
      <c r="A68" s="1416" t="s">
        <v>103</v>
      </c>
      <c r="B68" s="1417"/>
      <c r="C68" s="1418"/>
      <c r="D68" s="599" t="s">
        <v>187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>
      <c r="A69" s="1416" t="s">
        <v>104</v>
      </c>
      <c r="B69" s="1417"/>
      <c r="C69" s="1418"/>
      <c r="D69" s="599" t="s">
        <v>187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7"/>
      <c r="P71" s="413"/>
    </row>
    <row r="72" spans="1:16" ht="27.75">
      <c r="A72" s="1416" t="s">
        <v>191</v>
      </c>
      <c r="B72" s="1417"/>
      <c r="C72" s="1418"/>
      <c r="D72" s="599" t="s">
        <v>187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>
      <c r="A73" s="1416" t="s">
        <v>192</v>
      </c>
      <c r="B73" s="1417"/>
      <c r="C73" s="1418"/>
      <c r="D73" s="599" t="s">
        <v>187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>
      <c r="A74" s="1416" t="s">
        <v>193</v>
      </c>
      <c r="B74" s="1417"/>
      <c r="C74" s="1418"/>
      <c r="D74" s="599" t="s">
        <v>187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>
      <c r="A75" s="1465" t="s">
        <v>194</v>
      </c>
      <c r="B75" s="1466"/>
      <c r="C75" s="1467"/>
      <c r="D75" s="599" t="s">
        <v>187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>
      <c r="A76" s="1465" t="s">
        <v>195</v>
      </c>
      <c r="B76" s="1466"/>
      <c r="C76" s="1467"/>
      <c r="D76" s="599" t="s">
        <v>187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>
      <c r="A77" s="1416" t="s">
        <v>196</v>
      </c>
      <c r="B77" s="1417"/>
      <c r="C77" s="1418"/>
      <c r="D77" s="599" t="s">
        <v>187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>
      <c r="A78" s="1299" t="s">
        <v>197</v>
      </c>
      <c r="B78" s="1295"/>
      <c r="C78" s="1295"/>
      <c r="D78" s="599" t="s">
        <v>187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>
      <c r="A79" s="1465" t="s">
        <v>92</v>
      </c>
      <c r="B79" s="1466"/>
      <c r="C79" s="1467"/>
      <c r="D79" s="600" t="s">
        <v>187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>
      <c r="A80" s="1465" t="s">
        <v>198</v>
      </c>
      <c r="B80" s="1466"/>
      <c r="C80" s="1467"/>
      <c r="D80" s="600" t="s">
        <v>187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>
      <c r="A81" s="1465" t="s">
        <v>199</v>
      </c>
      <c r="B81" s="1466"/>
      <c r="C81" s="1467"/>
      <c r="D81" s="600" t="s">
        <v>187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>
      <c r="A82" s="1482" t="s">
        <v>93</v>
      </c>
      <c r="B82" s="1483"/>
      <c r="C82" s="1484"/>
      <c r="D82" s="703" t="s">
        <v>132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6"/>
      <c r="L82" s="1307"/>
      <c r="N82" s="804"/>
      <c r="O82" s="808"/>
      <c r="P82" s="803"/>
    </row>
    <row r="83" spans="1:16" ht="27.75">
      <c r="A83" s="1465" t="s">
        <v>200</v>
      </c>
      <c r="B83" s="1466"/>
      <c r="C83" s="1467"/>
      <c r="D83" s="697" t="s">
        <v>132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>
      <c r="A84" s="1302" t="s">
        <v>201</v>
      </c>
      <c r="B84" s="648"/>
      <c r="C84" s="648"/>
      <c r="D84" s="554" t="s">
        <v>132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205</v>
      </c>
      <c r="B91" s="1300"/>
      <c r="C91" s="130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19" t="s">
        <v>206</v>
      </c>
      <c r="B92" s="1420"/>
      <c r="C92" s="1421"/>
      <c r="D92" s="599" t="s">
        <v>144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>
      <c r="A93" s="1419" t="s">
        <v>207</v>
      </c>
      <c r="B93" s="1420"/>
      <c r="C93" s="1421"/>
      <c r="D93" s="599" t="s">
        <v>144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>
      <c r="A94" s="1413" t="s">
        <v>208</v>
      </c>
      <c r="B94" s="1414"/>
      <c r="C94" s="1415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>
      <c r="A95" s="1419" t="s">
        <v>209</v>
      </c>
      <c r="B95" s="1420"/>
      <c r="C95" s="1421"/>
      <c r="D95" s="599" t="s">
        <v>144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>
      <c r="A96" s="1296" t="s">
        <v>210</v>
      </c>
      <c r="B96" s="1297"/>
      <c r="C96" s="1297"/>
      <c r="D96" s="599" t="s">
        <v>144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>
      <c r="A97" s="1296" t="s">
        <v>211</v>
      </c>
      <c r="B97" s="1297"/>
      <c r="C97" s="1297"/>
      <c r="D97" s="599" t="s">
        <v>144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>
      <c r="A98" s="1296" t="s">
        <v>212</v>
      </c>
      <c r="B98" s="1297"/>
      <c r="C98" s="1297"/>
      <c r="D98" s="599" t="s">
        <v>144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>
      <c r="A99" s="1296" t="s">
        <v>213</v>
      </c>
      <c r="B99" s="1297"/>
      <c r="C99" s="1297"/>
      <c r="D99" s="599" t="s">
        <v>144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>
      <c r="A100" s="1296" t="s">
        <v>214</v>
      </c>
      <c r="B100" s="1297"/>
      <c r="C100" s="1297"/>
      <c r="D100" s="599" t="s">
        <v>144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24" t="s">
        <v>219</v>
      </c>
      <c r="B104" s="1425"/>
      <c r="C104" s="1301"/>
      <c r="D104" s="699" t="s">
        <v>144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>
      <c r="A105" s="1424" t="s">
        <v>77</v>
      </c>
      <c r="B105" s="1425"/>
      <c r="C105" s="1301"/>
      <c r="D105" s="699" t="s">
        <v>144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>
      <c r="A107" s="1427" t="s">
        <v>202</v>
      </c>
      <c r="B107" s="1428"/>
      <c r="C107" s="1301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>
      <c r="A108" s="1429" t="s">
        <v>79</v>
      </c>
      <c r="B108" s="1430"/>
      <c r="C108" s="1301"/>
      <c r="D108" s="699" t="s">
        <v>144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24" t="s">
        <v>220</v>
      </c>
      <c r="B109" s="1425"/>
      <c r="C109" s="1301"/>
      <c r="D109" s="699" t="s">
        <v>144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>
      <c r="A110" s="1424" t="s">
        <v>221</v>
      </c>
      <c r="B110" s="1425"/>
      <c r="C110" s="1301"/>
      <c r="D110" s="699" t="s">
        <v>144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>
      <c r="A111" s="1424" t="s">
        <v>222</v>
      </c>
      <c r="B111" s="1425"/>
      <c r="C111" s="1301"/>
      <c r="D111" s="699" t="s">
        <v>144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>
      <c r="A112" s="1427" t="s">
        <v>110</v>
      </c>
      <c r="B112" s="1428"/>
      <c r="C112" s="1301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>
      <c r="A113" s="1429" t="s">
        <v>223</v>
      </c>
      <c r="B113" s="1430"/>
      <c r="C113" s="1301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>
      <c r="A118" s="1458" t="s">
        <v>227</v>
      </c>
      <c r="B118" s="1459"/>
      <c r="C118" s="1304"/>
      <c r="D118" s="701" t="s">
        <v>144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>
      <c r="A119" s="1458" t="s">
        <v>228</v>
      </c>
      <c r="B119" s="1459"/>
      <c r="C119" s="1304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>
      <c r="A120" s="1458" t="s">
        <v>229</v>
      </c>
      <c r="B120" s="1459"/>
      <c r="C120" s="1304"/>
      <c r="D120" s="701" t="s">
        <v>144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>
      <c r="A121" s="1460"/>
      <c r="B121" s="1461"/>
      <c r="C121" s="1305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6" t="s">
        <v>231</v>
      </c>
      <c r="B123" s="1297"/>
      <c r="C123" s="1297"/>
      <c r="D123" s="599" t="s">
        <v>141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>
      <c r="A124" s="1296" t="s">
        <v>232</v>
      </c>
      <c r="B124" s="1297"/>
      <c r="C124" s="1297"/>
      <c r="D124" s="599" t="s">
        <v>141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97"/>
      <c r="C126" s="1297"/>
      <c r="D126" s="599" t="s">
        <v>141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97"/>
      <c r="C127" s="1297"/>
      <c r="D127" s="599" t="s">
        <v>141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97"/>
      <c r="C128" s="1297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6" t="s">
        <v>238</v>
      </c>
      <c r="B130" s="1297"/>
      <c r="C130" s="1297"/>
      <c r="D130" s="599" t="s">
        <v>239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6" t="s">
        <v>240</v>
      </c>
      <c r="B131" s="1297"/>
      <c r="C131" s="1297"/>
      <c r="D131" s="599" t="s">
        <v>239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6" t="s">
        <v>241</v>
      </c>
      <c r="B132" s="1297"/>
      <c r="C132" s="1297"/>
      <c r="D132" s="599" t="s">
        <v>239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>
      <c r="A133" s="1296" t="s">
        <v>242</v>
      </c>
      <c r="B133" s="1297"/>
      <c r="C133" s="1297"/>
      <c r="D133" s="599" t="s">
        <v>239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96" t="s">
        <v>243</v>
      </c>
      <c r="B134" s="1297"/>
      <c r="C134" s="1297"/>
      <c r="D134" s="599" t="s">
        <v>239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>
      <c r="A135" s="1296" t="s">
        <v>244</v>
      </c>
      <c r="B135" s="1297"/>
      <c r="C135" s="1297"/>
      <c r="D135" s="599" t="s">
        <v>239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96" t="s">
        <v>245</v>
      </c>
      <c r="B136" s="1297"/>
      <c r="C136" s="1297"/>
      <c r="D136" s="599" t="s">
        <v>239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>
      <c r="A137" s="1296" t="s">
        <v>246</v>
      </c>
      <c r="B137" s="1297"/>
      <c r="C137" s="1297"/>
      <c r="D137" s="599" t="s">
        <v>239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>
      <c r="A138" s="1296" t="s">
        <v>247</v>
      </c>
      <c r="B138" s="1297"/>
      <c r="C138" s="1297"/>
      <c r="D138" s="599" t="s">
        <v>239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>
      <c r="A139" s="1296" t="s">
        <v>248</v>
      </c>
      <c r="B139" s="1297"/>
      <c r="C139" s="1297"/>
      <c r="D139" s="599" t="s">
        <v>239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>
      <c r="A140" s="1296" t="s">
        <v>249</v>
      </c>
      <c r="B140" s="1297"/>
      <c r="C140" s="1297"/>
      <c r="D140" s="599" t="s">
        <v>239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54" t="s">
        <v>315</v>
      </c>
      <c r="B141" s="1455"/>
      <c r="C141" s="130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263</v>
      </c>
      <c r="B160" s="879"/>
      <c r="C160" s="879"/>
      <c r="D160" s="697" t="s">
        <v>187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8" t="s">
        <v>264</v>
      </c>
      <c r="B161" s="879"/>
      <c r="C161" s="879"/>
      <c r="D161" s="697" t="s">
        <v>187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>
      <c r="A162" s="878" t="s">
        <v>265</v>
      </c>
      <c r="B162" s="879"/>
      <c r="C162" s="879"/>
      <c r="D162" s="697" t="s">
        <v>187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>
      <c r="A163" s="878" t="s">
        <v>266</v>
      </c>
      <c r="B163" s="879"/>
      <c r="C163" s="879"/>
      <c r="D163" s="697" t="s">
        <v>187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>
      <c r="A164" s="880" t="s">
        <v>98</v>
      </c>
      <c r="B164" s="881"/>
      <c r="C164" s="881"/>
      <c r="D164" s="697" t="s">
        <v>187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188</v>
      </c>
      <c r="B165" s="881"/>
      <c r="C165" s="881"/>
      <c r="D165" s="697" t="s">
        <v>187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78" t="s">
        <v>99</v>
      </c>
      <c r="B166" s="1478"/>
      <c r="C166" s="1478"/>
      <c r="D166" s="600" t="s">
        <v>187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78" t="s">
        <v>100</v>
      </c>
      <c r="B167" s="1478"/>
      <c r="C167" s="1478"/>
      <c r="D167" s="600" t="s">
        <v>187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78" t="s">
        <v>101</v>
      </c>
      <c r="B168" s="1478"/>
      <c r="C168" s="1478"/>
      <c r="D168" s="600" t="s">
        <v>187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78" t="s">
        <v>102</v>
      </c>
      <c r="B169" s="1478"/>
      <c r="C169" s="1478"/>
      <c r="D169" s="600" t="s">
        <v>187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78" t="s">
        <v>103</v>
      </c>
      <c r="B170" s="1478"/>
      <c r="C170" s="1478"/>
      <c r="D170" s="600" t="s">
        <v>187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78" t="s">
        <v>104</v>
      </c>
      <c r="B171" s="1478"/>
      <c r="C171" s="1478"/>
      <c r="D171" s="600" t="s">
        <v>187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6" s="281" customFormat="1" ht="27">
      <c r="A2" s="652" t="s">
        <v>317</v>
      </c>
      <c r="B2" s="1118">
        <v>44244</v>
      </c>
      <c r="C2" s="1315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315" t="s">
        <v>120</v>
      </c>
      <c r="D3" s="689">
        <v>28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5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140</v>
      </c>
      <c r="B15" s="877"/>
      <c r="C15" s="877"/>
      <c r="D15" s="600" t="s">
        <v>141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72" t="s">
        <v>143</v>
      </c>
      <c r="B18" s="1473"/>
      <c r="C18" s="1474"/>
      <c r="D18" s="715" t="s">
        <v>144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>
      <c r="A19" s="1472" t="s">
        <v>71</v>
      </c>
      <c r="B19" s="1473"/>
      <c r="C19" s="1474"/>
      <c r="D19" s="715" t="s">
        <v>144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3" t="s">
        <v>147</v>
      </c>
      <c r="B22" s="666"/>
      <c r="C22" s="666"/>
      <c r="D22" s="599" t="s">
        <v>148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3" t="s">
        <v>149</v>
      </c>
      <c r="B23" s="666"/>
      <c r="C23" s="666"/>
      <c r="D23" s="599" t="s">
        <v>148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800"/>
      <c r="O33" s="807"/>
      <c r="P33" s="413"/>
    </row>
    <row r="34" spans="1:16">
      <c r="A34" s="675" t="s">
        <v>163</v>
      </c>
      <c r="B34" s="1318"/>
      <c r="C34" s="131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>
      <c r="A48" s="675" t="s">
        <v>177</v>
      </c>
      <c r="B48" s="1318"/>
      <c r="C48" s="131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>
      <c r="A64" s="1416" t="s">
        <v>99</v>
      </c>
      <c r="B64" s="1417"/>
      <c r="C64" s="1418"/>
      <c r="D64" s="599" t="s">
        <v>187</v>
      </c>
      <c r="E64" s="1320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>
      <c r="A65" s="1416" t="s">
        <v>100</v>
      </c>
      <c r="B65" s="1417"/>
      <c r="C65" s="1418"/>
      <c r="D65" s="599" t="s">
        <v>187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>
      <c r="A66" s="1416" t="s">
        <v>101</v>
      </c>
      <c r="B66" s="1417"/>
      <c r="C66" s="1418"/>
      <c r="D66" s="599" t="s">
        <v>187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>
      <c r="A67" s="1416" t="s">
        <v>102</v>
      </c>
      <c r="B67" s="1417"/>
      <c r="C67" s="1418"/>
      <c r="D67" s="599" t="s">
        <v>187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>
      <c r="A68" s="1416" t="s">
        <v>103</v>
      </c>
      <c r="B68" s="1417"/>
      <c r="C68" s="1418"/>
      <c r="D68" s="599" t="s">
        <v>187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>
      <c r="A69" s="1416" t="s">
        <v>104</v>
      </c>
      <c r="B69" s="1417"/>
      <c r="C69" s="1418"/>
      <c r="D69" s="599" t="s">
        <v>187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800"/>
      <c r="O71" s="807"/>
      <c r="P71" s="413"/>
    </row>
    <row r="72" spans="1:16" ht="27.75">
      <c r="A72" s="1416" t="s">
        <v>191</v>
      </c>
      <c r="B72" s="1417"/>
      <c r="C72" s="1418"/>
      <c r="D72" s="599" t="s">
        <v>187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>
      <c r="A73" s="1416" t="s">
        <v>192</v>
      </c>
      <c r="B73" s="1417"/>
      <c r="C73" s="1418"/>
      <c r="D73" s="599" t="s">
        <v>187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>
      <c r="A74" s="1416" t="s">
        <v>193</v>
      </c>
      <c r="B74" s="1417"/>
      <c r="C74" s="1418"/>
      <c r="D74" s="599" t="s">
        <v>187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>
      <c r="A75" s="1465" t="s">
        <v>194</v>
      </c>
      <c r="B75" s="1466"/>
      <c r="C75" s="1467"/>
      <c r="D75" s="599" t="s">
        <v>187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>
      <c r="A76" s="1465" t="s">
        <v>195</v>
      </c>
      <c r="B76" s="1466"/>
      <c r="C76" s="1467"/>
      <c r="D76" s="599" t="s">
        <v>187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>
      <c r="A77" s="1416" t="s">
        <v>196</v>
      </c>
      <c r="B77" s="1417"/>
      <c r="C77" s="1418"/>
      <c r="D77" s="599" t="s">
        <v>187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>
      <c r="A78" s="1316" t="s">
        <v>197</v>
      </c>
      <c r="B78" s="1309"/>
      <c r="C78" s="1309"/>
      <c r="D78" s="599" t="s">
        <v>187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>
      <c r="A79" s="1465" t="s">
        <v>92</v>
      </c>
      <c r="B79" s="1466"/>
      <c r="C79" s="1467"/>
      <c r="D79" s="600" t="s">
        <v>187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>
      <c r="A80" s="1465" t="s">
        <v>198</v>
      </c>
      <c r="B80" s="1466"/>
      <c r="C80" s="1467"/>
      <c r="D80" s="600" t="s">
        <v>187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>
      <c r="A81" s="1465" t="s">
        <v>199</v>
      </c>
      <c r="B81" s="1466"/>
      <c r="C81" s="1467"/>
      <c r="D81" s="600" t="s">
        <v>187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>
      <c r="A82" s="1482" t="s">
        <v>93</v>
      </c>
      <c r="B82" s="1483"/>
      <c r="C82" s="1484"/>
      <c r="D82" s="703" t="s">
        <v>132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6"/>
      <c r="L82" s="1307"/>
      <c r="N82" s="804"/>
      <c r="O82" s="808"/>
      <c r="P82" s="803"/>
    </row>
    <row r="83" spans="1:16" ht="27.75">
      <c r="A83" s="1465" t="s">
        <v>200</v>
      </c>
      <c r="B83" s="1466"/>
      <c r="C83" s="1467"/>
      <c r="D83" s="697" t="s">
        <v>132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>
      <c r="A84" s="1317" t="s">
        <v>201</v>
      </c>
      <c r="B84" s="648"/>
      <c r="C84" s="648"/>
      <c r="D84" s="554" t="s">
        <v>132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205</v>
      </c>
      <c r="B91" s="1319"/>
      <c r="C91" s="131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19" t="s">
        <v>206</v>
      </c>
      <c r="B92" s="1420"/>
      <c r="C92" s="1421"/>
      <c r="D92" s="599" t="s">
        <v>144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>
      <c r="A93" s="1419" t="s">
        <v>207</v>
      </c>
      <c r="B93" s="1420"/>
      <c r="C93" s="1421"/>
      <c r="D93" s="599" t="s">
        <v>144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>
      <c r="A94" s="1413" t="s">
        <v>208</v>
      </c>
      <c r="B94" s="1414"/>
      <c r="C94" s="1415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>
      <c r="A95" s="1419" t="s">
        <v>209</v>
      </c>
      <c r="B95" s="1420"/>
      <c r="C95" s="1421"/>
      <c r="D95" s="599" t="s">
        <v>144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>
      <c r="A96" s="1313" t="s">
        <v>210</v>
      </c>
      <c r="B96" s="1314"/>
      <c r="C96" s="1314"/>
      <c r="D96" s="599" t="s">
        <v>144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>
      <c r="A97" s="1313" t="s">
        <v>211</v>
      </c>
      <c r="B97" s="1314"/>
      <c r="C97" s="1314"/>
      <c r="D97" s="599" t="s">
        <v>144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>
      <c r="A98" s="1313" t="s">
        <v>212</v>
      </c>
      <c r="B98" s="1314"/>
      <c r="C98" s="1314"/>
      <c r="D98" s="599" t="s">
        <v>144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>
      <c r="A99" s="1313" t="s">
        <v>213</v>
      </c>
      <c r="B99" s="1314"/>
      <c r="C99" s="1314"/>
      <c r="D99" s="599" t="s">
        <v>144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>
      <c r="A100" s="1313" t="s">
        <v>214</v>
      </c>
      <c r="B100" s="1314"/>
      <c r="C100" s="1314"/>
      <c r="D100" s="599" t="s">
        <v>144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>
      <c r="A101" s="1413" t="s">
        <v>216</v>
      </c>
      <c r="B101" s="1414"/>
      <c r="C101" s="1415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22" t="s">
        <v>218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24" t="s">
        <v>219</v>
      </c>
      <c r="B104" s="1425"/>
      <c r="C104" s="1312"/>
      <c r="D104" s="699" t="s">
        <v>144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>
      <c r="A105" s="1424" t="s">
        <v>77</v>
      </c>
      <c r="B105" s="1425"/>
      <c r="C105" s="1312"/>
      <c r="D105" s="699" t="s">
        <v>144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>
      <c r="A106" s="1424" t="s">
        <v>78</v>
      </c>
      <c r="B106" s="1426"/>
      <c r="C106" s="1425"/>
      <c r="D106" s="699" t="s">
        <v>144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>
      <c r="A107" s="1427" t="s">
        <v>202</v>
      </c>
      <c r="B107" s="1428"/>
      <c r="C107" s="1312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>
      <c r="A108" s="1429" t="s">
        <v>79</v>
      </c>
      <c r="B108" s="1430"/>
      <c r="C108" s="1312"/>
      <c r="D108" s="699" t="s">
        <v>144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24" t="s">
        <v>220</v>
      </c>
      <c r="B109" s="1425"/>
      <c r="C109" s="1312"/>
      <c r="D109" s="699" t="s">
        <v>144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>
      <c r="A110" s="1424" t="s">
        <v>221</v>
      </c>
      <c r="B110" s="1425"/>
      <c r="C110" s="1312"/>
      <c r="D110" s="699" t="s">
        <v>144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>
      <c r="A111" s="1424" t="s">
        <v>222</v>
      </c>
      <c r="B111" s="1425"/>
      <c r="C111" s="1312"/>
      <c r="D111" s="699" t="s">
        <v>144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>
      <c r="A112" s="1427" t="s">
        <v>110</v>
      </c>
      <c r="B112" s="1428"/>
      <c r="C112" s="1312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>
      <c r="A113" s="1429" t="s">
        <v>223</v>
      </c>
      <c r="B113" s="1430"/>
      <c r="C113" s="1312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24" t="s">
        <v>224</v>
      </c>
      <c r="B114" s="1425"/>
      <c r="C114" s="651"/>
      <c r="D114" s="699" t="s">
        <v>144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424" t="s">
        <v>225</v>
      </c>
      <c r="B115" s="1425"/>
      <c r="C115" s="651"/>
      <c r="D115" s="699" t="s">
        <v>144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>
      <c r="A118" s="1458" t="s">
        <v>227</v>
      </c>
      <c r="B118" s="1459"/>
      <c r="C118" s="1310"/>
      <c r="D118" s="701" t="s">
        <v>144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>
      <c r="A119" s="1458" t="s">
        <v>228</v>
      </c>
      <c r="B119" s="1459"/>
      <c r="C119" s="1310"/>
      <c r="D119" s="701" t="s">
        <v>144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>
      <c r="A120" s="1458" t="s">
        <v>229</v>
      </c>
      <c r="B120" s="1459"/>
      <c r="C120" s="1310"/>
      <c r="D120" s="701" t="s">
        <v>144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>
      <c r="A121" s="1460"/>
      <c r="B121" s="1461"/>
      <c r="C121" s="1311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3" t="s">
        <v>231</v>
      </c>
      <c r="B123" s="1314"/>
      <c r="C123" s="1314"/>
      <c r="D123" s="599" t="s">
        <v>141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>
      <c r="A124" s="1313" t="s">
        <v>232</v>
      </c>
      <c r="B124" s="1314"/>
      <c r="C124" s="1314"/>
      <c r="D124" s="599" t="s">
        <v>141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>
      <c r="A125" s="1416" t="s">
        <v>233</v>
      </c>
      <c r="B125" s="1417"/>
      <c r="C125" s="1418"/>
      <c r="D125" s="599" t="s">
        <v>141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314"/>
      <c r="C126" s="1314"/>
      <c r="D126" s="599" t="s">
        <v>141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314"/>
      <c r="C127" s="1314"/>
      <c r="D127" s="599" t="s">
        <v>141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314"/>
      <c r="C128" s="1314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3" t="s">
        <v>238</v>
      </c>
      <c r="B130" s="1314"/>
      <c r="C130" s="1314"/>
      <c r="D130" s="599" t="s">
        <v>239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3" t="s">
        <v>240</v>
      </c>
      <c r="B131" s="1314"/>
      <c r="C131" s="1314"/>
      <c r="D131" s="599" t="s">
        <v>239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3" t="s">
        <v>241</v>
      </c>
      <c r="B132" s="1314"/>
      <c r="C132" s="1314"/>
      <c r="D132" s="599" t="s">
        <v>239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>
      <c r="A133" s="1313" t="s">
        <v>242</v>
      </c>
      <c r="B133" s="1314"/>
      <c r="C133" s="1314"/>
      <c r="D133" s="599" t="s">
        <v>239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>
      <c r="A134" s="1313" t="s">
        <v>243</v>
      </c>
      <c r="B134" s="1314"/>
      <c r="C134" s="1314"/>
      <c r="D134" s="599" t="s">
        <v>239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>
      <c r="A135" s="1313" t="s">
        <v>244</v>
      </c>
      <c r="B135" s="1314"/>
      <c r="C135" s="1314"/>
      <c r="D135" s="599" t="s">
        <v>239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313" t="s">
        <v>245</v>
      </c>
      <c r="B136" s="1314"/>
      <c r="C136" s="1314"/>
      <c r="D136" s="599" t="s">
        <v>239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>
      <c r="A137" s="1313" t="s">
        <v>246</v>
      </c>
      <c r="B137" s="1314"/>
      <c r="C137" s="1314"/>
      <c r="D137" s="599" t="s">
        <v>239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>
      <c r="A138" s="1313" t="s">
        <v>247</v>
      </c>
      <c r="B138" s="1314"/>
      <c r="C138" s="1314"/>
      <c r="D138" s="599" t="s">
        <v>239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>
      <c r="A139" s="1313" t="s">
        <v>248</v>
      </c>
      <c r="B139" s="1314"/>
      <c r="C139" s="1314"/>
      <c r="D139" s="599" t="s">
        <v>239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>
      <c r="A140" s="1313" t="s">
        <v>249</v>
      </c>
      <c r="B140" s="1314"/>
      <c r="C140" s="1314"/>
      <c r="D140" s="599" t="s">
        <v>239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54" t="s">
        <v>250</v>
      </c>
      <c r="B141" s="1455"/>
      <c r="C141" s="131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263</v>
      </c>
      <c r="B160" s="879"/>
      <c r="C160" s="879"/>
      <c r="D160" s="697" t="s">
        <v>187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8" t="s">
        <v>264</v>
      </c>
      <c r="B161" s="879"/>
      <c r="C161" s="879"/>
      <c r="D161" s="697" t="s">
        <v>187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>
      <c r="A162" s="878" t="s">
        <v>265</v>
      </c>
      <c r="B162" s="879"/>
      <c r="C162" s="879"/>
      <c r="D162" s="697" t="s">
        <v>187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>
      <c r="A163" s="878" t="s">
        <v>266</v>
      </c>
      <c r="B163" s="879"/>
      <c r="C163" s="879"/>
      <c r="D163" s="697" t="s">
        <v>187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>
      <c r="A164" s="880" t="s">
        <v>98</v>
      </c>
      <c r="B164" s="881"/>
      <c r="C164" s="881"/>
      <c r="D164" s="697" t="s">
        <v>187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80" t="s">
        <v>188</v>
      </c>
      <c r="B165" s="881"/>
      <c r="C165" s="881"/>
      <c r="D165" s="697" t="s">
        <v>187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78" t="s">
        <v>99</v>
      </c>
      <c r="B166" s="1478"/>
      <c r="C166" s="1478"/>
      <c r="D166" s="600" t="s">
        <v>187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78" t="s">
        <v>100</v>
      </c>
      <c r="B167" s="1478"/>
      <c r="C167" s="1478"/>
      <c r="D167" s="600" t="s">
        <v>187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78" t="s">
        <v>101</v>
      </c>
      <c r="B168" s="1478"/>
      <c r="C168" s="1478"/>
      <c r="D168" s="600" t="s">
        <v>187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78" t="s">
        <v>102</v>
      </c>
      <c r="B169" s="1478"/>
      <c r="C169" s="1478"/>
      <c r="D169" s="600" t="s">
        <v>187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78" t="s">
        <v>103</v>
      </c>
      <c r="B170" s="1478"/>
      <c r="C170" s="1478"/>
      <c r="D170" s="600" t="s">
        <v>187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78" t="s">
        <v>104</v>
      </c>
      <c r="B171" s="1478"/>
      <c r="C171" s="1478"/>
      <c r="D171" s="600" t="s">
        <v>187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31" zoomScale="55" zoomScaleNormal="68" zoomScaleSheetLayoutView="55" workbookViewId="0">
      <selection activeCell="G41" activeCellId="1" sqref="G55:G56 G41:G42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85" t="s">
        <v>117</v>
      </c>
      <c r="B1" s="1485"/>
      <c r="C1" s="1485"/>
      <c r="D1" s="1485"/>
      <c r="E1" s="1485"/>
      <c r="F1" s="1485"/>
      <c r="G1" s="1485"/>
      <c r="H1" s="1485"/>
      <c r="I1" s="1485"/>
      <c r="J1" s="1485"/>
    </row>
    <row r="2" spans="1:12" ht="23.25" customHeight="1">
      <c r="A2" s="282" t="s">
        <v>316</v>
      </c>
      <c r="B2" s="1200">
        <v>44245</v>
      </c>
      <c r="C2" s="419" t="s">
        <v>69</v>
      </c>
      <c r="D2" s="284">
        <v>0.46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220" t="s">
        <v>120</v>
      </c>
      <c r="D3" s="418">
        <v>29</v>
      </c>
      <c r="E3" s="1492" t="s">
        <v>121</v>
      </c>
      <c r="F3" s="1493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122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304" t="s">
        <v>127</v>
      </c>
      <c r="I5" s="305" t="s">
        <v>128</v>
      </c>
      <c r="J5" s="303" t="s">
        <v>129</v>
      </c>
      <c r="K5" s="306"/>
      <c r="L5" s="293"/>
    </row>
    <row r="6" spans="1:12" ht="23.25" customHeight="1">
      <c r="A6" s="1486" t="s">
        <v>130</v>
      </c>
      <c r="B6" s="1487"/>
      <c r="C6" s="1488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131</v>
      </c>
      <c r="B7" s="309"/>
      <c r="C7" s="310"/>
      <c r="D7" s="311" t="s">
        <v>132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>
      <c r="A8" s="316" t="s">
        <v>133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>
      <c r="A9" s="322" t="s">
        <v>134</v>
      </c>
      <c r="B9" s="323"/>
      <c r="C9" s="324"/>
      <c r="D9" s="268" t="s">
        <v>132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>
      <c r="A10" s="327" t="s">
        <v>135</v>
      </c>
      <c r="B10" s="328"/>
      <c r="C10" s="329"/>
      <c r="D10" s="268" t="s">
        <v>132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>
      <c r="A11" s="327" t="s">
        <v>136</v>
      </c>
      <c r="B11" s="328"/>
      <c r="C11" s="329"/>
      <c r="D11" s="268" t="s">
        <v>132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>
      <c r="A12" s="327" t="s">
        <v>137</v>
      </c>
      <c r="B12" s="328"/>
      <c r="C12" s="329"/>
      <c r="D12" s="268" t="s">
        <v>132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>
      <c r="A13" s="437" t="s">
        <v>138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>
      <c r="A14" s="1489" t="s">
        <v>139</v>
      </c>
      <c r="B14" s="1490"/>
      <c r="C14" s="1491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140</v>
      </c>
      <c r="B15" s="332"/>
      <c r="C15" s="333"/>
      <c r="D15" s="311" t="s">
        <v>141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>
      <c r="A17" s="1489" t="s">
        <v>142</v>
      </c>
      <c r="B17" s="1490"/>
      <c r="C17" s="1491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94" t="s">
        <v>143</v>
      </c>
      <c r="B18" s="1495"/>
      <c r="C18" s="1496"/>
      <c r="D18" s="268" t="s">
        <v>144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>
      <c r="A19" s="1494" t="s">
        <v>71</v>
      </c>
      <c r="B19" s="1495"/>
      <c r="C19" s="1496"/>
      <c r="D19" s="268" t="s">
        <v>144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>
      <c r="A20" s="437" t="s">
        <v>145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>
      <c r="A21" s="1489" t="s">
        <v>146</v>
      </c>
      <c r="B21" s="1490"/>
      <c r="C21" s="1491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2" t="s">
        <v>147</v>
      </c>
      <c r="B22" s="1213"/>
      <c r="C22" s="1214"/>
      <c r="D22" s="268" t="s">
        <v>148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2" t="s">
        <v>149</v>
      </c>
      <c r="B23" s="1213"/>
      <c r="C23" s="1214"/>
      <c r="D23" s="268" t="s">
        <v>148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>
      <c r="A24" s="440" t="s">
        <v>150</v>
      </c>
      <c r="B24" s="441"/>
      <c r="C24" s="442"/>
      <c r="D24" s="269" t="s">
        <v>148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500" t="s">
        <v>151</v>
      </c>
      <c r="B25" s="1501"/>
      <c r="C25" s="1502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152</v>
      </c>
      <c r="B26" s="346"/>
      <c r="C26" s="347"/>
      <c r="D26" s="348" t="s">
        <v>153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>
      <c r="A28" s="345" t="s">
        <v>154</v>
      </c>
      <c r="B28" s="346"/>
      <c r="C28" s="347"/>
      <c r="D28" s="352" t="s">
        <v>155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>
      <c r="A30" s="345" t="s">
        <v>158</v>
      </c>
      <c r="B30" s="346"/>
      <c r="C30" s="347"/>
      <c r="D30" s="352" t="s">
        <v>159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>
      <c r="A31" s="345" t="s">
        <v>160</v>
      </c>
      <c r="B31" s="346"/>
      <c r="C31" s="347"/>
      <c r="D31" s="352" t="s">
        <v>144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>
      <c r="A32" s="443" t="s">
        <v>161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>
      <c r="A33" s="1497" t="s">
        <v>162</v>
      </c>
      <c r="B33" s="1498"/>
      <c r="C33" s="1498"/>
      <c r="D33" s="1498"/>
      <c r="E33" s="1498"/>
      <c r="F33" s="1498"/>
      <c r="G33" s="1498"/>
      <c r="H33" s="1498"/>
      <c r="I33" s="1498"/>
      <c r="J33" s="1499"/>
      <c r="K33" s="315"/>
      <c r="L33" s="293"/>
    </row>
    <row r="34" spans="1:12" ht="23.25" customHeight="1">
      <c r="A34" s="1207" t="s">
        <v>163</v>
      </c>
      <c r="B34" s="1208"/>
      <c r="C34" s="1209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164</v>
      </c>
      <c r="B35" s="328"/>
      <c r="C35" s="329"/>
      <c r="D35" s="268" t="s">
        <v>132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>
      <c r="A36" s="327" t="s">
        <v>165</v>
      </c>
      <c r="B36" s="328"/>
      <c r="C36" s="329"/>
      <c r="D36" s="268" t="s">
        <v>132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>
      <c r="A37" s="327" t="s">
        <v>166</v>
      </c>
      <c r="B37" s="328"/>
      <c r="C37" s="329"/>
      <c r="D37" s="268" t="s">
        <v>132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>
      <c r="A38" s="327" t="s">
        <v>167</v>
      </c>
      <c r="B38" s="328"/>
      <c r="C38" s="329"/>
      <c r="D38" s="268" t="s">
        <v>132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>
      <c r="A39" s="327" t="s">
        <v>168</v>
      </c>
      <c r="B39" s="328"/>
      <c r="C39" s="329"/>
      <c r="D39" s="268" t="s">
        <v>132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>
      <c r="A40" s="362" t="s">
        <v>169</v>
      </c>
      <c r="B40" s="363"/>
      <c r="C40" s="364"/>
      <c r="D40" s="268" t="s">
        <v>132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170</v>
      </c>
      <c r="B41" s="328"/>
      <c r="C41" s="329"/>
      <c r="D41" s="268" t="s">
        <v>132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>
      <c r="A42" s="327" t="s">
        <v>171</v>
      </c>
      <c r="B42" s="328"/>
      <c r="C42" s="329"/>
      <c r="D42" s="268" t="s">
        <v>132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>
      <c r="A43" s="327" t="s">
        <v>172</v>
      </c>
      <c r="B43" s="328"/>
      <c r="C43" s="329"/>
      <c r="D43" s="268" t="s">
        <v>132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>
      <c r="A44" s="327" t="s">
        <v>173</v>
      </c>
      <c r="B44" s="328"/>
      <c r="C44" s="329"/>
      <c r="D44" s="268" t="s">
        <v>132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174</v>
      </c>
      <c r="B45" s="328"/>
      <c r="C45" s="329"/>
      <c r="D45" s="268" t="s">
        <v>132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175</v>
      </c>
      <c r="B46" s="328"/>
      <c r="C46" s="329"/>
      <c r="D46" s="268" t="s">
        <v>132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176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>
      <c r="A48" s="1207" t="s">
        <v>177</v>
      </c>
      <c r="B48" s="1208"/>
      <c r="C48" s="1209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164</v>
      </c>
      <c r="B49" s="366"/>
      <c r="C49" s="367"/>
      <c r="D49" s="268" t="s">
        <v>132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>
      <c r="A50" s="327" t="s">
        <v>178</v>
      </c>
      <c r="B50" s="366"/>
      <c r="C50" s="367"/>
      <c r="D50" s="268" t="s">
        <v>132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>
      <c r="A51" s="327" t="s">
        <v>166</v>
      </c>
      <c r="B51" s="366"/>
      <c r="C51" s="367"/>
      <c r="D51" s="268" t="s">
        <v>132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>
      <c r="A52" s="327" t="s">
        <v>179</v>
      </c>
      <c r="B52" s="366"/>
      <c r="C52" s="367"/>
      <c r="D52" s="268" t="s">
        <v>132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>
      <c r="A53" s="327" t="s">
        <v>168</v>
      </c>
      <c r="B53" s="366"/>
      <c r="C53" s="367"/>
      <c r="D53" s="268" t="s">
        <v>132</v>
      </c>
      <c r="E53" s="312">
        <f>'17'!F53</f>
        <v>331854.51</v>
      </c>
      <c r="F53" s="1321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>
      <c r="A54" s="327" t="s">
        <v>180</v>
      </c>
      <c r="B54" s="366"/>
      <c r="C54" s="367"/>
      <c r="D54" s="268" t="s">
        <v>132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>
      <c r="A55" s="327" t="s">
        <v>181</v>
      </c>
      <c r="B55" s="366"/>
      <c r="C55" s="367"/>
      <c r="D55" s="268" t="s">
        <v>132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>
      <c r="A56" s="327" t="s">
        <v>182</v>
      </c>
      <c r="B56" s="366"/>
      <c r="C56" s="367"/>
      <c r="D56" s="268" t="s">
        <v>183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>
      <c r="A57" s="327" t="s">
        <v>172</v>
      </c>
      <c r="B57" s="366"/>
      <c r="C57" s="367"/>
      <c r="D57" s="268" t="s">
        <v>132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>
      <c r="A58" s="327" t="s">
        <v>184</v>
      </c>
      <c r="B58" s="366"/>
      <c r="C58" s="367"/>
      <c r="D58" s="268" t="s">
        <v>132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>
      <c r="A59" s="437" t="s">
        <v>176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>
      <c r="A60" s="368"/>
      <c r="B60" s="368"/>
      <c r="C60" s="368"/>
      <c r="D60" s="269" t="s">
        <v>185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>
      <c r="A61" s="429" t="s">
        <v>186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98</v>
      </c>
      <c r="B62" s="370"/>
      <c r="C62" s="371"/>
      <c r="D62" s="269" t="s">
        <v>187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>
      <c r="A63" s="369" t="s">
        <v>188</v>
      </c>
      <c r="B63" s="370"/>
      <c r="C63" s="371"/>
      <c r="D63" s="269" t="s">
        <v>187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>
      <c r="A64" s="1503" t="s">
        <v>99</v>
      </c>
      <c r="B64" s="1504"/>
      <c r="C64" s="1505"/>
      <c r="D64" s="268" t="s">
        <v>187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>
      <c r="A65" s="1503" t="s">
        <v>100</v>
      </c>
      <c r="B65" s="1504"/>
      <c r="C65" s="1505"/>
      <c r="D65" s="268" t="s">
        <v>187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>
      <c r="A66" s="1503" t="s">
        <v>101</v>
      </c>
      <c r="B66" s="1504"/>
      <c r="C66" s="1505"/>
      <c r="D66" s="268" t="s">
        <v>187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>
      <c r="A67" s="1503" t="s">
        <v>102</v>
      </c>
      <c r="B67" s="1504"/>
      <c r="C67" s="1505"/>
      <c r="D67" s="268" t="s">
        <v>187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>
      <c r="A68" s="1503" t="s">
        <v>103</v>
      </c>
      <c r="B68" s="1504"/>
      <c r="C68" s="1505"/>
      <c r="D68" s="268" t="s">
        <v>187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>
      <c r="A69" s="1503" t="s">
        <v>104</v>
      </c>
      <c r="B69" s="1504"/>
      <c r="C69" s="1505"/>
      <c r="D69" s="268" t="s">
        <v>187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>
      <c r="A70" s="1512" t="s">
        <v>189</v>
      </c>
      <c r="B70" s="1513"/>
      <c r="C70" s="1514"/>
      <c r="D70" s="268" t="s">
        <v>187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509" t="s">
        <v>190</v>
      </c>
      <c r="B71" s="1510"/>
      <c r="C71" s="1510"/>
      <c r="D71" s="1510"/>
      <c r="E71" s="1510"/>
      <c r="F71" s="1510"/>
      <c r="G71" s="1510"/>
      <c r="H71" s="1510"/>
      <c r="I71" s="1510"/>
      <c r="J71" s="1511"/>
      <c r="K71" s="374"/>
      <c r="L71" s="293"/>
    </row>
    <row r="72" spans="1:12" ht="23.25" customHeight="1" thickBot="1">
      <c r="A72" s="1503" t="s">
        <v>191</v>
      </c>
      <c r="B72" s="1504"/>
      <c r="C72" s="1505"/>
      <c r="D72" s="268" t="s">
        <v>187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>
      <c r="A73" s="1503" t="s">
        <v>192</v>
      </c>
      <c r="B73" s="1504"/>
      <c r="C73" s="1505"/>
      <c r="D73" s="268" t="s">
        <v>187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>
      <c r="A74" s="1503" t="s">
        <v>193</v>
      </c>
      <c r="B74" s="1504"/>
      <c r="C74" s="1505"/>
      <c r="D74" s="268" t="s">
        <v>187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>
      <c r="A75" s="1506" t="s">
        <v>194</v>
      </c>
      <c r="B75" s="1507"/>
      <c r="C75" s="1508"/>
      <c r="D75" s="268" t="s">
        <v>187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>
      <c r="A76" s="1506" t="s">
        <v>195</v>
      </c>
      <c r="B76" s="1507"/>
      <c r="C76" s="1508"/>
      <c r="D76" s="268" t="s">
        <v>187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>
      <c r="A77" s="1503" t="s">
        <v>196</v>
      </c>
      <c r="B77" s="1504"/>
      <c r="C77" s="1505"/>
      <c r="D77" s="268" t="s">
        <v>187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>
      <c r="A78" s="1215" t="s">
        <v>197</v>
      </c>
      <c r="B78" s="1216"/>
      <c r="C78" s="1217"/>
      <c r="D78" s="268" t="s">
        <v>187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>
      <c r="A79" s="1515" t="s">
        <v>92</v>
      </c>
      <c r="B79" s="1516"/>
      <c r="C79" s="1517"/>
      <c r="D79" s="376" t="s">
        <v>187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>
      <c r="A80" s="1515" t="s">
        <v>198</v>
      </c>
      <c r="B80" s="1516"/>
      <c r="C80" s="1517"/>
      <c r="D80" s="376" t="s">
        <v>187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>
      <c r="A81" s="1515" t="s">
        <v>199</v>
      </c>
      <c r="B81" s="1516"/>
      <c r="C81" s="1517"/>
      <c r="D81" s="376" t="s">
        <v>187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>
      <c r="A82" s="1521" t="s">
        <v>93</v>
      </c>
      <c r="B82" s="1516"/>
      <c r="C82" s="1517"/>
      <c r="D82" s="377" t="s">
        <v>132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>
      <c r="A83" s="1521" t="s">
        <v>200</v>
      </c>
      <c r="B83" s="1516"/>
      <c r="C83" s="1517"/>
      <c r="D83" s="273" t="s">
        <v>132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>
      <c r="A84" s="1218" t="s">
        <v>201</v>
      </c>
      <c r="B84" s="1218"/>
      <c r="C84" s="1219"/>
      <c r="D84" s="379" t="s">
        <v>132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>
      <c r="A85" s="446" t="s">
        <v>202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>
      <c r="A86" s="812" t="s">
        <v>94</v>
      </c>
      <c r="B86" s="813"/>
      <c r="C86" s="813"/>
      <c r="D86" s="814" t="s">
        <v>183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95</v>
      </c>
      <c r="B87" s="813"/>
      <c r="C87" s="813"/>
      <c r="D87" s="814" t="s">
        <v>183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96</v>
      </c>
      <c r="B88" s="813"/>
      <c r="C88" s="813"/>
      <c r="D88" s="814" t="s">
        <v>183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204</v>
      </c>
      <c r="B89" s="813"/>
      <c r="C89" s="813"/>
      <c r="D89" s="814" t="s">
        <v>183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204</v>
      </c>
      <c r="B90" s="813"/>
      <c r="C90" s="813"/>
      <c r="D90" s="814" t="s">
        <v>183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10" t="s">
        <v>205</v>
      </c>
      <c r="B91" s="435"/>
      <c r="C91" s="1211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94" t="s">
        <v>206</v>
      </c>
      <c r="B92" s="1495"/>
      <c r="C92" s="1496"/>
      <c r="D92" s="268" t="s">
        <v>144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>
      <c r="A93" s="1494" t="s">
        <v>207</v>
      </c>
      <c r="B93" s="1495"/>
      <c r="C93" s="1496"/>
      <c r="D93" s="268" t="s">
        <v>144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>
      <c r="A94" s="1518" t="s">
        <v>208</v>
      </c>
      <c r="B94" s="1519"/>
      <c r="C94" s="1520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>
      <c r="A95" s="1494" t="s">
        <v>209</v>
      </c>
      <c r="B95" s="1495"/>
      <c r="C95" s="1496"/>
      <c r="D95" s="268" t="s">
        <v>144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>
      <c r="A96" s="1212" t="s">
        <v>210</v>
      </c>
      <c r="B96" s="1213"/>
      <c r="C96" s="1214"/>
      <c r="D96" s="268" t="s">
        <v>144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>
      <c r="A97" s="1212" t="s">
        <v>211</v>
      </c>
      <c r="B97" s="1213"/>
      <c r="C97" s="1214"/>
      <c r="D97" s="268" t="s">
        <v>144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>
      <c r="A98" s="1212" t="s">
        <v>212</v>
      </c>
      <c r="B98" s="1213"/>
      <c r="C98" s="1214"/>
      <c r="D98" s="268" t="s">
        <v>144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>
      <c r="A99" s="1212" t="s">
        <v>213</v>
      </c>
      <c r="B99" s="1213"/>
      <c r="C99" s="1214"/>
      <c r="D99" s="268" t="s">
        <v>144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>
      <c r="A100" s="1212" t="s">
        <v>214</v>
      </c>
      <c r="B100" s="1213"/>
      <c r="C100" s="1214"/>
      <c r="D100" s="268" t="s">
        <v>144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>
      <c r="A101" s="1518" t="s">
        <v>216</v>
      </c>
      <c r="B101" s="1519"/>
      <c r="C101" s="1520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>
      <c r="A102" s="514" t="s">
        <v>217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527" t="s">
        <v>218</v>
      </c>
      <c r="B103" s="1528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529" t="s">
        <v>219</v>
      </c>
      <c r="B104" s="1529"/>
      <c r="C104" s="1206"/>
      <c r="D104" s="515" t="s">
        <v>144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>
      <c r="A105" s="1529" t="s">
        <v>77</v>
      </c>
      <c r="B105" s="1529"/>
      <c r="C105" s="1206"/>
      <c r="D105" s="515" t="s">
        <v>144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>
      <c r="A106" s="1529" t="s">
        <v>78</v>
      </c>
      <c r="B106" s="1529"/>
      <c r="C106" s="1529"/>
      <c r="D106" s="515" t="s">
        <v>144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>
      <c r="A107" s="1530" t="s">
        <v>202</v>
      </c>
      <c r="B107" s="1530"/>
      <c r="C107" s="1206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>
      <c r="A108" s="1531" t="s">
        <v>79</v>
      </c>
      <c r="B108" s="1531"/>
      <c r="C108" s="1206"/>
      <c r="D108" s="515" t="s">
        <v>144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529" t="s">
        <v>220</v>
      </c>
      <c r="B109" s="1529"/>
      <c r="C109" s="1206"/>
      <c r="D109" s="515" t="s">
        <v>144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>
      <c r="A110" s="1529" t="s">
        <v>221</v>
      </c>
      <c r="B110" s="1529"/>
      <c r="C110" s="1206"/>
      <c r="D110" s="515" t="s">
        <v>144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>
      <c r="A111" s="1529" t="s">
        <v>222</v>
      </c>
      <c r="B111" s="1529"/>
      <c r="C111" s="1206"/>
      <c r="D111" s="515" t="s">
        <v>144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>
      <c r="A112" s="1532" t="s">
        <v>110</v>
      </c>
      <c r="B112" s="1532"/>
      <c r="C112" s="1206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>
      <c r="A113" s="1531" t="s">
        <v>223</v>
      </c>
      <c r="B113" s="1531"/>
      <c r="C113" s="1206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529" t="s">
        <v>224</v>
      </c>
      <c r="B114" s="1529"/>
      <c r="C114" s="519"/>
      <c r="D114" s="515" t="s">
        <v>144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529" t="s">
        <v>225</v>
      </c>
      <c r="B115" s="1529"/>
      <c r="C115" s="519"/>
      <c r="D115" s="515" t="s">
        <v>144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>
      <c r="A116" s="1529" t="s">
        <v>226</v>
      </c>
      <c r="B116" s="1529"/>
      <c r="C116" s="519"/>
      <c r="D116" s="515" t="s">
        <v>144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>
      <c r="A117" s="1530" t="s">
        <v>202</v>
      </c>
      <c r="B117" s="1530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>
      <c r="A118" s="1533" t="s">
        <v>227</v>
      </c>
      <c r="B118" s="1533"/>
      <c r="C118" s="1205"/>
      <c r="D118" s="517" t="s">
        <v>144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>
      <c r="A119" s="1533" t="s">
        <v>228</v>
      </c>
      <c r="B119" s="1533"/>
      <c r="C119" s="1205"/>
      <c r="D119" s="517" t="s">
        <v>144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>
      <c r="A120" s="1533" t="s">
        <v>229</v>
      </c>
      <c r="B120" s="1533"/>
      <c r="C120" s="1205"/>
      <c r="D120" s="517" t="s">
        <v>144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>
      <c r="A121" s="1534"/>
      <c r="B121" s="1534"/>
      <c r="C121" s="1206"/>
      <c r="F121" s="481" t="s">
        <v>215</v>
      </c>
      <c r="H121" s="492"/>
      <c r="J121" s="493"/>
    </row>
    <row r="122" spans="1:12" ht="23.25" customHeight="1">
      <c r="A122" s="1522" t="s">
        <v>230</v>
      </c>
      <c r="B122" s="1523"/>
      <c r="C122" s="1524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231</v>
      </c>
      <c r="B123" s="386"/>
      <c r="C123" s="387"/>
      <c r="D123" s="319" t="s">
        <v>141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>
      <c r="A124" s="385" t="s">
        <v>232</v>
      </c>
      <c r="B124" s="386"/>
      <c r="C124" s="387"/>
      <c r="D124" s="319" t="s">
        <v>141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>
      <c r="A125" s="1503" t="s">
        <v>233</v>
      </c>
      <c r="B125" s="1504"/>
      <c r="C125" s="1505"/>
      <c r="D125" s="268" t="s">
        <v>141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>
      <c r="A126" s="416" t="s">
        <v>234</v>
      </c>
      <c r="B126" s="1213"/>
      <c r="C126" s="1214"/>
      <c r="D126" s="268" t="s">
        <v>141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>
      <c r="A127" s="416" t="s">
        <v>235</v>
      </c>
      <c r="B127" s="1213"/>
      <c r="C127" s="1214"/>
      <c r="D127" s="268" t="s">
        <v>141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>
      <c r="A128" s="381" t="s">
        <v>236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237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238</v>
      </c>
      <c r="B130" s="475"/>
      <c r="C130" s="475"/>
      <c r="D130" s="268" t="s">
        <v>239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240</v>
      </c>
      <c r="B131" s="475"/>
      <c r="C131" s="475"/>
      <c r="D131" s="268" t="s">
        <v>239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241</v>
      </c>
      <c r="B132" s="475"/>
      <c r="C132" s="475"/>
      <c r="D132" s="268" t="s">
        <v>239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>
      <c r="A133" s="475" t="s">
        <v>242</v>
      </c>
      <c r="B133" s="475"/>
      <c r="C133" s="475"/>
      <c r="D133" s="268" t="s">
        <v>239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>
      <c r="A134" s="475" t="s">
        <v>243</v>
      </c>
      <c r="B134" s="475"/>
      <c r="C134" s="475"/>
      <c r="D134" s="268" t="s">
        <v>239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>
      <c r="A135" s="475" t="s">
        <v>244</v>
      </c>
      <c r="B135" s="475"/>
      <c r="C135" s="475"/>
      <c r="D135" s="268" t="s">
        <v>239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>
      <c r="A136" s="475" t="s">
        <v>245</v>
      </c>
      <c r="B136" s="475"/>
      <c r="C136" s="475"/>
      <c r="D136" s="268" t="s">
        <v>239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>
      <c r="A137" s="475" t="s">
        <v>246</v>
      </c>
      <c r="B137" s="475"/>
      <c r="C137" s="475"/>
      <c r="D137" s="268" t="s">
        <v>239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>
      <c r="A138" s="475" t="s">
        <v>247</v>
      </c>
      <c r="B138" s="475"/>
      <c r="C138" s="475"/>
      <c r="D138" s="268" t="s">
        <v>239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>
      <c r="A139" s="475" t="s">
        <v>248</v>
      </c>
      <c r="B139" s="475"/>
      <c r="C139" s="475"/>
      <c r="D139" s="268" t="s">
        <v>239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>
      <c r="A140" s="475" t="s">
        <v>249</v>
      </c>
      <c r="B140" s="475"/>
      <c r="C140" s="475"/>
      <c r="D140" s="268" t="s">
        <v>239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525" t="s">
        <v>250</v>
      </c>
      <c r="B141" s="1526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94" t="s">
        <v>251</v>
      </c>
      <c r="B142" s="1495"/>
      <c r="C142" s="1496"/>
      <c r="D142" s="268" t="s">
        <v>132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>
      <c r="A143" s="1494" t="s">
        <v>252</v>
      </c>
      <c r="B143" s="1495"/>
      <c r="C143" s="1496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>
      <c r="A144" s="1494" t="s">
        <v>253</v>
      </c>
      <c r="B144" s="1495"/>
      <c r="C144" s="1496"/>
      <c r="D144" s="268" t="s">
        <v>132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>
      <c r="A145" s="1494" t="s">
        <v>254</v>
      </c>
      <c r="B145" s="1495"/>
      <c r="C145" s="1496"/>
      <c r="D145" s="268" t="s">
        <v>24</v>
      </c>
      <c r="E145" s="265"/>
      <c r="F145" s="265" t="s">
        <v>277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>
      <c r="A146" s="1494" t="s">
        <v>255</v>
      </c>
      <c r="B146" s="1495"/>
      <c r="C146" s="1496"/>
      <c r="D146" s="268" t="s">
        <v>132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>
      <c r="A147" s="1494" t="s">
        <v>256</v>
      </c>
      <c r="B147" s="1495"/>
      <c r="C147" s="1496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>
      <c r="A148" s="1494" t="s">
        <v>257</v>
      </c>
      <c r="B148" s="1495"/>
      <c r="C148" s="1496"/>
      <c r="D148" s="268" t="s">
        <v>183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>
      <c r="A149" s="1494" t="s">
        <v>258</v>
      </c>
      <c r="B149" s="1495"/>
      <c r="C149" s="1496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>
      <c r="A150" s="1494" t="s">
        <v>259</v>
      </c>
      <c r="B150" s="1495"/>
      <c r="C150" s="1496"/>
      <c r="D150" s="268" t="s">
        <v>183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>
      <c r="A151" s="1494" t="s">
        <v>260</v>
      </c>
      <c r="B151" s="1495"/>
      <c r="C151" s="1496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>
      <c r="A152" s="1494" t="s">
        <v>261</v>
      </c>
      <c r="B152" s="1495"/>
      <c r="C152" s="1496"/>
      <c r="D152" s="268" t="s">
        <v>183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>
      <c r="A153" s="1494" t="s">
        <v>262</v>
      </c>
      <c r="B153" s="1495"/>
      <c r="C153" s="1496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>
      <c r="A160" s="868" t="s">
        <v>263</v>
      </c>
      <c r="B160" s="869"/>
      <c r="C160" s="869"/>
      <c r="D160" s="587" t="s">
        <v>187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8" t="s">
        <v>264</v>
      </c>
      <c r="B161" s="869"/>
      <c r="C161" s="869"/>
      <c r="D161" s="587" t="s">
        <v>187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8" t="s">
        <v>265</v>
      </c>
      <c r="B162" s="869"/>
      <c r="C162" s="869"/>
      <c r="D162" s="587" t="s">
        <v>187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8" t="s">
        <v>266</v>
      </c>
      <c r="B163" s="869"/>
      <c r="C163" s="869"/>
      <c r="D163" s="587" t="s">
        <v>187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70" t="s">
        <v>188</v>
      </c>
      <c r="B165" s="681"/>
      <c r="C165" s="681"/>
      <c r="D165" s="587" t="s">
        <v>187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468" t="s">
        <v>99</v>
      </c>
      <c r="B166" s="1468"/>
      <c r="C166" s="1468"/>
      <c r="D166" s="599" t="s">
        <v>187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468" t="s">
        <v>100</v>
      </c>
      <c r="B167" s="1468"/>
      <c r="C167" s="1468"/>
      <c r="D167" s="599" t="s">
        <v>187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468" t="s">
        <v>101</v>
      </c>
      <c r="B168" s="1468"/>
      <c r="C168" s="1468"/>
      <c r="D168" s="599" t="s">
        <v>187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468" t="s">
        <v>102</v>
      </c>
      <c r="B169" s="1468"/>
      <c r="C169" s="1468"/>
      <c r="D169" s="599" t="s">
        <v>187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468" t="s">
        <v>103</v>
      </c>
      <c r="B170" s="1468"/>
      <c r="C170" s="1468"/>
      <c r="D170" s="599" t="s">
        <v>187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468" t="s">
        <v>104</v>
      </c>
      <c r="B171" s="1468"/>
      <c r="C171" s="1468"/>
      <c r="D171" s="599" t="s">
        <v>187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55" zoomScaleNormal="40" zoomScaleSheetLayoutView="55" zoomScalePageLayoutView="60" workbookViewId="0">
      <selection activeCell="J47" sqref="J47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332</v>
      </c>
      <c r="B2" s="1118">
        <v>44246</v>
      </c>
      <c r="C2" s="1232" t="s">
        <v>69</v>
      </c>
      <c r="D2" s="688">
        <v>0.65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28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140</v>
      </c>
      <c r="B15" s="666"/>
      <c r="C15" s="666"/>
      <c r="D15" s="599" t="s">
        <v>141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147</v>
      </c>
      <c r="B22" s="666"/>
      <c r="C22" s="666"/>
      <c r="D22" s="599" t="s">
        <v>148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149</v>
      </c>
      <c r="B23" s="666"/>
      <c r="C23" s="666"/>
      <c r="D23" s="599" t="s">
        <v>148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>
      <c r="A74" s="1535" t="s">
        <v>193</v>
      </c>
      <c r="B74" s="1536"/>
      <c r="C74" s="1537"/>
      <c r="D74" s="599" t="s">
        <v>187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>
      <c r="A84" s="1234" t="s">
        <v>201</v>
      </c>
      <c r="B84" s="648"/>
      <c r="C84" s="648"/>
      <c r="D84" s="554" t="s">
        <v>132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>
      <c r="A94" s="1413" t="s">
        <v>208</v>
      </c>
      <c r="B94" s="1414"/>
      <c r="C94" s="1415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63</v>
      </c>
      <c r="I105" s="608"/>
      <c r="J105" s="635">
        <f>H105/DAY(B2)</f>
        <v>3.3157894736842106</v>
      </c>
      <c r="N105" s="493"/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350</v>
      </c>
      <c r="I106" s="608"/>
      <c r="J106" s="635">
        <f>H106/DAY(B2)</f>
        <v>18.421052631578949</v>
      </c>
      <c r="N106" s="493"/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236</v>
      </c>
      <c r="I107" s="608"/>
      <c r="J107" s="635">
        <f>H107/DAY(B2)</f>
        <v>12.421052631578947</v>
      </c>
      <c r="N107" s="493"/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176</v>
      </c>
      <c r="I109" s="608"/>
      <c r="J109" s="635">
        <f>H109/DAY(B2)</f>
        <v>9.2631578947368425</v>
      </c>
      <c r="N109" s="493"/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168</v>
      </c>
      <c r="I110" s="608"/>
      <c r="J110" s="635">
        <f>H110/DAY(B2)</f>
        <v>8.8421052631578956</v>
      </c>
      <c r="N110" s="493"/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440</v>
      </c>
      <c r="I111" s="608"/>
      <c r="J111" s="635">
        <f>H111/DAY(B2)</f>
        <v>23.157894736842106</v>
      </c>
      <c r="N111" s="493"/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751</v>
      </c>
      <c r="I112" s="608"/>
      <c r="J112" s="635">
        <f>H112/DAY(B2)</f>
        <v>39.526315789473685</v>
      </c>
      <c r="N112" s="493"/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94</v>
      </c>
      <c r="I115" s="608"/>
      <c r="J115" s="635">
        <f>H115/DAY(B2)</f>
        <v>4.9473684210526319</v>
      </c>
      <c r="N115" s="493"/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G116+'18'!H116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28</v>
      </c>
      <c r="H117" s="536">
        <f>G117+'18'!H117</f>
        <v>130</v>
      </c>
      <c r="I117" s="610"/>
      <c r="J117" s="635">
        <f>H117/DAY(B2)</f>
        <v>6.8421052631578947</v>
      </c>
      <c r="N117" s="522"/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296</v>
      </c>
      <c r="I118" s="611"/>
      <c r="J118" s="636">
        <f>H118/DAY(B2)</f>
        <v>15.578947368421053</v>
      </c>
      <c r="N118" s="861"/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358</v>
      </c>
      <c r="I119" s="611"/>
      <c r="J119" s="636">
        <f>H119/DAY(B2)</f>
        <v>18.842105263157894</v>
      </c>
      <c r="N119" s="861"/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/>
      <c r="F120" s="610">
        <f>SUM(G112)</f>
        <v>71</v>
      </c>
      <c r="G120" s="610">
        <f>SUM(G112)</f>
        <v>71</v>
      </c>
      <c r="H120" s="536">
        <f>G120+'18'!H120</f>
        <v>236</v>
      </c>
      <c r="I120" s="611"/>
      <c r="J120" s="636">
        <f>H120/DAY(B2)</f>
        <v>12.421052631578947</v>
      </c>
      <c r="N120" s="861"/>
      <c r="O120" s="413"/>
    </row>
    <row r="121" spans="1:15" s="481" customFormat="1" ht="27.75">
      <c r="A121" s="1460"/>
      <c r="B121" s="1461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>
      <c r="A133" s="1157" t="s">
        <v>242</v>
      </c>
      <c r="B133" s="1158"/>
      <c r="C133" s="1158"/>
      <c r="D133" s="704" t="s">
        <v>239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59">
        <f>G130+G131+G132+G133</f>
        <v>0</v>
      </c>
      <c r="J133" s="789">
        <f>H133/DAY(B2)</f>
        <v>2.7368421052630622E-2</v>
      </c>
      <c r="N133" s="795"/>
      <c r="O133" s="795"/>
    </row>
    <row r="134" spans="1:15" ht="27.75">
      <c r="A134" s="1230" t="s">
        <v>243</v>
      </c>
      <c r="B134" s="1231"/>
      <c r="C134" s="1231"/>
      <c r="D134" s="599" t="s">
        <v>239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54" t="s">
        <v>250</v>
      </c>
      <c r="B141" s="1455"/>
      <c r="C141" s="1236"/>
      <c r="D141" s="548"/>
      <c r="E141" s="548"/>
      <c r="F141" s="548" t="s">
        <v>277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263</v>
      </c>
      <c r="B160" s="869"/>
      <c r="C160" s="869"/>
      <c r="D160" s="587" t="s">
        <v>187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8" t="s">
        <v>264</v>
      </c>
      <c r="B161" s="869"/>
      <c r="C161" s="869"/>
      <c r="D161" s="587" t="s">
        <v>187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8" t="s">
        <v>265</v>
      </c>
      <c r="B162" s="869"/>
      <c r="C162" s="869"/>
      <c r="D162" s="587" t="s">
        <v>187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8" t="s">
        <v>266</v>
      </c>
      <c r="B163" s="869"/>
      <c r="C163" s="869"/>
      <c r="D163" s="587" t="s">
        <v>187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70" t="s">
        <v>98</v>
      </c>
      <c r="B164" s="681"/>
      <c r="C164" s="681"/>
      <c r="D164" s="587" t="s">
        <v>187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70" t="s">
        <v>188</v>
      </c>
      <c r="B165" s="681"/>
      <c r="C165" s="681"/>
      <c r="D165" s="587" t="s">
        <v>187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468" t="s">
        <v>99</v>
      </c>
      <c r="B166" s="1468"/>
      <c r="C166" s="1468"/>
      <c r="D166" s="599" t="s">
        <v>187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468" t="s">
        <v>100</v>
      </c>
      <c r="B167" s="1468"/>
      <c r="C167" s="1468"/>
      <c r="D167" s="599" t="s">
        <v>187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468" t="s">
        <v>101</v>
      </c>
      <c r="B168" s="1468"/>
      <c r="C168" s="1468"/>
      <c r="D168" s="599" t="s">
        <v>187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468" t="s">
        <v>102</v>
      </c>
      <c r="B169" s="1468"/>
      <c r="C169" s="1468"/>
      <c r="D169" s="599" t="s">
        <v>187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468" t="s">
        <v>103</v>
      </c>
      <c r="B170" s="1468"/>
      <c r="C170" s="1468"/>
      <c r="D170" s="599" t="s">
        <v>187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9" zoomScale="55" zoomScaleSheetLayoutView="55" zoomScalePageLayoutView="78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333</v>
      </c>
      <c r="B2" s="1118">
        <v>44247</v>
      </c>
      <c r="C2" s="1232" t="s">
        <v>69</v>
      </c>
      <c r="D2" s="688">
        <v>0.98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28</v>
      </c>
      <c r="E3" s="1440" t="s">
        <v>121</v>
      </c>
      <c r="F3" s="1441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389119</v>
      </c>
      <c r="I7" s="550">
        <f>'1'!I7</f>
        <v>12000</v>
      </c>
      <c r="J7" s="629">
        <f>H7/DAY(B2)</f>
        <v>19455.95</v>
      </c>
      <c r="K7" s="626">
        <v>11998</v>
      </c>
      <c r="L7" s="408">
        <f>G7-K7</f>
        <v>7801</v>
      </c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391676</v>
      </c>
      <c r="I8" s="553">
        <f>'1'!I8</f>
        <v>12000</v>
      </c>
      <c r="J8" s="629">
        <f>H8/DAY(B2)</f>
        <v>19583.8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211939.25</v>
      </c>
      <c r="I9" s="555">
        <f>I8-J8</f>
        <v>-7583.7999999999993</v>
      </c>
      <c r="J9" s="629">
        <f>H9/DAY(B2)</f>
        <v>10596.9625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163430.60000000009</v>
      </c>
      <c r="I10" s="556"/>
      <c r="J10" s="629">
        <f>H10/DAY(B2)</f>
        <v>8171.5300000000043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1610</v>
      </c>
      <c r="I11" s="556"/>
      <c r="J11" s="629">
        <f>H11/DAY(B2)</f>
        <v>80.5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2380</v>
      </c>
      <c r="I12" s="556"/>
      <c r="J12" s="629">
        <f>H12/DAY(B2)</f>
        <v>119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361053.85000000009</v>
      </c>
      <c r="I13" s="558">
        <f>G7-G13</f>
        <v>682</v>
      </c>
      <c r="J13" s="629">
        <f>H13/DAY(B2)</f>
        <v>18052.692500000005</v>
      </c>
      <c r="K13" s="467"/>
      <c r="L13" s="408"/>
      <c r="N13" s="413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140</v>
      </c>
      <c r="B15" s="666"/>
      <c r="C15" s="666"/>
      <c r="D15" s="599" t="s">
        <v>141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18083.850000000093</v>
      </c>
      <c r="I15" s="550">
        <v>800</v>
      </c>
      <c r="J15" s="629">
        <f>H15/DAY(B2)</f>
        <v>904.19250000000466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-104.19250000000466</v>
      </c>
      <c r="J16" s="630"/>
      <c r="K16" s="467"/>
      <c r="L16" s="408"/>
      <c r="N16" s="413"/>
      <c r="O16" s="413"/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1006</v>
      </c>
      <c r="I19" s="565"/>
      <c r="J19" s="629">
        <f>H19/DAY(B2)</f>
        <v>50.3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4266</v>
      </c>
      <c r="I20" s="568">
        <f>I18-J20</f>
        <v>-148.30000000000001</v>
      </c>
      <c r="J20" s="629">
        <f>H20/DAY(B2)</f>
        <v>213.3</v>
      </c>
      <c r="K20" s="467"/>
      <c r="L20" s="408"/>
      <c r="N20" s="413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147</v>
      </c>
      <c r="B22" s="666"/>
      <c r="C22" s="666"/>
      <c r="D22" s="599" t="s">
        <v>148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149</v>
      </c>
      <c r="B23" s="666"/>
      <c r="C23" s="666"/>
      <c r="D23" s="599" t="s">
        <v>148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3525084</v>
      </c>
      <c r="I27" s="579"/>
      <c r="J27" s="629">
        <f>H27/DAY(B2)</f>
        <v>176254.2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786647.47500000405</v>
      </c>
      <c r="I28" s="581"/>
      <c r="J28" s="629">
        <f>H28/DAY(B2)</f>
        <v>39332.373750000203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134804</v>
      </c>
      <c r="I30" s="581"/>
      <c r="J30" s="629">
        <f>H30/DAY(B2)</f>
        <v>6740.2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>
        <f>H31/DAY(B2)</f>
        <v>13040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4869485.4750000043</v>
      </c>
      <c r="I32" s="585"/>
      <c r="J32" s="629">
        <f>H32/DAY(B2)</f>
        <v>243474.27375000023</v>
      </c>
      <c r="K32" s="404"/>
      <c r="L32" s="484"/>
      <c r="N32" s="493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 t="s">
        <v>334</v>
      </c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39283.329999999958</v>
      </c>
      <c r="I35" s="531"/>
      <c r="J35" s="629">
        <f>H35/DAY(B2)</f>
        <v>1964.166499999998</v>
      </c>
      <c r="K35" s="467">
        <v>1457.2799999999697</v>
      </c>
      <c r="L35" s="408">
        <f>G35-K35</f>
        <v>1396.7200000000303</v>
      </c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13907.549999999988</v>
      </c>
      <c r="I36" s="531"/>
      <c r="J36" s="629">
        <f>H36/DAY(B2)</f>
        <v>695.37749999999937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20216</v>
      </c>
      <c r="I37" s="531"/>
      <c r="J37" s="629">
        <f>H37/DAY(B2)</f>
        <v>1010.8</v>
      </c>
      <c r="K37" s="467">
        <v>1173.9200000000128</v>
      </c>
      <c r="L37" s="408">
        <f>G37-K37</f>
        <v>337.07999999998719</v>
      </c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27043.120000000003</v>
      </c>
      <c r="I38" s="531"/>
      <c r="J38" s="629">
        <f>H38/DAY(B2)</f>
        <v>1352.1560000000002</v>
      </c>
      <c r="K38" s="467">
        <v>0</v>
      </c>
      <c r="L38" s="408">
        <f t="shared" si="3"/>
        <v>1965</v>
      </c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57266</v>
      </c>
      <c r="I39" s="531"/>
      <c r="J39" s="629">
        <f>H39/DAY(B2)</f>
        <v>2863.3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19259.480000000003</v>
      </c>
      <c r="I41" s="531"/>
      <c r="J41" s="629">
        <f>H41/DAY(B2)</f>
        <v>962.97400000000016</v>
      </c>
      <c r="K41" s="467">
        <v>0</v>
      </c>
      <c r="L41" s="408">
        <f t="shared" si="3"/>
        <v>0</v>
      </c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203</v>
      </c>
      <c r="I42" s="531"/>
      <c r="J42" s="629">
        <f>H42/DAY(B2)</f>
        <v>10.15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39325.089999999967</v>
      </c>
      <c r="I43" s="531"/>
      <c r="J43" s="629">
        <f>H43/DAY(B2)</f>
        <v>1966.2544999999984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216502.97999999989</v>
      </c>
      <c r="I47" s="531"/>
      <c r="J47" s="629">
        <f>H47/DAY(B2)</f>
        <v>10825.148999999994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14832.950000000012</v>
      </c>
      <c r="I49" s="531"/>
      <c r="J49" s="629">
        <f>H49/DAY(B2)</f>
        <v>741.6475000000006</v>
      </c>
      <c r="K49" s="467">
        <v>0</v>
      </c>
      <c r="L49" s="408">
        <f t="shared" si="3"/>
        <v>0</v>
      </c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23093.690000000002</v>
      </c>
      <c r="I50" s="531"/>
      <c r="J50" s="629">
        <f>H50/DAY(B2)</f>
        <v>1154.6845000000001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9951.2599999999948</v>
      </c>
      <c r="I51" s="531"/>
      <c r="J51" s="629">
        <f>H51/DAY(B2)</f>
        <v>497.56299999999976</v>
      </c>
      <c r="K51" s="467">
        <v>0</v>
      </c>
      <c r="L51" s="408">
        <f t="shared" si="3"/>
        <v>0</v>
      </c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14104.330000000016</v>
      </c>
      <c r="I52" s="531"/>
      <c r="J52" s="629">
        <f>H52/DAY(B2)</f>
        <v>705.21650000000079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27556.729999999981</v>
      </c>
      <c r="I53" s="531"/>
      <c r="J53" s="629">
        <f>H53/DAY(B2)</f>
        <v>1377.836499999999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1149.1999999999998</v>
      </c>
      <c r="I54" s="531"/>
      <c r="J54" s="629">
        <f>H54/DAY(B2)</f>
        <v>57.459999999999994</v>
      </c>
      <c r="K54" s="467">
        <v>0</v>
      </c>
      <c r="L54" s="408">
        <f t="shared" si="3"/>
        <v>70</v>
      </c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51282.02</v>
      </c>
      <c r="I55" s="531"/>
      <c r="J55" s="629">
        <f>H55/DAY(B2)</f>
        <v>2564.1009999999997</v>
      </c>
      <c r="K55" s="467">
        <v>0</v>
      </c>
      <c r="L55" s="408">
        <f t="shared" si="3"/>
        <v>0</v>
      </c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10566.089999999967</v>
      </c>
      <c r="I56" s="531"/>
      <c r="J56" s="629">
        <f>H56/DAY(B2)</f>
        <v>528.30449999999837</v>
      </c>
      <c r="K56" s="466">
        <v>0</v>
      </c>
      <c r="L56" s="408">
        <f t="shared" si="3"/>
        <v>4051</v>
      </c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7711</v>
      </c>
      <c r="I57" s="531"/>
      <c r="J57" s="629">
        <f>H57/DAY(B2)</f>
        <v>385.55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3598.4600000000028</v>
      </c>
      <c r="I58" s="531"/>
      <c r="J58" s="629">
        <f>H58/DAY(B2)</f>
        <v>179.92300000000014</v>
      </c>
      <c r="K58" s="467">
        <v>0</v>
      </c>
      <c r="L58" s="408">
        <f t="shared" si="3"/>
        <v>251</v>
      </c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163845.73000000001</v>
      </c>
      <c r="I59" s="531">
        <f>G7-G60</f>
        <v>625</v>
      </c>
      <c r="J59" s="629">
        <f>H59/DAY(B2)</f>
        <v>8192.2865000000002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19174</v>
      </c>
      <c r="H60" s="536">
        <f>G60+'19'!H60</f>
        <v>385528.89999999979</v>
      </c>
      <c r="I60" s="531">
        <f>G13-G60</f>
        <v>-57</v>
      </c>
      <c r="J60" s="629">
        <f>H60/DAY(B2)</f>
        <v>19276.444999999989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264.47000000000003</v>
      </c>
      <c r="I63" s="591"/>
      <c r="J63" s="629">
        <f>H63/DAY(B2)</f>
        <v>13.223500000000001</v>
      </c>
      <c r="K63" s="467"/>
      <c r="L63" s="408"/>
      <c r="N63" s="413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8356.5399999999936</v>
      </c>
      <c r="I64" s="556"/>
      <c r="J64" s="629">
        <f>H64/DAY(B2)</f>
        <v>417.82699999999966</v>
      </c>
      <c r="K64" s="467"/>
      <c r="L64" s="408"/>
      <c r="N64" s="413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7718.8899999999994</v>
      </c>
      <c r="I65" s="565"/>
      <c r="J65" s="629">
        <f>H65/DAY(B2)</f>
        <v>385.94449999999995</v>
      </c>
      <c r="K65" s="467"/>
      <c r="L65" s="408"/>
      <c r="N65" s="413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7908.26</v>
      </c>
      <c r="I66" s="556"/>
      <c r="J66" s="629">
        <f>H66/DAY(B2)</f>
        <v>395.41300000000001</v>
      </c>
      <c r="K66" s="467"/>
      <c r="L66" s="408"/>
      <c r="N66" s="413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13920.470000000001</v>
      </c>
      <c r="I67" s="565"/>
      <c r="J67" s="629">
        <f>H67/DAY(B2)</f>
        <v>696.02350000000001</v>
      </c>
      <c r="K67" s="468"/>
      <c r="L67" s="408"/>
      <c r="N67" s="413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7875.1399999999994</v>
      </c>
      <c r="I68" s="592"/>
      <c r="J68" s="629">
        <f>H68/DAY(B2)</f>
        <v>393.75699999999995</v>
      </c>
      <c r="K68" s="469"/>
      <c r="L68" s="408"/>
      <c r="N68" s="413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6094.2900000000009</v>
      </c>
      <c r="I69" s="592"/>
      <c r="J69" s="629">
        <f>H69/DAY(B2)</f>
        <v>304.71450000000004</v>
      </c>
      <c r="K69" s="470"/>
      <c r="L69" s="408"/>
      <c r="N69" s="413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1434</v>
      </c>
      <c r="I72" s="556"/>
      <c r="J72" s="629">
        <f>H72/DAY(B2)</f>
        <v>71.7</v>
      </c>
      <c r="K72" s="470"/>
      <c r="L72" s="408"/>
      <c r="N72" s="413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960</v>
      </c>
      <c r="I73" s="556"/>
      <c r="J73" s="629">
        <f>H73/DAY(B2)</f>
        <v>48</v>
      </c>
      <c r="K73" s="469"/>
      <c r="L73" s="408"/>
      <c r="N73" s="413"/>
      <c r="O73" s="413"/>
    </row>
    <row r="74" spans="1:15" ht="27.75">
      <c r="A74" s="1535" t="s">
        <v>193</v>
      </c>
      <c r="B74" s="1536"/>
      <c r="C74" s="1537"/>
      <c r="D74" s="599" t="s">
        <v>187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632.1</v>
      </c>
      <c r="I74" s="556"/>
      <c r="J74" s="629">
        <f>H74/DAY(B2)</f>
        <v>31.605</v>
      </c>
      <c r="K74" s="470"/>
      <c r="L74" s="408"/>
      <c r="N74" s="413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3684.4000000000005</v>
      </c>
      <c r="I75" s="556"/>
      <c r="J75" s="629">
        <f>H75/DAY(B2)</f>
        <v>184.22000000000003</v>
      </c>
      <c r="K75" s="469"/>
      <c r="L75" s="408"/>
      <c r="N75" s="413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2890.2000000000003</v>
      </c>
      <c r="I76" s="581"/>
      <c r="J76" s="629">
        <f>H76/DAY(B2)</f>
        <v>144.51000000000002</v>
      </c>
      <c r="K76" s="469"/>
      <c r="L76" s="408"/>
      <c r="N76" s="413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1097</v>
      </c>
      <c r="I77" s="581"/>
      <c r="J77" s="629">
        <f>H77/DAY(B2)</f>
        <v>54.85</v>
      </c>
      <c r="K77" s="469"/>
      <c r="L77" s="408"/>
      <c r="N77" s="413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8077</v>
      </c>
      <c r="I78" s="581"/>
      <c r="J78" s="629">
        <f>H78/DAY(B2)</f>
        <v>403.85</v>
      </c>
      <c r="K78" s="469"/>
      <c r="L78" s="408"/>
      <c r="N78" s="413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6724</v>
      </c>
      <c r="I79" s="581"/>
      <c r="J79" s="629">
        <f>H79/DAY(B2)</f>
        <v>336.2</v>
      </c>
      <c r="K79" s="469"/>
      <c r="L79" s="408"/>
      <c r="N79" s="413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5077.320000000007</v>
      </c>
      <c r="I80" s="581"/>
      <c r="J80" s="629">
        <f>H80/DAY(B2)</f>
        <v>253.86600000000035</v>
      </c>
      <c r="K80" s="469"/>
      <c r="L80" s="408"/>
      <c r="N80" s="413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2113</v>
      </c>
      <c r="I81" s="581"/>
      <c r="J81" s="629">
        <f>H81/DAY(B2)</f>
        <v>105.65</v>
      </c>
      <c r="K81" s="469"/>
      <c r="L81" s="408"/>
      <c r="N81" s="413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576</v>
      </c>
      <c r="I82" s="562"/>
      <c r="J82" s="629">
        <f>H82/DAY(B2)</f>
        <v>28.8</v>
      </c>
      <c r="K82" s="469"/>
      <c r="L82" s="408"/>
      <c r="N82" s="413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8699</v>
      </c>
      <c r="I83" s="557"/>
      <c r="J83" s="629">
        <f>H83/DAY(B2)</f>
        <v>434.95</v>
      </c>
      <c r="K83" s="468"/>
      <c r="L83" s="408"/>
      <c r="N83" s="413"/>
      <c r="O83" s="803"/>
    </row>
    <row r="84" spans="1:15">
      <c r="A84" s="1234" t="s">
        <v>201</v>
      </c>
      <c r="B84" s="648"/>
      <c r="C84" s="648"/>
      <c r="D84" s="554" t="s">
        <v>132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9875</v>
      </c>
      <c r="I84" s="557"/>
      <c r="J84" s="629">
        <f>H84/DAY(B2)</f>
        <v>493.75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46535.649999999994</v>
      </c>
      <c r="I85" s="557"/>
      <c r="J85" s="629">
        <f>H85/DAY(B2)</f>
        <v>2326.7824999999998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2227</v>
      </c>
      <c r="I92" s="556"/>
      <c r="J92" s="629">
        <f>H92/DAY(B2)</f>
        <v>111.35</v>
      </c>
      <c r="K92" s="468"/>
      <c r="L92" s="408"/>
      <c r="N92" s="413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3167</v>
      </c>
      <c r="I93" s="556"/>
      <c r="J93" s="629">
        <f>H93/DAY(B2)</f>
        <v>158.35</v>
      </c>
      <c r="K93" s="411"/>
      <c r="L93" s="408"/>
      <c r="N93" s="413"/>
      <c r="O93" s="413"/>
    </row>
    <row r="94" spans="1:15">
      <c r="A94" s="1413" t="s">
        <v>208</v>
      </c>
      <c r="B94" s="1414"/>
      <c r="C94" s="1415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5107</v>
      </c>
      <c r="I94" s="556"/>
      <c r="J94" s="629">
        <f>H94/DAY(B2)</f>
        <v>255.35</v>
      </c>
      <c r="K94" s="411"/>
      <c r="L94" s="408"/>
      <c r="N94" s="413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1572</v>
      </c>
      <c r="I95" s="556"/>
      <c r="J95" s="629">
        <f>H95/DAY(B2)</f>
        <v>78.599999999999994</v>
      </c>
      <c r="K95" s="411"/>
      <c r="L95" s="408"/>
      <c r="N95" s="413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637</v>
      </c>
      <c r="I96" s="556"/>
      <c r="J96" s="629">
        <f>H96/DAY(B2)</f>
        <v>31.85</v>
      </c>
      <c r="K96" s="466"/>
      <c r="L96" s="408"/>
      <c r="N96" s="413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593</v>
      </c>
      <c r="I97" s="556"/>
      <c r="J97" s="629">
        <f>H97/DAY(B2)</f>
        <v>29.65</v>
      </c>
      <c r="K97" s="471"/>
      <c r="L97" s="408"/>
      <c r="N97" s="413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1352</v>
      </c>
      <c r="I98" s="556"/>
      <c r="J98" s="629">
        <f>H98/DAY(B2)</f>
        <v>67.599999999999994</v>
      </c>
      <c r="K98" s="411"/>
      <c r="L98" s="408"/>
      <c r="N98" s="413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290</v>
      </c>
      <c r="I99" s="556"/>
      <c r="J99" s="629">
        <f>H99/DAY(B2)</f>
        <v>14.5</v>
      </c>
      <c r="K99" s="411"/>
      <c r="L99" s="408"/>
      <c r="N99" s="413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183</v>
      </c>
      <c r="I100" s="556"/>
      <c r="J100" s="629">
        <f>H100/DAY(B2)</f>
        <v>9.15</v>
      </c>
      <c r="K100" s="411"/>
      <c r="L100" s="408"/>
      <c r="N100" s="413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237</v>
      </c>
      <c r="H101" s="536">
        <f>G101+'19'!H101</f>
        <v>4627</v>
      </c>
      <c r="I101" s="602"/>
      <c r="J101" s="629">
        <f>H101/DAY(B2)</f>
        <v>231.35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74</v>
      </c>
      <c r="I104" s="608"/>
      <c r="J104" s="635">
        <f>H104/DAY(B2)</f>
        <v>3.7</v>
      </c>
      <c r="N104" s="493"/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76</v>
      </c>
      <c r="I105" s="608"/>
      <c r="J105" s="635">
        <f>H105/DAY(B2)</f>
        <v>3.8</v>
      </c>
      <c r="N105" s="493"/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358</v>
      </c>
      <c r="I106" s="608"/>
      <c r="J106" s="635">
        <f>H106/DAY(B2)</f>
        <v>17.899999999999999</v>
      </c>
      <c r="N106" s="493"/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257</v>
      </c>
      <c r="I107" s="608"/>
      <c r="J107" s="635">
        <f>H107/DAY(B2)</f>
        <v>12.85</v>
      </c>
      <c r="N107" s="493"/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235</v>
      </c>
      <c r="I109" s="608"/>
      <c r="J109" s="635">
        <f>H109/DAY(B2)</f>
        <v>11.75</v>
      </c>
      <c r="N109" s="493"/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243</v>
      </c>
      <c r="I110" s="608"/>
      <c r="J110" s="635">
        <f>H110/DAY(B2)</f>
        <v>12.15</v>
      </c>
      <c r="N110" s="493"/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460</v>
      </c>
      <c r="I111" s="608"/>
      <c r="J111" s="635">
        <f>H111/DAY(B2)</f>
        <v>23</v>
      </c>
      <c r="N111" s="493"/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905</v>
      </c>
      <c r="I112" s="608"/>
      <c r="J112" s="635">
        <f>H112/DAY(B2)</f>
        <v>45.25</v>
      </c>
      <c r="N112" s="493"/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102</v>
      </c>
      <c r="I115" s="608"/>
      <c r="J115" s="635">
        <f>H115/DAY(B2)</f>
        <v>5.0999999999999996</v>
      </c>
      <c r="N115" s="493"/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G116+'19'!H116</f>
        <v>200</v>
      </c>
      <c r="I116" s="608"/>
      <c r="J116" s="635">
        <f>H116/DAY(B2)</f>
        <v>10</v>
      </c>
      <c r="N116" s="493"/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34</v>
      </c>
      <c r="H117" s="536">
        <f>G117+'19'!H117</f>
        <v>164</v>
      </c>
      <c r="I117" s="610"/>
      <c r="J117" s="635">
        <f>H117/DAY(B2)</f>
        <v>8.1999999999999993</v>
      </c>
      <c r="N117" s="522"/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454</v>
      </c>
      <c r="I118" s="611"/>
      <c r="J118" s="636">
        <f>H118/DAY(B2)</f>
        <v>22.7</v>
      </c>
      <c r="N118" s="861"/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527</v>
      </c>
      <c r="I119" s="611"/>
      <c r="J119" s="636">
        <f>H119/DAY(B2)</f>
        <v>26.35</v>
      </c>
      <c r="N119" s="861"/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/>
      <c r="F120" s="610">
        <f>SUM(G112)</f>
        <v>154</v>
      </c>
      <c r="G120" s="610">
        <f>SUM(G112)</f>
        <v>154</v>
      </c>
      <c r="H120" s="536">
        <f>G120+'19'!H120</f>
        <v>390</v>
      </c>
      <c r="I120" s="611"/>
      <c r="J120" s="636">
        <f>H120/DAY(B2)</f>
        <v>19.5</v>
      </c>
      <c r="N120" s="861"/>
      <c r="O120" s="413"/>
    </row>
    <row r="121" spans="1:15" s="481" customFormat="1" ht="27.75">
      <c r="A121" s="1460"/>
      <c r="B121" s="1461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5582.5999999999767</v>
      </c>
      <c r="I123" s="602"/>
      <c r="J123" s="629">
        <f>H123/DAY(B2)</f>
        <v>279.12999999999886</v>
      </c>
      <c r="K123" s="411"/>
      <c r="L123" s="408"/>
      <c r="N123" s="413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1</v>
      </c>
      <c r="I124" s="602"/>
      <c r="J124" s="629">
        <f>H124/DAY(B2)</f>
        <v>0.05</v>
      </c>
      <c r="K124" s="411"/>
      <c r="L124" s="408"/>
      <c r="N124" s="413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1554</v>
      </c>
      <c r="I125" s="602"/>
      <c r="J125" s="629">
        <f>H125/DAY(B2)</f>
        <v>77.7</v>
      </c>
      <c r="K125" s="411"/>
      <c r="L125" s="408"/>
      <c r="N125" s="413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717.30000000000291</v>
      </c>
      <c r="I126" s="602"/>
      <c r="J126" s="629">
        <f>H126/DAY(B2)</f>
        <v>35.865000000000144</v>
      </c>
      <c r="K126" s="411"/>
      <c r="L126" s="408"/>
      <c r="N126" s="413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58</v>
      </c>
      <c r="I127" s="556"/>
      <c r="J127" s="629">
        <f>H127/DAY(B2)</f>
        <v>2.9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111.08999999999651</v>
      </c>
      <c r="I132" s="556"/>
      <c r="J132" s="629">
        <f>H132/DAY(B2)</f>
        <v>5.554499999999825</v>
      </c>
      <c r="N132" s="413"/>
      <c r="O132" s="413"/>
    </row>
    <row r="133" spans="1:15" s="480" customFormat="1" ht="27.75">
      <c r="A133" s="1157" t="s">
        <v>242</v>
      </c>
      <c r="B133" s="1158"/>
      <c r="C133" s="1158"/>
      <c r="D133" s="704" t="s">
        <v>239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0.51999999999998181</v>
      </c>
      <c r="I133" s="1159">
        <f>G130+G131+G132+G133</f>
        <v>0</v>
      </c>
      <c r="J133" s="789">
        <f>H133/DAY(B2)</f>
        <v>2.599999999999909E-2</v>
      </c>
      <c r="N133" s="795"/>
      <c r="O133" s="795"/>
    </row>
    <row r="134" spans="1:15" ht="27.75">
      <c r="A134" s="1230" t="s">
        <v>243</v>
      </c>
      <c r="B134" s="1231"/>
      <c r="C134" s="1231"/>
      <c r="D134" s="599" t="s">
        <v>239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309.5199999999968</v>
      </c>
      <c r="I134" s="556"/>
      <c r="J134" s="629">
        <f>H134/DAY(B2)</f>
        <v>15.475999999999839</v>
      </c>
      <c r="N134" s="413"/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59</v>
      </c>
      <c r="I135" s="556"/>
      <c r="J135" s="629">
        <f>H135/DAY(B2)</f>
        <v>2.95</v>
      </c>
      <c r="N135" s="413"/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152.58000000000175</v>
      </c>
      <c r="I136" s="556">
        <f>G134+G135+G136</f>
        <v>34.880000000001019</v>
      </c>
      <c r="J136" s="629">
        <f>H136/DAY(B2)</f>
        <v>7.6290000000000875</v>
      </c>
      <c r="N136" s="413"/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16.620000000002619</v>
      </c>
      <c r="I137" s="556"/>
      <c r="J137" s="629">
        <f>H137/DAY(B2)</f>
        <v>0.83100000000013097</v>
      </c>
      <c r="N137" s="413"/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52.690000000002328</v>
      </c>
      <c r="I138" s="556">
        <f>G137+G138</f>
        <v>5.8699999999953434</v>
      </c>
      <c r="J138" s="629">
        <f>H138/DAY(B2)</f>
        <v>2.6345000000001164</v>
      </c>
      <c r="N138" s="413"/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162.24</v>
      </c>
      <c r="I139" s="619"/>
      <c r="J139" s="629">
        <f>H139/DAY(B2)</f>
        <v>8.1120000000000001</v>
      </c>
      <c r="N139" s="413"/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5156</v>
      </c>
      <c r="H142" s="536">
        <f>G142+'19'!H142</f>
        <v>99454.93</v>
      </c>
      <c r="I142" s="556"/>
      <c r="J142" s="629">
        <f>H142/DAY(B2)</f>
        <v>4972.7464999999993</v>
      </c>
      <c r="K142" s="411"/>
      <c r="L142" s="408"/>
      <c r="N142" s="413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4.9388959680744176</v>
      </c>
      <c r="I143" s="621"/>
      <c r="J143" s="629">
        <f>H143/DAY(B2)</f>
        <v>0.24694479840372088</v>
      </c>
      <c r="K143" s="411"/>
      <c r="L143" s="408"/>
      <c r="N143" s="413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4051</v>
      </c>
      <c r="H144" s="536">
        <f>G144+'19'!H144</f>
        <v>85177.989999999962</v>
      </c>
      <c r="I144" s="556"/>
      <c r="J144" s="629">
        <f>H144/DAY(B2)</f>
        <v>4258.8994999999977</v>
      </c>
      <c r="K144" s="411"/>
      <c r="L144" s="408"/>
      <c r="N144" s="413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4.3692720773835978</v>
      </c>
      <c r="I145" s="621"/>
      <c r="J145" s="629">
        <f>H145/DAY(B2)</f>
        <v>0.2184636038691799</v>
      </c>
      <c r="K145" s="411"/>
      <c r="L145" s="408"/>
      <c r="N145" s="413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4389</v>
      </c>
      <c r="H146" s="536">
        <f>G146+'19'!H146</f>
        <v>84822.729999999967</v>
      </c>
      <c r="I146" s="622"/>
      <c r="J146" s="629">
        <f>H146/DAY(B2)</f>
        <v>4241.1364999999987</v>
      </c>
      <c r="K146" s="411"/>
      <c r="L146" s="408"/>
      <c r="N146" s="413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4.3798183304349774</v>
      </c>
      <c r="I147" s="622"/>
      <c r="J147" s="629">
        <f>H147/DAY(B2)</f>
        <v>0.21899091652174887</v>
      </c>
      <c r="N147" s="413"/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1965</v>
      </c>
      <c r="H148" s="536">
        <f>G148+'19'!H148</f>
        <v>41147.450000000012</v>
      </c>
      <c r="I148" s="556"/>
      <c r="J148" s="629">
        <f>H148/DAY(B2)</f>
        <v>2057.3725000000004</v>
      </c>
      <c r="K148" s="412"/>
      <c r="N148" s="413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2.1201362465963514</v>
      </c>
      <c r="I149" s="622"/>
      <c r="J149" s="629">
        <f>H149/DAY(B2)</f>
        <v>0.10600681232981757</v>
      </c>
      <c r="N149" s="413"/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1781</v>
      </c>
      <c r="H150" s="536">
        <f>G150+'19'!H150</f>
        <v>38044.239999999991</v>
      </c>
      <c r="I150" s="622"/>
      <c r="J150" s="629">
        <f>H150/DAY(B2)</f>
        <v>1902.2119999999995</v>
      </c>
      <c r="N150" s="413"/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1.9508874019221645</v>
      </c>
      <c r="I151" s="556"/>
      <c r="J151" s="629">
        <f>H151/DAY(B2)</f>
        <v>9.7544370096108224E-2</v>
      </c>
      <c r="N151" s="413"/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1511</v>
      </c>
      <c r="H152" s="536">
        <f>G152+'19'!H152</f>
        <v>30167.259999999995</v>
      </c>
      <c r="I152" s="556"/>
      <c r="J152" s="629">
        <f>H152/DAY(B2)</f>
        <v>1508.3629999999998</v>
      </c>
      <c r="L152" s="407" t="s">
        <v>278</v>
      </c>
      <c r="M152" s="407">
        <v>0.5</v>
      </c>
      <c r="N152" s="413">
        <v>50</v>
      </c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1.5625422405673937</v>
      </c>
      <c r="I153" s="645"/>
      <c r="J153" s="646">
        <f>H153/DAY(B2)</f>
        <v>7.812711202836968E-2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263</v>
      </c>
      <c r="B160" s="869"/>
      <c r="C160" s="869"/>
      <c r="D160" s="587" t="s">
        <v>187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>
      <c r="A161" s="868" t="s">
        <v>264</v>
      </c>
      <c r="B161" s="869"/>
      <c r="C161" s="869"/>
      <c r="D161" s="587" t="s">
        <v>187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>
      <c r="A162" s="868" t="s">
        <v>265</v>
      </c>
      <c r="B162" s="869"/>
      <c r="C162" s="869"/>
      <c r="D162" s="587" t="s">
        <v>187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>
      <c r="A163" s="868" t="s">
        <v>266</v>
      </c>
      <c r="B163" s="869"/>
      <c r="C163" s="869"/>
      <c r="D163" s="587" t="s">
        <v>187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>
      <c r="A164" s="870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>
      <c r="A165" s="870" t="s">
        <v>188</v>
      </c>
      <c r="B165" s="681"/>
      <c r="C165" s="681"/>
      <c r="D165" s="587" t="s">
        <v>187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>
      <c r="A166" s="1468" t="s">
        <v>99</v>
      </c>
      <c r="B166" s="1468"/>
      <c r="C166" s="1468"/>
      <c r="D166" s="599" t="s">
        <v>187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>
      <c r="A167" s="1468" t="s">
        <v>100</v>
      </c>
      <c r="B167" s="1468"/>
      <c r="C167" s="1468"/>
      <c r="D167" s="599" t="s">
        <v>187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>
      <c r="A168" s="1468" t="s">
        <v>101</v>
      </c>
      <c r="B168" s="1468"/>
      <c r="C168" s="1468"/>
      <c r="D168" s="599" t="s">
        <v>187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>
      <c r="A169" s="1468" t="s">
        <v>102</v>
      </c>
      <c r="B169" s="1468"/>
      <c r="C169" s="1468"/>
      <c r="D169" s="599" t="s">
        <v>187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>
      <c r="A170" s="1468" t="s">
        <v>103</v>
      </c>
      <c r="B170" s="1468"/>
      <c r="C170" s="1468"/>
      <c r="D170" s="599" t="s">
        <v>187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>
      <c r="A171" s="1468" t="s">
        <v>104</v>
      </c>
      <c r="B171" s="1468"/>
      <c r="C171" s="1468"/>
      <c r="D171" s="599" t="s">
        <v>187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>
      <c r="G172" s="614">
        <f>SUM(G160:G171)</f>
        <v>4390</v>
      </c>
      <c r="L172" s="407">
        <f>SUM(L160:L171)</f>
        <v>2963.4900000000066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269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29" zoomScale="55" zoomScaleNormal="60" zoomScaleSheetLayoutView="55" zoomScalePageLayoutView="20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215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292</v>
      </c>
      <c r="B2" s="1118">
        <v>44248</v>
      </c>
      <c r="C2" s="1232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28</v>
      </c>
      <c r="E3" s="1440" t="s">
        <v>121</v>
      </c>
      <c r="F3" s="1441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409225</v>
      </c>
      <c r="I7" s="550">
        <f>'1'!I7</f>
        <v>12000</v>
      </c>
      <c r="J7" s="629">
        <f>H7/DAY(B2)</f>
        <v>19486.904761904763</v>
      </c>
      <c r="K7" s="626">
        <v>12199</v>
      </c>
      <c r="L7" s="408">
        <f>G7-K7</f>
        <v>7907</v>
      </c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411870</v>
      </c>
      <c r="I8" s="553">
        <f>'1'!I8</f>
        <v>12000</v>
      </c>
      <c r="J8" s="629">
        <f>H8/DAY(B2)</f>
        <v>19612.857142857141</v>
      </c>
      <c r="K8" s="626">
        <v>12262</v>
      </c>
      <c r="L8" s="464">
        <f>G8-K8</f>
        <v>7932</v>
      </c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225888.25</v>
      </c>
      <c r="I9" s="555">
        <f>I8-J8</f>
        <v>-7612.8571428571413</v>
      </c>
      <c r="J9" s="629">
        <f>H9/DAY(B2)</f>
        <v>10756.583333333334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169109.60000000009</v>
      </c>
      <c r="I10" s="556"/>
      <c r="J10" s="629">
        <f>H10/DAY(B2)</f>
        <v>8052.8380952380994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1610</v>
      </c>
      <c r="I11" s="556"/>
      <c r="J11" s="629">
        <f>H11/DAY(B2)</f>
        <v>76.666666666666671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2380</v>
      </c>
      <c r="I12" s="556"/>
      <c r="J12" s="629">
        <f>H12/DAY(B2)</f>
        <v>113.33333333333333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380681.85000000009</v>
      </c>
      <c r="I13" s="558">
        <f>G7-G13</f>
        <v>478</v>
      </c>
      <c r="J13" s="629">
        <f>H13/DAY(B2)</f>
        <v>18127.707142857147</v>
      </c>
      <c r="K13" s="467"/>
      <c r="L13" s="408"/>
      <c r="N13" s="413"/>
      <c r="O13" s="413"/>
    </row>
    <row r="14" spans="1:1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140</v>
      </c>
      <c r="B15" s="666"/>
      <c r="C15" s="666"/>
      <c r="D15" s="599" t="s">
        <v>141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19023.850000000093</v>
      </c>
      <c r="I15" s="550">
        <v>800</v>
      </c>
      <c r="J15" s="629">
        <f>H15/DAY(B2)</f>
        <v>905.89761904762349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-105.89761904762349</v>
      </c>
      <c r="J16" s="630"/>
      <c r="K16" s="467"/>
      <c r="L16" s="408"/>
      <c r="N16" s="413"/>
      <c r="O16" s="413"/>
    </row>
    <row r="17" spans="1:1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3440</v>
      </c>
      <c r="I18" s="550">
        <f>'1'!I18</f>
        <v>65</v>
      </c>
      <c r="J18" s="629">
        <f>H18/DAY(B2)</f>
        <v>163.8095238095238</v>
      </c>
      <c r="K18" s="467"/>
      <c r="L18" s="408"/>
      <c r="N18" s="413"/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1057</v>
      </c>
      <c r="I19" s="565"/>
      <c r="J19" s="629">
        <f>H19/DAY(B2)</f>
        <v>50.333333333333336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4497</v>
      </c>
      <c r="I20" s="568">
        <f>I18-J20</f>
        <v>-149.14285714285714</v>
      </c>
      <c r="J20" s="629">
        <f>H20/DAY(B2)</f>
        <v>214.14285714285714</v>
      </c>
      <c r="K20" s="467"/>
      <c r="L20" s="408"/>
      <c r="N20" s="413"/>
      <c r="O20" s="413"/>
    </row>
    <row r="21" spans="1:1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147</v>
      </c>
      <c r="B22" s="666"/>
      <c r="C22" s="666"/>
      <c r="D22" s="599" t="s">
        <v>148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149</v>
      </c>
      <c r="B23" s="666"/>
      <c r="C23" s="666"/>
      <c r="D23" s="599" t="s">
        <v>148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3706830</v>
      </c>
      <c r="I27" s="579"/>
      <c r="J27" s="629">
        <f>H27/DAY(B2)</f>
        <v>176515.71428571429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827537.47500000405</v>
      </c>
      <c r="I28" s="581"/>
      <c r="J28" s="629">
        <f>H28/DAY(B2)</f>
        <v>39406.546428571623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141638</v>
      </c>
      <c r="I30" s="581"/>
      <c r="J30" s="629">
        <f>H30/DAY(B2)</f>
        <v>6744.666666666667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275200</v>
      </c>
      <c r="I31" s="581"/>
      <c r="J31" s="629">
        <f>H31/DAY(B2)</f>
        <v>13104.761904761905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5113355.4750000043</v>
      </c>
      <c r="I32" s="585"/>
      <c r="J32" s="629">
        <f>H32/DAY(B2)</f>
        <v>243493.11785714305</v>
      </c>
      <c r="K32" s="404"/>
      <c r="L32" s="484"/>
      <c r="N32" s="493"/>
      <c r="O32" s="413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  <c r="O33" s="413"/>
    </row>
    <row r="34" spans="1:1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42318.329999999958</v>
      </c>
      <c r="I35" s="531"/>
      <c r="J35" s="629">
        <f>H35/DAY(B2)</f>
        <v>2015.1585714285695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14683.549999999988</v>
      </c>
      <c r="I36" s="531"/>
      <c r="J36" s="629">
        <f>H36/DAY(B2)</f>
        <v>699.21666666666613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21738</v>
      </c>
      <c r="I37" s="531"/>
      <c r="J37" s="629">
        <f>H37/DAY(B2)</f>
        <v>1035.1428571428571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29069.120000000003</v>
      </c>
      <c r="I38" s="531"/>
      <c r="J38" s="629">
        <f>H38/DAY(B2)</f>
        <v>1384.2438095238097</v>
      </c>
      <c r="K38" s="467">
        <v>0</v>
      </c>
      <c r="L38" s="408">
        <f t="shared" si="5"/>
        <v>2026</v>
      </c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61480</v>
      </c>
      <c r="I39" s="531"/>
      <c r="J39" s="629">
        <f>H39/DAY(B2)</f>
        <v>2927.6190476190477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19259.480000000003</v>
      </c>
      <c r="I41" s="531"/>
      <c r="J41" s="629">
        <f>H41/DAY(B2)</f>
        <v>917.11809523809541</v>
      </c>
      <c r="K41" s="467">
        <v>0</v>
      </c>
      <c r="L41" s="408">
        <f t="shared" si="5"/>
        <v>0</v>
      </c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203</v>
      </c>
      <c r="I42" s="531"/>
      <c r="J42" s="629">
        <f>H42/DAY(B2)</f>
        <v>9.6666666666666661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41679.089999999967</v>
      </c>
      <c r="I43" s="531"/>
      <c r="J43" s="629">
        <f>H43/DAY(B2)</f>
        <v>1984.7185714285699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230429.97999999989</v>
      </c>
      <c r="I47" s="531"/>
      <c r="J47" s="629">
        <f>H47/DAY(B2)</f>
        <v>10972.856190476185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14832.950000000012</v>
      </c>
      <c r="I49" s="531"/>
      <c r="J49" s="629">
        <f>H49/DAY(B2)</f>
        <v>706.33095238095291</v>
      </c>
      <c r="K49" s="467">
        <v>0</v>
      </c>
      <c r="L49" s="408">
        <f t="shared" si="5"/>
        <v>0</v>
      </c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24204.690000000002</v>
      </c>
      <c r="I50" s="531"/>
      <c r="J50" s="629">
        <f>H50/DAY(B2)</f>
        <v>1152.6042857142859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9951.2599999999948</v>
      </c>
      <c r="I51" s="531"/>
      <c r="J51" s="629">
        <f>H51/DAY(B2)</f>
        <v>473.86952380952357</v>
      </c>
      <c r="K51" s="467">
        <v>0</v>
      </c>
      <c r="L51" s="408">
        <f t="shared" si="5"/>
        <v>0</v>
      </c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14104.330000000016</v>
      </c>
      <c r="I52" s="531"/>
      <c r="J52" s="629">
        <f>H52/DAY(B2)</f>
        <v>671.63476190476263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27556.729999999981</v>
      </c>
      <c r="I53" s="531"/>
      <c r="J53" s="629">
        <f>H53/DAY(B2)</f>
        <v>1312.2252380952373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1218.1999999999998</v>
      </c>
      <c r="I54" s="531"/>
      <c r="J54" s="629">
        <f>H54/DAY(B2)</f>
        <v>58.009523809523799</v>
      </c>
      <c r="K54" s="467">
        <v>0</v>
      </c>
      <c r="L54" s="408">
        <f t="shared" si="5"/>
        <v>69</v>
      </c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51282.02</v>
      </c>
      <c r="I55" s="531"/>
      <c r="J55" s="629">
        <f>H55/DAY(B2)</f>
        <v>2442.0009523809522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14920.089999999967</v>
      </c>
      <c r="I56" s="531"/>
      <c r="J56" s="629">
        <f>H56/DAY(B2)</f>
        <v>710.48047619047463</v>
      </c>
      <c r="K56" s="466">
        <v>0</v>
      </c>
      <c r="L56" s="408">
        <f t="shared" si="5"/>
        <v>4354</v>
      </c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7711</v>
      </c>
      <c r="I57" s="531"/>
      <c r="J57" s="629">
        <f>H57/DAY(B2)</f>
        <v>367.1904761904762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3786.4600000000028</v>
      </c>
      <c r="I58" s="531"/>
      <c r="J58" s="629">
        <f>H58/DAY(B2)</f>
        <v>180.30761904761917</v>
      </c>
      <c r="K58" s="467">
        <v>0</v>
      </c>
      <c r="L58" s="408">
        <f t="shared" si="5"/>
        <v>188</v>
      </c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169567.73</v>
      </c>
      <c r="I59" s="531">
        <f>G7-G60</f>
        <v>457</v>
      </c>
      <c r="J59" s="629">
        <f>H59/DAY(B2)</f>
        <v>8074.6538095238102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19649</v>
      </c>
      <c r="H60" s="536">
        <f>G60+'20'!H60</f>
        <v>405177.89999999979</v>
      </c>
      <c r="I60" s="531">
        <f>G13-G60</f>
        <v>-21</v>
      </c>
      <c r="J60" s="629">
        <f>H60/DAY(B2)</f>
        <v>19294.185714285704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278.47000000000003</v>
      </c>
      <c r="I63" s="591"/>
      <c r="J63" s="629">
        <f>H63/DAY(B2)</f>
        <v>13.260476190476192</v>
      </c>
      <c r="K63" s="467"/>
      <c r="L63" s="408"/>
      <c r="N63" s="413"/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8754.5399999999936</v>
      </c>
      <c r="I64" s="556"/>
      <c r="J64" s="629">
        <f>H64/DAY(B2)</f>
        <v>416.88285714285684</v>
      </c>
      <c r="K64" s="467"/>
      <c r="L64" s="408"/>
      <c r="N64" s="413"/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8118.8899999999994</v>
      </c>
      <c r="I65" s="565"/>
      <c r="J65" s="629">
        <f>H65/DAY(B2)</f>
        <v>386.61380952380949</v>
      </c>
      <c r="K65" s="467"/>
      <c r="L65" s="408"/>
      <c r="N65" s="413"/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8280.26</v>
      </c>
      <c r="I66" s="556"/>
      <c r="J66" s="629">
        <f>H66/DAY(B2)</f>
        <v>394.29809523809524</v>
      </c>
      <c r="K66" s="467"/>
      <c r="L66" s="408"/>
      <c r="N66" s="413"/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14636.470000000001</v>
      </c>
      <c r="I67" s="565"/>
      <c r="J67" s="629">
        <f>H67/DAY(B2)</f>
        <v>696.97476190476198</v>
      </c>
      <c r="K67" s="468"/>
      <c r="L67" s="408"/>
      <c r="N67" s="413"/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8185.1399999999994</v>
      </c>
      <c r="I68" s="592"/>
      <c r="J68" s="629">
        <f>H68/DAY(B2)</f>
        <v>389.76857142857142</v>
      </c>
      <c r="K68" s="469"/>
      <c r="L68" s="408"/>
      <c r="N68" s="413"/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6433.2900000000009</v>
      </c>
      <c r="I69" s="592"/>
      <c r="J69" s="629">
        <f>H69/DAY(B2)</f>
        <v>306.3471428571429</v>
      </c>
      <c r="K69" s="470"/>
      <c r="L69" s="408"/>
      <c r="N69" s="413"/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1456</v>
      </c>
      <c r="I72" s="556"/>
      <c r="J72" s="629">
        <f>H72/DAY(B2)</f>
        <v>69.333333333333329</v>
      </c>
      <c r="K72" s="470"/>
      <c r="L72" s="408"/>
      <c r="N72" s="413"/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982</v>
      </c>
      <c r="I73" s="556"/>
      <c r="J73" s="629">
        <f>H73/DAY(B2)</f>
        <v>46.761904761904759</v>
      </c>
      <c r="K73" s="469"/>
      <c r="L73" s="408"/>
      <c r="N73" s="413"/>
      <c r="O73" s="413"/>
    </row>
    <row r="74" spans="1:15" ht="27.75">
      <c r="A74" s="1535" t="s">
        <v>193</v>
      </c>
      <c r="B74" s="1536"/>
      <c r="C74" s="1537"/>
      <c r="D74" s="599" t="s">
        <v>187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667.1</v>
      </c>
      <c r="I74" s="556"/>
      <c r="J74" s="629">
        <f>H74/DAY(B2)</f>
        <v>31.766666666666669</v>
      </c>
      <c r="K74" s="470"/>
      <c r="L74" s="408"/>
      <c r="N74" s="413"/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3859.4000000000005</v>
      </c>
      <c r="I75" s="556"/>
      <c r="J75" s="629">
        <f>H75/DAY(B2)</f>
        <v>183.78095238095241</v>
      </c>
      <c r="K75" s="469"/>
      <c r="L75" s="408"/>
      <c r="N75" s="413"/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2966.2000000000003</v>
      </c>
      <c r="I76" s="581"/>
      <c r="J76" s="629">
        <f>H76/DAY(B2)</f>
        <v>141.24761904761905</v>
      </c>
      <c r="K76" s="469"/>
      <c r="L76" s="408"/>
      <c r="N76" s="413"/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1147</v>
      </c>
      <c r="I77" s="581"/>
      <c r="J77" s="629">
        <f>H77/DAY(B2)</f>
        <v>54.61904761904762</v>
      </c>
      <c r="K77" s="469"/>
      <c r="L77" s="408"/>
      <c r="N77" s="413"/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8531</v>
      </c>
      <c r="I78" s="581"/>
      <c r="J78" s="629">
        <f>H78/DAY(B2)</f>
        <v>406.23809523809524</v>
      </c>
      <c r="K78" s="469"/>
      <c r="L78" s="408"/>
      <c r="N78" s="413"/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6896</v>
      </c>
      <c r="I79" s="581"/>
      <c r="J79" s="629">
        <f>H79/DAY(B2)</f>
        <v>328.38095238095241</v>
      </c>
      <c r="K79" s="469"/>
      <c r="L79" s="408"/>
      <c r="N79" s="413"/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5463.320000000007</v>
      </c>
      <c r="I80" s="581"/>
      <c r="J80" s="629">
        <f>H80/DAY(B2)</f>
        <v>260.1580952380956</v>
      </c>
      <c r="K80" s="469"/>
      <c r="L80" s="408"/>
      <c r="N80" s="413"/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2223</v>
      </c>
      <c r="I81" s="581"/>
      <c r="J81" s="629">
        <f>H81/DAY(B2)</f>
        <v>105.85714285714286</v>
      </c>
      <c r="K81" s="469"/>
      <c r="L81" s="408"/>
      <c r="N81" s="413"/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598</v>
      </c>
      <c r="I82" s="562"/>
      <c r="J82" s="629">
        <f>H82/DAY(B2)</f>
        <v>28.476190476190474</v>
      </c>
      <c r="K82" s="469"/>
      <c r="L82" s="408"/>
      <c r="N82" s="413"/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9128</v>
      </c>
      <c r="I83" s="557"/>
      <c r="J83" s="629">
        <f>H83/DAY(B2)</f>
        <v>434.66666666666669</v>
      </c>
      <c r="K83" s="468"/>
      <c r="L83" s="408"/>
      <c r="N83" s="413"/>
      <c r="O83" s="803"/>
    </row>
    <row r="84" spans="1:15">
      <c r="A84" s="1234" t="s">
        <v>201</v>
      </c>
      <c r="B84" s="648"/>
      <c r="C84" s="648"/>
      <c r="D84" s="554" t="s">
        <v>132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10443</v>
      </c>
      <c r="I84" s="557"/>
      <c r="J84" s="629">
        <f>H84/DAY(B2)</f>
        <v>497.28571428571428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49056.649999999994</v>
      </c>
      <c r="I85" s="557"/>
      <c r="J85" s="629">
        <f>H85/DAY(B2)</f>
        <v>2336.0309523809519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2349</v>
      </c>
      <c r="I92" s="556"/>
      <c r="J92" s="629">
        <f>H92/DAY(B2)</f>
        <v>111.85714285714286</v>
      </c>
      <c r="K92" s="468"/>
      <c r="L92" s="408"/>
      <c r="N92" s="413"/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3277</v>
      </c>
      <c r="I93" s="556"/>
      <c r="J93" s="629">
        <f>H93/DAY(B2)</f>
        <v>156.04761904761904</v>
      </c>
      <c r="K93" s="411"/>
      <c r="L93" s="408"/>
      <c r="N93" s="413"/>
      <c r="O93" s="413"/>
    </row>
    <row r="94" spans="1:15">
      <c r="A94" s="1413" t="s">
        <v>208</v>
      </c>
      <c r="B94" s="1414"/>
      <c r="C94" s="1415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5339</v>
      </c>
      <c r="I94" s="556"/>
      <c r="J94" s="629">
        <f>H94/DAY(B2)</f>
        <v>254.23809523809524</v>
      </c>
      <c r="K94" s="411"/>
      <c r="L94" s="408"/>
      <c r="N94" s="413"/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1644</v>
      </c>
      <c r="I95" s="556"/>
      <c r="J95" s="629">
        <f>H95/DAY(B2)</f>
        <v>78.285714285714292</v>
      </c>
      <c r="K95" s="411"/>
      <c r="L95" s="408"/>
      <c r="N95" s="413"/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664</v>
      </c>
      <c r="I96" s="556"/>
      <c r="J96" s="629">
        <f>H96/DAY(B2)</f>
        <v>31.61904761904762</v>
      </c>
      <c r="K96" s="466"/>
      <c r="L96" s="408"/>
      <c r="N96" s="413"/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628</v>
      </c>
      <c r="I97" s="556"/>
      <c r="J97" s="629">
        <f>H97/DAY(B2)</f>
        <v>29.904761904761905</v>
      </c>
      <c r="K97" s="471"/>
      <c r="L97" s="408"/>
      <c r="N97" s="413"/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1439</v>
      </c>
      <c r="I98" s="556"/>
      <c r="J98" s="629">
        <f>H98/DAY(B2)</f>
        <v>68.523809523809518</v>
      </c>
      <c r="K98" s="411"/>
      <c r="L98" s="408"/>
      <c r="N98" s="413"/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305</v>
      </c>
      <c r="I99" s="556"/>
      <c r="J99" s="629">
        <f>H99/DAY(B2)</f>
        <v>14.523809523809524</v>
      </c>
      <c r="K99" s="411"/>
      <c r="L99" s="408"/>
      <c r="N99" s="413"/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413" t="s">
        <v>216</v>
      </c>
      <c r="B101" s="1414"/>
      <c r="C101" s="1415"/>
      <c r="D101" s="600"/>
      <c r="E101" s="600"/>
      <c r="F101" s="600"/>
      <c r="G101" s="601">
        <f>SUM(G95:G100)</f>
        <v>248</v>
      </c>
      <c r="H101" s="536">
        <f>G101+'20'!H101</f>
        <v>4875</v>
      </c>
      <c r="I101" s="602"/>
      <c r="J101" s="629">
        <f>H101/DAY(B2)</f>
        <v>232.14285714285714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83</v>
      </c>
      <c r="I105" s="608"/>
      <c r="J105" s="635">
        <f>H105/DAY(B2)</f>
        <v>3.9523809523809526</v>
      </c>
      <c r="N105" s="493"/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364</v>
      </c>
      <c r="I106" s="608"/>
      <c r="J106" s="635">
        <f>H106/DAY(B2)</f>
        <v>17.333333333333332</v>
      </c>
      <c r="N106" s="493"/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270</v>
      </c>
      <c r="I107" s="608"/>
      <c r="J107" s="635">
        <f>H107/DAY(B2)</f>
        <v>12.857142857142858</v>
      </c>
      <c r="N107" s="493"/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295</v>
      </c>
      <c r="I109" s="608"/>
      <c r="J109" s="635">
        <f>H109/DAY(B2)</f>
        <v>14.047619047619047</v>
      </c>
      <c r="N109" s="493"/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343</v>
      </c>
      <c r="I110" s="608"/>
      <c r="J110" s="635">
        <f>H110/DAY(B2)</f>
        <v>16.333333333333332</v>
      </c>
      <c r="N110" s="493"/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466</v>
      </c>
      <c r="I111" s="608"/>
      <c r="J111" s="635">
        <f>H111/DAY(B2)</f>
        <v>22.19047619047619</v>
      </c>
      <c r="N111" s="493"/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1071</v>
      </c>
      <c r="I112" s="608"/>
      <c r="J112" s="635">
        <f>H112/DAY(B2)</f>
        <v>51</v>
      </c>
      <c r="N112" s="493"/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111</v>
      </c>
      <c r="I115" s="608"/>
      <c r="J115" s="635">
        <f>H115/DAY(B2)</f>
        <v>5.2857142857142856</v>
      </c>
      <c r="N115" s="493"/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14"/>
        <v>0</v>
      </c>
      <c r="H116" s="536">
        <f>G116+'20'!H116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26</v>
      </c>
      <c r="H117" s="536">
        <f>G117+'20'!H117</f>
        <v>190</v>
      </c>
      <c r="I117" s="610"/>
      <c r="J117" s="635">
        <f>H117/DAY(B2)</f>
        <v>9.0476190476190474</v>
      </c>
      <c r="N117" s="522"/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627</v>
      </c>
      <c r="I118" s="611"/>
      <c r="J118" s="636">
        <f>H118/DAY(B2)</f>
        <v>29.857142857142858</v>
      </c>
      <c r="N118" s="861"/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688</v>
      </c>
      <c r="I119" s="611"/>
      <c r="J119" s="636">
        <f>H119/DAY(B2)</f>
        <v>32.761904761904759</v>
      </c>
      <c r="N119" s="861"/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/>
      <c r="F120" s="610">
        <f>SUM(G112)</f>
        <v>166</v>
      </c>
      <c r="G120" s="610">
        <f>SUM(G112)</f>
        <v>166</v>
      </c>
      <c r="H120" s="536">
        <f>G120+'20'!H120</f>
        <v>556</v>
      </c>
      <c r="I120" s="611"/>
      <c r="J120" s="636">
        <f>H120/DAY(B2)</f>
        <v>26.476190476190474</v>
      </c>
      <c r="N120" s="861"/>
      <c r="O120" s="413"/>
    </row>
    <row r="121" spans="1:15" s="481" customFormat="1" ht="27.75">
      <c r="A121" s="1460"/>
      <c r="B121" s="1461"/>
      <c r="C121" s="1228"/>
      <c r="D121" s="637"/>
      <c r="E121" s="637"/>
      <c r="F121" s="637" t="s">
        <v>215</v>
      </c>
      <c r="G121" s="637"/>
      <c r="H121" s="638">
        <v>0</v>
      </c>
      <c r="I121" s="637"/>
      <c r="J121" s="639"/>
      <c r="N121" s="493"/>
      <c r="O121" s="413"/>
    </row>
    <row r="122" spans="1:15">
      <c r="A122" s="1410" t="s">
        <v>230</v>
      </c>
      <c r="B122" s="1411"/>
      <c r="C122" s="1412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5865.5999999999767</v>
      </c>
      <c r="I123" s="602"/>
      <c r="J123" s="629">
        <f>H123/DAY(B2)</f>
        <v>279.31428571428461</v>
      </c>
      <c r="K123" s="411"/>
      <c r="L123" s="408"/>
      <c r="N123" s="413"/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1</v>
      </c>
      <c r="I124" s="602"/>
      <c r="J124" s="629">
        <f>H124/DAY(B2)</f>
        <v>4.7619047619047616E-2</v>
      </c>
      <c r="K124" s="411"/>
      <c r="L124" s="408"/>
      <c r="N124" s="413"/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1634</v>
      </c>
      <c r="I125" s="602"/>
      <c r="J125" s="629">
        <f>H125/DAY(B2)</f>
        <v>77.80952380952381</v>
      </c>
      <c r="K125" s="411"/>
      <c r="L125" s="408"/>
      <c r="N125" s="413"/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747.30000000000291</v>
      </c>
      <c r="I126" s="602"/>
      <c r="J126" s="629">
        <f>H126/DAY(B2)</f>
        <v>35.585714285714424</v>
      </c>
      <c r="K126" s="411"/>
      <c r="L126" s="408"/>
      <c r="N126" s="413"/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60</v>
      </c>
      <c r="I127" s="556"/>
      <c r="J127" s="629">
        <f>H127/DAY(B2)</f>
        <v>2.8571428571428572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111.08999999999651</v>
      </c>
      <c r="I132" s="556"/>
      <c r="J132" s="629">
        <f>H132/DAY(B2)</f>
        <v>5.2899999999998339</v>
      </c>
      <c r="N132" s="413"/>
      <c r="O132" s="413"/>
    </row>
    <row r="133" spans="1:15" s="480" customFormat="1" ht="27.75">
      <c r="A133" s="1157" t="s">
        <v>242</v>
      </c>
      <c r="B133" s="1158"/>
      <c r="C133" s="1158"/>
      <c r="D133" s="704" t="s">
        <v>239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0.51999999999998181</v>
      </c>
      <c r="I133" s="1159">
        <f>G130+G131+G132+G133</f>
        <v>0</v>
      </c>
      <c r="J133" s="789">
        <f>H133/DAY(B2)</f>
        <v>2.4761904761903895E-2</v>
      </c>
      <c r="N133" s="795"/>
      <c r="O133" s="795"/>
    </row>
    <row r="134" spans="1:15" ht="27.75">
      <c r="A134" s="1230" t="s">
        <v>243</v>
      </c>
      <c r="B134" s="1231"/>
      <c r="C134" s="1231"/>
      <c r="D134" s="599" t="s">
        <v>239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309.5199999999968</v>
      </c>
      <c r="I134" s="556"/>
      <c r="J134" s="629">
        <f>H134/DAY(B2)</f>
        <v>14.739047619047467</v>
      </c>
      <c r="N134" s="413"/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83</v>
      </c>
      <c r="I135" s="556"/>
      <c r="J135" s="629">
        <f>H135/DAY(B2)</f>
        <v>3.9523809523809526</v>
      </c>
      <c r="N135" s="413"/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161.04000000000087</v>
      </c>
      <c r="I136" s="556">
        <f>G134+G135+G136</f>
        <v>32.459999999999127</v>
      </c>
      <c r="J136" s="629">
        <f>H136/DAY(B2)</f>
        <v>7.6685714285714699</v>
      </c>
      <c r="N136" s="413"/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16.620000000002619</v>
      </c>
      <c r="I137" s="556"/>
      <c r="J137" s="629">
        <f>H137/DAY(B2)</f>
        <v>0.79142857142869616</v>
      </c>
      <c r="N137" s="413"/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56.289999999993597</v>
      </c>
      <c r="I138" s="556">
        <f>G137+G138</f>
        <v>3.5999999999912689</v>
      </c>
      <c r="J138" s="629">
        <f>H138/DAY(B2)</f>
        <v>2.6804761904758854</v>
      </c>
      <c r="N138" s="413"/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170.3900000000001</v>
      </c>
      <c r="I139" s="619"/>
      <c r="J139" s="629">
        <f>H139/DAY(B2)</f>
        <v>8.1138095238095289</v>
      </c>
      <c r="N139" s="413"/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5389</v>
      </c>
      <c r="H142" s="536">
        <f>G142+'20'!H142</f>
        <v>104843.93</v>
      </c>
      <c r="I142" s="556"/>
      <c r="J142" s="629">
        <f>H142/DAY(B2)</f>
        <v>4992.5680952380953</v>
      </c>
      <c r="K142" s="411"/>
      <c r="L142" s="408"/>
      <c r="N142" s="413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5.2069254120214978</v>
      </c>
      <c r="I143" s="621"/>
      <c r="J143" s="629">
        <f>H143/DAY(B2)</f>
        <v>0.24794882914388086</v>
      </c>
      <c r="K143" s="411"/>
      <c r="L143" s="408"/>
      <c r="N143" s="413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4354</v>
      </c>
      <c r="H144" s="536">
        <f>G144+'20'!H144</f>
        <v>89531.989999999962</v>
      </c>
      <c r="I144" s="556"/>
      <c r="J144" s="629">
        <f>H144/DAY(B2)</f>
        <v>4263.4280952380932</v>
      </c>
      <c r="K144" s="411"/>
      <c r="L144" s="408"/>
      <c r="N144" s="413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4.5858243503369449</v>
      </c>
      <c r="I145" s="621"/>
      <c r="J145" s="629">
        <f>H145/DAY(B2)</f>
        <v>0.2183725881112831</v>
      </c>
      <c r="K145" s="411"/>
      <c r="L145" s="408"/>
      <c r="N145" s="413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4214</v>
      </c>
      <c r="H146" s="536">
        <f>G146+'20'!H146</f>
        <v>89036.729999999967</v>
      </c>
      <c r="I146" s="622"/>
      <c r="J146" s="629">
        <f>H146/DAY(B2)</f>
        <v>4239.8442857142845</v>
      </c>
      <c r="K146" s="411"/>
      <c r="L146" s="408"/>
      <c r="N146" s="413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4.5894075077949692</v>
      </c>
      <c r="I147" s="622"/>
      <c r="J147" s="629">
        <f>H147/DAY(B2)</f>
        <v>0.2185432146569033</v>
      </c>
      <c r="N147" s="413"/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2026</v>
      </c>
      <c r="H148" s="536">
        <f>G148+'20'!H148</f>
        <v>43173.450000000012</v>
      </c>
      <c r="I148" s="556"/>
      <c r="J148" s="629">
        <f>H148/DAY(B2)</f>
        <v>2055.8785714285718</v>
      </c>
      <c r="K148" s="412"/>
      <c r="N148" s="413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2.2209021871116206</v>
      </c>
      <c r="I149" s="622"/>
      <c r="J149" s="629">
        <f>H149/DAY(B2)</f>
        <v>0.10575724700531526</v>
      </c>
      <c r="N149" s="413"/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1887</v>
      </c>
      <c r="H150" s="536">
        <f>G150+'20'!H150</f>
        <v>39931.239999999991</v>
      </c>
      <c r="I150" s="622"/>
      <c r="J150" s="629">
        <f>H150/DAY(B2)</f>
        <v>1901.4876190476186</v>
      </c>
      <c r="N150" s="413"/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2.0447399832411737</v>
      </c>
      <c r="I151" s="556"/>
      <c r="J151" s="629">
        <f>H151/DAY(B2)</f>
        <v>9.7368570630532086E-2</v>
      </c>
      <c r="N151" s="413"/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1522</v>
      </c>
      <c r="H152" s="536">
        <f>G152+'20'!H152</f>
        <v>31689.259999999995</v>
      </c>
      <c r="I152" s="556"/>
      <c r="J152" s="629">
        <f>H152/DAY(B2)</f>
        <v>1509.0123809523807</v>
      </c>
      <c r="N152" s="413"/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1.6382410369465839</v>
      </c>
      <c r="I153" s="645"/>
      <c r="J153" s="646">
        <f>H153/DAY(B2)</f>
        <v>7.801147794983733E-2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263</v>
      </c>
      <c r="B160" s="869"/>
      <c r="C160" s="869"/>
      <c r="D160" s="587" t="s">
        <v>187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>
      <c r="A161" s="868" t="s">
        <v>264</v>
      </c>
      <c r="B161" s="869"/>
      <c r="C161" s="869"/>
      <c r="D161" s="587" t="s">
        <v>187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>
      <c r="A162" s="868" t="s">
        <v>265</v>
      </c>
      <c r="B162" s="869"/>
      <c r="C162" s="869"/>
      <c r="D162" s="587" t="s">
        <v>187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>
      <c r="A163" s="868" t="s">
        <v>266</v>
      </c>
      <c r="B163" s="869"/>
      <c r="C163" s="869"/>
      <c r="D163" s="587" t="s">
        <v>187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>
      <c r="A164" s="870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>
      <c r="A165" s="870" t="s">
        <v>188</v>
      </c>
      <c r="B165" s="681"/>
      <c r="C165" s="681"/>
      <c r="D165" s="587" t="s">
        <v>187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>
      <c r="A166" s="1468" t="s">
        <v>99</v>
      </c>
      <c r="B166" s="1468"/>
      <c r="C166" s="1468"/>
      <c r="D166" s="599" t="s">
        <v>187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>
      <c r="A167" s="1468" t="s">
        <v>100</v>
      </c>
      <c r="B167" s="1468"/>
      <c r="C167" s="1468"/>
      <c r="D167" s="599" t="s">
        <v>187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>
      <c r="A168" s="1468" t="s">
        <v>101</v>
      </c>
      <c r="B168" s="1468"/>
      <c r="C168" s="1468"/>
      <c r="D168" s="599" t="s">
        <v>187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>
      <c r="A169" s="1468" t="s">
        <v>102</v>
      </c>
      <c r="B169" s="1468"/>
      <c r="C169" s="1468"/>
      <c r="D169" s="599" t="s">
        <v>187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>
      <c r="A170" s="1468" t="s">
        <v>103</v>
      </c>
      <c r="B170" s="1468"/>
      <c r="C170" s="1468"/>
      <c r="D170" s="599" t="s">
        <v>187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>
      <c r="A171" s="1468" t="s">
        <v>104</v>
      </c>
      <c r="B171" s="1468"/>
      <c r="C171" s="1468"/>
      <c r="D171" s="599" t="s">
        <v>187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>
      <c r="G172" s="614">
        <f>SUM(G160:G171)</f>
        <v>3499</v>
      </c>
    </row>
    <row r="176" spans="1:12" ht="18.75" customHeight="1"/>
    <row r="177" spans="6:6" ht="21" customHeight="1">
      <c r="F177" s="614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04" zoomScale="55" zoomScaleNormal="71" zoomScaleSheetLayoutView="55" workbookViewId="0">
      <selection activeCell="D132" sqref="D132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>
      <c r="A1" s="1553" t="s">
        <v>117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ht="21">
      <c r="A2" s="891" t="s">
        <v>335</v>
      </c>
      <c r="B2" s="1200">
        <v>44249</v>
      </c>
      <c r="C2" s="892" t="s">
        <v>69</v>
      </c>
      <c r="D2" s="893">
        <v>0.38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  <c r="N2" s="1092" t="s">
        <v>118</v>
      </c>
    </row>
    <row r="3" spans="1:15">
      <c r="A3" s="896"/>
      <c r="B3" s="897"/>
      <c r="C3" s="892" t="s">
        <v>120</v>
      </c>
      <c r="D3" s="898">
        <v>28</v>
      </c>
      <c r="E3" s="1556" t="s">
        <v>121</v>
      </c>
      <c r="F3" s="1557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>
      <c r="A4" s="904"/>
      <c r="B4" s="905"/>
      <c r="C4" s="892" t="s">
        <v>122</v>
      </c>
      <c r="D4" s="893">
        <v>0.75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  <c r="N5" s="1092" t="s">
        <v>126</v>
      </c>
    </row>
    <row r="6" spans="1:15">
      <c r="A6" s="1550" t="s">
        <v>130</v>
      </c>
      <c r="B6" s="1551"/>
      <c r="C6" s="1552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131</v>
      </c>
      <c r="B7" s="922"/>
      <c r="C7" s="922"/>
      <c r="D7" s="923" t="s">
        <v>132</v>
      </c>
      <c r="E7" s="924">
        <f>'21'!F7</f>
        <v>4297423</v>
      </c>
      <c r="F7" s="924">
        <v>4317694</v>
      </c>
      <c r="G7" s="925">
        <f>F7-E7</f>
        <v>20271</v>
      </c>
      <c r="H7" s="926">
        <f>G7+'21'!H7</f>
        <v>429496</v>
      </c>
      <c r="I7" s="927">
        <f>'1'!I7</f>
        <v>12000</v>
      </c>
      <c r="J7" s="928">
        <f>H7/DAY(B2)</f>
        <v>19522.545454545456</v>
      </c>
      <c r="K7" s="929"/>
      <c r="L7" s="903"/>
      <c r="N7" s="1092">
        <v>12493</v>
      </c>
      <c r="O7" s="930">
        <f>N7-G7</f>
        <v>-7778</v>
      </c>
    </row>
    <row r="8" spans="1:15" ht="21" thickBot="1">
      <c r="A8" s="931" t="s">
        <v>133</v>
      </c>
      <c r="B8" s="932"/>
      <c r="C8" s="933"/>
      <c r="D8" s="934" t="s">
        <v>25</v>
      </c>
      <c r="E8" s="924">
        <f>'21'!F8</f>
        <v>4324721</v>
      </c>
      <c r="F8" s="935">
        <v>4345081</v>
      </c>
      <c r="G8" s="936">
        <f>F8-E8</f>
        <v>20360</v>
      </c>
      <c r="H8" s="926">
        <f>G8+'21'!H8</f>
        <v>432230</v>
      </c>
      <c r="I8" s="937">
        <f>'1'!I8</f>
        <v>12000</v>
      </c>
      <c r="J8" s="928">
        <f>H8/DAY(B2)</f>
        <v>19646.81818181818</v>
      </c>
      <c r="K8" s="929"/>
      <c r="L8" s="938"/>
      <c r="M8" s="939"/>
      <c r="N8" s="1092">
        <v>12551</v>
      </c>
      <c r="O8" s="930">
        <f t="shared" ref="O8:O71" si="0">N8-G8</f>
        <v>-7809</v>
      </c>
    </row>
    <row r="9" spans="1:15">
      <c r="A9" s="940" t="s">
        <v>134</v>
      </c>
      <c r="B9" s="941"/>
      <c r="C9" s="941"/>
      <c r="D9" s="923" t="s">
        <v>132</v>
      </c>
      <c r="E9" s="924">
        <f>'21'!F9</f>
        <v>188776</v>
      </c>
      <c r="F9" s="942">
        <v>202305</v>
      </c>
      <c r="G9" s="925">
        <f t="shared" ref="G9:G12" si="1">F9-E9</f>
        <v>13529</v>
      </c>
      <c r="H9" s="926">
        <f>G9+'21'!H9</f>
        <v>239417.25</v>
      </c>
      <c r="I9" s="943">
        <f>I8-J8</f>
        <v>-7646.8181818181802</v>
      </c>
      <c r="J9" s="928">
        <f>H9/DAY(B2)</f>
        <v>10882.602272727272</v>
      </c>
      <c r="K9" s="944"/>
      <c r="L9" s="903"/>
      <c r="N9" s="1092">
        <v>12017.049999999988</v>
      </c>
      <c r="O9" s="930">
        <f t="shared" si="0"/>
        <v>-1511.9500000000116</v>
      </c>
    </row>
    <row r="10" spans="1:15">
      <c r="A10" s="921" t="s">
        <v>135</v>
      </c>
      <c r="B10" s="922"/>
      <c r="C10" s="922"/>
      <c r="D10" s="923" t="s">
        <v>132</v>
      </c>
      <c r="E10" s="924">
        <f>'21'!F10</f>
        <v>1369984</v>
      </c>
      <c r="F10" s="942">
        <v>1376130</v>
      </c>
      <c r="G10" s="925">
        <f t="shared" si="1"/>
        <v>6146</v>
      </c>
      <c r="H10" s="926">
        <f>G10+'21'!H10</f>
        <v>175255.60000000009</v>
      </c>
      <c r="I10" s="945"/>
      <c r="J10" s="928">
        <f>H10/DAY(B2)</f>
        <v>7966.1636363636408</v>
      </c>
      <c r="K10" s="944"/>
      <c r="L10" s="903"/>
      <c r="N10" s="1092">
        <v>0</v>
      </c>
      <c r="O10" s="930">
        <f t="shared" si="0"/>
        <v>-6146</v>
      </c>
    </row>
    <row r="11" spans="1:15">
      <c r="A11" s="921" t="s">
        <v>136</v>
      </c>
      <c r="B11" s="922"/>
      <c r="C11" s="922"/>
      <c r="D11" s="923" t="s">
        <v>132</v>
      </c>
      <c r="E11" s="924">
        <f>'21'!F11</f>
        <v>37000</v>
      </c>
      <c r="F11" s="924">
        <v>37000</v>
      </c>
      <c r="G11" s="925">
        <f t="shared" si="1"/>
        <v>0</v>
      </c>
      <c r="H11" s="926">
        <f>G11+'21'!H11</f>
        <v>1610</v>
      </c>
      <c r="I11" s="945"/>
      <c r="J11" s="928">
        <f>H11/DAY(B2)</f>
        <v>73.181818181818187</v>
      </c>
      <c r="K11" s="944"/>
      <c r="L11" s="903"/>
      <c r="N11" s="1092">
        <v>0</v>
      </c>
      <c r="O11" s="930">
        <f t="shared" si="0"/>
        <v>0</v>
      </c>
    </row>
    <row r="12" spans="1:15">
      <c r="A12" s="921" t="s">
        <v>137</v>
      </c>
      <c r="B12" s="922"/>
      <c r="C12" s="922"/>
      <c r="D12" s="923" t="s">
        <v>132</v>
      </c>
      <c r="E12" s="924">
        <f>'21'!F12</f>
        <v>40010</v>
      </c>
      <c r="F12" s="942">
        <v>40010</v>
      </c>
      <c r="G12" s="925">
        <f t="shared" si="1"/>
        <v>0</v>
      </c>
      <c r="H12" s="926">
        <f>G12+'21'!H12</f>
        <v>2380</v>
      </c>
      <c r="I12" s="945"/>
      <c r="J12" s="928">
        <f>H12/DAY(B2)</f>
        <v>108.18181818181819</v>
      </c>
      <c r="K12" s="944"/>
      <c r="L12" s="903"/>
      <c r="N12" s="1092">
        <v>0</v>
      </c>
      <c r="O12" s="930">
        <f t="shared" si="0"/>
        <v>0</v>
      </c>
    </row>
    <row r="13" spans="1:15">
      <c r="A13" s="946" t="s">
        <v>138</v>
      </c>
      <c r="B13" s="947"/>
      <c r="C13" s="947"/>
      <c r="D13" s="923"/>
      <c r="E13" s="924"/>
      <c r="F13" s="924"/>
      <c r="G13" s="948">
        <f>G9+G10+G11+G12</f>
        <v>19675</v>
      </c>
      <c r="H13" s="926">
        <f>G13+'21'!H13</f>
        <v>400356.85000000009</v>
      </c>
      <c r="I13" s="949">
        <f>G7-G13</f>
        <v>596</v>
      </c>
      <c r="J13" s="928">
        <f>H13/DAY(B2)</f>
        <v>18198.038636363639</v>
      </c>
      <c r="K13" s="944"/>
      <c r="L13" s="903"/>
      <c r="N13" s="1092">
        <v>12017.049999999988</v>
      </c>
      <c r="O13" s="930">
        <f t="shared" si="0"/>
        <v>-7657.9500000000116</v>
      </c>
    </row>
    <row r="14" spans="1:15">
      <c r="A14" s="1544" t="s">
        <v>139</v>
      </c>
      <c r="B14" s="1545"/>
      <c r="C14" s="1546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>
      <c r="A15" s="952" t="s">
        <v>140</v>
      </c>
      <c r="B15" s="953"/>
      <c r="C15" s="953"/>
      <c r="D15" s="923" t="s">
        <v>141</v>
      </c>
      <c r="E15" s="924">
        <f>'21'!F15</f>
        <v>1613461</v>
      </c>
      <c r="F15" s="954">
        <v>1614396</v>
      </c>
      <c r="G15" s="925">
        <f>(F15-E15)</f>
        <v>935</v>
      </c>
      <c r="H15" s="926">
        <f>G15+'21'!H15</f>
        <v>19958.850000000093</v>
      </c>
      <c r="I15" s="927">
        <v>800</v>
      </c>
      <c r="J15" s="928">
        <f>H15/DAY(B2)</f>
        <v>907.22045454545878</v>
      </c>
      <c r="K15" s="944"/>
      <c r="L15" s="903"/>
      <c r="N15" s="1092">
        <v>499.20999999996275</v>
      </c>
      <c r="O15" s="930">
        <f t="shared" si="0"/>
        <v>-435.79000000003725</v>
      </c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-107.22045454545878</v>
      </c>
      <c r="J16" s="961"/>
      <c r="K16" s="944"/>
      <c r="L16" s="903"/>
      <c r="O16" s="930">
        <f t="shared" si="0"/>
        <v>0</v>
      </c>
    </row>
    <row r="17" spans="1:15">
      <c r="A17" s="1544" t="s">
        <v>142</v>
      </c>
      <c r="B17" s="1545"/>
      <c r="C17" s="1546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>
      <c r="A18" s="1541" t="s">
        <v>143</v>
      </c>
      <c r="B18" s="1542"/>
      <c r="C18" s="1543"/>
      <c r="D18" s="923" t="s">
        <v>144</v>
      </c>
      <c r="E18" s="924">
        <f>'21'!F18</f>
        <v>18</v>
      </c>
      <c r="F18" s="954">
        <v>15</v>
      </c>
      <c r="G18" s="948">
        <f>F18*10</f>
        <v>150</v>
      </c>
      <c r="H18" s="926">
        <f>G18+'21'!H18</f>
        <v>3590</v>
      </c>
      <c r="I18" s="927">
        <f>'1'!I18</f>
        <v>65</v>
      </c>
      <c r="J18" s="928">
        <f>H18/DAY(B2)</f>
        <v>163.18181818181819</v>
      </c>
      <c r="K18" s="944"/>
      <c r="L18" s="903"/>
      <c r="N18" s="1092">
        <v>20</v>
      </c>
      <c r="O18" s="930">
        <f t="shared" si="0"/>
        <v>-130</v>
      </c>
    </row>
    <row r="19" spans="1:15">
      <c r="A19" s="1541" t="s">
        <v>71</v>
      </c>
      <c r="B19" s="1542"/>
      <c r="C19" s="1543"/>
      <c r="D19" s="923" t="s">
        <v>144</v>
      </c>
      <c r="E19" s="924">
        <f>'21'!F19</f>
        <v>134105</v>
      </c>
      <c r="F19" s="954">
        <v>134156</v>
      </c>
      <c r="G19" s="925">
        <f t="shared" ref="G19" si="2">F19-E19</f>
        <v>51</v>
      </c>
      <c r="H19" s="926">
        <f>G19+'21'!H19</f>
        <v>1108</v>
      </c>
      <c r="I19" s="963"/>
      <c r="J19" s="928">
        <f>H19/DAY(B2)</f>
        <v>50.363636363636367</v>
      </c>
      <c r="K19" s="944"/>
      <c r="L19" s="903"/>
      <c r="N19" s="1092">
        <v>53</v>
      </c>
      <c r="O19" s="930">
        <f t="shared" si="0"/>
        <v>2</v>
      </c>
    </row>
    <row r="20" spans="1:15">
      <c r="A20" s="946" t="s">
        <v>145</v>
      </c>
      <c r="B20" s="947"/>
      <c r="C20" s="947"/>
      <c r="D20" s="964"/>
      <c r="E20" s="964"/>
      <c r="F20" s="964"/>
      <c r="G20" s="965">
        <f>G18+G19</f>
        <v>201</v>
      </c>
      <c r="H20" s="926">
        <f>G20+'21'!H20</f>
        <v>4698</v>
      </c>
      <c r="I20" s="966">
        <f>I18-J20</f>
        <v>-148.54545454545453</v>
      </c>
      <c r="J20" s="928">
        <f>H20/DAY(B2)</f>
        <v>213.54545454545453</v>
      </c>
      <c r="K20" s="944"/>
      <c r="L20" s="903"/>
      <c r="N20" s="1092">
        <v>73</v>
      </c>
      <c r="O20" s="930">
        <f t="shared" si="0"/>
        <v>-128</v>
      </c>
    </row>
    <row r="21" spans="1:15">
      <c r="A21" s="1544" t="s">
        <v>146</v>
      </c>
      <c r="B21" s="1545"/>
      <c r="C21" s="1546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>
      <c r="A22" s="952" t="s">
        <v>147</v>
      </c>
      <c r="B22" s="953"/>
      <c r="C22" s="953"/>
      <c r="D22" s="923" t="s">
        <v>148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>
      <c r="A23" s="952" t="s">
        <v>149</v>
      </c>
      <c r="B23" s="953"/>
      <c r="C23" s="953"/>
      <c r="D23" s="923" t="s">
        <v>148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>
      <c r="A24" s="967" t="s">
        <v>150</v>
      </c>
      <c r="B24" s="968"/>
      <c r="C24" s="968"/>
      <c r="D24" s="910" t="s">
        <v>148</v>
      </c>
      <c r="E24" s="954">
        <f>'21'!F24</f>
        <v>4250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>
      <c r="A25" s="1550" t="s">
        <v>151</v>
      </c>
      <c r="B25" s="1551"/>
      <c r="C25" s="1552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20360</v>
      </c>
      <c r="F27" s="577">
        <v>9</v>
      </c>
      <c r="G27" s="986">
        <f>E27*F27</f>
        <v>183240</v>
      </c>
      <c r="H27" s="926">
        <f>G27+'21'!H27</f>
        <v>3890070</v>
      </c>
      <c r="I27" s="987"/>
      <c r="J27" s="928">
        <f>H27/DAY(B2)</f>
        <v>176821.36363636365</v>
      </c>
      <c r="K27" s="944"/>
      <c r="L27" s="974"/>
      <c r="N27" s="1093">
        <v>125510</v>
      </c>
      <c r="O27" s="930">
        <f t="shared" si="0"/>
        <v>-57730</v>
      </c>
    </row>
    <row r="28" spans="1:15" s="975" customFormat="1" ht="22.5">
      <c r="A28" s="976" t="s">
        <v>154</v>
      </c>
      <c r="B28" s="977"/>
      <c r="C28" s="978"/>
      <c r="D28" s="983" t="s">
        <v>155</v>
      </c>
      <c r="E28" s="984">
        <f>G15</f>
        <v>935</v>
      </c>
      <c r="F28" s="577">
        <v>43.5</v>
      </c>
      <c r="G28" s="986">
        <f>E28*F28</f>
        <v>40672.5</v>
      </c>
      <c r="H28" s="926">
        <f>G28+'21'!H28</f>
        <v>868209.97500000405</v>
      </c>
      <c r="I28" s="988"/>
      <c r="J28" s="928">
        <f>H28/DAY(B2)</f>
        <v>39464.089772727457</v>
      </c>
      <c r="K28" s="944"/>
      <c r="L28" s="974"/>
      <c r="N28" s="1093">
        <v>17472.349999998696</v>
      </c>
      <c r="O28" s="930">
        <f t="shared" si="0"/>
        <v>-23200.150000001304</v>
      </c>
    </row>
    <row r="29" spans="1:15" s="975" customFormat="1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G30+'21'!H30</f>
        <v>148472</v>
      </c>
      <c r="I30" s="988"/>
      <c r="J30" s="928">
        <f>H30/DAY(B2)</f>
        <v>6748.727272727273</v>
      </c>
      <c r="K30" s="944"/>
      <c r="L30" s="974"/>
      <c r="N30" s="1093">
        <v>7102</v>
      </c>
      <c r="O30" s="930">
        <f t="shared" si="0"/>
        <v>268</v>
      </c>
    </row>
    <row r="31" spans="1:15" s="975" customFormat="1">
      <c r="A31" s="976" t="s">
        <v>160</v>
      </c>
      <c r="B31" s="977"/>
      <c r="C31" s="978"/>
      <c r="D31" s="983" t="s">
        <v>144</v>
      </c>
      <c r="E31" s="984">
        <f>G18</f>
        <v>150</v>
      </c>
      <c r="F31" s="985">
        <v>80</v>
      </c>
      <c r="G31" s="986">
        <f>E31*F31</f>
        <v>12000</v>
      </c>
      <c r="H31" s="926">
        <f>G31+'21'!H31</f>
        <v>287200</v>
      </c>
      <c r="I31" s="988"/>
      <c r="J31" s="928">
        <f>H31/DAY(B2)</f>
        <v>13054.545454545454</v>
      </c>
      <c r="K31" s="944"/>
      <c r="L31" s="974"/>
      <c r="N31" s="1093">
        <v>1600</v>
      </c>
      <c r="O31" s="930">
        <f t="shared" si="0"/>
        <v>-10400</v>
      </c>
    </row>
    <row r="32" spans="1:15" s="975" customFormat="1">
      <c r="A32" s="989" t="s">
        <v>161</v>
      </c>
      <c r="B32" s="990"/>
      <c r="C32" s="991"/>
      <c r="D32" s="992"/>
      <c r="E32" s="992"/>
      <c r="F32" s="992"/>
      <c r="G32" s="993">
        <f>G27+G28+G29+G30+G31</f>
        <v>242746.5</v>
      </c>
      <c r="H32" s="926">
        <f>G32+'21'!H32</f>
        <v>5356101.9750000043</v>
      </c>
      <c r="I32" s="994"/>
      <c r="J32" s="928">
        <f>H32/DAY(B2)</f>
        <v>243459.18068181837</v>
      </c>
      <c r="K32" s="944"/>
      <c r="L32" s="974"/>
      <c r="N32" s="1093">
        <v>151684.3499999987</v>
      </c>
      <c r="O32" s="930">
        <f t="shared" si="0"/>
        <v>-91062.150000001304</v>
      </c>
    </row>
    <row r="33" spans="1:15" ht="18.7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944"/>
      <c r="L33" s="903"/>
      <c r="O33" s="930">
        <f t="shared" si="0"/>
        <v>0</v>
      </c>
    </row>
    <row r="34" spans="1:1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>
      <c r="A35" s="921" t="s">
        <v>164</v>
      </c>
      <c r="B35" s="922"/>
      <c r="C35" s="922"/>
      <c r="D35" s="923" t="s">
        <v>132</v>
      </c>
      <c r="E35" s="924">
        <f>'21'!F35</f>
        <v>671346</v>
      </c>
      <c r="F35" s="997">
        <v>674142</v>
      </c>
      <c r="G35" s="925">
        <f t="shared" ref="G35:G46" si="3">F35-E35</f>
        <v>2796</v>
      </c>
      <c r="H35" s="926">
        <f>G35+'21'!H35</f>
        <v>45114.329999999958</v>
      </c>
      <c r="I35" s="924"/>
      <c r="J35" s="928">
        <f>H35/DAY(B2)</f>
        <v>2050.6513636363616</v>
      </c>
      <c r="K35" s="944"/>
      <c r="L35" s="903"/>
      <c r="N35" s="1092">
        <v>1529.8400000000256</v>
      </c>
      <c r="O35" s="930">
        <f t="shared" si="0"/>
        <v>-1266.1599999999744</v>
      </c>
    </row>
    <row r="36" spans="1:15">
      <c r="A36" s="921" t="s">
        <v>165</v>
      </c>
      <c r="B36" s="922"/>
      <c r="C36" s="922"/>
      <c r="D36" s="923" t="s">
        <v>132</v>
      </c>
      <c r="E36" s="924">
        <f>'21'!F36</f>
        <v>291175</v>
      </c>
      <c r="F36" s="997">
        <v>291904</v>
      </c>
      <c r="G36" s="925">
        <f t="shared" si="3"/>
        <v>729</v>
      </c>
      <c r="H36" s="926">
        <f>G36+'21'!H36</f>
        <v>15412.549999999988</v>
      </c>
      <c r="I36" s="924"/>
      <c r="J36" s="928">
        <f>H36/DAY(B2)</f>
        <v>700.57045454545403</v>
      </c>
      <c r="K36" s="944"/>
      <c r="L36" s="903"/>
      <c r="N36" s="1092">
        <v>466.20999999999185</v>
      </c>
      <c r="O36" s="930">
        <f t="shared" si="0"/>
        <v>-262.79000000000815</v>
      </c>
    </row>
    <row r="37" spans="1:15">
      <c r="A37" s="921" t="s">
        <v>166</v>
      </c>
      <c r="B37" s="922"/>
      <c r="C37" s="922"/>
      <c r="D37" s="923" t="s">
        <v>132</v>
      </c>
      <c r="E37" s="924">
        <f>'21'!F37</f>
        <v>21738</v>
      </c>
      <c r="F37" s="997">
        <v>23205</v>
      </c>
      <c r="G37" s="925">
        <f t="shared" si="3"/>
        <v>1467</v>
      </c>
      <c r="H37" s="926">
        <f>G37+'21'!H37</f>
        <v>23205</v>
      </c>
      <c r="I37" s="924"/>
      <c r="J37" s="928">
        <f>H37/DAY(B2)</f>
        <v>1054.7727272727273</v>
      </c>
      <c r="K37" s="944"/>
      <c r="L37" s="903"/>
      <c r="N37" s="1092">
        <v>1215.359999999986</v>
      </c>
      <c r="O37" s="930">
        <f t="shared" si="0"/>
        <v>-251.64000000001397</v>
      </c>
    </row>
    <row r="38" spans="1:15">
      <c r="A38" s="921" t="s">
        <v>167</v>
      </c>
      <c r="B38" s="922"/>
      <c r="C38" s="922"/>
      <c r="D38" s="923" t="s">
        <v>132</v>
      </c>
      <c r="E38" s="924">
        <f>'21'!F38</f>
        <v>29167</v>
      </c>
      <c r="F38" s="913">
        <v>31247</v>
      </c>
      <c r="G38" s="925">
        <f t="shared" si="3"/>
        <v>2080</v>
      </c>
      <c r="H38" s="926">
        <f>G38+'21'!H38</f>
        <v>31149.120000000003</v>
      </c>
      <c r="I38" s="924"/>
      <c r="J38" s="928">
        <f>H38/DAY(B2)</f>
        <v>1415.869090909091</v>
      </c>
      <c r="K38" s="944"/>
      <c r="L38" s="903"/>
      <c r="N38" s="1092">
        <v>0</v>
      </c>
      <c r="O38" s="930">
        <f t="shared" si="0"/>
        <v>-2080</v>
      </c>
    </row>
    <row r="39" spans="1:15">
      <c r="A39" s="921" t="s">
        <v>168</v>
      </c>
      <c r="B39" s="922"/>
      <c r="C39" s="922"/>
      <c r="D39" s="923" t="s">
        <v>132</v>
      </c>
      <c r="E39" s="924">
        <f>'21'!F39</f>
        <v>61480</v>
      </c>
      <c r="F39" s="997">
        <v>65595</v>
      </c>
      <c r="G39" s="925">
        <f t="shared" si="3"/>
        <v>4115</v>
      </c>
      <c r="H39" s="926">
        <f>G39+'21'!H39</f>
        <v>65595</v>
      </c>
      <c r="I39" s="924"/>
      <c r="J39" s="928">
        <f>H39/DAY(B2)</f>
        <v>2981.590909090909</v>
      </c>
      <c r="K39" s="944"/>
      <c r="L39" s="903"/>
      <c r="N39" s="1092">
        <v>2046.7600000000093</v>
      </c>
      <c r="O39" s="930">
        <f t="shared" si="0"/>
        <v>-2068.2399999999907</v>
      </c>
    </row>
    <row r="40" spans="1:15">
      <c r="A40" s="998" t="s">
        <v>169</v>
      </c>
      <c r="B40" s="999"/>
      <c r="C40" s="999"/>
      <c r="D40" s="923" t="s">
        <v>132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>
      <c r="A41" s="921" t="s">
        <v>170</v>
      </c>
      <c r="B41" s="922"/>
      <c r="C41" s="922"/>
      <c r="D41" s="923" t="s">
        <v>132</v>
      </c>
      <c r="E41" s="924">
        <f>'21'!F41</f>
        <v>63882</v>
      </c>
      <c r="F41" s="997">
        <v>63882</v>
      </c>
      <c r="G41" s="925">
        <f t="shared" si="3"/>
        <v>0</v>
      </c>
      <c r="H41" s="926">
        <f>G41+'21'!H41</f>
        <v>19259.480000000003</v>
      </c>
      <c r="I41" s="924"/>
      <c r="J41" s="928">
        <f>H41/DAY(B2)</f>
        <v>875.43090909090927</v>
      </c>
      <c r="K41" s="944"/>
      <c r="L41" s="903"/>
      <c r="N41" s="1092">
        <v>0.95000000001164153</v>
      </c>
      <c r="O41" s="930">
        <f t="shared" si="0"/>
        <v>0.95000000001164153</v>
      </c>
    </row>
    <row r="42" spans="1:15">
      <c r="A42" s="921" t="s">
        <v>171</v>
      </c>
      <c r="B42" s="922"/>
      <c r="C42" s="922"/>
      <c r="D42" s="923" t="s">
        <v>132</v>
      </c>
      <c r="E42" s="924">
        <f>'21'!F42</f>
        <v>59129</v>
      </c>
      <c r="F42" s="997">
        <v>59129</v>
      </c>
      <c r="G42" s="925">
        <f t="shared" si="3"/>
        <v>0</v>
      </c>
      <c r="H42" s="926">
        <f>G42+'21'!H42</f>
        <v>203</v>
      </c>
      <c r="I42" s="924"/>
      <c r="J42" s="928">
        <f>H42/DAY(B2)</f>
        <v>9.2272727272727266</v>
      </c>
      <c r="K42" s="944"/>
      <c r="L42" s="903"/>
      <c r="N42" s="1092">
        <v>3270.130000000001</v>
      </c>
      <c r="O42" s="930">
        <f t="shared" si="0"/>
        <v>3270.130000000001</v>
      </c>
    </row>
    <row r="43" spans="1:15">
      <c r="A43" s="921" t="s">
        <v>172</v>
      </c>
      <c r="B43" s="922"/>
      <c r="C43" s="922"/>
      <c r="D43" s="923" t="s">
        <v>132</v>
      </c>
      <c r="E43" s="924">
        <f>'21'!F43</f>
        <v>809491</v>
      </c>
      <c r="F43" s="997">
        <v>811840</v>
      </c>
      <c r="G43" s="925">
        <f>F43-E43</f>
        <v>2349</v>
      </c>
      <c r="H43" s="926">
        <f>G43+'21'!H43</f>
        <v>44028.089999999967</v>
      </c>
      <c r="I43" s="924"/>
      <c r="J43" s="928">
        <f>H43/DAY(B2)</f>
        <v>2001.2768181818167</v>
      </c>
      <c r="K43" s="944"/>
      <c r="L43" s="903"/>
      <c r="N43" s="1092">
        <v>1586.2399999999907</v>
      </c>
      <c r="O43" s="930">
        <f t="shared" si="0"/>
        <v>-762.76000000000931</v>
      </c>
    </row>
    <row r="44" spans="1:15">
      <c r="A44" s="921" t="s">
        <v>173</v>
      </c>
      <c r="B44" s="922"/>
      <c r="C44" s="922"/>
      <c r="D44" s="923" t="s">
        <v>132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>
      <c r="A45" s="921" t="s">
        <v>174</v>
      </c>
      <c r="B45" s="922"/>
      <c r="C45" s="922"/>
      <c r="D45" s="923" t="s">
        <v>132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>
      <c r="A46" s="921" t="s">
        <v>175</v>
      </c>
      <c r="B46" s="922"/>
      <c r="C46" s="922"/>
      <c r="D46" s="923" t="s">
        <v>132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13535.56</v>
      </c>
      <c r="H47" s="926">
        <f>G47+'21'!H47</f>
        <v>243965.53999999989</v>
      </c>
      <c r="I47" s="924"/>
      <c r="J47" s="928">
        <f>H47/DAY(B2)</f>
        <v>11089.342727272722</v>
      </c>
      <c r="K47" s="944"/>
      <c r="L47" s="903"/>
      <c r="N47" s="1094">
        <v>10115.970000000016</v>
      </c>
      <c r="O47" s="930">
        <f t="shared" si="0"/>
        <v>-3419.5899999999838</v>
      </c>
    </row>
    <row r="48" spans="1:1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>
      <c r="A49" s="921" t="s">
        <v>164</v>
      </c>
      <c r="B49" s="1000"/>
      <c r="C49" s="1000"/>
      <c r="D49" s="923" t="s">
        <v>132</v>
      </c>
      <c r="E49" s="924">
        <f>'21'!F49</f>
        <v>260732</v>
      </c>
      <c r="F49" s="997">
        <v>260732</v>
      </c>
      <c r="G49" s="925">
        <f t="shared" ref="G49:G58" si="4">F49-E49</f>
        <v>0</v>
      </c>
      <c r="H49" s="926">
        <f>G49+'21'!H49</f>
        <v>14832.950000000012</v>
      </c>
      <c r="I49" s="924"/>
      <c r="J49" s="928">
        <f>H49/DAY(B2)</f>
        <v>674.22500000000048</v>
      </c>
      <c r="K49" s="944"/>
      <c r="L49" s="903"/>
      <c r="N49" s="1092">
        <v>0</v>
      </c>
      <c r="O49" s="930">
        <f t="shared" si="0"/>
        <v>0</v>
      </c>
    </row>
    <row r="50" spans="1:15">
      <c r="A50" s="921" t="s">
        <v>178</v>
      </c>
      <c r="B50" s="1000"/>
      <c r="C50" s="1000"/>
      <c r="D50" s="923" t="s">
        <v>132</v>
      </c>
      <c r="E50" s="924">
        <f>'21'!F50</f>
        <v>393865</v>
      </c>
      <c r="F50" s="997">
        <v>395061</v>
      </c>
      <c r="G50" s="925">
        <f t="shared" si="4"/>
        <v>1196</v>
      </c>
      <c r="H50" s="926">
        <f>G50+'21'!H50</f>
        <v>25400.690000000002</v>
      </c>
      <c r="I50" s="924"/>
      <c r="J50" s="928">
        <f>H50/DAY(B2)</f>
        <v>1154.5768181818182</v>
      </c>
      <c r="K50" s="944"/>
      <c r="L50" s="903"/>
      <c r="N50" s="1092">
        <v>812.01999999998952</v>
      </c>
      <c r="O50" s="930">
        <f t="shared" si="0"/>
        <v>-383.98000000001048</v>
      </c>
    </row>
    <row r="51" spans="1:15">
      <c r="A51" s="921" t="s">
        <v>166</v>
      </c>
      <c r="B51" s="1000"/>
      <c r="C51" s="1000"/>
      <c r="D51" s="923" t="s">
        <v>132</v>
      </c>
      <c r="E51" s="924">
        <f>'21'!F51</f>
        <v>120051</v>
      </c>
      <c r="F51" s="997">
        <v>120051</v>
      </c>
      <c r="G51" s="925">
        <f t="shared" si="4"/>
        <v>0</v>
      </c>
      <c r="H51" s="926">
        <f>G51+'21'!H51</f>
        <v>9951.2599999999948</v>
      </c>
      <c r="I51" s="924"/>
      <c r="J51" s="928">
        <f>H51/DAY(B2)</f>
        <v>452.32999999999976</v>
      </c>
      <c r="K51" s="944"/>
      <c r="L51" s="903"/>
      <c r="N51" s="1092">
        <v>0</v>
      </c>
      <c r="O51" s="930">
        <f t="shared" si="0"/>
        <v>0</v>
      </c>
    </row>
    <row r="52" spans="1:15">
      <c r="A52" s="921" t="s">
        <v>179</v>
      </c>
      <c r="B52" s="1000"/>
      <c r="C52" s="1000"/>
      <c r="D52" s="923" t="s">
        <v>132</v>
      </c>
      <c r="E52" s="924">
        <f>'21'!F52</f>
        <v>507913</v>
      </c>
      <c r="F52" s="997">
        <v>507913</v>
      </c>
      <c r="G52" s="925">
        <f t="shared" si="4"/>
        <v>0</v>
      </c>
      <c r="H52" s="926">
        <f>G52+'21'!H52</f>
        <v>14104.330000000016</v>
      </c>
      <c r="I52" s="924"/>
      <c r="J52" s="928">
        <f>H52/DAY(B2)</f>
        <v>641.10590909090979</v>
      </c>
      <c r="K52" s="944"/>
      <c r="L52" s="903"/>
      <c r="N52" s="1092">
        <v>1058.2600000000093</v>
      </c>
      <c r="O52" s="930">
        <f t="shared" si="0"/>
        <v>1058.2600000000093</v>
      </c>
    </row>
    <row r="53" spans="1:15">
      <c r="A53" s="921" t="s">
        <v>168</v>
      </c>
      <c r="B53" s="1000"/>
      <c r="C53" s="1000"/>
      <c r="D53" s="923" t="s">
        <v>132</v>
      </c>
      <c r="E53" s="924">
        <f>'21'!F53</f>
        <v>331855</v>
      </c>
      <c r="F53" s="997">
        <v>331855</v>
      </c>
      <c r="G53" s="925">
        <f t="shared" si="4"/>
        <v>0</v>
      </c>
      <c r="H53" s="926">
        <f>G53+'21'!H53</f>
        <v>27556.729999999981</v>
      </c>
      <c r="I53" s="924"/>
      <c r="J53" s="928">
        <f>H53/DAY(B2)</f>
        <v>1252.5786363636355</v>
      </c>
      <c r="K53" s="944"/>
      <c r="L53" s="903"/>
      <c r="N53" s="1092">
        <v>104.8799999999992</v>
      </c>
      <c r="O53" s="930">
        <f t="shared" si="0"/>
        <v>104.8799999999992</v>
      </c>
    </row>
    <row r="54" spans="1:15">
      <c r="A54" s="921" t="s">
        <v>180</v>
      </c>
      <c r="B54" s="1000"/>
      <c r="C54" s="1000"/>
      <c r="D54" s="923" t="s">
        <v>132</v>
      </c>
      <c r="E54" s="924">
        <f>'21'!F54</f>
        <v>7607</v>
      </c>
      <c r="F54" s="997">
        <v>7677</v>
      </c>
      <c r="G54" s="925">
        <f t="shared" si="4"/>
        <v>70</v>
      </c>
      <c r="H54" s="926">
        <f>G54+'21'!H54</f>
        <v>1288.1999999999998</v>
      </c>
      <c r="I54" s="924"/>
      <c r="J54" s="928">
        <f>H54/DAY(B2)</f>
        <v>58.554545454545448</v>
      </c>
      <c r="K54" s="944"/>
      <c r="L54" s="903"/>
      <c r="N54" s="1092">
        <v>0</v>
      </c>
      <c r="O54" s="930">
        <f t="shared" si="0"/>
        <v>-70</v>
      </c>
    </row>
    <row r="55" spans="1:15">
      <c r="A55" s="921" t="s">
        <v>181</v>
      </c>
      <c r="B55" s="1000"/>
      <c r="C55" s="1000"/>
      <c r="D55" s="923" t="s">
        <v>132</v>
      </c>
      <c r="E55" s="924">
        <f>'21'!F55</f>
        <v>94270</v>
      </c>
      <c r="F55" s="997">
        <v>94270</v>
      </c>
      <c r="G55" s="925">
        <f t="shared" si="4"/>
        <v>0</v>
      </c>
      <c r="H55" s="926">
        <f>G55+'21'!H55</f>
        <v>51282.02</v>
      </c>
      <c r="I55" s="924"/>
      <c r="J55" s="928">
        <f>H55/DAY(B2)</f>
        <v>2331.0009090909089</v>
      </c>
      <c r="K55" s="944"/>
      <c r="L55" s="903"/>
      <c r="N55" s="1092">
        <v>0</v>
      </c>
      <c r="O55" s="930">
        <f t="shared" si="0"/>
        <v>0</v>
      </c>
    </row>
    <row r="56" spans="1:15">
      <c r="A56" s="921" t="s">
        <v>182</v>
      </c>
      <c r="B56" s="1000"/>
      <c r="C56" s="1000"/>
      <c r="D56" s="923" t="s">
        <v>183</v>
      </c>
      <c r="E56" s="924">
        <f>'21'!F56</f>
        <v>572652</v>
      </c>
      <c r="F56" s="997">
        <v>577336</v>
      </c>
      <c r="G56" s="925">
        <f t="shared" si="4"/>
        <v>4684</v>
      </c>
      <c r="H56" s="926">
        <f>G56+'21'!H56</f>
        <v>19604.089999999967</v>
      </c>
      <c r="I56" s="924"/>
      <c r="J56" s="928">
        <f>H56/DAY(B2)</f>
        <v>891.09499999999855</v>
      </c>
      <c r="K56" s="920"/>
      <c r="L56" s="903"/>
      <c r="N56" s="1092">
        <v>0</v>
      </c>
      <c r="O56" s="930">
        <f t="shared" si="0"/>
        <v>-4684</v>
      </c>
    </row>
    <row r="57" spans="1:15">
      <c r="A57" s="921" t="s">
        <v>172</v>
      </c>
      <c r="B57" s="1000"/>
      <c r="C57" s="1000"/>
      <c r="D57" s="923" t="s">
        <v>132</v>
      </c>
      <c r="E57" s="924">
        <f>'21'!F57</f>
        <v>7711</v>
      </c>
      <c r="F57" s="997">
        <v>7711</v>
      </c>
      <c r="G57" s="925">
        <f t="shared" si="4"/>
        <v>0</v>
      </c>
      <c r="H57" s="926">
        <f>G57+'21'!H57</f>
        <v>7711</v>
      </c>
      <c r="I57" s="924"/>
      <c r="J57" s="928">
        <f>H57/DAY(B2)</f>
        <v>350.5</v>
      </c>
      <c r="K57" s="944"/>
      <c r="L57" s="903"/>
      <c r="N57" s="1092">
        <v>0</v>
      </c>
      <c r="O57" s="930">
        <f t="shared" si="0"/>
        <v>0</v>
      </c>
    </row>
    <row r="58" spans="1:15">
      <c r="A58" s="921" t="s">
        <v>184</v>
      </c>
      <c r="B58" s="1000"/>
      <c r="C58" s="1000"/>
      <c r="D58" s="923" t="s">
        <v>132</v>
      </c>
      <c r="E58" s="924">
        <f>'21'!F58</f>
        <v>34516</v>
      </c>
      <c r="F58" s="997">
        <v>34721</v>
      </c>
      <c r="G58" s="925">
        <f t="shared" si="4"/>
        <v>205</v>
      </c>
      <c r="H58" s="926">
        <f>G58+'21'!H58</f>
        <v>3991.4600000000028</v>
      </c>
      <c r="I58" s="924"/>
      <c r="J58" s="928">
        <f>H58/DAY(B2)</f>
        <v>181.43000000000012</v>
      </c>
      <c r="K58" s="944"/>
      <c r="L58" s="903"/>
      <c r="N58" s="1092">
        <v>120.15000000000146</v>
      </c>
      <c r="O58" s="930">
        <f t="shared" si="0"/>
        <v>-84.849999999998545</v>
      </c>
    </row>
    <row r="59" spans="1:1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6155</v>
      </c>
      <c r="H59" s="926">
        <f>G59+'21'!H59</f>
        <v>175722.73</v>
      </c>
      <c r="I59" s="924">
        <f>G7-G60</f>
        <v>580.44000000000233</v>
      </c>
      <c r="J59" s="928">
        <f>H59/DAY(B2)</f>
        <v>7987.3968181818191</v>
      </c>
      <c r="K59" s="944"/>
      <c r="L59" s="903"/>
      <c r="N59" s="1092">
        <v>2095.3099999999995</v>
      </c>
      <c r="O59" s="930">
        <f t="shared" si="0"/>
        <v>-4059.6900000000005</v>
      </c>
    </row>
    <row r="60" spans="1:15">
      <c r="A60" s="921"/>
      <c r="B60" s="922"/>
      <c r="C60" s="922"/>
      <c r="D60" s="910" t="s">
        <v>185</v>
      </c>
      <c r="E60" s="910"/>
      <c r="F60" s="910"/>
      <c r="G60" s="948">
        <f>G47+G59</f>
        <v>19690.559999999998</v>
      </c>
      <c r="H60" s="926">
        <f>G60+'21'!H60</f>
        <v>424868.45999999979</v>
      </c>
      <c r="I60" s="924">
        <f>G13-G60</f>
        <v>-15.559999999997672</v>
      </c>
      <c r="J60" s="928">
        <f>H47/DAY(B2)</f>
        <v>11089.342727272722</v>
      </c>
      <c r="K60" s="944"/>
      <c r="L60" s="903"/>
      <c r="N60" s="1092">
        <v>12211.280000000015</v>
      </c>
      <c r="O60" s="930">
        <f t="shared" si="0"/>
        <v>-7479.2799999999825</v>
      </c>
    </row>
    <row r="61" spans="1:1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>
      <c r="A62" s="1005" t="s">
        <v>98</v>
      </c>
      <c r="B62" s="1006"/>
      <c r="C62" s="1006"/>
      <c r="D62" s="910" t="s">
        <v>187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>
      <c r="A63" s="1005" t="s">
        <v>188</v>
      </c>
      <c r="B63" s="1006"/>
      <c r="C63" s="1006"/>
      <c r="D63" s="910" t="s">
        <v>187</v>
      </c>
      <c r="E63" s="924">
        <f>'21'!F63</f>
        <v>1611</v>
      </c>
      <c r="F63" s="1007">
        <v>1624</v>
      </c>
      <c r="G63" s="925">
        <f t="shared" si="5"/>
        <v>13</v>
      </c>
      <c r="H63" s="926">
        <f>G63+'21'!H63</f>
        <v>291.47000000000003</v>
      </c>
      <c r="I63" s="1008"/>
      <c r="J63" s="928">
        <f>H63/DAY(B2)</f>
        <v>13.248636363636365</v>
      </c>
      <c r="K63" s="944"/>
      <c r="L63" s="903"/>
      <c r="N63" s="1092">
        <v>0</v>
      </c>
      <c r="O63" s="930">
        <f t="shared" si="0"/>
        <v>-13</v>
      </c>
    </row>
    <row r="64" spans="1:15">
      <c r="A64" s="1538" t="s">
        <v>99</v>
      </c>
      <c r="B64" s="1539"/>
      <c r="C64" s="1540"/>
      <c r="D64" s="923" t="s">
        <v>187</v>
      </c>
      <c r="E64" s="924">
        <f>'21'!F64</f>
        <v>120038</v>
      </c>
      <c r="F64" s="954">
        <v>120508</v>
      </c>
      <c r="G64" s="925">
        <f t="shared" si="5"/>
        <v>470</v>
      </c>
      <c r="H64" s="926">
        <f>G64+'21'!H64</f>
        <v>9224.5399999999936</v>
      </c>
      <c r="I64" s="945"/>
      <c r="J64" s="928">
        <f>H64/DAY(B2)</f>
        <v>419.29727272727246</v>
      </c>
      <c r="K64" s="944"/>
      <c r="L64" s="903"/>
      <c r="N64" s="1092">
        <v>178.5199999999968</v>
      </c>
      <c r="O64" s="930">
        <f t="shared" si="0"/>
        <v>-291.4800000000032</v>
      </c>
    </row>
    <row r="65" spans="1:15">
      <c r="A65" s="1538" t="s">
        <v>100</v>
      </c>
      <c r="B65" s="1539"/>
      <c r="C65" s="1540"/>
      <c r="D65" s="923" t="s">
        <v>187</v>
      </c>
      <c r="E65" s="924">
        <f>'21'!F65</f>
        <v>129852</v>
      </c>
      <c r="F65" s="954">
        <v>130228</v>
      </c>
      <c r="G65" s="925">
        <f t="shared" si="5"/>
        <v>376</v>
      </c>
      <c r="H65" s="926">
        <f>G65+'21'!H65</f>
        <v>8494.89</v>
      </c>
      <c r="I65" s="963"/>
      <c r="J65" s="928">
        <f>H65/DAY(B2)</f>
        <v>386.13136363636363</v>
      </c>
      <c r="K65" s="944"/>
      <c r="L65" s="903"/>
      <c r="N65" s="1092">
        <v>198.38999999999942</v>
      </c>
      <c r="O65" s="930">
        <f t="shared" si="0"/>
        <v>-177.61000000000058</v>
      </c>
    </row>
    <row r="66" spans="1:15">
      <c r="A66" s="1538" t="s">
        <v>101</v>
      </c>
      <c r="B66" s="1539"/>
      <c r="C66" s="1540"/>
      <c r="D66" s="923" t="s">
        <v>187</v>
      </c>
      <c r="E66" s="924">
        <f>'21'!F66</f>
        <v>22440</v>
      </c>
      <c r="F66" s="954">
        <v>22819</v>
      </c>
      <c r="G66" s="925">
        <f t="shared" si="5"/>
        <v>379</v>
      </c>
      <c r="H66" s="926">
        <f>G66+'21'!H66</f>
        <v>8659.26</v>
      </c>
      <c r="I66" s="945"/>
      <c r="J66" s="928">
        <f>H66/DAY(B2)</f>
        <v>393.60272727272729</v>
      </c>
      <c r="K66" s="944"/>
      <c r="L66" s="903"/>
      <c r="N66" s="1092">
        <v>226.35000000000582</v>
      </c>
      <c r="O66" s="930">
        <f t="shared" si="0"/>
        <v>-152.64999999999418</v>
      </c>
    </row>
    <row r="67" spans="1:15">
      <c r="A67" s="1538" t="s">
        <v>102</v>
      </c>
      <c r="B67" s="1539"/>
      <c r="C67" s="1540"/>
      <c r="D67" s="923" t="s">
        <v>187</v>
      </c>
      <c r="E67" s="924">
        <f>'21'!F67</f>
        <v>203311</v>
      </c>
      <c r="F67" s="954">
        <v>203982</v>
      </c>
      <c r="G67" s="925">
        <f t="shared" si="5"/>
        <v>671</v>
      </c>
      <c r="H67" s="926">
        <f>G67+'21'!H67</f>
        <v>15307.470000000001</v>
      </c>
      <c r="I67" s="963"/>
      <c r="J67" s="928">
        <f>H67/DAY(B2)</f>
        <v>695.79409090909098</v>
      </c>
      <c r="K67" s="951"/>
      <c r="L67" s="903"/>
      <c r="N67" s="1092">
        <v>312.47000000000116</v>
      </c>
      <c r="O67" s="930">
        <f t="shared" si="0"/>
        <v>-358.52999999999884</v>
      </c>
    </row>
    <row r="68" spans="1:15">
      <c r="A68" s="1538" t="s">
        <v>103</v>
      </c>
      <c r="B68" s="1539"/>
      <c r="C68" s="1540"/>
      <c r="D68" s="923" t="s">
        <v>187</v>
      </c>
      <c r="E68" s="924">
        <v>70485</v>
      </c>
      <c r="F68" s="954">
        <v>70793</v>
      </c>
      <c r="G68" s="925">
        <f t="shared" si="5"/>
        <v>308</v>
      </c>
      <c r="H68" s="926">
        <f>G68+'21'!H68</f>
        <v>8493.14</v>
      </c>
      <c r="I68" s="1009"/>
      <c r="J68" s="928">
        <f>H68/DAY(B2)</f>
        <v>386.05181818181813</v>
      </c>
      <c r="K68" s="1010"/>
      <c r="L68" s="903"/>
      <c r="N68" s="1092">
        <v>142.1200000000008</v>
      </c>
      <c r="O68" s="930">
        <f t="shared" si="0"/>
        <v>-165.8799999999992</v>
      </c>
    </row>
    <row r="69" spans="1:15">
      <c r="A69" s="1538" t="s">
        <v>104</v>
      </c>
      <c r="B69" s="1539"/>
      <c r="C69" s="1540"/>
      <c r="D69" s="923" t="s">
        <v>187</v>
      </c>
      <c r="E69" s="924">
        <f>'21'!F69</f>
        <v>62157</v>
      </c>
      <c r="F69" s="954">
        <v>62487</v>
      </c>
      <c r="G69" s="925">
        <f t="shared" si="5"/>
        <v>330</v>
      </c>
      <c r="H69" s="926">
        <f>G69+'21'!H69</f>
        <v>6763.2900000000009</v>
      </c>
      <c r="I69" s="1009"/>
      <c r="J69" s="928">
        <f>H69/DAY(B2)</f>
        <v>307.42227272727274</v>
      </c>
      <c r="K69" s="1011"/>
      <c r="L69" s="903"/>
      <c r="N69" s="1092">
        <v>12.869999999998981</v>
      </c>
      <c r="O69" s="930">
        <f t="shared" si="0"/>
        <v>-317.13000000000102</v>
      </c>
    </row>
    <row r="70" spans="1:15">
      <c r="A70" s="1561" t="s">
        <v>189</v>
      </c>
      <c r="B70" s="1562"/>
      <c r="C70" s="1563"/>
      <c r="D70" s="923" t="s">
        <v>187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1010"/>
      <c r="L71" s="903"/>
      <c r="O71" s="930">
        <f t="shared" si="0"/>
        <v>0</v>
      </c>
    </row>
    <row r="72" spans="1:15">
      <c r="A72" s="1538" t="s">
        <v>191</v>
      </c>
      <c r="B72" s="1539"/>
      <c r="C72" s="1540"/>
      <c r="D72" s="923" t="s">
        <v>187</v>
      </c>
      <c r="E72" s="924">
        <f>'21'!F72</f>
        <v>850008</v>
      </c>
      <c r="F72" s="1015">
        <v>850091</v>
      </c>
      <c r="G72" s="925">
        <f t="shared" ref="G72:G84" si="6">F72-E72</f>
        <v>83</v>
      </c>
      <c r="H72" s="926">
        <f>G72+'21'!H72</f>
        <v>1539</v>
      </c>
      <c r="I72" s="945"/>
      <c r="J72" s="928">
        <f>H72/DAY(B2)</f>
        <v>69.954545454545453</v>
      </c>
      <c r="K72" s="1011"/>
      <c r="L72" s="903"/>
      <c r="N72" s="1092">
        <v>18</v>
      </c>
      <c r="O72" s="930">
        <f t="shared" ref="O72:O135" si="7">N72-G72</f>
        <v>-65</v>
      </c>
    </row>
    <row r="73" spans="1:15">
      <c r="A73" s="1538" t="s">
        <v>192</v>
      </c>
      <c r="B73" s="1539"/>
      <c r="C73" s="1540"/>
      <c r="D73" s="923" t="s">
        <v>187</v>
      </c>
      <c r="E73" s="924">
        <f>'21'!F73</f>
        <v>885763</v>
      </c>
      <c r="F73" s="1016">
        <v>885763</v>
      </c>
      <c r="G73" s="925">
        <f t="shared" si="6"/>
        <v>0</v>
      </c>
      <c r="H73" s="926">
        <f>G73+'21'!H73</f>
        <v>982</v>
      </c>
      <c r="I73" s="945"/>
      <c r="J73" s="928">
        <f>H73/DAY(B2)</f>
        <v>44.636363636363633</v>
      </c>
      <c r="K73" s="1010"/>
      <c r="L73" s="903"/>
      <c r="N73" s="1092">
        <v>2</v>
      </c>
      <c r="O73" s="930">
        <f t="shared" si="7"/>
        <v>2</v>
      </c>
    </row>
    <row r="74" spans="1:15">
      <c r="A74" s="1538" t="s">
        <v>193</v>
      </c>
      <c r="B74" s="1539"/>
      <c r="C74" s="1540"/>
      <c r="D74" s="923" t="s">
        <v>187</v>
      </c>
      <c r="E74" s="924">
        <f>'21'!F74</f>
        <v>438</v>
      </c>
      <c r="F74" s="1017">
        <v>455</v>
      </c>
      <c r="G74" s="925">
        <f t="shared" si="6"/>
        <v>17</v>
      </c>
      <c r="H74" s="926">
        <f>G74+'21'!H74</f>
        <v>684.1</v>
      </c>
      <c r="I74" s="945"/>
      <c r="J74" s="928">
        <f>H74/DAY(B2)</f>
        <v>31.095454545454547</v>
      </c>
      <c r="K74" s="1011"/>
      <c r="L74" s="903"/>
      <c r="N74" s="1092">
        <v>5</v>
      </c>
      <c r="O74" s="930">
        <f t="shared" si="7"/>
        <v>-12</v>
      </c>
    </row>
    <row r="75" spans="1:15">
      <c r="A75" s="1564" t="s">
        <v>194</v>
      </c>
      <c r="B75" s="1565"/>
      <c r="C75" s="1566"/>
      <c r="D75" s="923" t="s">
        <v>187</v>
      </c>
      <c r="E75" s="924">
        <f>'21'!F75</f>
        <v>2323</v>
      </c>
      <c r="F75" s="1017">
        <v>2510</v>
      </c>
      <c r="G75" s="925">
        <f t="shared" si="6"/>
        <v>187</v>
      </c>
      <c r="H75" s="926">
        <f>G75+'21'!H75</f>
        <v>4046.4000000000005</v>
      </c>
      <c r="I75" s="945"/>
      <c r="J75" s="928">
        <f>H75/DAY(B2)</f>
        <v>183.92727272727276</v>
      </c>
      <c r="K75" s="1010"/>
      <c r="L75" s="903"/>
      <c r="N75" s="1092">
        <v>48</v>
      </c>
      <c r="O75" s="930">
        <f t="shared" si="7"/>
        <v>-139</v>
      </c>
    </row>
    <row r="76" spans="1:15">
      <c r="A76" s="1564" t="s">
        <v>195</v>
      </c>
      <c r="B76" s="1565"/>
      <c r="C76" s="1566"/>
      <c r="D76" s="923" t="s">
        <v>187</v>
      </c>
      <c r="E76" s="924">
        <f>'21'!F76</f>
        <v>969</v>
      </c>
      <c r="F76" s="1016">
        <v>1040</v>
      </c>
      <c r="G76" s="925">
        <f t="shared" si="6"/>
        <v>71</v>
      </c>
      <c r="H76" s="926">
        <f>G76+'21'!H76</f>
        <v>3037.2000000000003</v>
      </c>
      <c r="I76" s="988"/>
      <c r="J76" s="928">
        <f>H76/DAY(B2)</f>
        <v>138.05454545454546</v>
      </c>
      <c r="K76" s="1010"/>
      <c r="L76" s="903"/>
      <c r="N76" s="1092">
        <v>5</v>
      </c>
      <c r="O76" s="930">
        <f t="shared" si="7"/>
        <v>-66</v>
      </c>
    </row>
    <row r="77" spans="1:15">
      <c r="A77" s="1538" t="s">
        <v>196</v>
      </c>
      <c r="B77" s="1539"/>
      <c r="C77" s="1540"/>
      <c r="D77" s="923" t="s">
        <v>187</v>
      </c>
      <c r="E77" s="924">
        <f>'21'!F77</f>
        <v>698254</v>
      </c>
      <c r="F77" s="1016">
        <v>698305</v>
      </c>
      <c r="G77" s="925">
        <f t="shared" si="6"/>
        <v>51</v>
      </c>
      <c r="H77" s="926">
        <f>G77+'21'!H77</f>
        <v>1198</v>
      </c>
      <c r="I77" s="988"/>
      <c r="J77" s="928">
        <f>H77/DAY(B2)</f>
        <v>54.454545454545453</v>
      </c>
      <c r="K77" s="1010"/>
      <c r="L77" s="903"/>
      <c r="N77" s="1092">
        <v>2</v>
      </c>
      <c r="O77" s="930">
        <f t="shared" si="7"/>
        <v>-49</v>
      </c>
    </row>
    <row r="78" spans="1:15">
      <c r="A78" s="1018" t="s">
        <v>197</v>
      </c>
      <c r="B78" s="1226"/>
      <c r="C78" s="1226"/>
      <c r="D78" s="923" t="s">
        <v>187</v>
      </c>
      <c r="E78" s="924">
        <f>'21'!F78</f>
        <v>650484</v>
      </c>
      <c r="F78" s="1017">
        <v>650868</v>
      </c>
      <c r="G78" s="925">
        <f t="shared" si="6"/>
        <v>384</v>
      </c>
      <c r="H78" s="926">
        <f>G78+'21'!H78</f>
        <v>8915</v>
      </c>
      <c r="I78" s="988"/>
      <c r="J78" s="928">
        <f>H78/DAY(B2)</f>
        <v>405.22727272727275</v>
      </c>
      <c r="K78" s="1010"/>
      <c r="L78" s="903"/>
      <c r="N78" s="1092">
        <v>28</v>
      </c>
      <c r="O78" s="930">
        <f t="shared" si="7"/>
        <v>-356</v>
      </c>
    </row>
    <row r="79" spans="1:15">
      <c r="A79" s="1564" t="s">
        <v>92</v>
      </c>
      <c r="B79" s="1565"/>
      <c r="C79" s="1566"/>
      <c r="D79" s="957" t="s">
        <v>187</v>
      </c>
      <c r="E79" s="924">
        <f>'21'!F79</f>
        <v>813722</v>
      </c>
      <c r="F79" s="1017">
        <v>813908</v>
      </c>
      <c r="G79" s="925">
        <f t="shared" si="6"/>
        <v>186</v>
      </c>
      <c r="H79" s="926">
        <f>G79+'21'!H79</f>
        <v>7082</v>
      </c>
      <c r="I79" s="988"/>
      <c r="J79" s="928">
        <f>H79/DAY(B2)</f>
        <v>321.90909090909093</v>
      </c>
      <c r="K79" s="1010"/>
      <c r="L79" s="903"/>
      <c r="N79" s="1092">
        <v>139</v>
      </c>
      <c r="O79" s="930">
        <f t="shared" si="7"/>
        <v>-47</v>
      </c>
    </row>
    <row r="80" spans="1:15">
      <c r="A80" s="1564" t="s">
        <v>198</v>
      </c>
      <c r="B80" s="1565"/>
      <c r="C80" s="1566"/>
      <c r="D80" s="957" t="s">
        <v>187</v>
      </c>
      <c r="E80" s="924">
        <f>'21'!F80</f>
        <v>492045</v>
      </c>
      <c r="F80" s="1016">
        <v>492412</v>
      </c>
      <c r="G80" s="925">
        <f t="shared" si="6"/>
        <v>367</v>
      </c>
      <c r="H80" s="926">
        <f>G80+'21'!H80</f>
        <v>5830.320000000007</v>
      </c>
      <c r="I80" s="988"/>
      <c r="J80" s="928">
        <f>H80/DAY(B2)</f>
        <v>265.01454545454578</v>
      </c>
      <c r="K80" s="1010"/>
      <c r="L80" s="903"/>
      <c r="N80" s="1092">
        <v>177</v>
      </c>
      <c r="O80" s="930">
        <f t="shared" si="7"/>
        <v>-190</v>
      </c>
    </row>
    <row r="81" spans="1:15">
      <c r="A81" s="1564" t="s">
        <v>199</v>
      </c>
      <c r="B81" s="1565"/>
      <c r="C81" s="1566"/>
      <c r="D81" s="957" t="s">
        <v>187</v>
      </c>
      <c r="E81" s="924">
        <f>'21'!F81</f>
        <v>624998</v>
      </c>
      <c r="F81" s="1016">
        <v>625130</v>
      </c>
      <c r="G81" s="925">
        <f t="shared" si="6"/>
        <v>132</v>
      </c>
      <c r="H81" s="926">
        <f>G81+'21'!H81</f>
        <v>2355</v>
      </c>
      <c r="I81" s="988"/>
      <c r="J81" s="928">
        <f>H81/DAY(B2)</f>
        <v>107.04545454545455</v>
      </c>
      <c r="K81" s="1010"/>
      <c r="L81" s="903"/>
      <c r="N81" s="1092">
        <v>86</v>
      </c>
      <c r="O81" s="930">
        <f t="shared" si="7"/>
        <v>-46</v>
      </c>
    </row>
    <row r="82" spans="1:15">
      <c r="A82" s="1564" t="s">
        <v>93</v>
      </c>
      <c r="B82" s="1565"/>
      <c r="C82" s="1566"/>
      <c r="D82" s="958" t="s">
        <v>132</v>
      </c>
      <c r="E82" s="924">
        <f>'21'!F82</f>
        <v>106038</v>
      </c>
      <c r="F82" s="1019">
        <v>106066</v>
      </c>
      <c r="G82" s="925">
        <f t="shared" si="6"/>
        <v>28</v>
      </c>
      <c r="H82" s="926">
        <f>G82+'21'!H82</f>
        <v>626</v>
      </c>
      <c r="I82" s="959"/>
      <c r="J82" s="928">
        <f>H82/DAY(B2)</f>
        <v>28.454545454545453</v>
      </c>
      <c r="K82" s="1010"/>
      <c r="L82" s="903"/>
      <c r="N82" s="1092">
        <v>29</v>
      </c>
      <c r="O82" s="930">
        <f t="shared" si="7"/>
        <v>1</v>
      </c>
    </row>
    <row r="83" spans="1:15">
      <c r="A83" s="1564" t="s">
        <v>200</v>
      </c>
      <c r="B83" s="1565"/>
      <c r="C83" s="1566"/>
      <c r="D83" s="1020" t="s">
        <v>132</v>
      </c>
      <c r="E83" s="924">
        <f>'21'!F83</f>
        <v>992869</v>
      </c>
      <c r="F83" s="910">
        <v>993383</v>
      </c>
      <c r="G83" s="925">
        <f t="shared" si="6"/>
        <v>514</v>
      </c>
      <c r="H83" s="926">
        <f>G83+'21'!H83</f>
        <v>9642</v>
      </c>
      <c r="I83" s="948"/>
      <c r="J83" s="928">
        <f>H83/DAY(B2)</f>
        <v>438.27272727272725</v>
      </c>
      <c r="K83" s="951"/>
      <c r="L83" s="903"/>
      <c r="N83" s="1092">
        <v>228</v>
      </c>
      <c r="O83" s="930">
        <f t="shared" si="7"/>
        <v>-286</v>
      </c>
    </row>
    <row r="84" spans="1:15">
      <c r="A84" s="1021" t="s">
        <v>201</v>
      </c>
      <c r="B84" s="1022"/>
      <c r="C84" s="1022"/>
      <c r="D84" s="942" t="s">
        <v>132</v>
      </c>
      <c r="E84" s="924">
        <f>'21'!F84</f>
        <v>426516</v>
      </c>
      <c r="F84" s="1023">
        <v>427081</v>
      </c>
      <c r="G84" s="925">
        <f t="shared" si="6"/>
        <v>565</v>
      </c>
      <c r="H84" s="926">
        <f>G84+'21'!H84</f>
        <v>11008</v>
      </c>
      <c r="I84" s="948"/>
      <c r="J84" s="928">
        <f>H84/DAY(B2)</f>
        <v>500.36363636363637</v>
      </c>
      <c r="K84" s="1024"/>
      <c r="L84" s="903"/>
      <c r="N84" s="1092">
        <v>423</v>
      </c>
      <c r="O84" s="930">
        <f t="shared" si="7"/>
        <v>-142</v>
      </c>
    </row>
    <row r="85" spans="1:15" s="1028" customFormat="1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2585</v>
      </c>
      <c r="H85" s="926">
        <f>G85+'21'!H85</f>
        <v>51641.649999999994</v>
      </c>
      <c r="I85" s="948"/>
      <c r="J85" s="928">
        <f>H85/DAY(B2)</f>
        <v>2347.3477272727268</v>
      </c>
      <c r="K85" s="1024"/>
      <c r="L85" s="1027"/>
      <c r="N85" s="1095">
        <v>1190</v>
      </c>
      <c r="O85" s="930">
        <f t="shared" si="7"/>
        <v>-1395</v>
      </c>
    </row>
    <row r="86" spans="1:15" s="1038" customFormat="1">
      <c r="A86" s="1029" t="s">
        <v>94</v>
      </c>
      <c r="B86" s="1030"/>
      <c r="C86" s="1030"/>
      <c r="D86" s="1031" t="s">
        <v>183</v>
      </c>
      <c r="E86" s="924">
        <f>'21'!F86</f>
        <v>449543</v>
      </c>
      <c r="F86" s="1032">
        <v>449681</v>
      </c>
      <c r="G86" s="1033">
        <f t="shared" ref="G86:G88" si="8">F86-E86</f>
        <v>138</v>
      </c>
      <c r="H86" s="926">
        <f>G86+'21'!H86</f>
        <v>597</v>
      </c>
      <c r="I86" s="1034"/>
      <c r="J86" s="1035">
        <f>H86/DAY(B2)</f>
        <v>27.136363636363637</v>
      </c>
      <c r="K86" s="1036"/>
      <c r="L86" s="1037"/>
      <c r="N86" s="1096">
        <v>171</v>
      </c>
      <c r="O86" s="930">
        <f t="shared" si="7"/>
        <v>33</v>
      </c>
    </row>
    <row r="87" spans="1:15" s="1038" customFormat="1">
      <c r="A87" s="1029" t="s">
        <v>95</v>
      </c>
      <c r="B87" s="1030"/>
      <c r="C87" s="1030"/>
      <c r="D87" s="1031" t="s">
        <v>183</v>
      </c>
      <c r="E87" s="924">
        <f>'21'!F87</f>
        <v>78987</v>
      </c>
      <c r="F87" s="1032">
        <v>79020</v>
      </c>
      <c r="G87" s="1033">
        <f t="shared" si="8"/>
        <v>33</v>
      </c>
      <c r="H87" s="926">
        <f>G87+'21'!H87</f>
        <v>111.30000000000291</v>
      </c>
      <c r="I87" s="1034"/>
      <c r="J87" s="1035">
        <f>H87/DAY(B2)</f>
        <v>5.059090909091041</v>
      </c>
      <c r="K87" s="1036"/>
      <c r="L87" s="1037"/>
      <c r="N87" s="1096">
        <v>21</v>
      </c>
      <c r="O87" s="930">
        <f t="shared" si="7"/>
        <v>-12</v>
      </c>
    </row>
    <row r="88" spans="1:15" s="1038" customFormat="1">
      <c r="A88" s="1029" t="s">
        <v>96</v>
      </c>
      <c r="B88" s="1030"/>
      <c r="C88" s="1030"/>
      <c r="D88" s="1031" t="s">
        <v>183</v>
      </c>
      <c r="E88" s="924">
        <f>'21'!F88</f>
        <v>147909</v>
      </c>
      <c r="F88" s="1023">
        <v>147969</v>
      </c>
      <c r="G88" s="1033">
        <f t="shared" si="8"/>
        <v>60</v>
      </c>
      <c r="H88" s="926">
        <f>G88+'21'!H88</f>
        <v>331.10000000000582</v>
      </c>
      <c r="I88" s="1034"/>
      <c r="J88" s="1035">
        <f>H88/DAY(B2)</f>
        <v>15.050000000000265</v>
      </c>
      <c r="K88" s="1036"/>
      <c r="L88" s="1037"/>
      <c r="N88" s="1096">
        <v>86</v>
      </c>
      <c r="O88" s="930">
        <f t="shared" si="7"/>
        <v>26</v>
      </c>
    </row>
    <row r="89" spans="1:15" s="1038" customFormat="1">
      <c r="A89" s="1029" t="s">
        <v>204</v>
      </c>
      <c r="B89" s="1030"/>
      <c r="C89" s="1030"/>
      <c r="D89" s="1031" t="s">
        <v>183</v>
      </c>
      <c r="E89" s="924">
        <f>'21'!F89</f>
        <v>61159</v>
      </c>
      <c r="F89" s="1032">
        <v>61243</v>
      </c>
      <c r="G89" s="1033">
        <f t="shared" ref="G89:G90" si="9">F89-E89</f>
        <v>84</v>
      </c>
      <c r="H89" s="926">
        <f>G89+'21'!H89</f>
        <v>310.5</v>
      </c>
      <c r="I89" s="1034"/>
      <c r="J89" s="1035" t="e">
        <f t="shared" ref="J89:J90" si="10">H89/DAY(B3)</f>
        <v>#DIV/0!</v>
      </c>
      <c r="K89" s="1036"/>
      <c r="L89" s="1037"/>
      <c r="N89" s="1097">
        <v>25</v>
      </c>
      <c r="O89" s="930">
        <f t="shared" si="7"/>
        <v>-59</v>
      </c>
    </row>
    <row r="90" spans="1:15" s="1038" customFormat="1">
      <c r="A90" s="1029" t="s">
        <v>204</v>
      </c>
      <c r="B90" s="1030"/>
      <c r="C90" s="1030"/>
      <c r="D90" s="1031" t="s">
        <v>183</v>
      </c>
      <c r="E90" s="924">
        <f>'21'!F90</f>
        <v>3136</v>
      </c>
      <c r="F90" s="1032">
        <v>3142</v>
      </c>
      <c r="G90" s="1033">
        <f t="shared" si="9"/>
        <v>6</v>
      </c>
      <c r="H90" s="926">
        <f>G90+'21'!H90</f>
        <v>12.800000000000182</v>
      </c>
      <c r="I90" s="1034"/>
      <c r="J90" s="1035" t="e">
        <f t="shared" si="10"/>
        <v>#DIV/0!</v>
      </c>
      <c r="K90" s="1036"/>
      <c r="L90" s="1037"/>
      <c r="N90" s="1097">
        <v>1</v>
      </c>
      <c r="O90" s="930">
        <f t="shared" si="7"/>
        <v>-5</v>
      </c>
    </row>
    <row r="91" spans="1:15" s="1028" customFormat="1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>
      <c r="A92" s="1541" t="s">
        <v>206</v>
      </c>
      <c r="B92" s="1542"/>
      <c r="C92" s="1543"/>
      <c r="D92" s="923" t="s">
        <v>144</v>
      </c>
      <c r="E92" s="924">
        <f>'21'!F92</f>
        <v>238919</v>
      </c>
      <c r="F92" s="954">
        <v>239041</v>
      </c>
      <c r="G92" s="925">
        <f t="shared" ref="G92:G93" si="11">F92-E92</f>
        <v>122</v>
      </c>
      <c r="H92" s="926">
        <f>G92+'21'!H92</f>
        <v>2471</v>
      </c>
      <c r="I92" s="945"/>
      <c r="J92" s="928">
        <f>H92/DAY(B2)</f>
        <v>112.31818181818181</v>
      </c>
      <c r="K92" s="951"/>
      <c r="L92" s="903"/>
      <c r="N92" s="1092">
        <v>29</v>
      </c>
      <c r="O92" s="930">
        <f t="shared" si="7"/>
        <v>-93</v>
      </c>
    </row>
    <row r="93" spans="1:15">
      <c r="A93" s="1541" t="s">
        <v>207</v>
      </c>
      <c r="B93" s="1542"/>
      <c r="C93" s="1543"/>
      <c r="D93" s="923" t="s">
        <v>144</v>
      </c>
      <c r="E93" s="924">
        <f>'21'!F93</f>
        <v>174453</v>
      </c>
      <c r="F93" s="954">
        <v>174639</v>
      </c>
      <c r="G93" s="925">
        <f t="shared" si="11"/>
        <v>186</v>
      </c>
      <c r="H93" s="926">
        <f>G93+'21'!H93</f>
        <v>3463</v>
      </c>
      <c r="I93" s="945"/>
      <c r="J93" s="928">
        <f>H93/DAY(B2)</f>
        <v>157.40909090909091</v>
      </c>
      <c r="K93" s="1024"/>
      <c r="L93" s="903"/>
      <c r="N93" s="1092">
        <v>40</v>
      </c>
      <c r="O93" s="930">
        <f t="shared" si="7"/>
        <v>-146</v>
      </c>
    </row>
    <row r="94" spans="1:15">
      <c r="A94" s="1567" t="s">
        <v>208</v>
      </c>
      <c r="B94" s="1568"/>
      <c r="C94" s="1569"/>
      <c r="D94" s="923"/>
      <c r="E94" s="924">
        <f>'21'!F94</f>
        <v>0</v>
      </c>
      <c r="F94" s="954"/>
      <c r="G94" s="925">
        <f>G92+G93</f>
        <v>308</v>
      </c>
      <c r="H94" s="926">
        <f>G94+'21'!H94</f>
        <v>5647</v>
      </c>
      <c r="I94" s="945"/>
      <c r="J94" s="928">
        <f>H94/DAY(B2)</f>
        <v>256.68181818181819</v>
      </c>
      <c r="K94" s="1024"/>
      <c r="L94" s="903"/>
      <c r="N94" s="1092">
        <v>69</v>
      </c>
      <c r="O94" s="930">
        <f t="shared" si="7"/>
        <v>-239</v>
      </c>
    </row>
    <row r="95" spans="1:15">
      <c r="A95" s="1541" t="s">
        <v>209</v>
      </c>
      <c r="B95" s="1542"/>
      <c r="C95" s="1543"/>
      <c r="D95" s="923" t="s">
        <v>144</v>
      </c>
      <c r="E95" s="924">
        <f>'21'!F95</f>
        <v>407520</v>
      </c>
      <c r="F95" s="954">
        <v>407627</v>
      </c>
      <c r="G95" s="925">
        <f t="shared" ref="G95:G100" si="12">F95-E95</f>
        <v>107</v>
      </c>
      <c r="H95" s="926">
        <f>G95+'21'!H95</f>
        <v>1751</v>
      </c>
      <c r="I95" s="945"/>
      <c r="J95" s="928">
        <f>H95/DAY(B2)</f>
        <v>79.590909090909093</v>
      </c>
      <c r="K95" s="1024"/>
      <c r="L95" s="903"/>
      <c r="N95" s="1092">
        <v>49</v>
      </c>
      <c r="O95" s="930">
        <f t="shared" si="7"/>
        <v>-58</v>
      </c>
    </row>
    <row r="96" spans="1:15">
      <c r="A96" s="952" t="s">
        <v>210</v>
      </c>
      <c r="B96" s="953"/>
      <c r="C96" s="953"/>
      <c r="D96" s="923" t="s">
        <v>144</v>
      </c>
      <c r="E96" s="924">
        <f>'21'!F96</f>
        <v>101198</v>
      </c>
      <c r="F96" s="954">
        <v>101219</v>
      </c>
      <c r="G96" s="925">
        <f t="shared" si="12"/>
        <v>21</v>
      </c>
      <c r="H96" s="926">
        <f>G96+'21'!H96</f>
        <v>685</v>
      </c>
      <c r="I96" s="945"/>
      <c r="J96" s="928">
        <f>H96/DAY(B2)</f>
        <v>31.136363636363637</v>
      </c>
      <c r="K96" s="920"/>
      <c r="L96" s="903"/>
      <c r="N96" s="1092">
        <v>7</v>
      </c>
      <c r="O96" s="930">
        <f t="shared" si="7"/>
        <v>-14</v>
      </c>
    </row>
    <row r="97" spans="1:15">
      <c r="A97" s="952" t="s">
        <v>211</v>
      </c>
      <c r="B97" s="953"/>
      <c r="C97" s="953"/>
      <c r="D97" s="923" t="s">
        <v>144</v>
      </c>
      <c r="E97" s="924">
        <f>'21'!F97</f>
        <v>96305</v>
      </c>
      <c r="F97" s="954">
        <v>96322</v>
      </c>
      <c r="G97" s="925">
        <f t="shared" si="12"/>
        <v>17</v>
      </c>
      <c r="H97" s="926">
        <f>G97+'21'!H97</f>
        <v>645</v>
      </c>
      <c r="I97" s="945"/>
      <c r="J97" s="928">
        <f>H97/DAY(B2)</f>
        <v>29.318181818181817</v>
      </c>
      <c r="K97" s="1040"/>
      <c r="L97" s="903"/>
      <c r="N97" s="1092">
        <v>12</v>
      </c>
      <c r="O97" s="930">
        <f t="shared" si="7"/>
        <v>-5</v>
      </c>
    </row>
    <row r="98" spans="1:15">
      <c r="A98" s="952" t="s">
        <v>212</v>
      </c>
      <c r="B98" s="953"/>
      <c r="C98" s="953"/>
      <c r="D98" s="923" t="s">
        <v>144</v>
      </c>
      <c r="E98" s="924">
        <f>'21'!F98</f>
        <v>146993</v>
      </c>
      <c r="F98" s="954">
        <v>147064</v>
      </c>
      <c r="G98" s="925">
        <f t="shared" si="12"/>
        <v>71</v>
      </c>
      <c r="H98" s="926">
        <f>G98+'21'!H98</f>
        <v>1510</v>
      </c>
      <c r="I98" s="945"/>
      <c r="J98" s="928">
        <f>H98/DAY(B2)</f>
        <v>68.63636363636364</v>
      </c>
      <c r="K98" s="1024"/>
      <c r="L98" s="903"/>
      <c r="N98" s="1092">
        <v>16</v>
      </c>
      <c r="O98" s="930">
        <f t="shared" si="7"/>
        <v>-55</v>
      </c>
    </row>
    <row r="99" spans="1:15">
      <c r="A99" s="952" t="s">
        <v>213</v>
      </c>
      <c r="B99" s="953"/>
      <c r="C99" s="953"/>
      <c r="D99" s="923" t="s">
        <v>144</v>
      </c>
      <c r="E99" s="924">
        <f>'21'!F99</f>
        <v>6279</v>
      </c>
      <c r="F99" s="954">
        <v>6296</v>
      </c>
      <c r="G99" s="925">
        <f t="shared" si="12"/>
        <v>17</v>
      </c>
      <c r="H99" s="926">
        <f>G99+'21'!H99</f>
        <v>322</v>
      </c>
      <c r="I99" s="945"/>
      <c r="J99" s="928">
        <f>H99/DAY(B2)</f>
        <v>14.636363636363637</v>
      </c>
      <c r="K99" s="1024"/>
      <c r="L99" s="903"/>
      <c r="N99" s="1092">
        <v>3</v>
      </c>
      <c r="O99" s="930">
        <f t="shared" si="7"/>
        <v>-14</v>
      </c>
    </row>
    <row r="100" spans="1:15">
      <c r="A100" s="952" t="s">
        <v>214</v>
      </c>
      <c r="B100" s="953"/>
      <c r="C100" s="953"/>
      <c r="D100" s="923" t="s">
        <v>144</v>
      </c>
      <c r="E100" s="924">
        <f>'21'!F100</f>
        <v>4432</v>
      </c>
      <c r="F100" s="954">
        <v>4440</v>
      </c>
      <c r="G100" s="925">
        <f t="shared" si="12"/>
        <v>8</v>
      </c>
      <c r="H100" s="926">
        <f>G100+'21'!H100</f>
        <v>203</v>
      </c>
      <c r="I100" s="945"/>
      <c r="J100" s="928">
        <f>H100/DAY(B2)</f>
        <v>9.2272727272727266</v>
      </c>
      <c r="K100" s="1024"/>
      <c r="L100" s="903"/>
      <c r="N100" s="1092">
        <v>0</v>
      </c>
      <c r="O100" s="930">
        <f t="shared" si="7"/>
        <v>-8</v>
      </c>
    </row>
    <row r="101" spans="1:15">
      <c r="A101" s="1567" t="s">
        <v>216</v>
      </c>
      <c r="B101" s="1568"/>
      <c r="C101" s="1569"/>
      <c r="D101" s="957"/>
      <c r="E101" s="957"/>
      <c r="F101" s="957"/>
      <c r="G101" s="1041">
        <f>SUM(G95:G100)</f>
        <v>241</v>
      </c>
      <c r="H101" s="926">
        <f>G101+'21'!H101</f>
        <v>5116</v>
      </c>
      <c r="I101" s="1042"/>
      <c r="J101" s="928">
        <f>H101/DAY(B2)</f>
        <v>232.54545454545453</v>
      </c>
      <c r="K101" s="1024"/>
      <c r="L101" s="903"/>
      <c r="N101" s="1092">
        <v>87</v>
      </c>
      <c r="O101" s="930">
        <f t="shared" si="7"/>
        <v>-154</v>
      </c>
    </row>
    <row r="102" spans="1:15" s="975" customFormat="1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>
      <c r="A103" s="1575" t="s">
        <v>218</v>
      </c>
      <c r="B103" s="1576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>
      <c r="A104" s="1577" t="s">
        <v>219</v>
      </c>
      <c r="B104" s="1578"/>
      <c r="C104" s="1057"/>
      <c r="D104" s="1053" t="s">
        <v>144</v>
      </c>
      <c r="E104" s="1054">
        <f>'21'!F104</f>
        <v>7097</v>
      </c>
      <c r="F104" s="1054">
        <v>7105</v>
      </c>
      <c r="G104" s="1054">
        <f>F104-E104</f>
        <v>8</v>
      </c>
      <c r="H104" s="1055">
        <f>SUM(G104+'1'!G76)</f>
        <v>82</v>
      </c>
      <c r="I104" s="1054"/>
      <c r="J104" s="1056">
        <f>H104/DAY(B2)</f>
        <v>3.7272727272727271</v>
      </c>
      <c r="N104" s="1093">
        <v>0</v>
      </c>
      <c r="O104" s="930">
        <f t="shared" si="7"/>
        <v>-8</v>
      </c>
    </row>
    <row r="105" spans="1:15" s="975" customFormat="1">
      <c r="A105" s="1577" t="s">
        <v>77</v>
      </c>
      <c r="B105" s="1578"/>
      <c r="C105" s="1057"/>
      <c r="D105" s="1053" t="s">
        <v>144</v>
      </c>
      <c r="E105" s="1054">
        <f>'21'!F105</f>
        <v>35341</v>
      </c>
      <c r="F105" s="1058">
        <v>35353</v>
      </c>
      <c r="G105" s="1054">
        <f t="shared" ref="G105:G106" si="13">F105-E105</f>
        <v>12</v>
      </c>
      <c r="H105" s="1055">
        <f>SUM(G105+'1'!G77)</f>
        <v>60</v>
      </c>
      <c r="I105" s="1054"/>
      <c r="J105" s="1056">
        <f>H105/DAY(B2)</f>
        <v>2.7272727272727271</v>
      </c>
      <c r="N105" s="1093">
        <v>12</v>
      </c>
      <c r="O105" s="930">
        <f t="shared" si="7"/>
        <v>0</v>
      </c>
    </row>
    <row r="106" spans="1:15" s="975" customFormat="1">
      <c r="A106" s="1577" t="s">
        <v>78</v>
      </c>
      <c r="B106" s="1579"/>
      <c r="C106" s="1578"/>
      <c r="D106" s="1053" t="s">
        <v>144</v>
      </c>
      <c r="E106" s="1054">
        <f>'21'!F106</f>
        <v>19209</v>
      </c>
      <c r="F106" s="1054">
        <v>19214</v>
      </c>
      <c r="G106" s="1054">
        <f t="shared" si="13"/>
        <v>5</v>
      </c>
      <c r="H106" s="1055">
        <f>SUM(G106+'1'!G78)</f>
        <v>339</v>
      </c>
      <c r="I106" s="1054"/>
      <c r="J106" s="1056">
        <f>H106/DAY(B2)</f>
        <v>15.409090909090908</v>
      </c>
      <c r="N106" s="1093">
        <v>4</v>
      </c>
      <c r="O106" s="930">
        <f t="shared" si="7"/>
        <v>-1</v>
      </c>
    </row>
    <row r="107" spans="1:15" s="975" customFormat="1">
      <c r="A107" s="1580" t="s">
        <v>202</v>
      </c>
      <c r="B107" s="1581"/>
      <c r="C107" s="1057"/>
      <c r="D107" s="1053"/>
      <c r="E107" s="1054">
        <f>'21'!F107</f>
        <v>0</v>
      </c>
      <c r="F107" s="1054"/>
      <c r="G107" s="1054">
        <f>SUM(G104:G106)</f>
        <v>25</v>
      </c>
      <c r="H107" s="1055">
        <f>SUM(G107+'1'!G79)</f>
        <v>230</v>
      </c>
      <c r="I107" s="1054"/>
      <c r="J107" s="1056">
        <f>H107/DAY(B2)</f>
        <v>10.454545454545455</v>
      </c>
      <c r="N107" s="1093">
        <v>16</v>
      </c>
      <c r="O107" s="930">
        <f t="shared" si="7"/>
        <v>-9</v>
      </c>
    </row>
    <row r="108" spans="1:15" s="975" customFormat="1">
      <c r="A108" s="1582" t="s">
        <v>79</v>
      </c>
      <c r="B108" s="1583"/>
      <c r="C108" s="1057"/>
      <c r="D108" s="1053" t="s">
        <v>144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>
      <c r="A109" s="1577" t="s">
        <v>220</v>
      </c>
      <c r="B109" s="1578"/>
      <c r="C109" s="1057"/>
      <c r="D109" s="1053" t="s">
        <v>144</v>
      </c>
      <c r="E109" s="1054">
        <f>'21'!F109</f>
        <v>55907</v>
      </c>
      <c r="F109" s="1054">
        <v>55969</v>
      </c>
      <c r="G109" s="1054">
        <f>F109-E109</f>
        <v>62</v>
      </c>
      <c r="H109" s="1055">
        <f>SUM(G109+'1'!G81)</f>
        <v>138</v>
      </c>
      <c r="I109" s="1054"/>
      <c r="J109" s="1056">
        <f>H109/DAY(B2)</f>
        <v>6.2727272727272725</v>
      </c>
      <c r="N109" s="1093">
        <v>39</v>
      </c>
      <c r="O109" s="930">
        <f t="shared" si="7"/>
        <v>-23</v>
      </c>
    </row>
    <row r="110" spans="1:15" s="975" customFormat="1">
      <c r="A110" s="1577" t="s">
        <v>221</v>
      </c>
      <c r="B110" s="1578"/>
      <c r="C110" s="1057"/>
      <c r="D110" s="1053" t="s">
        <v>144</v>
      </c>
      <c r="E110" s="1054">
        <f>'21'!F110</f>
        <v>29912</v>
      </c>
      <c r="F110" s="1054">
        <v>29982</v>
      </c>
      <c r="G110" s="1054">
        <f t="shared" ref="G110:G111" si="14">F110-E110</f>
        <v>70</v>
      </c>
      <c r="H110" s="1055">
        <f>SUM(G110+'1'!G82)</f>
        <v>115</v>
      </c>
      <c r="I110" s="1054"/>
      <c r="J110" s="1056">
        <f>H110/DAY(B2)</f>
        <v>5.2272727272727275</v>
      </c>
      <c r="N110" s="1093">
        <v>8</v>
      </c>
      <c r="O110" s="930">
        <f t="shared" si="7"/>
        <v>-62</v>
      </c>
    </row>
    <row r="111" spans="1:15" s="975" customFormat="1">
      <c r="A111" s="1577" t="s">
        <v>222</v>
      </c>
      <c r="B111" s="1578"/>
      <c r="C111" s="1057"/>
      <c r="D111" s="1053" t="s">
        <v>144</v>
      </c>
      <c r="E111" s="1054">
        <f>'21'!F111</f>
        <v>3938</v>
      </c>
      <c r="F111" s="1054">
        <v>3946</v>
      </c>
      <c r="G111" s="1054">
        <f t="shared" si="14"/>
        <v>8</v>
      </c>
      <c r="H111" s="1055">
        <f>SUM(G111+'1'!G83)</f>
        <v>441</v>
      </c>
      <c r="I111" s="1054"/>
      <c r="J111" s="1056">
        <f>H111/DAY(B2)</f>
        <v>20.045454545454547</v>
      </c>
      <c r="N111" s="1093">
        <v>0</v>
      </c>
      <c r="O111" s="930">
        <f t="shared" si="7"/>
        <v>-8</v>
      </c>
    </row>
    <row r="112" spans="1:15" s="975" customFormat="1">
      <c r="A112" s="1587" t="s">
        <v>110</v>
      </c>
      <c r="B112" s="1588"/>
      <c r="C112" s="1057"/>
      <c r="D112" s="1053"/>
      <c r="E112" s="1054">
        <f>'21'!F112</f>
        <v>0</v>
      </c>
      <c r="F112" s="1054"/>
      <c r="G112" s="1054">
        <f>SUM(G109:G111)</f>
        <v>140</v>
      </c>
      <c r="H112" s="1055">
        <f>SUM(G112+'1'!G84)</f>
        <v>661</v>
      </c>
      <c r="I112" s="1054"/>
      <c r="J112" s="1056">
        <f>H112/DAY(B2)</f>
        <v>30.045454545454547</v>
      </c>
      <c r="N112" s="1093">
        <v>47</v>
      </c>
      <c r="O112" s="930">
        <f t="shared" si="7"/>
        <v>-93</v>
      </c>
    </row>
    <row r="113" spans="1:15" s="975" customFormat="1">
      <c r="A113" s="1582" t="s">
        <v>223</v>
      </c>
      <c r="B113" s="1583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>
      <c r="A114" s="1577" t="s">
        <v>224</v>
      </c>
      <c r="B114" s="1578"/>
      <c r="C114" s="1059"/>
      <c r="D114" s="1053" t="s">
        <v>144</v>
      </c>
      <c r="E114" s="1054">
        <f>'21'!F114</f>
        <v>10168</v>
      </c>
      <c r="F114" s="1058">
        <v>10189</v>
      </c>
      <c r="G114" s="1058">
        <f>F114-E114</f>
        <v>21</v>
      </c>
      <c r="H114" s="1055">
        <f>SUM(G114+'1'!G91)</f>
        <v>21</v>
      </c>
      <c r="I114" s="1054"/>
      <c r="J114" s="1056">
        <f>H114/DAY(B2)</f>
        <v>0.95454545454545459</v>
      </c>
      <c r="N114" s="1093">
        <v>3</v>
      </c>
      <c r="O114" s="930">
        <f t="shared" si="7"/>
        <v>-18</v>
      </c>
    </row>
    <row r="115" spans="1:15" s="975" customFormat="1">
      <c r="A115" s="1577" t="s">
        <v>225</v>
      </c>
      <c r="B115" s="1578"/>
      <c r="C115" s="1059"/>
      <c r="D115" s="1053" t="s">
        <v>144</v>
      </c>
      <c r="E115" s="1054">
        <f>'21'!F115</f>
        <v>7585</v>
      </c>
      <c r="F115" s="1058">
        <v>7595</v>
      </c>
      <c r="G115" s="1058">
        <f t="shared" ref="G115:G116" si="15">F115-E115</f>
        <v>10</v>
      </c>
      <c r="H115" s="1055">
        <f>SUM(G115+'1'!G92)</f>
        <v>97</v>
      </c>
      <c r="I115" s="1054"/>
      <c r="J115" s="1056">
        <f>H115/DAY(B2)</f>
        <v>4.4090909090909092</v>
      </c>
      <c r="N115" s="1093">
        <v>4</v>
      </c>
      <c r="O115" s="930">
        <f t="shared" si="7"/>
        <v>-6</v>
      </c>
    </row>
    <row r="116" spans="1:15" s="975" customFormat="1">
      <c r="A116" s="1577" t="s">
        <v>226</v>
      </c>
      <c r="B116" s="1578"/>
      <c r="C116" s="1059"/>
      <c r="D116" s="1053" t="s">
        <v>144</v>
      </c>
      <c r="E116" s="1058"/>
      <c r="F116" s="1058"/>
      <c r="G116" s="1058">
        <f t="shared" si="15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>
      <c r="A117" s="1580" t="s">
        <v>202</v>
      </c>
      <c r="B117" s="1581"/>
      <c r="C117" s="1059"/>
      <c r="D117" s="1060"/>
      <c r="E117" s="1058"/>
      <c r="F117" s="1058"/>
      <c r="G117" s="1058">
        <f>SUM(G114:G116)</f>
        <v>31</v>
      </c>
      <c r="H117" s="1055">
        <f>SUM(G117+'1'!G95)</f>
        <v>103</v>
      </c>
      <c r="I117" s="1058"/>
      <c r="J117" s="1056">
        <f>H117/DAY(B2)</f>
        <v>4.6818181818181817</v>
      </c>
      <c r="N117" s="1098">
        <v>7</v>
      </c>
      <c r="O117" s="930">
        <f t="shared" si="7"/>
        <v>-24</v>
      </c>
    </row>
    <row r="118" spans="1:15" s="851" customFormat="1">
      <c r="A118" s="1591" t="s">
        <v>227</v>
      </c>
      <c r="B118" s="1592"/>
      <c r="C118" s="1062"/>
      <c r="D118" s="1063" t="s">
        <v>144</v>
      </c>
      <c r="E118" s="1064"/>
      <c r="F118" s="1065">
        <f>SUM(G19+G92)</f>
        <v>173</v>
      </c>
      <c r="G118" s="1065">
        <f>SUM(G19+G92)</f>
        <v>173</v>
      </c>
      <c r="H118" s="1055">
        <f>SUM(G118+'1'!G96)</f>
        <v>196</v>
      </c>
      <c r="I118" s="1064"/>
      <c r="J118" s="1066">
        <f>H118/DAY(B2)</f>
        <v>8.9090909090909083</v>
      </c>
      <c r="N118" s="1099">
        <v>82</v>
      </c>
      <c r="O118" s="930">
        <f t="shared" si="7"/>
        <v>-91</v>
      </c>
    </row>
    <row r="119" spans="1:15" s="851" customFormat="1">
      <c r="A119" s="1591" t="s">
        <v>228</v>
      </c>
      <c r="B119" s="1592"/>
      <c r="C119" s="1062"/>
      <c r="D119" s="1063" t="s">
        <v>144</v>
      </c>
      <c r="E119" s="1064"/>
      <c r="F119" s="1065">
        <f>SUM(G95,G96,G97,G99,G100)</f>
        <v>170</v>
      </c>
      <c r="G119" s="1065">
        <f>SUM(G95,G96,G97,G99,G100)</f>
        <v>170</v>
      </c>
      <c r="H119" s="1055">
        <f>SUM(G119+'1'!G98)</f>
        <v>253</v>
      </c>
      <c r="I119" s="1064"/>
      <c r="J119" s="1066">
        <f>H119/DAY(B2)</f>
        <v>11.5</v>
      </c>
      <c r="N119" s="1099">
        <v>71</v>
      </c>
      <c r="O119" s="930">
        <f t="shared" si="7"/>
        <v>-99</v>
      </c>
    </row>
    <row r="120" spans="1:15" s="851" customFormat="1">
      <c r="A120" s="1591" t="s">
        <v>229</v>
      </c>
      <c r="B120" s="1592"/>
      <c r="C120" s="1062"/>
      <c r="D120" s="1063" t="s">
        <v>144</v>
      </c>
      <c r="E120" s="1064"/>
      <c r="F120" s="1058">
        <f>SUM(G112)</f>
        <v>140</v>
      </c>
      <c r="G120" s="1058">
        <f>SUM(G112)</f>
        <v>140</v>
      </c>
      <c r="H120" s="1055">
        <f>SUM(G120+'1'!G100)</f>
        <v>146</v>
      </c>
      <c r="I120" s="1064"/>
      <c r="J120" s="1066">
        <f>H120/DAY(B2)</f>
        <v>6.6363636363636367</v>
      </c>
      <c r="N120" s="1099">
        <v>47</v>
      </c>
      <c r="O120" s="930">
        <f t="shared" si="7"/>
        <v>-93</v>
      </c>
    </row>
    <row r="121" spans="1:15" s="975" customFormat="1">
      <c r="A121" s="1589"/>
      <c r="B121" s="1590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>
      <c r="A122" s="1570" t="s">
        <v>230</v>
      </c>
      <c r="B122" s="1571"/>
      <c r="C122" s="1572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>
      <c r="A123" s="952" t="s">
        <v>231</v>
      </c>
      <c r="B123" s="953"/>
      <c r="C123" s="953"/>
      <c r="D123" s="923" t="s">
        <v>141</v>
      </c>
      <c r="E123" s="924">
        <f>'21'!F123</f>
        <v>809201</v>
      </c>
      <c r="F123" s="942">
        <v>809453</v>
      </c>
      <c r="G123" s="925">
        <f t="shared" ref="G123:G127" si="16">F123-E123</f>
        <v>252</v>
      </c>
      <c r="H123" s="926">
        <f>G123+'21'!H123</f>
        <v>6117.5999999999767</v>
      </c>
      <c r="I123" s="1042"/>
      <c r="J123" s="928">
        <f>H123/DAY(B2)</f>
        <v>278.07272727272624</v>
      </c>
      <c r="K123" s="1024"/>
      <c r="L123" s="903"/>
      <c r="N123" s="1092">
        <v>100.59000000008382</v>
      </c>
      <c r="O123" s="930">
        <f t="shared" si="7"/>
        <v>-151.40999999991618</v>
      </c>
    </row>
    <row r="124" spans="1:15">
      <c r="A124" s="952" t="s">
        <v>232</v>
      </c>
      <c r="B124" s="953"/>
      <c r="C124" s="953"/>
      <c r="D124" s="923" t="s">
        <v>141</v>
      </c>
      <c r="E124" s="924">
        <f>'21'!F124</f>
        <v>73583</v>
      </c>
      <c r="F124" s="958">
        <v>73583</v>
      </c>
      <c r="G124" s="925">
        <f t="shared" si="16"/>
        <v>0</v>
      </c>
      <c r="H124" s="926">
        <f>G124+'21'!H124</f>
        <v>1</v>
      </c>
      <c r="I124" s="1042"/>
      <c r="J124" s="928">
        <f>H124/DAY(B2)</f>
        <v>4.5454545454545456E-2</v>
      </c>
      <c r="K124" s="1024"/>
      <c r="L124" s="903"/>
      <c r="N124" s="1092">
        <v>0</v>
      </c>
      <c r="O124" s="930">
        <f t="shared" si="7"/>
        <v>0</v>
      </c>
    </row>
    <row r="125" spans="1:15">
      <c r="A125" s="1538" t="s">
        <v>233</v>
      </c>
      <c r="B125" s="1539"/>
      <c r="C125" s="1540"/>
      <c r="D125" s="923" t="s">
        <v>141</v>
      </c>
      <c r="E125" s="924">
        <f>'21'!F125</f>
        <v>139482</v>
      </c>
      <c r="F125" s="942">
        <v>139558</v>
      </c>
      <c r="G125" s="925">
        <f t="shared" si="16"/>
        <v>76</v>
      </c>
      <c r="H125" s="926">
        <f>G125+'21'!H125</f>
        <v>1710</v>
      </c>
      <c r="I125" s="1042"/>
      <c r="J125" s="928">
        <f>H125/DAY(B2)</f>
        <v>77.727272727272734</v>
      </c>
      <c r="K125" s="1024"/>
      <c r="L125" s="903"/>
      <c r="N125" s="1092">
        <v>62</v>
      </c>
      <c r="O125" s="930">
        <f t="shared" si="7"/>
        <v>-14</v>
      </c>
    </row>
    <row r="126" spans="1:15">
      <c r="A126" s="1071" t="s">
        <v>234</v>
      </c>
      <c r="B126" s="953"/>
      <c r="C126" s="953"/>
      <c r="D126" s="923" t="s">
        <v>141</v>
      </c>
      <c r="E126" s="924">
        <f>'21'!F126</f>
        <v>59139</v>
      </c>
      <c r="F126" s="958">
        <v>59157</v>
      </c>
      <c r="G126" s="925">
        <f t="shared" si="16"/>
        <v>18</v>
      </c>
      <c r="H126" s="926">
        <f>G126+'21'!H126</f>
        <v>765.30000000000291</v>
      </c>
      <c r="I126" s="1042"/>
      <c r="J126" s="928">
        <f>H126/DAY(B2)</f>
        <v>34.786363636363767</v>
      </c>
      <c r="K126" s="1024"/>
      <c r="L126" s="903"/>
      <c r="N126" s="1092">
        <v>0</v>
      </c>
      <c r="O126" s="930">
        <f t="shared" si="7"/>
        <v>-18</v>
      </c>
    </row>
    <row r="127" spans="1:15">
      <c r="A127" s="1071" t="s">
        <v>235</v>
      </c>
      <c r="B127" s="953"/>
      <c r="C127" s="953"/>
      <c r="D127" s="923" t="s">
        <v>141</v>
      </c>
      <c r="E127" s="924">
        <f>'21'!F127</f>
        <v>8876</v>
      </c>
      <c r="F127" s="958">
        <v>8878</v>
      </c>
      <c r="G127" s="925">
        <f t="shared" si="16"/>
        <v>2</v>
      </c>
      <c r="H127" s="926">
        <f>G127+'21'!H127</f>
        <v>62</v>
      </c>
      <c r="I127" s="945"/>
      <c r="J127" s="928">
        <f>H127/DAY(B2)</f>
        <v>2.8181818181818183</v>
      </c>
      <c r="K127" s="1024"/>
      <c r="L127" s="903"/>
      <c r="N127" s="1092">
        <v>0</v>
      </c>
      <c r="O127" s="930">
        <f t="shared" si="7"/>
        <v>-2</v>
      </c>
    </row>
    <row r="128" spans="1:1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587</v>
      </c>
      <c r="H128" s="926">
        <f>G128+'21'!H128</f>
        <v>4006.5099999998529</v>
      </c>
      <c r="I128" s="945"/>
      <c r="J128" s="928">
        <f>H128/DAY(B2)</f>
        <v>182.11409090908421</v>
      </c>
      <c r="K128" s="1024"/>
      <c r="L128" s="903"/>
      <c r="N128" s="1092">
        <v>336.61999999987893</v>
      </c>
      <c r="O128" s="930">
        <f t="shared" si="7"/>
        <v>-250.38000000012107</v>
      </c>
    </row>
    <row r="129" spans="1:1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>
      <c r="A130" s="952" t="s">
        <v>238</v>
      </c>
      <c r="B130" s="953"/>
      <c r="C130" s="953"/>
      <c r="D130" s="923" t="s">
        <v>239</v>
      </c>
      <c r="E130" s="924">
        <f>'21'!F130</f>
        <v>0</v>
      </c>
      <c r="F130" s="954">
        <v>0</v>
      </c>
      <c r="G130" s="925">
        <f t="shared" ref="G130:G140" si="17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>
      <c r="A131" s="952" t="s">
        <v>240</v>
      </c>
      <c r="B131" s="953"/>
      <c r="C131" s="953"/>
      <c r="D131" s="923" t="s">
        <v>239</v>
      </c>
      <c r="E131" s="924">
        <f>'21'!F131</f>
        <v>0</v>
      </c>
      <c r="F131" s="954">
        <v>0</v>
      </c>
      <c r="G131" s="925">
        <f t="shared" si="17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>
      <c r="A132" s="952" t="s">
        <v>241</v>
      </c>
      <c r="B132" s="953"/>
      <c r="C132" s="953"/>
      <c r="D132" s="923" t="s">
        <v>239</v>
      </c>
      <c r="E132" s="924">
        <f>'21'!F132</f>
        <v>38829.480000000003</v>
      </c>
      <c r="F132" s="1075">
        <v>38829.480000000003</v>
      </c>
      <c r="G132" s="925">
        <f t="shared" si="17"/>
        <v>0</v>
      </c>
      <c r="H132" s="926">
        <f>G132+'21'!H132</f>
        <v>111.08999999999651</v>
      </c>
      <c r="I132" s="945"/>
      <c r="J132" s="928">
        <f>H132/DAY(B2)</f>
        <v>5.0495454545452958</v>
      </c>
      <c r="N132" s="1092">
        <v>0</v>
      </c>
      <c r="O132" s="930">
        <f t="shared" si="7"/>
        <v>0</v>
      </c>
    </row>
    <row r="133" spans="1:15">
      <c r="A133" s="952" t="s">
        <v>242</v>
      </c>
      <c r="B133" s="953"/>
      <c r="C133" s="953"/>
      <c r="D133" s="923" t="s">
        <v>239</v>
      </c>
      <c r="E133" s="924">
        <f>'21'!F133</f>
        <v>299.52</v>
      </c>
      <c r="F133" s="1075">
        <v>299.52</v>
      </c>
      <c r="G133" s="925">
        <f t="shared" si="17"/>
        <v>0</v>
      </c>
      <c r="H133" s="926">
        <f>G133+'21'!H133</f>
        <v>0.51999999999998181</v>
      </c>
      <c r="I133" s="945">
        <f>G130+G131+G132+G133</f>
        <v>0</v>
      </c>
      <c r="J133" s="928">
        <f>H133/DAY(B2)</f>
        <v>2.363636363636281E-2</v>
      </c>
      <c r="N133" s="1092">
        <v>24.040000000000873</v>
      </c>
      <c r="O133" s="930">
        <f t="shared" si="7"/>
        <v>24.040000000000873</v>
      </c>
    </row>
    <row r="134" spans="1:15">
      <c r="A134" s="952" t="s">
        <v>243</v>
      </c>
      <c r="B134" s="953"/>
      <c r="C134" s="953"/>
      <c r="D134" s="923" t="s">
        <v>239</v>
      </c>
      <c r="E134" s="924">
        <f>'21'!F134</f>
        <v>40260.519999999997</v>
      </c>
      <c r="F134" s="1075">
        <v>40260.519999999997</v>
      </c>
      <c r="G134" s="925">
        <f t="shared" si="17"/>
        <v>0</v>
      </c>
      <c r="H134" s="926">
        <f>G134+'21'!H134</f>
        <v>309.5199999999968</v>
      </c>
      <c r="I134" s="945"/>
      <c r="J134" s="928">
        <f>H134/DAY(B2)</f>
        <v>14.069090909090763</v>
      </c>
      <c r="N134" s="1092">
        <v>0</v>
      </c>
      <c r="O134" s="930">
        <f t="shared" si="7"/>
        <v>0</v>
      </c>
    </row>
    <row r="135" spans="1:15">
      <c r="A135" s="952" t="s">
        <v>244</v>
      </c>
      <c r="B135" s="953"/>
      <c r="C135" s="953"/>
      <c r="D135" s="923" t="s">
        <v>239</v>
      </c>
      <c r="E135" s="924">
        <f>'21'!F135</f>
        <v>32506</v>
      </c>
      <c r="F135" s="1075">
        <v>32530</v>
      </c>
      <c r="G135" s="925">
        <f t="shared" si="17"/>
        <v>24</v>
      </c>
      <c r="H135" s="926">
        <f>G135+'21'!H135</f>
        <v>107</v>
      </c>
      <c r="I135" s="945"/>
      <c r="J135" s="928">
        <f>H135/DAY(B2)</f>
        <v>4.8636363636363633</v>
      </c>
      <c r="N135" s="1092">
        <v>0</v>
      </c>
      <c r="O135" s="930">
        <f t="shared" si="7"/>
        <v>-24</v>
      </c>
    </row>
    <row r="136" spans="1:15">
      <c r="A136" s="952" t="s">
        <v>245</v>
      </c>
      <c r="B136" s="953"/>
      <c r="C136" s="953"/>
      <c r="D136" s="923" t="s">
        <v>239</v>
      </c>
      <c r="E136" s="924">
        <f>'21'!F136</f>
        <v>22163</v>
      </c>
      <c r="F136" s="1075">
        <v>22173.49</v>
      </c>
      <c r="G136" s="925">
        <f t="shared" si="17"/>
        <v>10.490000000001601</v>
      </c>
      <c r="H136" s="926">
        <f>G136+'21'!H136</f>
        <v>171.53000000000247</v>
      </c>
      <c r="I136" s="945">
        <f>G134+G135+G136</f>
        <v>34.490000000001601</v>
      </c>
      <c r="J136" s="928">
        <f>H136/DAY(B2)</f>
        <v>7.7968181818182947</v>
      </c>
      <c r="N136" s="1092">
        <v>0</v>
      </c>
      <c r="O136" s="930">
        <f t="shared" ref="O136:O154" si="18">N136-G136</f>
        <v>-10.490000000001601</v>
      </c>
    </row>
    <row r="137" spans="1:15">
      <c r="A137" s="952" t="s">
        <v>246</v>
      </c>
      <c r="B137" s="953"/>
      <c r="C137" s="953"/>
      <c r="D137" s="923" t="s">
        <v>239</v>
      </c>
      <c r="E137" s="924">
        <f>'21'!F137</f>
        <v>25036.560000000001</v>
      </c>
      <c r="F137" s="1075">
        <v>25036.560000000001</v>
      </c>
      <c r="G137" s="925">
        <f t="shared" si="17"/>
        <v>0</v>
      </c>
      <c r="H137" s="926">
        <f>G137+'21'!H137</f>
        <v>16.620000000002619</v>
      </c>
      <c r="I137" s="945"/>
      <c r="J137" s="928">
        <f>H137/DAY(B2)</f>
        <v>0.75545454545466451</v>
      </c>
      <c r="N137" s="1092">
        <v>7.2299999999995634</v>
      </c>
      <c r="O137" s="930">
        <f t="shared" si="18"/>
        <v>7.2299999999995634</v>
      </c>
    </row>
    <row r="138" spans="1:15">
      <c r="A138" s="952" t="s">
        <v>247</v>
      </c>
      <c r="B138" s="953"/>
      <c r="C138" s="953"/>
      <c r="D138" s="923" t="s">
        <v>239</v>
      </c>
      <c r="E138" s="924">
        <f>'21'!F138</f>
        <v>70120.179999999993</v>
      </c>
      <c r="F138" s="1075">
        <v>70124.91</v>
      </c>
      <c r="G138" s="925">
        <f t="shared" si="17"/>
        <v>4.7300000000104774</v>
      </c>
      <c r="H138" s="926">
        <f>G138+'21'!H138</f>
        <v>61.020000000004075</v>
      </c>
      <c r="I138" s="945">
        <f>G137+G138</f>
        <v>4.7300000000104774</v>
      </c>
      <c r="J138" s="928">
        <f>H138/DAY(B2)</f>
        <v>2.7736363636365486</v>
      </c>
      <c r="N138" s="1092">
        <v>0</v>
      </c>
      <c r="O138" s="930">
        <f t="shared" si="18"/>
        <v>-4.7300000000104774</v>
      </c>
    </row>
    <row r="139" spans="1:15">
      <c r="A139" s="952" t="s">
        <v>248</v>
      </c>
      <c r="B139" s="953"/>
      <c r="C139" s="953"/>
      <c r="D139" s="923" t="s">
        <v>239</v>
      </c>
      <c r="E139" s="924">
        <f>'21'!F139</f>
        <v>1370.98</v>
      </c>
      <c r="F139" s="954">
        <v>1378.28</v>
      </c>
      <c r="G139" s="925">
        <f t="shared" si="17"/>
        <v>7.2999999999999545</v>
      </c>
      <c r="H139" s="926">
        <f>G139+'21'!H139</f>
        <v>177.69000000000005</v>
      </c>
      <c r="I139" s="1076"/>
      <c r="J139" s="928">
        <f>H139/DAY(B2)</f>
        <v>8.0768181818181848</v>
      </c>
      <c r="N139" s="1092">
        <v>0</v>
      </c>
      <c r="O139" s="930">
        <f t="shared" si="18"/>
        <v>-7.2999999999999545</v>
      </c>
    </row>
    <row r="140" spans="1:15">
      <c r="A140" s="952" t="s">
        <v>249</v>
      </c>
      <c r="B140" s="953"/>
      <c r="C140" s="953"/>
      <c r="D140" s="923" t="s">
        <v>239</v>
      </c>
      <c r="E140" s="924">
        <f>'21'!F140</f>
        <v>4333.53</v>
      </c>
      <c r="F140" s="954">
        <v>4333.53</v>
      </c>
      <c r="G140" s="925">
        <f t="shared" si="17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18"/>
        <v>3.3299999999999272</v>
      </c>
    </row>
    <row r="141" spans="1:15">
      <c r="A141" s="1573" t="s">
        <v>250</v>
      </c>
      <c r="B141" s="1574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18"/>
        <v>0</v>
      </c>
    </row>
    <row r="142" spans="1:15">
      <c r="A142" s="1541" t="s">
        <v>251</v>
      </c>
      <c r="B142" s="1542"/>
      <c r="C142" s="1543"/>
      <c r="D142" s="923" t="s">
        <v>132</v>
      </c>
      <c r="E142" s="923"/>
      <c r="F142" s="923"/>
      <c r="G142" s="926">
        <f>G35+G43+G49+G57</f>
        <v>5145</v>
      </c>
      <c r="H142" s="926">
        <f>G142+'21'!H142</f>
        <v>109988.93</v>
      </c>
      <c r="I142" s="945"/>
      <c r="J142" s="928">
        <f>H142/DAY(B2)</f>
        <v>4999.4968181818176</v>
      </c>
      <c r="K142" s="1024"/>
      <c r="L142" s="903"/>
      <c r="N142" s="1092">
        <v>3116.0800000000163</v>
      </c>
      <c r="O142" s="930">
        <f t="shared" si="18"/>
        <v>-2028.9199999999837</v>
      </c>
    </row>
    <row r="143" spans="1:15">
      <c r="A143" s="1541" t="s">
        <v>252</v>
      </c>
      <c r="B143" s="1542"/>
      <c r="C143" s="1543"/>
      <c r="D143" s="923" t="s">
        <v>24</v>
      </c>
      <c r="E143" s="910"/>
      <c r="F143" s="910"/>
      <c r="G143" s="1077">
        <f>G142/G7</f>
        <v>0.25381086280893889</v>
      </c>
      <c r="H143" s="926">
        <f>G143+'21'!H143</f>
        <v>5.4607362748304364</v>
      </c>
      <c r="I143" s="1078"/>
      <c r="J143" s="928">
        <f>H143/DAY(B2)</f>
        <v>0.24821528521956529</v>
      </c>
      <c r="K143" s="1024"/>
      <c r="L143" s="903"/>
      <c r="N143" s="1092">
        <v>0.24942607860401955</v>
      </c>
      <c r="O143" s="930">
        <f t="shared" si="18"/>
        <v>-4.3847842049193342E-3</v>
      </c>
    </row>
    <row r="144" spans="1:15">
      <c r="A144" s="1541" t="s">
        <v>253</v>
      </c>
      <c r="B144" s="1542"/>
      <c r="C144" s="1543"/>
      <c r="D144" s="923" t="s">
        <v>132</v>
      </c>
      <c r="E144" s="924"/>
      <c r="F144" s="924"/>
      <c r="G144" s="926">
        <f>G41+G42+G55+G56</f>
        <v>4684</v>
      </c>
      <c r="H144" s="926">
        <f>G144+'21'!H144</f>
        <v>94215.989999999962</v>
      </c>
      <c r="I144" s="945"/>
      <c r="J144" s="928">
        <f>H144/DAY(B2)</f>
        <v>4282.5449999999983</v>
      </c>
      <c r="K144" s="1024"/>
      <c r="L144" s="903"/>
      <c r="N144" s="1092">
        <v>3271.0800000000127</v>
      </c>
      <c r="O144" s="930">
        <f t="shared" si="18"/>
        <v>-1412.9199999999873</v>
      </c>
    </row>
    <row r="145" spans="1:15">
      <c r="A145" s="1541" t="s">
        <v>254</v>
      </c>
      <c r="B145" s="1542"/>
      <c r="C145" s="1543"/>
      <c r="D145" s="923" t="s">
        <v>24</v>
      </c>
      <c r="E145" s="924"/>
      <c r="F145" s="924"/>
      <c r="G145" s="1077">
        <f>G144/G7</f>
        <v>0.23106901484879877</v>
      </c>
      <c r="H145" s="926">
        <f>G145+'21'!H145</f>
        <v>4.8168933651857433</v>
      </c>
      <c r="I145" s="1078"/>
      <c r="J145" s="928">
        <f>H145/DAY(B2)</f>
        <v>0.21894969841753378</v>
      </c>
      <c r="K145" s="1024"/>
      <c r="L145" s="903"/>
      <c r="N145" s="1092">
        <v>0.26183302649483814</v>
      </c>
      <c r="O145" s="930">
        <f t="shared" si="18"/>
        <v>3.0764011646039369E-2</v>
      </c>
    </row>
    <row r="146" spans="1:15">
      <c r="A146" s="1541" t="s">
        <v>255</v>
      </c>
      <c r="B146" s="1542"/>
      <c r="C146" s="1543"/>
      <c r="D146" s="923" t="s">
        <v>132</v>
      </c>
      <c r="E146" s="924"/>
      <c r="F146" s="924"/>
      <c r="G146" s="926">
        <f>G39+G53</f>
        <v>4115</v>
      </c>
      <c r="H146" s="926">
        <f>G146+'21'!H146</f>
        <v>93151.729999999967</v>
      </c>
      <c r="I146" s="1079"/>
      <c r="J146" s="928">
        <f>H146/DAY(B2)</f>
        <v>4234.1695454545443</v>
      </c>
      <c r="K146" s="1024"/>
      <c r="L146" s="903"/>
      <c r="N146" s="1092">
        <v>2151.6400000000085</v>
      </c>
      <c r="O146" s="930">
        <f t="shared" si="18"/>
        <v>-1963.3599999999915</v>
      </c>
    </row>
    <row r="147" spans="1:15">
      <c r="A147" s="1541" t="s">
        <v>256</v>
      </c>
      <c r="B147" s="1542"/>
      <c r="C147" s="1543"/>
      <c r="D147" s="923" t="s">
        <v>24</v>
      </c>
      <c r="E147" s="924"/>
      <c r="F147" s="924"/>
      <c r="G147" s="1077">
        <f>G146/G7</f>
        <v>0.20299935868975383</v>
      </c>
      <c r="H147" s="926">
        <f>G147+'21'!H147</f>
        <v>4.7924068664847228</v>
      </c>
      <c r="I147" s="1079"/>
      <c r="J147" s="928">
        <f>H147/DAY(B2)</f>
        <v>0.21783667574930557</v>
      </c>
      <c r="N147" s="1092">
        <v>0.17222764748259092</v>
      </c>
      <c r="O147" s="930">
        <f t="shared" si="18"/>
        <v>-3.0771711207162905E-2</v>
      </c>
    </row>
    <row r="148" spans="1:15">
      <c r="A148" s="1541" t="s">
        <v>257</v>
      </c>
      <c r="B148" s="1542"/>
      <c r="C148" s="1543"/>
      <c r="D148" s="923" t="s">
        <v>183</v>
      </c>
      <c r="E148" s="924"/>
      <c r="F148" s="924"/>
      <c r="G148" s="926">
        <f>G38+G52</f>
        <v>2080</v>
      </c>
      <c r="H148" s="926">
        <f>G148+'21'!H148</f>
        <v>45253.450000000012</v>
      </c>
      <c r="I148" s="945"/>
      <c r="J148" s="928">
        <f>H148/DAY(B2)</f>
        <v>2056.9750000000004</v>
      </c>
      <c r="K148" s="1080"/>
      <c r="N148" s="1092">
        <v>1058.2600000000093</v>
      </c>
      <c r="O148" s="930">
        <f t="shared" si="18"/>
        <v>-1021.7399999999907</v>
      </c>
    </row>
    <row r="149" spans="1:15">
      <c r="A149" s="1541" t="s">
        <v>258</v>
      </c>
      <c r="B149" s="1542"/>
      <c r="C149" s="1543"/>
      <c r="D149" s="923" t="s">
        <v>24</v>
      </c>
      <c r="E149" s="924"/>
      <c r="F149" s="924"/>
      <c r="G149" s="1077">
        <f>G148/G7</f>
        <v>0.10260963938631543</v>
      </c>
      <c r="H149" s="926">
        <f>G149+'21'!H149</f>
        <v>2.3235118264979362</v>
      </c>
      <c r="I149" s="1079"/>
      <c r="J149" s="928">
        <f>H149/DAY(B2)</f>
        <v>0.10561417393172437</v>
      </c>
      <c r="N149" s="1092">
        <v>8.4708236612503748E-2</v>
      </c>
      <c r="O149" s="930">
        <f t="shared" si="18"/>
        <v>-1.7901402773811678E-2</v>
      </c>
    </row>
    <row r="150" spans="1:15">
      <c r="A150" s="1541" t="s">
        <v>259</v>
      </c>
      <c r="B150" s="1542"/>
      <c r="C150" s="1543"/>
      <c r="D150" s="923" t="s">
        <v>183</v>
      </c>
      <c r="E150" s="924"/>
      <c r="F150" s="924"/>
      <c r="G150" s="926">
        <f>G36+G50</f>
        <v>1925</v>
      </c>
      <c r="H150" s="926">
        <f>G150+'21'!H150</f>
        <v>41856.239999999991</v>
      </c>
      <c r="I150" s="1079"/>
      <c r="J150" s="928">
        <f>H150/DAY(B2)</f>
        <v>1902.5563636363631</v>
      </c>
      <c r="N150" s="1092">
        <v>1278.2299999999814</v>
      </c>
      <c r="O150" s="930">
        <f t="shared" si="18"/>
        <v>-646.77000000001863</v>
      </c>
    </row>
    <row r="151" spans="1:15">
      <c r="A151" s="1541" t="s">
        <v>260</v>
      </c>
      <c r="B151" s="1542"/>
      <c r="C151" s="1543"/>
      <c r="D151" s="923" t="s">
        <v>24</v>
      </c>
      <c r="E151" s="924"/>
      <c r="F151" s="924"/>
      <c r="G151" s="1077">
        <f>G150/G7</f>
        <v>9.4963247989739041E-2</v>
      </c>
      <c r="H151" s="926">
        <f>G151+'21'!H151</f>
        <v>2.1397032312309126</v>
      </c>
      <c r="I151" s="945"/>
      <c r="J151" s="928">
        <f>H151/DAY(B2)</f>
        <v>9.7259237783223304E-2</v>
      </c>
      <c r="N151" s="1092">
        <v>0.10231569679020103</v>
      </c>
      <c r="O151" s="930">
        <f t="shared" si="18"/>
        <v>7.3524488004619859E-3</v>
      </c>
    </row>
    <row r="152" spans="1:15">
      <c r="A152" s="1541" t="s">
        <v>261</v>
      </c>
      <c r="B152" s="1542"/>
      <c r="C152" s="1543"/>
      <c r="D152" s="923" t="s">
        <v>183</v>
      </c>
      <c r="E152" s="924"/>
      <c r="F152" s="924"/>
      <c r="G152" s="926">
        <f>G37+G51</f>
        <v>1467</v>
      </c>
      <c r="H152" s="926">
        <f>G152+'21'!H152</f>
        <v>33156.259999999995</v>
      </c>
      <c r="I152" s="945"/>
      <c r="J152" s="928">
        <f>H152/DAY(B2)</f>
        <v>1507.102727272727</v>
      </c>
      <c r="N152" s="1092">
        <v>1215.359999999986</v>
      </c>
      <c r="O152" s="930">
        <f t="shared" si="18"/>
        <v>-251.64000000001397</v>
      </c>
    </row>
    <row r="153" spans="1:15" ht="21" thickBot="1">
      <c r="A153" s="1584" t="s">
        <v>262</v>
      </c>
      <c r="B153" s="1585"/>
      <c r="C153" s="1586"/>
      <c r="D153" s="1081" t="s">
        <v>24</v>
      </c>
      <c r="E153" s="1082"/>
      <c r="F153" s="1082"/>
      <c r="G153" s="1083">
        <f>G152/G7</f>
        <v>7.236939470179074E-2</v>
      </c>
      <c r="H153" s="926">
        <f>G153+'21'!H153</f>
        <v>1.7106104316483746</v>
      </c>
      <c r="I153" s="1084"/>
      <c r="J153" s="1085">
        <f>H153/DAY(B2)</f>
        <v>7.7755019620380658E-2</v>
      </c>
      <c r="N153" s="1092">
        <v>9.7283278636035059E-2</v>
      </c>
      <c r="O153" s="930">
        <f t="shared" si="18"/>
        <v>2.4913883934244319E-2</v>
      </c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18"/>
        <v>0</v>
      </c>
    </row>
    <row r="160" spans="1:15">
      <c r="A160" s="1076" t="s">
        <v>263</v>
      </c>
      <c r="B160" s="1076"/>
      <c r="C160" s="1076"/>
      <c r="D160" s="910" t="s">
        <v>187</v>
      </c>
      <c r="E160" s="924">
        <f>'21'!F160</f>
        <v>30199</v>
      </c>
      <c r="F160" s="1100">
        <v>30284</v>
      </c>
      <c r="G160" s="925">
        <f t="shared" ref="G160:G163" si="19">F160-E160</f>
        <v>85</v>
      </c>
      <c r="H160" s="1090">
        <v>68.809999999999491</v>
      </c>
      <c r="N160" s="1092">
        <v>68.809999999999491</v>
      </c>
    </row>
    <row r="161" spans="1:14">
      <c r="A161" s="1076" t="s">
        <v>264</v>
      </c>
      <c r="B161" s="1076"/>
      <c r="C161" s="1076"/>
      <c r="D161" s="910" t="s">
        <v>187</v>
      </c>
      <c r="E161" s="924">
        <f>'21'!F161</f>
        <v>51963</v>
      </c>
      <c r="F161" s="1100">
        <v>52415</v>
      </c>
      <c r="G161" s="925">
        <f t="shared" si="19"/>
        <v>452</v>
      </c>
      <c r="H161" s="1090">
        <v>128.56999999999994</v>
      </c>
      <c r="N161" s="1092">
        <v>128.56999999999994</v>
      </c>
    </row>
    <row r="162" spans="1:14">
      <c r="A162" s="1076" t="s">
        <v>265</v>
      </c>
      <c r="B162" s="1076"/>
      <c r="C162" s="1076"/>
      <c r="D162" s="910" t="s">
        <v>187</v>
      </c>
      <c r="E162" s="924">
        <f>'21'!F162</f>
        <v>18691</v>
      </c>
      <c r="F162" s="1100">
        <v>18925</v>
      </c>
      <c r="G162" s="925">
        <f t="shared" si="19"/>
        <v>234</v>
      </c>
      <c r="H162" s="1090">
        <v>141.49</v>
      </c>
      <c r="N162" s="1092">
        <v>141.49</v>
      </c>
    </row>
    <row r="163" spans="1:14">
      <c r="A163" s="1076" t="s">
        <v>266</v>
      </c>
      <c r="B163" s="1076"/>
      <c r="C163" s="1076"/>
      <c r="D163" s="910" t="s">
        <v>187</v>
      </c>
      <c r="E163" s="924">
        <f>'21'!F163</f>
        <v>5298</v>
      </c>
      <c r="F163" s="1100">
        <v>5315</v>
      </c>
      <c r="G163" s="925">
        <f t="shared" si="19"/>
        <v>17</v>
      </c>
      <c r="H163" s="1090">
        <v>45.430000000000007</v>
      </c>
      <c r="N163" s="1092">
        <v>45.430000000000007</v>
      </c>
    </row>
    <row r="164" spans="1:14">
      <c r="A164" s="1006" t="s">
        <v>98</v>
      </c>
      <c r="B164" s="1006"/>
      <c r="C164" s="1006"/>
      <c r="D164" s="910" t="s">
        <v>187</v>
      </c>
      <c r="E164" s="1007">
        <f>E62</f>
        <v>20419.2</v>
      </c>
      <c r="F164" s="1007" t="s">
        <v>215</v>
      </c>
      <c r="G164" s="925" t="e">
        <f t="shared" ref="G164:G171" si="20">F164-E164</f>
        <v>#VALUE!</v>
      </c>
      <c r="H164" s="1090">
        <v>0</v>
      </c>
      <c r="N164" s="1092">
        <v>0</v>
      </c>
    </row>
    <row r="165" spans="1:14">
      <c r="A165" s="1006" t="s">
        <v>188</v>
      </c>
      <c r="B165" s="1006"/>
      <c r="C165" s="1006"/>
      <c r="D165" s="910" t="s">
        <v>187</v>
      </c>
      <c r="E165" s="1007">
        <f t="shared" ref="E165:E171" si="21">E63</f>
        <v>1611</v>
      </c>
      <c r="F165" s="1007">
        <f t="shared" ref="F165:F171" si="22">F63</f>
        <v>1624</v>
      </c>
      <c r="G165" s="925">
        <f t="shared" si="20"/>
        <v>13</v>
      </c>
      <c r="H165" s="1090">
        <v>0</v>
      </c>
      <c r="N165" s="1092">
        <v>0</v>
      </c>
    </row>
    <row r="166" spans="1:14">
      <c r="A166" s="1593" t="s">
        <v>99</v>
      </c>
      <c r="B166" s="1593"/>
      <c r="C166" s="1593"/>
      <c r="D166" s="923" t="s">
        <v>187</v>
      </c>
      <c r="E166" s="1007">
        <f t="shared" si="21"/>
        <v>120038</v>
      </c>
      <c r="F166" s="1007">
        <f t="shared" si="22"/>
        <v>120508</v>
      </c>
      <c r="G166" s="925">
        <f t="shared" si="20"/>
        <v>470</v>
      </c>
      <c r="H166" s="1090">
        <v>178.5199999999968</v>
      </c>
      <c r="N166" s="1092">
        <v>178.5199999999968</v>
      </c>
    </row>
    <row r="167" spans="1:14">
      <c r="A167" s="1593" t="s">
        <v>100</v>
      </c>
      <c r="B167" s="1593"/>
      <c r="C167" s="1593"/>
      <c r="D167" s="923" t="s">
        <v>187</v>
      </c>
      <c r="E167" s="1007">
        <f t="shared" si="21"/>
        <v>129852</v>
      </c>
      <c r="F167" s="1007">
        <f t="shared" si="22"/>
        <v>130228</v>
      </c>
      <c r="G167" s="925">
        <f t="shared" si="20"/>
        <v>376</v>
      </c>
      <c r="H167" s="1090">
        <v>198.38999999999942</v>
      </c>
      <c r="N167" s="1092">
        <v>198.38999999999942</v>
      </c>
    </row>
    <row r="168" spans="1:14">
      <c r="A168" s="1593" t="s">
        <v>101</v>
      </c>
      <c r="B168" s="1593"/>
      <c r="C168" s="1593"/>
      <c r="D168" s="923" t="s">
        <v>187</v>
      </c>
      <c r="E168" s="1007">
        <f t="shared" si="21"/>
        <v>22440</v>
      </c>
      <c r="F168" s="1007">
        <f t="shared" si="22"/>
        <v>22819</v>
      </c>
      <c r="G168" s="925">
        <f t="shared" si="20"/>
        <v>379</v>
      </c>
      <c r="H168" s="1090">
        <v>226.35000000000582</v>
      </c>
      <c r="N168" s="1092">
        <v>226.35000000000582</v>
      </c>
    </row>
    <row r="169" spans="1:14">
      <c r="A169" s="1593" t="s">
        <v>102</v>
      </c>
      <c r="B169" s="1593"/>
      <c r="C169" s="1593"/>
      <c r="D169" s="923" t="s">
        <v>187</v>
      </c>
      <c r="E169" s="1007">
        <f t="shared" si="21"/>
        <v>203311</v>
      </c>
      <c r="F169" s="1007">
        <f t="shared" si="22"/>
        <v>203982</v>
      </c>
      <c r="G169" s="925">
        <f t="shared" si="20"/>
        <v>671</v>
      </c>
      <c r="H169" s="1090">
        <v>312.47000000000116</v>
      </c>
      <c r="N169" s="1092">
        <v>312.47000000000116</v>
      </c>
    </row>
    <row r="170" spans="1:14">
      <c r="A170" s="1593" t="s">
        <v>103</v>
      </c>
      <c r="B170" s="1593"/>
      <c r="C170" s="1593"/>
      <c r="D170" s="923" t="s">
        <v>187</v>
      </c>
      <c r="E170" s="1007">
        <f t="shared" si="21"/>
        <v>70485</v>
      </c>
      <c r="F170" s="1007">
        <f t="shared" si="22"/>
        <v>70793</v>
      </c>
      <c r="G170" s="925">
        <f t="shared" si="20"/>
        <v>308</v>
      </c>
      <c r="H170" s="1090">
        <v>142.1200000000008</v>
      </c>
      <c r="N170" s="1092">
        <v>142.1200000000008</v>
      </c>
    </row>
    <row r="171" spans="1:14">
      <c r="A171" s="1593" t="s">
        <v>104</v>
      </c>
      <c r="B171" s="1593"/>
      <c r="C171" s="1593"/>
      <c r="D171" s="923" t="s">
        <v>187</v>
      </c>
      <c r="E171" s="1007">
        <f t="shared" si="21"/>
        <v>62157</v>
      </c>
      <c r="F171" s="1007">
        <f t="shared" si="22"/>
        <v>62487</v>
      </c>
      <c r="G171" s="925">
        <f t="shared" si="20"/>
        <v>330</v>
      </c>
      <c r="H171" s="1090">
        <v>12.869999999998981</v>
      </c>
      <c r="N171" s="1092">
        <v>12.869999999998981</v>
      </c>
    </row>
    <row r="172" spans="1:14">
      <c r="G172" s="1091" t="e">
        <f>SUM(G160:G171)</f>
        <v>#VALUE!</v>
      </c>
      <c r="N172" s="1092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5" zoomScale="70" zoomScaleNormal="80" zoomScaleSheetLayoutView="70" workbookViewId="0">
      <selection activeCell="F105" sqref="F105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3" t="s">
        <v>117</v>
      </c>
      <c r="B1" s="1554"/>
      <c r="C1" s="1554"/>
      <c r="D1" s="1554"/>
      <c r="E1" s="1554"/>
      <c r="F1" s="1554"/>
      <c r="G1" s="1554"/>
      <c r="H1" s="1554"/>
      <c r="I1" s="1554"/>
      <c r="J1" s="1555"/>
      <c r="K1" s="890">
        <v>10002.799999999999</v>
      </c>
    </row>
    <row r="2" spans="1:15">
      <c r="A2" s="891" t="s">
        <v>320</v>
      </c>
      <c r="B2" s="1164">
        <v>44250</v>
      </c>
      <c r="C2" s="892" t="s">
        <v>69</v>
      </c>
      <c r="D2" s="893">
        <v>0.57999999999999996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>
      <c r="A3" s="896"/>
      <c r="B3" s="897"/>
      <c r="C3" s="892" t="s">
        <v>120</v>
      </c>
      <c r="D3" s="898">
        <v>30</v>
      </c>
      <c r="E3" s="1556" t="s">
        <v>121</v>
      </c>
      <c r="F3" s="1557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122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>
      <c r="A6" s="1550" t="s">
        <v>130</v>
      </c>
      <c r="B6" s="1551"/>
      <c r="C6" s="1552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131</v>
      </c>
      <c r="B7" s="922"/>
      <c r="C7" s="922"/>
      <c r="D7" s="923" t="s">
        <v>132</v>
      </c>
      <c r="E7" s="924">
        <f>'22'!F7</f>
        <v>4317694</v>
      </c>
      <c r="F7" s="924">
        <v>4338967</v>
      </c>
      <c r="G7" s="925">
        <f>F7-E7</f>
        <v>21273</v>
      </c>
      <c r="H7" s="926">
        <f>G7+'22'!H7</f>
        <v>450769</v>
      </c>
      <c r="I7" s="927">
        <f>'1'!I7</f>
        <v>12000</v>
      </c>
      <c r="J7" s="928">
        <f>H7/DAY(B2)</f>
        <v>19598.652173913044</v>
      </c>
      <c r="K7" s="929"/>
      <c r="L7" s="903"/>
      <c r="O7" s="930"/>
    </row>
    <row r="8" spans="1:15" ht="21" thickBot="1">
      <c r="A8" s="931" t="s">
        <v>133</v>
      </c>
      <c r="B8" s="932"/>
      <c r="C8" s="933"/>
      <c r="D8" s="934" t="s">
        <v>25</v>
      </c>
      <c r="E8" s="924">
        <f>'22'!F8</f>
        <v>4345081</v>
      </c>
      <c r="F8" s="935">
        <v>4366485</v>
      </c>
      <c r="G8" s="936">
        <f>F8-E8</f>
        <v>21404</v>
      </c>
      <c r="H8" s="926">
        <f>G8+'22'!H8</f>
        <v>453634</v>
      </c>
      <c r="I8" s="937">
        <f>'1'!I8</f>
        <v>12000</v>
      </c>
      <c r="J8" s="928">
        <f>H8/DAY(B2)</f>
        <v>19723.217391304348</v>
      </c>
      <c r="K8" s="929"/>
      <c r="L8" s="938"/>
      <c r="M8" s="939"/>
      <c r="O8" s="930"/>
    </row>
    <row r="9" spans="1:15">
      <c r="A9" s="940" t="s">
        <v>134</v>
      </c>
      <c r="B9" s="941"/>
      <c r="C9" s="941"/>
      <c r="D9" s="923" t="s">
        <v>132</v>
      </c>
      <c r="E9" s="924">
        <v>2878</v>
      </c>
      <c r="F9" s="942">
        <v>16762</v>
      </c>
      <c r="G9" s="925">
        <f t="shared" ref="G9:G12" si="0">F9-E9</f>
        <v>13884</v>
      </c>
      <c r="H9" s="926">
        <f>G9+'22'!H9</f>
        <v>253301.25</v>
      </c>
      <c r="I9" s="943">
        <f>I8-J8</f>
        <v>-7723.217391304348</v>
      </c>
      <c r="J9" s="928">
        <f>H9/DAY(B2)</f>
        <v>11013.097826086956</v>
      </c>
      <c r="K9" s="944"/>
      <c r="L9" s="903"/>
      <c r="O9" s="930"/>
    </row>
    <row r="10" spans="1:15">
      <c r="A10" s="921" t="s">
        <v>135</v>
      </c>
      <c r="B10" s="922"/>
      <c r="C10" s="922"/>
      <c r="D10" s="923" t="s">
        <v>132</v>
      </c>
      <c r="E10" s="924">
        <f>'22'!F10</f>
        <v>1376130</v>
      </c>
      <c r="F10" s="942">
        <v>1382944</v>
      </c>
      <c r="G10" s="925">
        <f t="shared" si="0"/>
        <v>6814</v>
      </c>
      <c r="H10" s="926">
        <f>G10+'22'!H10</f>
        <v>182069.60000000009</v>
      </c>
      <c r="I10" s="945"/>
      <c r="J10" s="928">
        <f>H10/DAY(B2)</f>
        <v>7916.0695652173954</v>
      </c>
      <c r="K10" s="944"/>
      <c r="L10" s="903"/>
      <c r="O10" s="930"/>
    </row>
    <row r="11" spans="1:15">
      <c r="A11" s="921" t="s">
        <v>136</v>
      </c>
      <c r="B11" s="922"/>
      <c r="C11" s="922"/>
      <c r="D11" s="923" t="s">
        <v>132</v>
      </c>
      <c r="E11" s="924">
        <f>'22'!F11</f>
        <v>37000</v>
      </c>
      <c r="F11" s="924">
        <v>37000</v>
      </c>
      <c r="G11" s="925">
        <f t="shared" si="0"/>
        <v>0</v>
      </c>
      <c r="H11" s="926">
        <f>G11+'22'!H11</f>
        <v>1610</v>
      </c>
      <c r="I11" s="945"/>
      <c r="J11" s="928">
        <f>H11/DAY(B2)</f>
        <v>70</v>
      </c>
      <c r="K11" s="944"/>
      <c r="L11" s="903"/>
      <c r="O11" s="930"/>
    </row>
    <row r="12" spans="1:15">
      <c r="A12" s="921" t="s">
        <v>137</v>
      </c>
      <c r="B12" s="922"/>
      <c r="C12" s="922"/>
      <c r="D12" s="923" t="s">
        <v>132</v>
      </c>
      <c r="E12" s="924">
        <f>'22'!F12</f>
        <v>40010</v>
      </c>
      <c r="F12" s="942">
        <v>40010</v>
      </c>
      <c r="G12" s="925">
        <f t="shared" si="0"/>
        <v>0</v>
      </c>
      <c r="H12" s="926">
        <f>G12+'22'!H12</f>
        <v>2380</v>
      </c>
      <c r="I12" s="945"/>
      <c r="J12" s="928">
        <f>H12/DAY(B2)</f>
        <v>103.47826086956522</v>
      </c>
      <c r="K12" s="944"/>
      <c r="L12" s="903"/>
      <c r="O12" s="930"/>
    </row>
    <row r="13" spans="1:15">
      <c r="A13" s="946" t="s">
        <v>138</v>
      </c>
      <c r="B13" s="947"/>
      <c r="C13" s="947"/>
      <c r="D13" s="923"/>
      <c r="E13" s="924"/>
      <c r="F13" s="924"/>
      <c r="G13" s="948">
        <f>G9+G10+G11+G12</f>
        <v>20698</v>
      </c>
      <c r="H13" s="926">
        <f>G13+'22'!H13</f>
        <v>421054.85000000009</v>
      </c>
      <c r="I13" s="949">
        <f>G7-G13</f>
        <v>575</v>
      </c>
      <c r="J13" s="928">
        <f>H13/DAY(B2)</f>
        <v>18306.732608695656</v>
      </c>
      <c r="K13" s="944"/>
      <c r="L13" s="903"/>
      <c r="O13" s="930"/>
    </row>
    <row r="14" spans="1:15">
      <c r="A14" s="1544" t="s">
        <v>139</v>
      </c>
      <c r="B14" s="1545"/>
      <c r="C14" s="1546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140</v>
      </c>
      <c r="B15" s="953"/>
      <c r="C15" s="953"/>
      <c r="D15" s="923" t="s">
        <v>141</v>
      </c>
      <c r="E15" s="924">
        <f>'22'!F15</f>
        <v>1614396</v>
      </c>
      <c r="F15" s="1364">
        <v>1615368.81</v>
      </c>
      <c r="G15" s="1102">
        <f>(F15-E15)</f>
        <v>972.81000000005588</v>
      </c>
      <c r="H15" s="926">
        <f>G15+'22'!H15</f>
        <v>20931.660000000149</v>
      </c>
      <c r="I15" s="927">
        <f>'1'!I15</f>
        <v>800</v>
      </c>
      <c r="J15" s="928">
        <f>H15/DAY(B2)</f>
        <v>910.07217391304994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-110.07217391304994</v>
      </c>
      <c r="J16" s="961"/>
      <c r="K16" s="944"/>
      <c r="L16" s="903"/>
      <c r="O16" s="930"/>
    </row>
    <row r="17" spans="1:15">
      <c r="A17" s="1544" t="s">
        <v>142</v>
      </c>
      <c r="B17" s="1545"/>
      <c r="C17" s="1546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41" t="s">
        <v>143</v>
      </c>
      <c r="B18" s="1542"/>
      <c r="C18" s="1543"/>
      <c r="D18" s="923" t="s">
        <v>144</v>
      </c>
      <c r="E18" s="924">
        <f>'22'!F18</f>
        <v>15</v>
      </c>
      <c r="F18" s="954">
        <v>16</v>
      </c>
      <c r="G18" s="948">
        <f>F18*10</f>
        <v>160</v>
      </c>
      <c r="H18" s="926">
        <f>G18+'22'!H18</f>
        <v>3750</v>
      </c>
      <c r="I18" s="927">
        <f>'1'!I18</f>
        <v>65</v>
      </c>
      <c r="J18" s="928">
        <f>H18/DAY(B2)</f>
        <v>163.04347826086956</v>
      </c>
      <c r="K18" s="944"/>
      <c r="L18" s="903"/>
      <c r="O18" s="930"/>
    </row>
    <row r="19" spans="1:15">
      <c r="A19" s="1541" t="s">
        <v>71</v>
      </c>
      <c r="B19" s="1542"/>
      <c r="C19" s="1543"/>
      <c r="D19" s="923" t="s">
        <v>144</v>
      </c>
      <c r="E19" s="924">
        <f>'22'!F19</f>
        <v>134156</v>
      </c>
      <c r="F19" s="954">
        <v>134207</v>
      </c>
      <c r="G19" s="925">
        <f t="shared" ref="G19" si="1">F19-E19</f>
        <v>51</v>
      </c>
      <c r="H19" s="926">
        <f>G19+'22'!H19</f>
        <v>1159</v>
      </c>
      <c r="I19" s="927">
        <f>'1'!I19</f>
        <v>0</v>
      </c>
      <c r="J19" s="928">
        <f>H19/DAY(B2)</f>
        <v>50.391304347826086</v>
      </c>
      <c r="K19" s="944"/>
      <c r="L19" s="903"/>
      <c r="N19" s="1092">
        <v>126171</v>
      </c>
      <c r="O19" s="930"/>
    </row>
    <row r="20" spans="1:15">
      <c r="A20" s="946" t="s">
        <v>145</v>
      </c>
      <c r="B20" s="947"/>
      <c r="C20" s="947"/>
      <c r="D20" s="964"/>
      <c r="E20" s="964"/>
      <c r="F20" s="964"/>
      <c r="G20" s="965">
        <f>G18+G19</f>
        <v>211</v>
      </c>
      <c r="H20" s="926">
        <f>G20+'22'!H20</f>
        <v>4909</v>
      </c>
      <c r="I20" s="966">
        <f>I18-J20</f>
        <v>-148.43478260869566</v>
      </c>
      <c r="J20" s="928">
        <f>H20/DAY(B2)</f>
        <v>213.43478260869566</v>
      </c>
      <c r="K20" s="944"/>
      <c r="L20" s="903"/>
      <c r="N20" s="1092">
        <f>N19-F19</f>
        <v>-8036</v>
      </c>
      <c r="O20" s="930"/>
    </row>
    <row r="21" spans="1:15">
      <c r="A21" s="1544" t="s">
        <v>146</v>
      </c>
      <c r="B21" s="1545"/>
      <c r="C21" s="1546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147</v>
      </c>
      <c r="B22" s="953"/>
      <c r="C22" s="953"/>
      <c r="D22" s="923" t="s">
        <v>148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149</v>
      </c>
      <c r="B23" s="953"/>
      <c r="C23" s="953"/>
      <c r="D23" s="923" t="s">
        <v>148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150</v>
      </c>
      <c r="B24" s="968"/>
      <c r="C24" s="968"/>
      <c r="D24" s="910" t="s">
        <v>148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0" t="s">
        <v>151</v>
      </c>
      <c r="B25" s="1551"/>
      <c r="C25" s="1552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21404</v>
      </c>
      <c r="F27" s="577">
        <v>9</v>
      </c>
      <c r="G27" s="986">
        <f>E27*F27</f>
        <v>192636</v>
      </c>
      <c r="H27" s="926">
        <f>G27+'22'!H27</f>
        <v>4082706</v>
      </c>
      <c r="I27" s="987"/>
      <c r="J27" s="928">
        <f>H27/DAY(B2)</f>
        <v>177508.95652173914</v>
      </c>
      <c r="K27" s="944"/>
      <c r="L27" s="974"/>
      <c r="N27" s="1093"/>
      <c r="O27" s="930"/>
    </row>
    <row r="28" spans="1:15" s="975" customFormat="1" ht="22.5">
      <c r="A28" s="976" t="s">
        <v>154</v>
      </c>
      <c r="B28" s="977"/>
      <c r="C28" s="978"/>
      <c r="D28" s="983" t="s">
        <v>155</v>
      </c>
      <c r="E28" s="984">
        <f>G15</f>
        <v>972.81000000005588</v>
      </c>
      <c r="F28" s="577">
        <v>43.5</v>
      </c>
      <c r="G28" s="986">
        <f>E28*F28</f>
        <v>42317.235000002431</v>
      </c>
      <c r="H28" s="926">
        <f>G28+'22'!H28</f>
        <v>910527.21000000648</v>
      </c>
      <c r="I28" s="988"/>
      <c r="J28" s="928">
        <f>H28/DAY(B2)</f>
        <v>39588.139565217672</v>
      </c>
      <c r="K28" s="944"/>
      <c r="L28" s="974"/>
      <c r="N28" s="1093"/>
      <c r="O28" s="930"/>
    </row>
    <row r="29" spans="1:15" s="975" customFormat="1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G30+'22'!H30</f>
        <v>155306</v>
      </c>
      <c r="I30" s="988"/>
      <c r="J30" s="928">
        <f>H30/DAY(B2)</f>
        <v>6752.434782608696</v>
      </c>
      <c r="K30" s="944"/>
      <c r="L30" s="974"/>
      <c r="N30" s="1093"/>
      <c r="O30" s="930"/>
    </row>
    <row r="31" spans="1:15" s="975" customFormat="1">
      <c r="A31" s="976" t="s">
        <v>160</v>
      </c>
      <c r="B31" s="977"/>
      <c r="C31" s="978"/>
      <c r="D31" s="983" t="s">
        <v>144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300000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161</v>
      </c>
      <c r="B32" s="990"/>
      <c r="C32" s="991"/>
      <c r="D32" s="992"/>
      <c r="E32" s="992"/>
      <c r="F32" s="992"/>
      <c r="G32" s="993">
        <f>G27+G28+G29+G30+G31</f>
        <v>254587.23500000243</v>
      </c>
      <c r="H32" s="926">
        <f>G32+'22'!H32</f>
        <v>5610689.2100000065</v>
      </c>
      <c r="I32" s="994"/>
      <c r="J32" s="928">
        <f>H32/DAY(B2)</f>
        <v>243943.00913043506</v>
      </c>
      <c r="K32" s="944"/>
      <c r="L32" s="974"/>
      <c r="N32" s="1093"/>
      <c r="O32" s="930"/>
    </row>
    <row r="33" spans="1:15" ht="18.7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944"/>
      <c r="L33" s="903"/>
      <c r="O33" s="930"/>
    </row>
    <row r="34" spans="1:1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164</v>
      </c>
      <c r="B35" s="922"/>
      <c r="C35" s="922"/>
      <c r="D35" s="923" t="s">
        <v>132</v>
      </c>
      <c r="E35" s="924">
        <f>'22'!F35</f>
        <v>674142</v>
      </c>
      <c r="F35" s="997">
        <v>677148</v>
      </c>
      <c r="G35" s="925">
        <f t="shared" ref="G35:G46" si="3">F35-E35</f>
        <v>3006</v>
      </c>
      <c r="H35" s="926">
        <f>G35+'22'!H35</f>
        <v>48120.329999999958</v>
      </c>
      <c r="I35" s="924"/>
      <c r="J35" s="928">
        <f>H35/DAY(B2)</f>
        <v>2092.1882608695632</v>
      </c>
      <c r="K35" s="944"/>
      <c r="L35" s="903"/>
      <c r="O35" s="930"/>
    </row>
    <row r="36" spans="1:15">
      <c r="A36" s="921" t="s">
        <v>165</v>
      </c>
      <c r="B36" s="922"/>
      <c r="C36" s="922"/>
      <c r="D36" s="923" t="s">
        <v>132</v>
      </c>
      <c r="E36" s="924">
        <f>'22'!F36</f>
        <v>291904</v>
      </c>
      <c r="F36" s="997">
        <v>292815</v>
      </c>
      <c r="G36" s="925">
        <f t="shared" si="3"/>
        <v>911</v>
      </c>
      <c r="H36" s="926">
        <f>G36+'22'!H36</f>
        <v>16323.549999999988</v>
      </c>
      <c r="I36" s="924"/>
      <c r="J36" s="928">
        <f>H36/DAY(B2)</f>
        <v>709.71956521739082</v>
      </c>
      <c r="K36" s="944"/>
      <c r="L36" s="903"/>
      <c r="O36" s="930"/>
    </row>
    <row r="37" spans="1:15">
      <c r="A37" s="921" t="s">
        <v>166</v>
      </c>
      <c r="B37" s="922"/>
      <c r="C37" s="922"/>
      <c r="D37" s="923" t="s">
        <v>132</v>
      </c>
      <c r="E37" s="924">
        <f>'22'!F37</f>
        <v>23205</v>
      </c>
      <c r="F37" s="997">
        <v>24667</v>
      </c>
      <c r="G37" s="925">
        <f t="shared" si="3"/>
        <v>1462</v>
      </c>
      <c r="H37" s="926">
        <f>G37+'22'!H37</f>
        <v>24667</v>
      </c>
      <c r="I37" s="924"/>
      <c r="J37" s="928">
        <f>H37/DAY(B2)</f>
        <v>1072.4782608695652</v>
      </c>
      <c r="K37" s="944"/>
      <c r="L37" s="903"/>
      <c r="O37" s="930"/>
    </row>
    <row r="38" spans="1:15">
      <c r="A38" s="921" t="s">
        <v>167</v>
      </c>
      <c r="B38" s="922"/>
      <c r="C38" s="922"/>
      <c r="D38" s="923" t="s">
        <v>132</v>
      </c>
      <c r="E38" s="924">
        <f>'22'!F38</f>
        <v>31247</v>
      </c>
      <c r="F38" s="913">
        <v>33267</v>
      </c>
      <c r="G38" s="925">
        <f t="shared" si="3"/>
        <v>2020</v>
      </c>
      <c r="H38" s="926">
        <f>G38+'22'!H38</f>
        <v>33169.120000000003</v>
      </c>
      <c r="I38" s="924"/>
      <c r="J38" s="928">
        <f>H38/DAY(B2)</f>
        <v>1442.1356521739131</v>
      </c>
      <c r="K38" s="944"/>
      <c r="L38" s="903"/>
      <c r="O38" s="930"/>
    </row>
    <row r="39" spans="1:15">
      <c r="A39" s="921" t="s">
        <v>168</v>
      </c>
      <c r="B39" s="922"/>
      <c r="C39" s="922"/>
      <c r="D39" s="923" t="s">
        <v>132</v>
      </c>
      <c r="E39" s="924">
        <f>'22'!F39</f>
        <v>65595</v>
      </c>
      <c r="F39" s="997">
        <v>69744.83</v>
      </c>
      <c r="G39" s="925">
        <f t="shared" si="3"/>
        <v>4149.8300000000017</v>
      </c>
      <c r="H39" s="926">
        <f>G39+'22'!H39</f>
        <v>69744.83</v>
      </c>
      <c r="I39" s="924"/>
      <c r="J39" s="928">
        <f>H39/DAY(B2)</f>
        <v>3032.3839130434785</v>
      </c>
      <c r="K39" s="944"/>
      <c r="L39" s="903"/>
      <c r="O39" s="930"/>
    </row>
    <row r="40" spans="1:15">
      <c r="A40" s="998" t="s">
        <v>169</v>
      </c>
      <c r="B40" s="999"/>
      <c r="C40" s="999"/>
      <c r="D40" s="923" t="s">
        <v>132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>
      <c r="A41" s="921" t="s">
        <v>170</v>
      </c>
      <c r="B41" s="922"/>
      <c r="C41" s="922"/>
      <c r="D41" s="923" t="s">
        <v>132</v>
      </c>
      <c r="E41" s="924">
        <f>'22'!F41</f>
        <v>63882</v>
      </c>
      <c r="F41" s="997">
        <v>63882</v>
      </c>
      <c r="G41" s="925">
        <f t="shared" si="3"/>
        <v>0</v>
      </c>
      <c r="H41" s="926">
        <f>G41+'22'!H41</f>
        <v>19259.480000000003</v>
      </c>
      <c r="I41" s="924"/>
      <c r="J41" s="928">
        <f>H41/DAY(B2)</f>
        <v>837.3686956521741</v>
      </c>
      <c r="K41" s="944"/>
      <c r="L41" s="903"/>
      <c r="O41" s="930"/>
    </row>
    <row r="42" spans="1:15">
      <c r="A42" s="921" t="s">
        <v>171</v>
      </c>
      <c r="B42" s="922"/>
      <c r="C42" s="922"/>
      <c r="D42" s="923" t="s">
        <v>132</v>
      </c>
      <c r="E42" s="924">
        <f>'22'!F42</f>
        <v>59129</v>
      </c>
      <c r="F42" s="997">
        <v>59129</v>
      </c>
      <c r="G42" s="925">
        <f t="shared" si="3"/>
        <v>0</v>
      </c>
      <c r="H42" s="926">
        <f>G42+'22'!H42</f>
        <v>203</v>
      </c>
      <c r="I42" s="924"/>
      <c r="J42" s="928">
        <f>H42/DAY(B2)</f>
        <v>8.8260869565217384</v>
      </c>
      <c r="K42" s="944"/>
      <c r="L42" s="903"/>
      <c r="O42" s="930"/>
    </row>
    <row r="43" spans="1:15">
      <c r="A43" s="921" t="s">
        <v>172</v>
      </c>
      <c r="B43" s="922"/>
      <c r="C43" s="922"/>
      <c r="D43" s="923" t="s">
        <v>132</v>
      </c>
      <c r="E43" s="924">
        <f>'22'!F43</f>
        <v>811840</v>
      </c>
      <c r="F43" s="997">
        <v>814188</v>
      </c>
      <c r="G43" s="925">
        <f t="shared" si="3"/>
        <v>2348</v>
      </c>
      <c r="H43" s="926">
        <f>G43+'22'!H43</f>
        <v>46376.089999999967</v>
      </c>
      <c r="I43" s="924"/>
      <c r="J43" s="928">
        <f>H43/DAY(B2)</f>
        <v>2016.3517391304333</v>
      </c>
      <c r="K43" s="944"/>
      <c r="L43" s="903"/>
      <c r="O43" s="930"/>
    </row>
    <row r="44" spans="1:15">
      <c r="A44" s="921" t="s">
        <v>173</v>
      </c>
      <c r="B44" s="922"/>
      <c r="C44" s="922"/>
      <c r="D44" s="923" t="s">
        <v>132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174</v>
      </c>
      <c r="B45" s="922"/>
      <c r="C45" s="922"/>
      <c r="D45" s="923" t="s">
        <v>132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>
      <c r="A46" s="921" t="s">
        <v>175</v>
      </c>
      <c r="B46" s="922"/>
      <c r="C46" s="922"/>
      <c r="D46" s="923" t="s">
        <v>132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13896.830000000002</v>
      </c>
      <c r="H47" s="926">
        <f>G47+'22'!H47</f>
        <v>257862.36999999988</v>
      </c>
      <c r="I47" s="924"/>
      <c r="J47" s="928">
        <f>H47/DAY(B2)</f>
        <v>11211.407391304343</v>
      </c>
      <c r="K47" s="944"/>
      <c r="L47" s="903"/>
      <c r="N47" s="1094"/>
      <c r="O47" s="930"/>
    </row>
    <row r="48" spans="1:1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164</v>
      </c>
      <c r="B49" s="1000"/>
      <c r="C49" s="1000"/>
      <c r="D49" s="923" t="s">
        <v>132</v>
      </c>
      <c r="E49" s="924">
        <f>'22'!F49</f>
        <v>260732</v>
      </c>
      <c r="F49" s="997">
        <v>260732</v>
      </c>
      <c r="G49" s="925">
        <f t="shared" ref="G49:G58" si="4">F49-E49</f>
        <v>0</v>
      </c>
      <c r="H49" s="926">
        <f>G49+'22'!H49</f>
        <v>14832.950000000012</v>
      </c>
      <c r="I49" s="924"/>
      <c r="J49" s="928">
        <f>H49/DAY(B2)</f>
        <v>644.91086956521792</v>
      </c>
      <c r="K49" s="944"/>
      <c r="L49" s="903"/>
      <c r="O49" s="930"/>
    </row>
    <row r="50" spans="1:15">
      <c r="A50" s="921" t="s">
        <v>178</v>
      </c>
      <c r="B50" s="1000"/>
      <c r="C50" s="1000"/>
      <c r="D50" s="923" t="s">
        <v>132</v>
      </c>
      <c r="E50" s="924">
        <f>'22'!F50</f>
        <v>395061</v>
      </c>
      <c r="F50" s="997">
        <v>396445.71</v>
      </c>
      <c r="G50" s="925">
        <f t="shared" si="4"/>
        <v>1384.710000000021</v>
      </c>
      <c r="H50" s="926">
        <f>G50+'22'!H50</f>
        <v>26785.400000000023</v>
      </c>
      <c r="I50" s="924"/>
      <c r="J50" s="928">
        <f>H50/DAY(B2)</f>
        <v>1164.5826086956531</v>
      </c>
      <c r="K50" s="944"/>
      <c r="L50" s="903"/>
      <c r="O50" s="930"/>
    </row>
    <row r="51" spans="1:15">
      <c r="A51" s="921" t="s">
        <v>166</v>
      </c>
      <c r="B51" s="1000"/>
      <c r="C51" s="1000"/>
      <c r="D51" s="923" t="s">
        <v>132</v>
      </c>
      <c r="E51" s="924">
        <f>'22'!F51</f>
        <v>120051</v>
      </c>
      <c r="F51" s="997">
        <v>120051</v>
      </c>
      <c r="G51" s="925">
        <f t="shared" si="4"/>
        <v>0</v>
      </c>
      <c r="H51" s="926">
        <f>G51+'22'!H51</f>
        <v>9951.2599999999948</v>
      </c>
      <c r="I51" s="924"/>
      <c r="J51" s="928">
        <f>H51/DAY(B2)</f>
        <v>432.66347826086934</v>
      </c>
      <c r="K51" s="944"/>
      <c r="L51" s="903"/>
      <c r="O51" s="930"/>
    </row>
    <row r="52" spans="1:15">
      <c r="A52" s="921" t="s">
        <v>179</v>
      </c>
      <c r="B52" s="1000"/>
      <c r="C52" s="1000"/>
      <c r="D52" s="923" t="s">
        <v>132</v>
      </c>
      <c r="E52" s="924">
        <f>'22'!F52</f>
        <v>507913</v>
      </c>
      <c r="F52" s="997">
        <v>507913</v>
      </c>
      <c r="G52" s="925">
        <f t="shared" si="4"/>
        <v>0</v>
      </c>
      <c r="H52" s="926">
        <f>G52+'22'!H52</f>
        <v>14104.330000000016</v>
      </c>
      <c r="I52" s="924"/>
      <c r="J52" s="928">
        <f>H52/DAY(B2)</f>
        <v>613.23173913043547</v>
      </c>
      <c r="K52" s="944"/>
      <c r="L52" s="903"/>
      <c r="O52" s="930"/>
    </row>
    <row r="53" spans="1:15">
      <c r="A53" s="921" t="s">
        <v>168</v>
      </c>
      <c r="B53" s="1000"/>
      <c r="C53" s="1000"/>
      <c r="D53" s="923" t="s">
        <v>132</v>
      </c>
      <c r="E53" s="924">
        <f>'22'!F53</f>
        <v>331855</v>
      </c>
      <c r="F53" s="997">
        <v>331855</v>
      </c>
      <c r="G53" s="925">
        <f t="shared" si="4"/>
        <v>0</v>
      </c>
      <c r="H53" s="926">
        <f>G53+'22'!H53</f>
        <v>27556.729999999981</v>
      </c>
      <c r="I53" s="924"/>
      <c r="J53" s="928">
        <f>H53/DAY(B2)</f>
        <v>1198.1186956521731</v>
      </c>
      <c r="K53" s="944"/>
      <c r="L53" s="903"/>
      <c r="O53" s="930"/>
    </row>
    <row r="54" spans="1:15">
      <c r="A54" s="921" t="s">
        <v>180</v>
      </c>
      <c r="B54" s="1000"/>
      <c r="C54" s="1000"/>
      <c r="D54" s="923" t="s">
        <v>132</v>
      </c>
      <c r="E54" s="924">
        <f>'22'!F54</f>
        <v>7677</v>
      </c>
      <c r="F54" s="997">
        <v>7747</v>
      </c>
      <c r="G54" s="925">
        <f t="shared" si="4"/>
        <v>70</v>
      </c>
      <c r="H54" s="926">
        <f>G54+'22'!H54</f>
        <v>1358.1999999999998</v>
      </c>
      <c r="I54" s="924"/>
      <c r="J54" s="928">
        <f>H54/DAY(B2)</f>
        <v>59.052173913043468</v>
      </c>
      <c r="K54" s="944"/>
      <c r="L54" s="903"/>
      <c r="O54" s="930"/>
    </row>
    <row r="55" spans="1:15">
      <c r="A55" s="921" t="s">
        <v>181</v>
      </c>
      <c r="B55" s="1000"/>
      <c r="C55" s="1000"/>
      <c r="D55" s="923" t="s">
        <v>132</v>
      </c>
      <c r="E55" s="924">
        <f>'22'!F55</f>
        <v>94270</v>
      </c>
      <c r="F55" s="997">
        <v>94270</v>
      </c>
      <c r="G55" s="925">
        <f t="shared" si="4"/>
        <v>0</v>
      </c>
      <c r="H55" s="926">
        <f>G55+'22'!H55</f>
        <v>51282.02</v>
      </c>
      <c r="I55" s="924"/>
      <c r="J55" s="928">
        <f>H55/DAY(B2)</f>
        <v>2229.6530434782608</v>
      </c>
      <c r="K55" s="944"/>
      <c r="L55" s="903"/>
      <c r="O55" s="930"/>
    </row>
    <row r="56" spans="1:15">
      <c r="A56" s="921" t="s">
        <v>182</v>
      </c>
      <c r="B56" s="1000"/>
      <c r="C56" s="1000"/>
      <c r="D56" s="923" t="s">
        <v>183</v>
      </c>
      <c r="E56" s="924">
        <f>'22'!F56</f>
        <v>577336</v>
      </c>
      <c r="F56" s="997">
        <v>582487</v>
      </c>
      <c r="G56" s="925">
        <f t="shared" si="4"/>
        <v>5151</v>
      </c>
      <c r="H56" s="926">
        <f>G56+'22'!H56</f>
        <v>24755.089999999967</v>
      </c>
      <c r="I56" s="924"/>
      <c r="J56" s="928">
        <f>H56/DAY(B2)</f>
        <v>1076.3082608695638</v>
      </c>
      <c r="K56" s="920"/>
      <c r="L56" s="903"/>
      <c r="O56" s="930"/>
    </row>
    <row r="57" spans="1:15">
      <c r="A57" s="921" t="s">
        <v>172</v>
      </c>
      <c r="B57" s="1000"/>
      <c r="C57" s="1000"/>
      <c r="D57" s="923" t="s">
        <v>132</v>
      </c>
      <c r="E57" s="924">
        <f>'22'!F57</f>
        <v>7711</v>
      </c>
      <c r="F57" s="997">
        <v>7711</v>
      </c>
      <c r="G57" s="925">
        <f t="shared" si="4"/>
        <v>0</v>
      </c>
      <c r="H57" s="926">
        <f>G57+'22'!H57</f>
        <v>7711</v>
      </c>
      <c r="I57" s="924"/>
      <c r="J57" s="928">
        <f>H57/DAY(B2)</f>
        <v>335.26086956521738</v>
      </c>
      <c r="K57" s="944"/>
      <c r="L57" s="903"/>
      <c r="O57" s="930"/>
    </row>
    <row r="58" spans="1:15">
      <c r="A58" s="921" t="s">
        <v>184</v>
      </c>
      <c r="B58" s="1000"/>
      <c r="C58" s="1000"/>
      <c r="D58" s="923" t="s">
        <v>132</v>
      </c>
      <c r="E58" s="924">
        <f>'22'!F58</f>
        <v>34721</v>
      </c>
      <c r="F58" s="997">
        <v>34929</v>
      </c>
      <c r="G58" s="925">
        <f t="shared" si="4"/>
        <v>208</v>
      </c>
      <c r="H58" s="926">
        <f>G58+'22'!H58</f>
        <v>4199.4600000000028</v>
      </c>
      <c r="I58" s="924"/>
      <c r="J58" s="928">
        <f>H58/DAY(B2)</f>
        <v>182.58521739130447</v>
      </c>
      <c r="K58" s="944"/>
      <c r="L58" s="903"/>
      <c r="O58" s="930"/>
    </row>
    <row r="59" spans="1:1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6813.710000000021</v>
      </c>
      <c r="H59" s="926">
        <f>G59+'22'!H59</f>
        <v>182536.44000000003</v>
      </c>
      <c r="I59" s="924">
        <f>G7-G60</f>
        <v>562.4599999999773</v>
      </c>
      <c r="J59" s="928">
        <f>H59/DAY(B2)</f>
        <v>7936.3669565217406</v>
      </c>
      <c r="K59" s="944"/>
      <c r="L59" s="903"/>
      <c r="O59" s="930"/>
    </row>
    <row r="60" spans="1:15">
      <c r="A60" s="921"/>
      <c r="B60" s="922"/>
      <c r="C60" s="922"/>
      <c r="D60" s="910" t="s">
        <v>185</v>
      </c>
      <c r="E60" s="910"/>
      <c r="F60" s="910"/>
      <c r="G60" s="948">
        <f>G47+G59</f>
        <v>20710.540000000023</v>
      </c>
      <c r="H60" s="926">
        <f>G60+'22'!H60</f>
        <v>445578.99999999983</v>
      </c>
      <c r="I60" s="924">
        <f>G13-G60</f>
        <v>-12.540000000022701</v>
      </c>
      <c r="J60" s="928">
        <f>H60/DAY(B2)</f>
        <v>19372.999999999993</v>
      </c>
      <c r="K60" s="944"/>
      <c r="L60" s="903"/>
      <c r="O60" s="930"/>
    </row>
    <row r="61" spans="1:1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98</v>
      </c>
      <c r="B62" s="1006"/>
      <c r="C62" s="1006"/>
      <c r="D62" s="910" t="s">
        <v>187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>
      <c r="A63" s="1005" t="s">
        <v>188</v>
      </c>
      <c r="B63" s="1006"/>
      <c r="C63" s="1006"/>
      <c r="D63" s="910" t="s">
        <v>187</v>
      </c>
      <c r="E63" s="924">
        <f>'22'!F63</f>
        <v>1624</v>
      </c>
      <c r="F63" s="1007">
        <v>1635</v>
      </c>
      <c r="G63" s="925">
        <f t="shared" si="5"/>
        <v>11</v>
      </c>
      <c r="H63" s="926">
        <f>G63+'22'!H63</f>
        <v>302.47000000000003</v>
      </c>
      <c r="I63" s="1008"/>
      <c r="J63" s="928">
        <f>H63/DAY(B2)</f>
        <v>13.150869565217393</v>
      </c>
      <c r="K63" s="944"/>
      <c r="L63" s="903"/>
      <c r="O63" s="930"/>
    </row>
    <row r="64" spans="1:15">
      <c r="A64" s="1538" t="s">
        <v>99</v>
      </c>
      <c r="B64" s="1539"/>
      <c r="C64" s="1540"/>
      <c r="D64" s="923" t="s">
        <v>187</v>
      </c>
      <c r="E64" s="924">
        <f>'22'!F64</f>
        <v>120508</v>
      </c>
      <c r="F64" s="954">
        <v>121047</v>
      </c>
      <c r="G64" s="925">
        <f t="shared" si="5"/>
        <v>539</v>
      </c>
      <c r="H64" s="926">
        <f>G64+'22'!H64</f>
        <v>9763.5399999999936</v>
      </c>
      <c r="I64" s="945"/>
      <c r="J64" s="928">
        <f>H64/DAY(B2)</f>
        <v>424.50173913043449</v>
      </c>
      <c r="K64" s="944"/>
      <c r="L64" s="903"/>
      <c r="O64" s="930"/>
    </row>
    <row r="65" spans="1:15">
      <c r="A65" s="1538" t="s">
        <v>100</v>
      </c>
      <c r="B65" s="1539"/>
      <c r="C65" s="1540"/>
      <c r="D65" s="923" t="s">
        <v>187</v>
      </c>
      <c r="E65" s="924">
        <f>'22'!F65</f>
        <v>130228</v>
      </c>
      <c r="F65" s="954">
        <v>130609</v>
      </c>
      <c r="G65" s="925">
        <f t="shared" si="5"/>
        <v>381</v>
      </c>
      <c r="H65" s="926">
        <f>G65+'22'!H65</f>
        <v>8875.89</v>
      </c>
      <c r="I65" s="963"/>
      <c r="J65" s="928">
        <f>H65/DAY(B2)</f>
        <v>385.9082608695652</v>
      </c>
      <c r="K65" s="944"/>
      <c r="L65" s="903"/>
      <c r="O65" s="930"/>
    </row>
    <row r="66" spans="1:15">
      <c r="A66" s="1538" t="s">
        <v>101</v>
      </c>
      <c r="B66" s="1539"/>
      <c r="C66" s="1540"/>
      <c r="D66" s="923" t="s">
        <v>187</v>
      </c>
      <c r="E66" s="924">
        <f>'22'!F66</f>
        <v>22819</v>
      </c>
      <c r="F66" s="954">
        <v>23194</v>
      </c>
      <c r="G66" s="925">
        <f t="shared" si="5"/>
        <v>375</v>
      </c>
      <c r="H66" s="926">
        <f>G66+'22'!H66</f>
        <v>9034.26</v>
      </c>
      <c r="I66" s="945"/>
      <c r="J66" s="928">
        <f>H66/DAY(B2)</f>
        <v>392.79391304347826</v>
      </c>
      <c r="K66" s="944"/>
      <c r="L66" s="903"/>
      <c r="O66" s="930"/>
    </row>
    <row r="67" spans="1:15">
      <c r="A67" s="1538" t="s">
        <v>102</v>
      </c>
      <c r="B67" s="1539"/>
      <c r="C67" s="1540"/>
      <c r="D67" s="923" t="s">
        <v>187</v>
      </c>
      <c r="E67" s="924">
        <f>'22'!F67</f>
        <v>203982</v>
      </c>
      <c r="F67" s="954">
        <v>204621</v>
      </c>
      <c r="G67" s="925">
        <f t="shared" si="5"/>
        <v>639</v>
      </c>
      <c r="H67" s="926">
        <f>G67+'22'!H67</f>
        <v>15946.470000000001</v>
      </c>
      <c r="I67" s="963"/>
      <c r="J67" s="928">
        <f>H67/DAY(B2)</f>
        <v>693.32478260869573</v>
      </c>
      <c r="K67" s="951"/>
      <c r="L67" s="903"/>
      <c r="O67" s="930"/>
    </row>
    <row r="68" spans="1:15">
      <c r="A68" s="1538" t="s">
        <v>103</v>
      </c>
      <c r="B68" s="1539"/>
      <c r="C68" s="1540"/>
      <c r="D68" s="923" t="s">
        <v>187</v>
      </c>
      <c r="E68" s="924">
        <f>'22'!F68</f>
        <v>70793</v>
      </c>
      <c r="F68" s="954">
        <v>71085</v>
      </c>
      <c r="G68" s="925">
        <f t="shared" si="5"/>
        <v>292</v>
      </c>
      <c r="H68" s="926">
        <f>G68+'22'!H68</f>
        <v>8785.14</v>
      </c>
      <c r="I68" s="1009"/>
      <c r="J68" s="928">
        <f>H68/DAY(B2)</f>
        <v>381.96260869565214</v>
      </c>
      <c r="K68" s="1010"/>
      <c r="L68" s="903"/>
      <c r="O68" s="930"/>
    </row>
    <row r="69" spans="1:15">
      <c r="A69" s="1538" t="s">
        <v>104</v>
      </c>
      <c r="B69" s="1539"/>
      <c r="C69" s="1540"/>
      <c r="D69" s="923" t="s">
        <v>187</v>
      </c>
      <c r="E69" s="924">
        <f>'22'!F69</f>
        <v>62487</v>
      </c>
      <c r="F69" s="954">
        <v>62814</v>
      </c>
      <c r="G69" s="925">
        <f t="shared" si="5"/>
        <v>327</v>
      </c>
      <c r="H69" s="926">
        <f>G69+'22'!H69</f>
        <v>7090.2900000000009</v>
      </c>
      <c r="I69" s="1009"/>
      <c r="J69" s="928">
        <f>H69/DAY(B2)</f>
        <v>308.27347826086958</v>
      </c>
      <c r="K69" s="1011"/>
      <c r="L69" s="903"/>
      <c r="O69" s="930"/>
    </row>
    <row r="70" spans="1:15">
      <c r="A70" s="1561" t="s">
        <v>189</v>
      </c>
      <c r="B70" s="1562"/>
      <c r="C70" s="1563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1010"/>
      <c r="L71" s="903"/>
      <c r="O71" s="930"/>
    </row>
    <row r="72" spans="1:15">
      <c r="A72" s="1538" t="s">
        <v>191</v>
      </c>
      <c r="B72" s="1539"/>
      <c r="C72" s="1540"/>
      <c r="D72" s="923" t="s">
        <v>187</v>
      </c>
      <c r="E72" s="924">
        <f>'22'!F72</f>
        <v>850091</v>
      </c>
      <c r="F72" s="1015">
        <v>850201</v>
      </c>
      <c r="G72" s="925">
        <f t="shared" ref="G72:G84" si="6">F72-E72</f>
        <v>110</v>
      </c>
      <c r="H72" s="926">
        <f>G72+'22'!H72</f>
        <v>1649</v>
      </c>
      <c r="I72" s="945"/>
      <c r="J72" s="928">
        <f>H72/DAY(B2)</f>
        <v>71.695652173913047</v>
      </c>
      <c r="K72" s="1011"/>
      <c r="L72" s="903"/>
      <c r="O72" s="930"/>
    </row>
    <row r="73" spans="1:15">
      <c r="A73" s="1538" t="s">
        <v>192</v>
      </c>
      <c r="B73" s="1539"/>
      <c r="C73" s="1540"/>
      <c r="D73" s="923" t="s">
        <v>187</v>
      </c>
      <c r="E73" s="924">
        <f>'22'!F73</f>
        <v>885763</v>
      </c>
      <c r="F73" s="1016">
        <v>885768</v>
      </c>
      <c r="G73" s="925">
        <f t="shared" si="6"/>
        <v>5</v>
      </c>
      <c r="H73" s="926">
        <f>G73+'22'!H73</f>
        <v>987</v>
      </c>
      <c r="I73" s="945"/>
      <c r="J73" s="928">
        <f>H73/DAY(B2)</f>
        <v>42.913043478260867</v>
      </c>
      <c r="K73" s="1010"/>
      <c r="L73" s="903"/>
      <c r="O73" s="930"/>
    </row>
    <row r="74" spans="1:15">
      <c r="A74" s="1538" t="s">
        <v>193</v>
      </c>
      <c r="B74" s="1539"/>
      <c r="C74" s="1540"/>
      <c r="D74" s="923" t="s">
        <v>187</v>
      </c>
      <c r="E74" s="924">
        <f>'22'!F74</f>
        <v>455</v>
      </c>
      <c r="F74" s="1017">
        <v>470</v>
      </c>
      <c r="G74" s="925">
        <f t="shared" si="6"/>
        <v>15</v>
      </c>
      <c r="H74" s="926">
        <f>G74+'22'!H74</f>
        <v>699.1</v>
      </c>
      <c r="I74" s="945"/>
      <c r="J74" s="928">
        <f>H74/DAY(B2)</f>
        <v>30.395652173913046</v>
      </c>
      <c r="K74" s="1011"/>
      <c r="L74" s="903"/>
      <c r="O74" s="930"/>
    </row>
    <row r="75" spans="1:15">
      <c r="A75" s="1564" t="s">
        <v>194</v>
      </c>
      <c r="B75" s="1565"/>
      <c r="C75" s="1566"/>
      <c r="D75" s="923" t="s">
        <v>187</v>
      </c>
      <c r="E75" s="924">
        <f>'22'!F75</f>
        <v>2510</v>
      </c>
      <c r="F75" s="1017">
        <v>2684</v>
      </c>
      <c r="G75" s="925">
        <f t="shared" si="6"/>
        <v>174</v>
      </c>
      <c r="H75" s="926">
        <f>G75+'22'!H75</f>
        <v>4220.4000000000005</v>
      </c>
      <c r="I75" s="945"/>
      <c r="J75" s="928">
        <f>H75/DAY(B2)</f>
        <v>183.49565217391307</v>
      </c>
      <c r="K75" s="1010"/>
      <c r="L75" s="903"/>
      <c r="O75" s="930"/>
    </row>
    <row r="76" spans="1:15">
      <c r="A76" s="1564" t="s">
        <v>195</v>
      </c>
      <c r="B76" s="1565"/>
      <c r="C76" s="1566"/>
      <c r="D76" s="923" t="s">
        <v>187</v>
      </c>
      <c r="E76" s="924">
        <f>'22'!F76</f>
        <v>1040</v>
      </c>
      <c r="F76" s="1016">
        <v>1114</v>
      </c>
      <c r="G76" s="925">
        <f t="shared" si="6"/>
        <v>74</v>
      </c>
      <c r="H76" s="926">
        <f>G76+'22'!H76</f>
        <v>3111.2000000000003</v>
      </c>
      <c r="I76" s="988"/>
      <c r="J76" s="928">
        <f>H76/DAY(B2)</f>
        <v>135.26956521739132</v>
      </c>
      <c r="K76" s="1010"/>
      <c r="L76" s="903"/>
      <c r="O76" s="930"/>
    </row>
    <row r="77" spans="1:15">
      <c r="A77" s="1538" t="s">
        <v>196</v>
      </c>
      <c r="B77" s="1539"/>
      <c r="C77" s="1540"/>
      <c r="D77" s="923" t="s">
        <v>187</v>
      </c>
      <c r="E77" s="924">
        <f>'22'!F77</f>
        <v>698305</v>
      </c>
      <c r="F77" s="1016">
        <v>698352</v>
      </c>
      <c r="G77" s="925">
        <f t="shared" si="6"/>
        <v>47</v>
      </c>
      <c r="H77" s="926">
        <f>G77+'22'!H77</f>
        <v>1245</v>
      </c>
      <c r="I77" s="988"/>
      <c r="J77" s="928">
        <f>H77/DAY(B2)</f>
        <v>54.130434782608695</v>
      </c>
      <c r="K77" s="1010"/>
      <c r="L77" s="903"/>
      <c r="O77" s="930"/>
    </row>
    <row r="78" spans="1:15">
      <c r="A78" s="1018" t="s">
        <v>197</v>
      </c>
      <c r="B78" s="1226"/>
      <c r="C78" s="1226"/>
      <c r="D78" s="923" t="s">
        <v>187</v>
      </c>
      <c r="E78" s="924">
        <f>'22'!F78</f>
        <v>650868</v>
      </c>
      <c r="F78" s="1017">
        <v>651177</v>
      </c>
      <c r="G78" s="925">
        <f t="shared" si="6"/>
        <v>309</v>
      </c>
      <c r="H78" s="926">
        <f>G78+'22'!H78</f>
        <v>9224</v>
      </c>
      <c r="I78" s="988"/>
      <c r="J78" s="928">
        <f>H78/DAY(B2)</f>
        <v>401.04347826086956</v>
      </c>
      <c r="K78" s="1010"/>
      <c r="L78" s="903"/>
      <c r="O78" s="930"/>
    </row>
    <row r="79" spans="1:15">
      <c r="A79" s="1564" t="s">
        <v>92</v>
      </c>
      <c r="B79" s="1565"/>
      <c r="C79" s="1566"/>
      <c r="D79" s="957" t="s">
        <v>187</v>
      </c>
      <c r="E79" s="924">
        <f>'22'!F79</f>
        <v>813908</v>
      </c>
      <c r="F79" s="1322">
        <v>814106</v>
      </c>
      <c r="G79" s="925">
        <f t="shared" si="6"/>
        <v>198</v>
      </c>
      <c r="H79" s="926">
        <f>G79+'22'!H79</f>
        <v>7280</v>
      </c>
      <c r="I79" s="988"/>
      <c r="J79" s="928">
        <f>H79/DAY(B2)</f>
        <v>316.52173913043481</v>
      </c>
      <c r="K79" s="1010"/>
      <c r="L79" s="903"/>
      <c r="O79" s="930"/>
    </row>
    <row r="80" spans="1:15">
      <c r="A80" s="1564" t="s">
        <v>198</v>
      </c>
      <c r="B80" s="1565"/>
      <c r="C80" s="1566"/>
      <c r="D80" s="957" t="s">
        <v>187</v>
      </c>
      <c r="E80" s="924">
        <f>'22'!F80</f>
        <v>492412</v>
      </c>
      <c r="F80" s="1016">
        <v>492780</v>
      </c>
      <c r="G80" s="925">
        <f t="shared" si="6"/>
        <v>368</v>
      </c>
      <c r="H80" s="926">
        <f>G80+'22'!H80</f>
        <v>6198.320000000007</v>
      </c>
      <c r="I80" s="988"/>
      <c r="J80" s="928">
        <f>H80/DAY(B2)</f>
        <v>269.49217391304376</v>
      </c>
      <c r="K80" s="1010"/>
      <c r="L80" s="903"/>
      <c r="O80" s="930"/>
    </row>
    <row r="81" spans="1:15">
      <c r="A81" s="1564" t="s">
        <v>199</v>
      </c>
      <c r="B81" s="1565"/>
      <c r="C81" s="1566"/>
      <c r="D81" s="957" t="s">
        <v>187</v>
      </c>
      <c r="E81" s="924">
        <f>'22'!F81</f>
        <v>625130</v>
      </c>
      <c r="F81" s="1016">
        <v>625274</v>
      </c>
      <c r="G81" s="925">
        <f t="shared" si="6"/>
        <v>144</v>
      </c>
      <c r="H81" s="926">
        <f>G81+'22'!H81</f>
        <v>2499</v>
      </c>
      <c r="I81" s="988"/>
      <c r="J81" s="928">
        <f>H81/DAY(B2)</f>
        <v>108.65217391304348</v>
      </c>
      <c r="K81" s="1010"/>
      <c r="L81" s="903"/>
      <c r="O81" s="930"/>
    </row>
    <row r="82" spans="1:15">
      <c r="A82" s="1564" t="s">
        <v>93</v>
      </c>
      <c r="B82" s="1565"/>
      <c r="C82" s="1566"/>
      <c r="D82" s="958" t="s">
        <v>132</v>
      </c>
      <c r="E82" s="924">
        <f>'22'!F82</f>
        <v>106066</v>
      </c>
      <c r="F82" s="1019">
        <v>106088</v>
      </c>
      <c r="G82" s="925">
        <f t="shared" si="6"/>
        <v>22</v>
      </c>
      <c r="H82" s="926">
        <f>G82+'22'!H82</f>
        <v>648</v>
      </c>
      <c r="I82" s="959"/>
      <c r="J82" s="928">
        <f>H82/DAY(B2)</f>
        <v>28.173913043478262</v>
      </c>
      <c r="K82" s="1010"/>
      <c r="L82" s="903"/>
      <c r="O82" s="930"/>
    </row>
    <row r="83" spans="1:15">
      <c r="A83" s="1564" t="s">
        <v>200</v>
      </c>
      <c r="B83" s="1565"/>
      <c r="C83" s="1566"/>
      <c r="D83" s="1020" t="s">
        <v>132</v>
      </c>
      <c r="E83" s="924">
        <f>'22'!F83</f>
        <v>993383</v>
      </c>
      <c r="F83" s="1365">
        <v>993885</v>
      </c>
      <c r="G83" s="925">
        <f t="shared" si="6"/>
        <v>502</v>
      </c>
      <c r="H83" s="926">
        <f>G83+'22'!H83</f>
        <v>10144</v>
      </c>
      <c r="I83" s="948"/>
      <c r="J83" s="928">
        <f>H83/DAY(B2)</f>
        <v>441.04347826086956</v>
      </c>
      <c r="K83" s="951"/>
      <c r="L83" s="903"/>
      <c r="O83" s="930"/>
    </row>
    <row r="84" spans="1:15">
      <c r="A84" s="1021" t="s">
        <v>201</v>
      </c>
      <c r="B84" s="1022"/>
      <c r="C84" s="1022"/>
      <c r="D84" s="942" t="s">
        <v>132</v>
      </c>
      <c r="E84" s="924">
        <f>'22'!F84</f>
        <v>427081</v>
      </c>
      <c r="F84" s="1023">
        <v>427614</v>
      </c>
      <c r="G84" s="925">
        <f t="shared" si="6"/>
        <v>533</v>
      </c>
      <c r="H84" s="926">
        <f>G84+'22'!H84</f>
        <v>11541</v>
      </c>
      <c r="I84" s="948"/>
      <c r="J84" s="928">
        <f>H84/DAY(B2)</f>
        <v>501.78260869565219</v>
      </c>
      <c r="K84" s="1024"/>
      <c r="L84" s="903"/>
      <c r="O84" s="930"/>
    </row>
    <row r="85" spans="1:15" s="1028" customFormat="1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2501</v>
      </c>
      <c r="H85" s="926">
        <f>G85+'22'!H85</f>
        <v>54142.649999999994</v>
      </c>
      <c r="I85" s="948"/>
      <c r="J85" s="928">
        <f>H85/DAY(B2)</f>
        <v>2354.0282608695647</v>
      </c>
      <c r="K85" s="1024"/>
      <c r="L85" s="1027"/>
      <c r="N85" s="1095"/>
      <c r="O85" s="930"/>
    </row>
    <row r="86" spans="1:15" s="1038" customFormat="1">
      <c r="A86" s="1029" t="s">
        <v>94</v>
      </c>
      <c r="B86" s="1030"/>
      <c r="C86" s="1030"/>
      <c r="D86" s="1031" t="s">
        <v>183</v>
      </c>
      <c r="E86" s="924">
        <f>'22'!F86</f>
        <v>449681</v>
      </c>
      <c r="F86" s="1032">
        <v>449828</v>
      </c>
      <c r="G86" s="1033">
        <f t="shared" ref="G86:G88" si="7">F86-E86</f>
        <v>147</v>
      </c>
      <c r="H86" s="1033">
        <f t="shared" ref="H86:H88" si="8">G86</f>
        <v>147</v>
      </c>
      <c r="I86" s="1034"/>
      <c r="J86" s="1035">
        <f>H86/DAY(B2)</f>
        <v>6.3913043478260869</v>
      </c>
      <c r="K86" s="1036"/>
      <c r="L86" s="1037"/>
      <c r="N86" s="1096"/>
      <c r="O86" s="930"/>
    </row>
    <row r="87" spans="1:15" s="1038" customFormat="1">
      <c r="A87" s="1029" t="s">
        <v>95</v>
      </c>
      <c r="B87" s="1030"/>
      <c r="C87" s="1030"/>
      <c r="D87" s="1031" t="s">
        <v>183</v>
      </c>
      <c r="E87" s="924">
        <f>'22'!F87</f>
        <v>79020</v>
      </c>
      <c r="F87" s="1032">
        <v>79058.3</v>
      </c>
      <c r="G87" s="1033">
        <f t="shared" si="7"/>
        <v>38.30000000000291</v>
      </c>
      <c r="H87" s="1033">
        <f t="shared" si="8"/>
        <v>38.30000000000291</v>
      </c>
      <c r="I87" s="1034"/>
      <c r="J87" s="1035">
        <f>H87/DAY(B2)</f>
        <v>1.6652173913044743</v>
      </c>
      <c r="K87" s="1036"/>
      <c r="L87" s="1037"/>
      <c r="N87" s="1096"/>
      <c r="O87" s="930"/>
    </row>
    <row r="88" spans="1:15" s="1038" customFormat="1">
      <c r="A88" s="1029" t="s">
        <v>96</v>
      </c>
      <c r="B88" s="1030"/>
      <c r="C88" s="1030"/>
      <c r="D88" s="1031" t="s">
        <v>183</v>
      </c>
      <c r="E88" s="924">
        <f>'22'!F88</f>
        <v>147969</v>
      </c>
      <c r="F88" s="1032">
        <v>148005</v>
      </c>
      <c r="G88" s="1033">
        <f t="shared" si="7"/>
        <v>36</v>
      </c>
      <c r="H88" s="1033">
        <f t="shared" si="8"/>
        <v>36</v>
      </c>
      <c r="I88" s="1034"/>
      <c r="J88" s="1035">
        <f>H88/DAY(B2)</f>
        <v>1.5652173913043479</v>
      </c>
      <c r="K88" s="1036"/>
      <c r="L88" s="1037"/>
      <c r="N88" s="1096"/>
      <c r="O88" s="930"/>
    </row>
    <row r="89" spans="1:15" s="1038" customFormat="1">
      <c r="A89" s="1029" t="s">
        <v>204</v>
      </c>
      <c r="B89" s="1030"/>
      <c r="C89" s="1030"/>
      <c r="D89" s="1031" t="s">
        <v>183</v>
      </c>
      <c r="E89" s="924">
        <f>'22'!F89</f>
        <v>61243</v>
      </c>
      <c r="F89" s="1032">
        <v>61337</v>
      </c>
      <c r="G89" s="1033">
        <f t="shared" ref="G89:G90" si="9">F89-E89</f>
        <v>94</v>
      </c>
      <c r="H89" s="1033">
        <f>G89</f>
        <v>94</v>
      </c>
      <c r="I89" s="1034"/>
      <c r="J89" s="1035">
        <f>H89/DAY(B2)</f>
        <v>4.0869565217391308</v>
      </c>
      <c r="K89" s="1036"/>
      <c r="L89" s="1037"/>
      <c r="N89" s="1097"/>
      <c r="O89" s="930"/>
    </row>
    <row r="90" spans="1:15" s="1038" customFormat="1">
      <c r="A90" s="1029" t="s">
        <v>204</v>
      </c>
      <c r="B90" s="1030"/>
      <c r="C90" s="1030"/>
      <c r="D90" s="1031" t="s">
        <v>183</v>
      </c>
      <c r="E90" s="924">
        <f>'22'!F90</f>
        <v>3142</v>
      </c>
      <c r="F90" s="1032">
        <v>3146</v>
      </c>
      <c r="G90" s="1033">
        <f t="shared" si="9"/>
        <v>4</v>
      </c>
      <c r="H90" s="1033">
        <f>G90</f>
        <v>4</v>
      </c>
      <c r="I90" s="1034"/>
      <c r="J90" s="1035">
        <f>H90/DAY(B2)</f>
        <v>0.17391304347826086</v>
      </c>
      <c r="K90" s="1036"/>
      <c r="L90" s="1037"/>
      <c r="N90" s="1097"/>
      <c r="O90" s="930"/>
    </row>
    <row r="91" spans="1:15" s="1028" customFormat="1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41" t="s">
        <v>206</v>
      </c>
      <c r="B92" s="1542"/>
      <c r="C92" s="1543"/>
      <c r="D92" s="923" t="s">
        <v>144</v>
      </c>
      <c r="E92" s="924">
        <f>'22'!F92</f>
        <v>239041</v>
      </c>
      <c r="F92" s="954">
        <v>239145</v>
      </c>
      <c r="G92" s="925">
        <f t="shared" ref="G92:G93" si="10">F92-E92</f>
        <v>104</v>
      </c>
      <c r="H92" s="926">
        <f>G92+'22'!H92</f>
        <v>2575</v>
      </c>
      <c r="I92" s="945"/>
      <c r="J92" s="928">
        <f>H92/DAY(B2)</f>
        <v>111.95652173913044</v>
      </c>
      <c r="K92" s="951"/>
      <c r="L92" s="903"/>
      <c r="O92" s="930"/>
    </row>
    <row r="93" spans="1:15">
      <c r="A93" s="1541" t="s">
        <v>207</v>
      </c>
      <c r="B93" s="1542"/>
      <c r="C93" s="1543"/>
      <c r="D93" s="923" t="s">
        <v>144</v>
      </c>
      <c r="E93" s="924">
        <f>'22'!F93</f>
        <v>174639</v>
      </c>
      <c r="F93" s="1364">
        <v>174818</v>
      </c>
      <c r="G93" s="925">
        <f t="shared" si="10"/>
        <v>179</v>
      </c>
      <c r="H93" s="926">
        <f>G93+'22'!H93</f>
        <v>3642</v>
      </c>
      <c r="I93" s="945"/>
      <c r="J93" s="928">
        <f>H93/DAY(B2)</f>
        <v>158.34782608695653</v>
      </c>
      <c r="K93" s="1024"/>
      <c r="L93" s="903"/>
      <c r="O93" s="930"/>
    </row>
    <row r="94" spans="1:15">
      <c r="A94" s="1567" t="s">
        <v>208</v>
      </c>
      <c r="B94" s="1568"/>
      <c r="C94" s="1569"/>
      <c r="D94" s="923"/>
      <c r="E94" s="924">
        <f>'22'!F94</f>
        <v>0</v>
      </c>
      <c r="F94" s="954"/>
      <c r="G94" s="925">
        <f>G92+G93</f>
        <v>283</v>
      </c>
      <c r="H94" s="926">
        <f>G94+'22'!H94</f>
        <v>5930</v>
      </c>
      <c r="I94" s="945"/>
      <c r="J94" s="928">
        <f>H94/DAY(B2)</f>
        <v>257.82608695652175</v>
      </c>
      <c r="K94" s="1024"/>
      <c r="L94" s="903"/>
      <c r="O94" s="930"/>
    </row>
    <row r="95" spans="1:15">
      <c r="A95" s="1541" t="s">
        <v>209</v>
      </c>
      <c r="B95" s="1542"/>
      <c r="C95" s="1543"/>
      <c r="D95" s="923" t="s">
        <v>144</v>
      </c>
      <c r="E95" s="924">
        <f>'22'!F95</f>
        <v>407627</v>
      </c>
      <c r="F95" s="954">
        <v>407728</v>
      </c>
      <c r="G95" s="925">
        <f t="shared" ref="G95:G100" si="11">F95-E95</f>
        <v>101</v>
      </c>
      <c r="H95" s="926">
        <f>G95+'22'!H95</f>
        <v>1852</v>
      </c>
      <c r="I95" s="945"/>
      <c r="J95" s="928">
        <f>H95/DAY(B2)</f>
        <v>80.521739130434781</v>
      </c>
      <c r="K95" s="1024"/>
      <c r="L95" s="903"/>
      <c r="O95" s="930"/>
    </row>
    <row r="96" spans="1:15">
      <c r="A96" s="952" t="s">
        <v>210</v>
      </c>
      <c r="B96" s="953"/>
      <c r="C96" s="953"/>
      <c r="D96" s="923" t="s">
        <v>144</v>
      </c>
      <c r="E96" s="924">
        <f>'22'!F96</f>
        <v>101219</v>
      </c>
      <c r="F96" s="954">
        <v>101237</v>
      </c>
      <c r="G96" s="925">
        <f t="shared" si="11"/>
        <v>18</v>
      </c>
      <c r="H96" s="926">
        <f>G96+'22'!H96</f>
        <v>703</v>
      </c>
      <c r="I96" s="945"/>
      <c r="J96" s="928">
        <f>H96/DAY(B2)</f>
        <v>30.565217391304348</v>
      </c>
      <c r="K96" s="920"/>
      <c r="L96" s="903"/>
      <c r="O96" s="930"/>
    </row>
    <row r="97" spans="1:15">
      <c r="A97" s="952" t="s">
        <v>211</v>
      </c>
      <c r="B97" s="953"/>
      <c r="C97" s="953"/>
      <c r="D97" s="923" t="s">
        <v>144</v>
      </c>
      <c r="E97" s="924">
        <f>'22'!F97</f>
        <v>96322</v>
      </c>
      <c r="F97" s="954">
        <v>96336</v>
      </c>
      <c r="G97" s="925">
        <f t="shared" si="11"/>
        <v>14</v>
      </c>
      <c r="H97" s="926">
        <f>G97+'22'!H97</f>
        <v>659</v>
      </c>
      <c r="I97" s="945"/>
      <c r="J97" s="928">
        <f>H97/DAY(B2)</f>
        <v>28.652173913043477</v>
      </c>
      <c r="K97" s="1040"/>
      <c r="L97" s="903"/>
      <c r="O97" s="930"/>
    </row>
    <row r="98" spans="1:15">
      <c r="A98" s="952" t="s">
        <v>212</v>
      </c>
      <c r="B98" s="953"/>
      <c r="C98" s="953"/>
      <c r="D98" s="923" t="s">
        <v>144</v>
      </c>
      <c r="E98" s="924">
        <f>'22'!F98</f>
        <v>147064</v>
      </c>
      <c r="F98" s="954">
        <v>147146</v>
      </c>
      <c r="G98" s="925">
        <f t="shared" si="11"/>
        <v>82</v>
      </c>
      <c r="H98" s="926">
        <f>G98+'22'!H98</f>
        <v>1592</v>
      </c>
      <c r="I98" s="945"/>
      <c r="J98" s="928">
        <f>H98/DAY(B2)</f>
        <v>69.217391304347828</v>
      </c>
      <c r="K98" s="1024"/>
      <c r="L98" s="903"/>
      <c r="O98" s="930"/>
    </row>
    <row r="99" spans="1:15">
      <c r="A99" s="952" t="s">
        <v>213</v>
      </c>
      <c r="B99" s="953"/>
      <c r="C99" s="953"/>
      <c r="D99" s="923" t="s">
        <v>144</v>
      </c>
      <c r="E99" s="924">
        <f>'22'!F99</f>
        <v>6296</v>
      </c>
      <c r="F99" s="954">
        <v>6308</v>
      </c>
      <c r="G99" s="925">
        <f t="shared" si="11"/>
        <v>12</v>
      </c>
      <c r="H99" s="926">
        <f>G99+'22'!H99</f>
        <v>334</v>
      </c>
      <c r="I99" s="945"/>
      <c r="J99" s="928">
        <f>H99/DAY(B2)</f>
        <v>14.521739130434783</v>
      </c>
      <c r="K99" s="1024"/>
      <c r="L99" s="903"/>
      <c r="O99" s="930"/>
    </row>
    <row r="100" spans="1:15">
      <c r="A100" s="952" t="s">
        <v>214</v>
      </c>
      <c r="B100" s="953"/>
      <c r="C100" s="953"/>
      <c r="D100" s="923" t="s">
        <v>144</v>
      </c>
      <c r="E100" s="924">
        <f>'22'!F100</f>
        <v>4440</v>
      </c>
      <c r="F100" s="954">
        <v>4447</v>
      </c>
      <c r="G100" s="925">
        <f t="shared" si="11"/>
        <v>7</v>
      </c>
      <c r="H100" s="926">
        <f>G100+'22'!H100</f>
        <v>210</v>
      </c>
      <c r="I100" s="945"/>
      <c r="J100" s="928">
        <f>H100/DAY(B2)</f>
        <v>9.1304347826086953</v>
      </c>
      <c r="K100" s="1024"/>
      <c r="L100" s="903"/>
      <c r="O100" s="930"/>
    </row>
    <row r="101" spans="1:15">
      <c r="A101" s="1567" t="s">
        <v>216</v>
      </c>
      <c r="B101" s="1568"/>
      <c r="C101" s="1569"/>
      <c r="D101" s="957"/>
      <c r="E101" s="957"/>
      <c r="F101" s="957"/>
      <c r="G101" s="1041">
        <f>SUM(G95:G100)</f>
        <v>234</v>
      </c>
      <c r="H101" s="926">
        <f>G101+'22'!H101</f>
        <v>5350</v>
      </c>
      <c r="I101" s="1042"/>
      <c r="J101" s="928">
        <f>H101/DAY(B2)</f>
        <v>232.60869565217391</v>
      </c>
      <c r="K101" s="1024"/>
      <c r="L101" s="903"/>
      <c r="O101" s="930"/>
    </row>
    <row r="102" spans="1:15" s="975" customFormat="1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75" t="s">
        <v>218</v>
      </c>
      <c r="B103" s="1576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77" t="s">
        <v>219</v>
      </c>
      <c r="B104" s="1578"/>
      <c r="C104" s="1057"/>
      <c r="D104" s="1053" t="s">
        <v>144</v>
      </c>
      <c r="E104" s="1054">
        <f>'22'!F104</f>
        <v>7105</v>
      </c>
      <c r="F104" s="1054">
        <v>7115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3.652173913043478</v>
      </c>
      <c r="N104" s="1093"/>
      <c r="O104" s="930"/>
    </row>
    <row r="105" spans="1:15" s="975" customFormat="1">
      <c r="A105" s="1577" t="s">
        <v>77</v>
      </c>
      <c r="B105" s="1578"/>
      <c r="C105" s="1057"/>
      <c r="D105" s="1053" t="s">
        <v>144</v>
      </c>
      <c r="E105" s="1054">
        <f>'22'!F105</f>
        <v>35353</v>
      </c>
      <c r="F105" s="1366">
        <v>35366</v>
      </c>
      <c r="G105" s="1054">
        <f t="shared" ref="G105:G106" si="12">F105-E105</f>
        <v>13</v>
      </c>
      <c r="H105" s="1055">
        <f>SUM(G105+'1'!G77)</f>
        <v>61</v>
      </c>
      <c r="I105" s="1054"/>
      <c r="J105" s="1056">
        <f>H105/DAY(B2)</f>
        <v>2.652173913043478</v>
      </c>
      <c r="N105" s="1093"/>
      <c r="O105" s="930"/>
    </row>
    <row r="106" spans="1:15" s="975" customFormat="1">
      <c r="A106" s="1577" t="s">
        <v>78</v>
      </c>
      <c r="B106" s="1579"/>
      <c r="C106" s="1578"/>
      <c r="D106" s="1053" t="s">
        <v>144</v>
      </c>
      <c r="E106" s="1054">
        <f>'22'!F106</f>
        <v>19214</v>
      </c>
      <c r="F106" s="1054">
        <v>19220</v>
      </c>
      <c r="G106" s="1054">
        <f t="shared" si="12"/>
        <v>6</v>
      </c>
      <c r="H106" s="1055">
        <f>SUM(G106+'1'!G78)</f>
        <v>340</v>
      </c>
      <c r="I106" s="1054"/>
      <c r="J106" s="1056">
        <f>H106/DAY(B2)</f>
        <v>14.782608695652174</v>
      </c>
      <c r="N106" s="1093"/>
      <c r="O106" s="930"/>
    </row>
    <row r="107" spans="1:15" s="975" customFormat="1">
      <c r="A107" s="1580" t="s">
        <v>202</v>
      </c>
      <c r="B107" s="1581"/>
      <c r="C107" s="1057"/>
      <c r="D107" s="1053"/>
      <c r="E107" s="1054">
        <f>'22'!F107</f>
        <v>0</v>
      </c>
      <c r="F107" s="1054"/>
      <c r="G107" s="1054">
        <f>SUM(G104:G106)</f>
        <v>29</v>
      </c>
      <c r="H107" s="1055">
        <f>SUM(G107+'1'!G79)</f>
        <v>234</v>
      </c>
      <c r="I107" s="1054"/>
      <c r="J107" s="1056">
        <f>H107/DAY(B2)</f>
        <v>10.173913043478262</v>
      </c>
      <c r="N107" s="1093"/>
      <c r="O107" s="930"/>
    </row>
    <row r="108" spans="1:15" s="975" customFormat="1">
      <c r="A108" s="1582" t="s">
        <v>79</v>
      </c>
      <c r="B108" s="1583"/>
      <c r="C108" s="1057"/>
      <c r="D108" s="1053" t="s">
        <v>144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77" t="s">
        <v>220</v>
      </c>
      <c r="B109" s="1578"/>
      <c r="C109" s="1057"/>
      <c r="D109" s="1053" t="s">
        <v>144</v>
      </c>
      <c r="E109" s="1054">
        <f>'22'!F109</f>
        <v>55969</v>
      </c>
      <c r="F109" s="1054">
        <v>56028</v>
      </c>
      <c r="G109" s="1054">
        <f>F109-E109</f>
        <v>59</v>
      </c>
      <c r="H109" s="1055">
        <f>SUM(G109+'1'!G81)</f>
        <v>135</v>
      </c>
      <c r="I109" s="1054"/>
      <c r="J109" s="1056">
        <f>H109/DAY(B2)</f>
        <v>5.8695652173913047</v>
      </c>
      <c r="N109" s="1093"/>
      <c r="O109" s="930"/>
    </row>
    <row r="110" spans="1:15" s="975" customFormat="1">
      <c r="A110" s="1577" t="s">
        <v>221</v>
      </c>
      <c r="B110" s="1578"/>
      <c r="C110" s="1057"/>
      <c r="D110" s="1053" t="s">
        <v>144</v>
      </c>
      <c r="E110" s="1054">
        <f>'22'!F110</f>
        <v>29982</v>
      </c>
      <c r="F110" s="1366">
        <v>30071</v>
      </c>
      <c r="G110" s="1054">
        <f t="shared" ref="G110:G111" si="13">F110-E110</f>
        <v>89</v>
      </c>
      <c r="H110" s="1055">
        <f>SUM(G110+'1'!G82)</f>
        <v>134</v>
      </c>
      <c r="I110" s="1054"/>
      <c r="J110" s="1056">
        <f>H110/DAY(B2)</f>
        <v>5.8260869565217392</v>
      </c>
      <c r="N110" s="1093"/>
      <c r="O110" s="930"/>
    </row>
    <row r="111" spans="1:15" s="975" customFormat="1">
      <c r="A111" s="1577" t="s">
        <v>222</v>
      </c>
      <c r="B111" s="1578"/>
      <c r="C111" s="1057"/>
      <c r="D111" s="1053" t="s">
        <v>144</v>
      </c>
      <c r="E111" s="1054">
        <f>'22'!F111</f>
        <v>3946</v>
      </c>
      <c r="F111" s="1366">
        <v>3951</v>
      </c>
      <c r="G111" s="1054">
        <f t="shared" si="13"/>
        <v>5</v>
      </c>
      <c r="H111" s="1055">
        <f>SUM(G111+'1'!G83)</f>
        <v>438</v>
      </c>
      <c r="I111" s="1054"/>
      <c r="J111" s="1056">
        <f>H111/DAY(B2)</f>
        <v>19.043478260869566</v>
      </c>
      <c r="N111" s="1093"/>
      <c r="O111" s="930"/>
    </row>
    <row r="112" spans="1:15" s="975" customFormat="1">
      <c r="A112" s="1587" t="s">
        <v>110</v>
      </c>
      <c r="B112" s="1588"/>
      <c r="C112" s="1057"/>
      <c r="D112" s="1053"/>
      <c r="E112" s="1054">
        <f>'22'!F112</f>
        <v>0</v>
      </c>
      <c r="F112" s="1054"/>
      <c r="G112" s="1054">
        <f>SUM(G109:G111)</f>
        <v>153</v>
      </c>
      <c r="H112" s="1055">
        <f>SUM(G112+'1'!G84)</f>
        <v>674</v>
      </c>
      <c r="I112" s="1054"/>
      <c r="J112" s="1056">
        <f>H112/DAY(B2)</f>
        <v>29.304347826086957</v>
      </c>
      <c r="N112" s="1093"/>
      <c r="O112" s="930"/>
    </row>
    <row r="113" spans="1:15" s="975" customFormat="1">
      <c r="A113" s="1582" t="s">
        <v>223</v>
      </c>
      <c r="B113" s="1583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77" t="s">
        <v>224</v>
      </c>
      <c r="B114" s="1578"/>
      <c r="C114" s="1059"/>
      <c r="D114" s="1053" t="s">
        <v>144</v>
      </c>
      <c r="E114" s="1054">
        <f>'22'!F114</f>
        <v>10189</v>
      </c>
      <c r="F114" s="1058">
        <v>10203</v>
      </c>
      <c r="G114" s="1058">
        <f>F114-E114</f>
        <v>14</v>
      </c>
      <c r="H114" s="1055">
        <f>SUM(G114+'1'!G91)</f>
        <v>14</v>
      </c>
      <c r="I114" s="1054"/>
      <c r="J114" s="1056">
        <f>H114/DAY(B2)</f>
        <v>0.60869565217391308</v>
      </c>
      <c r="N114" s="1093"/>
      <c r="O114" s="930"/>
    </row>
    <row r="115" spans="1:15" s="975" customFormat="1">
      <c r="A115" s="1577" t="s">
        <v>225</v>
      </c>
      <c r="B115" s="1578"/>
      <c r="C115" s="1059"/>
      <c r="D115" s="1053" t="s">
        <v>144</v>
      </c>
      <c r="E115" s="1054">
        <f>'22'!F115</f>
        <v>7595</v>
      </c>
      <c r="F115" s="1058">
        <v>7597</v>
      </c>
      <c r="G115" s="1058">
        <f t="shared" ref="G115:G116" si="14">F115-E115</f>
        <v>2</v>
      </c>
      <c r="H115" s="1055">
        <f>SUM(G115+'1'!G92)</f>
        <v>89</v>
      </c>
      <c r="I115" s="1054"/>
      <c r="J115" s="1056">
        <f>H115/DAY(B2)</f>
        <v>3.8695652173913042</v>
      </c>
      <c r="N115" s="1093"/>
      <c r="O115" s="930"/>
    </row>
    <row r="116" spans="1:15" s="975" customFormat="1">
      <c r="A116" s="1577" t="s">
        <v>226</v>
      </c>
      <c r="B116" s="1578"/>
      <c r="C116" s="1059"/>
      <c r="D116" s="1053" t="s">
        <v>144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>
      <c r="A117" s="1580" t="s">
        <v>202</v>
      </c>
      <c r="B117" s="1581"/>
      <c r="C117" s="1059"/>
      <c r="D117" s="1060"/>
      <c r="E117" s="1058"/>
      <c r="F117" s="1058"/>
      <c r="G117" s="1058">
        <f>SUM(G114:G116)</f>
        <v>16</v>
      </c>
      <c r="H117" s="1055">
        <f>SUM(G117+'1'!G95)</f>
        <v>88</v>
      </c>
      <c r="I117" s="1058"/>
      <c r="J117" s="1056">
        <f>H117/DAY(B2)</f>
        <v>3.8260869565217392</v>
      </c>
      <c r="N117" s="1098"/>
      <c r="O117" s="930"/>
    </row>
    <row r="118" spans="1:15" s="851" customFormat="1">
      <c r="A118" s="1591" t="s">
        <v>227</v>
      </c>
      <c r="B118" s="1592"/>
      <c r="C118" s="1062"/>
      <c r="D118" s="1063" t="s">
        <v>144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7.7391304347826084</v>
      </c>
      <c r="N118" s="1099" t="s">
        <v>215</v>
      </c>
      <c r="O118" s="930"/>
    </row>
    <row r="119" spans="1:15" s="851" customFormat="1">
      <c r="A119" s="1591" t="s">
        <v>228</v>
      </c>
      <c r="B119" s="1592"/>
      <c r="C119" s="1062"/>
      <c r="D119" s="1063" t="s">
        <v>144</v>
      </c>
      <c r="E119" s="1064"/>
      <c r="F119" s="1065">
        <f>SUM(G95,G96,G97,G99,G100)</f>
        <v>152</v>
      </c>
      <c r="G119" s="1065">
        <f>SUM(G95,G96,G97,G99,G100)</f>
        <v>152</v>
      </c>
      <c r="H119" s="1055">
        <f>SUM(G119+'1'!G98)</f>
        <v>235</v>
      </c>
      <c r="I119" s="1064"/>
      <c r="J119" s="1066">
        <f>H119/DAY(B2)</f>
        <v>10.217391304347826</v>
      </c>
      <c r="N119" s="1099"/>
      <c r="O119" s="930"/>
    </row>
    <row r="120" spans="1:15" s="851" customFormat="1">
      <c r="A120" s="1591" t="s">
        <v>229</v>
      </c>
      <c r="B120" s="1592"/>
      <c r="C120" s="1062"/>
      <c r="D120" s="1063" t="s">
        <v>144</v>
      </c>
      <c r="E120" s="1064"/>
      <c r="F120" s="1058">
        <f>SUM(G112)</f>
        <v>153</v>
      </c>
      <c r="G120" s="1058">
        <f>SUM(G112)</f>
        <v>153</v>
      </c>
      <c r="H120" s="1055">
        <f>SUM(G120+'1'!G100)</f>
        <v>159</v>
      </c>
      <c r="I120" s="1064"/>
      <c r="J120" s="1066">
        <f>H120/DAY(B2)</f>
        <v>6.9130434782608692</v>
      </c>
      <c r="N120" s="1099"/>
      <c r="O120" s="930"/>
    </row>
    <row r="121" spans="1:15" s="975" customFormat="1">
      <c r="A121" s="1589"/>
      <c r="B121" s="1590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>
      <c r="A122" s="1570" t="s">
        <v>230</v>
      </c>
      <c r="B122" s="1571"/>
      <c r="C122" s="1572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231</v>
      </c>
      <c r="B123" s="953"/>
      <c r="C123" s="953"/>
      <c r="D123" s="923" t="s">
        <v>141</v>
      </c>
      <c r="E123" s="924">
        <f>'22'!F123</f>
        <v>809453</v>
      </c>
      <c r="F123" s="958">
        <v>809705</v>
      </c>
      <c r="G123" s="925">
        <f>F123-E123</f>
        <v>252</v>
      </c>
      <c r="H123" s="926">
        <f>G123+'22'!H123</f>
        <v>6369.5999999999767</v>
      </c>
      <c r="I123" s="1042"/>
      <c r="J123" s="928">
        <f>H123/DAY(B2)</f>
        <v>276.93913043478159</v>
      </c>
      <c r="K123" s="1024"/>
      <c r="L123" s="903"/>
      <c r="O123" s="930"/>
    </row>
    <row r="124" spans="1:15">
      <c r="A124" s="952" t="s">
        <v>232</v>
      </c>
      <c r="B124" s="953"/>
      <c r="C124" s="953"/>
      <c r="D124" s="923" t="s">
        <v>141</v>
      </c>
      <c r="E124" s="924">
        <f>'22'!F124</f>
        <v>73583</v>
      </c>
      <c r="F124" s="958">
        <v>73583</v>
      </c>
      <c r="G124" s="925">
        <f t="shared" ref="G124:G127" si="15">F124-E124</f>
        <v>0</v>
      </c>
      <c r="H124" s="926">
        <f>G124+'22'!H124</f>
        <v>1</v>
      </c>
      <c r="I124" s="1042"/>
      <c r="J124" s="928">
        <f>H124/DAY(B2)</f>
        <v>4.3478260869565216E-2</v>
      </c>
      <c r="K124" s="1024"/>
      <c r="L124" s="903"/>
      <c r="O124" s="930"/>
    </row>
    <row r="125" spans="1:15">
      <c r="A125" s="1538" t="s">
        <v>233</v>
      </c>
      <c r="B125" s="1539"/>
      <c r="C125" s="1540"/>
      <c r="D125" s="923" t="s">
        <v>141</v>
      </c>
      <c r="E125" s="924">
        <f>'22'!F125</f>
        <v>139558</v>
      </c>
      <c r="F125" s="958">
        <v>139635</v>
      </c>
      <c r="G125" s="925">
        <f t="shared" si="15"/>
        <v>77</v>
      </c>
      <c r="H125" s="926">
        <f>G125+'22'!H125</f>
        <v>1787</v>
      </c>
      <c r="I125" s="1042"/>
      <c r="J125" s="928">
        <f>H125/DAY(B2)</f>
        <v>77.695652173913047</v>
      </c>
      <c r="K125" s="1024"/>
      <c r="L125" s="903"/>
      <c r="O125" s="930"/>
    </row>
    <row r="126" spans="1:15">
      <c r="A126" s="1071" t="s">
        <v>234</v>
      </c>
      <c r="B126" s="953"/>
      <c r="C126" s="953"/>
      <c r="D126" s="923" t="s">
        <v>141</v>
      </c>
      <c r="E126" s="924">
        <f>'22'!F126</f>
        <v>59157</v>
      </c>
      <c r="F126" s="958">
        <v>59179</v>
      </c>
      <c r="G126" s="925">
        <f t="shared" si="15"/>
        <v>22</v>
      </c>
      <c r="H126" s="926">
        <f>G126+'22'!H126</f>
        <v>787.30000000000291</v>
      </c>
      <c r="I126" s="1042"/>
      <c r="J126" s="928">
        <f>H126/DAY(B2)</f>
        <v>34.230434782608825</v>
      </c>
      <c r="K126" s="1024"/>
      <c r="L126" s="903"/>
      <c r="O126" s="930"/>
    </row>
    <row r="127" spans="1:15">
      <c r="A127" s="1071" t="s">
        <v>235</v>
      </c>
      <c r="B127" s="953"/>
      <c r="C127" s="953"/>
      <c r="D127" s="923" t="s">
        <v>141</v>
      </c>
      <c r="E127" s="924">
        <f>'22'!F127</f>
        <v>8878</v>
      </c>
      <c r="F127" s="958">
        <v>8880</v>
      </c>
      <c r="G127" s="925">
        <f t="shared" si="15"/>
        <v>2</v>
      </c>
      <c r="H127" s="926">
        <f>G127+'22'!H127</f>
        <v>64</v>
      </c>
      <c r="I127" s="945"/>
      <c r="J127" s="928">
        <f>H127/DAY(B2)</f>
        <v>2.7826086956521738</v>
      </c>
      <c r="K127" s="1024"/>
      <c r="L127" s="903"/>
      <c r="O127" s="930"/>
    </row>
    <row r="128" spans="1:1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619.81000000005588</v>
      </c>
      <c r="H128" s="926">
        <f>G128+'22'!H128</f>
        <v>4626.3199999999088</v>
      </c>
      <c r="I128" s="945"/>
      <c r="J128" s="928">
        <f>H128/DAY(B2)</f>
        <v>201.14434782608299</v>
      </c>
      <c r="K128" s="1024"/>
      <c r="L128" s="903"/>
      <c r="O128" s="930"/>
    </row>
    <row r="129" spans="1:1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238</v>
      </c>
      <c r="B130" s="953"/>
      <c r="C130" s="953"/>
      <c r="D130" s="923" t="s">
        <v>239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>
      <c r="A131" s="952" t="s">
        <v>240</v>
      </c>
      <c r="B131" s="953"/>
      <c r="C131" s="953"/>
      <c r="D131" s="923" t="s">
        <v>239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>
      <c r="A132" s="952" t="s">
        <v>241</v>
      </c>
      <c r="B132" s="953"/>
      <c r="C132" s="953"/>
      <c r="D132" s="923" t="s">
        <v>239</v>
      </c>
      <c r="E132" s="924">
        <f>'22'!F132</f>
        <v>38829.480000000003</v>
      </c>
      <c r="F132" s="1075">
        <v>38829.480000000003</v>
      </c>
      <c r="G132" s="925">
        <f t="shared" si="16"/>
        <v>0</v>
      </c>
      <c r="H132" s="926">
        <f>G132+'22'!H132</f>
        <v>111.08999999999651</v>
      </c>
      <c r="I132" s="945"/>
      <c r="J132" s="928">
        <f>H132/DAY(B2)</f>
        <v>4.8299999999998482</v>
      </c>
      <c r="O132" s="930"/>
    </row>
    <row r="133" spans="1:15">
      <c r="A133" s="952" t="s">
        <v>242</v>
      </c>
      <c r="B133" s="953"/>
      <c r="C133" s="953"/>
      <c r="D133" s="923" t="s">
        <v>239</v>
      </c>
      <c r="E133" s="924">
        <f>'22'!F133</f>
        <v>299.52</v>
      </c>
      <c r="F133" s="1075">
        <v>299.52</v>
      </c>
      <c r="G133" s="925">
        <f t="shared" si="16"/>
        <v>0</v>
      </c>
      <c r="H133" s="926">
        <f>G133+'22'!H133</f>
        <v>0.51999999999998181</v>
      </c>
      <c r="I133" s="945">
        <f>G130+G131+G132+G133</f>
        <v>0</v>
      </c>
      <c r="J133" s="928">
        <f>H133/DAY(B2)</f>
        <v>2.2608695652173123E-2</v>
      </c>
      <c r="O133" s="930"/>
    </row>
    <row r="134" spans="1:15">
      <c r="A134" s="952" t="s">
        <v>243</v>
      </c>
      <c r="B134" s="953"/>
      <c r="C134" s="953"/>
      <c r="D134" s="923" t="s">
        <v>239</v>
      </c>
      <c r="E134" s="924">
        <f>'22'!F134</f>
        <v>40260.519999999997</v>
      </c>
      <c r="F134" s="1075">
        <v>40260.519999999997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>
      <c r="A135" s="952" t="s">
        <v>244</v>
      </c>
      <c r="B135" s="953"/>
      <c r="C135" s="953"/>
      <c r="D135" s="923" t="s">
        <v>239</v>
      </c>
      <c r="E135" s="924">
        <f>'22'!F135</f>
        <v>32530</v>
      </c>
      <c r="F135" s="1075">
        <v>32554.48</v>
      </c>
      <c r="G135" s="925">
        <f t="shared" si="16"/>
        <v>24.479999999999563</v>
      </c>
      <c r="H135" s="926">
        <v>13</v>
      </c>
      <c r="I135" s="945"/>
      <c r="J135" s="928">
        <f>H135/DAY(B2)</f>
        <v>0.56521739130434778</v>
      </c>
      <c r="O135" s="930"/>
    </row>
    <row r="136" spans="1:15">
      <c r="A136" s="952" t="s">
        <v>245</v>
      </c>
      <c r="B136" s="953"/>
      <c r="C136" s="953"/>
      <c r="D136" s="923" t="s">
        <v>239</v>
      </c>
      <c r="E136" s="924">
        <f>'22'!F136</f>
        <v>22173.49</v>
      </c>
      <c r="F136" s="1075">
        <v>22183</v>
      </c>
      <c r="G136" s="925">
        <f t="shared" si="16"/>
        <v>9.5099999999983993</v>
      </c>
      <c r="H136" s="926">
        <f>G136+'22'!H136</f>
        <v>181.04000000000087</v>
      </c>
      <c r="I136" s="945">
        <f>G134+G135+G136</f>
        <v>33.989999999997963</v>
      </c>
      <c r="J136" s="928">
        <f>H136/DAY(B2)</f>
        <v>7.8713043478261246</v>
      </c>
      <c r="O136" s="930"/>
    </row>
    <row r="137" spans="1:15">
      <c r="A137" s="952" t="s">
        <v>246</v>
      </c>
      <c r="B137" s="953"/>
      <c r="C137" s="953"/>
      <c r="D137" s="923" t="s">
        <v>239</v>
      </c>
      <c r="E137" s="924">
        <f>'22'!F137</f>
        <v>25036.560000000001</v>
      </c>
      <c r="F137" s="1075">
        <v>25036.560000000001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>
      <c r="A138" s="952" t="s">
        <v>247</v>
      </c>
      <c r="B138" s="953"/>
      <c r="C138" s="953"/>
      <c r="D138" s="923" t="s">
        <v>239</v>
      </c>
      <c r="E138" s="924">
        <f>'22'!F138</f>
        <v>70124.91</v>
      </c>
      <c r="F138" s="1075">
        <v>70130.850000000006</v>
      </c>
      <c r="G138" s="925">
        <f t="shared" si="16"/>
        <v>5.9400000000023283</v>
      </c>
      <c r="H138" s="926">
        <v>15</v>
      </c>
      <c r="I138" s="945">
        <f>G137+G138</f>
        <v>5.9400000000023283</v>
      </c>
      <c r="J138" s="928">
        <f>H138/DAY(B2)</f>
        <v>0.65217391304347827</v>
      </c>
      <c r="O138" s="930"/>
    </row>
    <row r="139" spans="1:15">
      <c r="A139" s="952" t="s">
        <v>248</v>
      </c>
      <c r="B139" s="953"/>
      <c r="C139" s="953"/>
      <c r="D139" s="923" t="s">
        <v>239</v>
      </c>
      <c r="E139" s="924">
        <f>'22'!F139</f>
        <v>1378.28</v>
      </c>
      <c r="F139" s="954">
        <v>1385.51</v>
      </c>
      <c r="G139" s="925">
        <f t="shared" si="16"/>
        <v>7.2300000000000182</v>
      </c>
      <c r="H139" s="926">
        <f>G139+'22'!H139</f>
        <v>184.92000000000007</v>
      </c>
      <c r="I139" s="1076"/>
      <c r="J139" s="928">
        <f>H139/DAY(B2)</f>
        <v>8.0400000000000027</v>
      </c>
      <c r="O139" s="930"/>
    </row>
    <row r="140" spans="1:15">
      <c r="A140" s="952" t="s">
        <v>249</v>
      </c>
      <c r="B140" s="953"/>
      <c r="C140" s="953"/>
      <c r="D140" s="923" t="s">
        <v>239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>
      <c r="A141" s="1573" t="s">
        <v>250</v>
      </c>
      <c r="B141" s="1574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41" t="s">
        <v>251</v>
      </c>
      <c r="B142" s="1542"/>
      <c r="C142" s="1543"/>
      <c r="D142" s="923" t="s">
        <v>132</v>
      </c>
      <c r="E142" s="923"/>
      <c r="F142" s="923"/>
      <c r="G142" s="926">
        <f>G35+G43+G49+G57</f>
        <v>5354</v>
      </c>
      <c r="H142" s="926">
        <f>G142+'22'!H142</f>
        <v>115342.93</v>
      </c>
      <c r="I142" s="945"/>
      <c r="J142" s="928">
        <f>H142/DAY(B2)</f>
        <v>5014.91</v>
      </c>
      <c r="K142" s="1024"/>
      <c r="L142" s="903"/>
      <c r="O142" s="930"/>
    </row>
    <row r="143" spans="1:15">
      <c r="A143" s="1541" t="s">
        <v>252</v>
      </c>
      <c r="B143" s="1542"/>
      <c r="C143" s="1543"/>
      <c r="D143" s="923" t="s">
        <v>24</v>
      </c>
      <c r="E143" s="910"/>
      <c r="F143" s="910"/>
      <c r="G143" s="1077">
        <f>G142/G7</f>
        <v>0.25168053401024776</v>
      </c>
      <c r="H143" s="926">
        <f>G143+'22'!H143</f>
        <v>5.7124168088406844</v>
      </c>
      <c r="I143" s="1078"/>
      <c r="J143" s="928">
        <f>H143/DAY(B2)</f>
        <v>0.24836594821046454</v>
      </c>
      <c r="K143" s="1024"/>
      <c r="L143" s="903"/>
      <c r="O143" s="930"/>
    </row>
    <row r="144" spans="1:15">
      <c r="A144" s="1541" t="s">
        <v>253</v>
      </c>
      <c r="B144" s="1542"/>
      <c r="C144" s="1543"/>
      <c r="D144" s="923" t="s">
        <v>132</v>
      </c>
      <c r="E144" s="924"/>
      <c r="F144" s="924"/>
      <c r="G144" s="926">
        <f>G41+G42+G55+G56</f>
        <v>5151</v>
      </c>
      <c r="H144" s="926">
        <f>G144+'22'!H144</f>
        <v>99366.989999999962</v>
      </c>
      <c r="I144" s="945"/>
      <c r="J144" s="928">
        <f>H144/DAY(B2)</f>
        <v>4320.3039130434763</v>
      </c>
      <c r="K144" s="1024"/>
      <c r="L144" s="903"/>
      <c r="O144" s="930"/>
    </row>
    <row r="145" spans="1:15">
      <c r="A145" s="1541" t="s">
        <v>254</v>
      </c>
      <c r="B145" s="1542"/>
      <c r="C145" s="1543"/>
      <c r="D145" s="923" t="s">
        <v>24</v>
      </c>
      <c r="E145" s="924"/>
      <c r="F145" s="924"/>
      <c r="G145" s="1077">
        <f>G144/G7</f>
        <v>0.24213792130870118</v>
      </c>
      <c r="H145" s="926">
        <f>G145+'22'!H145</f>
        <v>5.0590312864944442</v>
      </c>
      <c r="I145" s="1078"/>
      <c r="J145" s="928">
        <f>H145/DAY(B2)</f>
        <v>0.21995788202149757</v>
      </c>
      <c r="K145" s="1024"/>
      <c r="L145" s="903"/>
      <c r="O145" s="930"/>
    </row>
    <row r="146" spans="1:15">
      <c r="A146" s="1541" t="s">
        <v>255</v>
      </c>
      <c r="B146" s="1542"/>
      <c r="C146" s="1543"/>
      <c r="D146" s="923" t="s">
        <v>132</v>
      </c>
      <c r="E146" s="924"/>
      <c r="F146" s="924"/>
      <c r="G146" s="926">
        <f>G39+G53</f>
        <v>4149.8300000000017</v>
      </c>
      <c r="H146" s="926">
        <f>G146+'22'!H146</f>
        <v>97301.559999999969</v>
      </c>
      <c r="I146" s="1079"/>
      <c r="J146" s="928">
        <f>H146/DAY(B2)</f>
        <v>4230.5026086956505</v>
      </c>
      <c r="K146" s="1024"/>
      <c r="L146" s="903"/>
      <c r="O146" s="930"/>
    </row>
    <row r="147" spans="1:15">
      <c r="A147" s="1541" t="s">
        <v>256</v>
      </c>
      <c r="B147" s="1542"/>
      <c r="C147" s="1543"/>
      <c r="D147" s="923" t="s">
        <v>24</v>
      </c>
      <c r="E147" s="924"/>
      <c r="F147" s="924"/>
      <c r="G147" s="1077">
        <f>G146/G7</f>
        <v>0.19507497767122653</v>
      </c>
      <c r="H147" s="926">
        <f>G147+'22'!H147</f>
        <v>4.9874818441559494</v>
      </c>
      <c r="I147" s="1079"/>
      <c r="J147" s="928">
        <f>H147/DAY(B2)</f>
        <v>0.21684703670243258</v>
      </c>
      <c r="O147" s="930"/>
    </row>
    <row r="148" spans="1:15">
      <c r="A148" s="1541" t="s">
        <v>257</v>
      </c>
      <c r="B148" s="1542"/>
      <c r="C148" s="1543"/>
      <c r="D148" s="923" t="s">
        <v>183</v>
      </c>
      <c r="E148" s="924"/>
      <c r="F148" s="924"/>
      <c r="G148" s="926">
        <f>G38+G52</f>
        <v>2020</v>
      </c>
      <c r="H148" s="926">
        <f>G148+'22'!H148</f>
        <v>47273.450000000012</v>
      </c>
      <c r="I148" s="945"/>
      <c r="J148" s="928">
        <f>H148/DAY(B2)</f>
        <v>2055.3673913043485</v>
      </c>
      <c r="K148" s="1080"/>
      <c r="O148" s="930"/>
    </row>
    <row r="149" spans="1:15">
      <c r="A149" s="1541" t="s">
        <v>258</v>
      </c>
      <c r="B149" s="1542"/>
      <c r="C149" s="1543"/>
      <c r="D149" s="923" t="s">
        <v>24</v>
      </c>
      <c r="E149" s="924"/>
      <c r="F149" s="924"/>
      <c r="G149" s="1077">
        <f>G148/G7</f>
        <v>9.4956047572039681E-2</v>
      </c>
      <c r="H149" s="926">
        <f>G149+'22'!H149</f>
        <v>2.4184678740699761</v>
      </c>
      <c r="I149" s="1079"/>
      <c r="J149" s="928">
        <f>H149/DAY(B2)</f>
        <v>0.10515077713347722</v>
      </c>
      <c r="O149" s="930"/>
    </row>
    <row r="150" spans="1:15">
      <c r="A150" s="1541" t="s">
        <v>259</v>
      </c>
      <c r="B150" s="1542"/>
      <c r="C150" s="1543"/>
      <c r="D150" s="923" t="s">
        <v>183</v>
      </c>
      <c r="E150" s="924"/>
      <c r="F150" s="924"/>
      <c r="G150" s="926">
        <f>G36+G50</f>
        <v>2295.710000000021</v>
      </c>
      <c r="H150" s="926">
        <f>G150+'22'!H150</f>
        <v>44151.950000000012</v>
      </c>
      <c r="I150" s="1079"/>
      <c r="J150" s="928">
        <f>H150/DAY(B2)</f>
        <v>1919.6500000000005</v>
      </c>
      <c r="O150" s="930"/>
    </row>
    <row r="151" spans="1:15">
      <c r="A151" s="1541" t="s">
        <v>260</v>
      </c>
      <c r="B151" s="1542"/>
      <c r="C151" s="1543"/>
      <c r="D151" s="923" t="s">
        <v>24</v>
      </c>
      <c r="E151" s="924"/>
      <c r="F151" s="924"/>
      <c r="G151" s="1077">
        <f>G150/G7</f>
        <v>0.10791660790673722</v>
      </c>
      <c r="H151" s="926">
        <f>G151+'22'!H151</f>
        <v>2.2476198391376498</v>
      </c>
      <c r="I151" s="945"/>
      <c r="J151" s="928">
        <f>H151/DAY(B2)</f>
        <v>9.7722601701636949E-2</v>
      </c>
      <c r="O151" s="930"/>
    </row>
    <row r="152" spans="1:15">
      <c r="A152" s="1541" t="s">
        <v>261</v>
      </c>
      <c r="B152" s="1542"/>
      <c r="C152" s="1543"/>
      <c r="D152" s="923" t="s">
        <v>183</v>
      </c>
      <c r="E152" s="924"/>
      <c r="F152" s="924"/>
      <c r="G152" s="926">
        <f>G37+G51</f>
        <v>1462</v>
      </c>
      <c r="H152" s="926">
        <f>G152+'22'!H152</f>
        <v>34618.259999999995</v>
      </c>
      <c r="I152" s="945"/>
      <c r="J152" s="928">
        <f>H152/DAY(B2)</f>
        <v>1505.1417391304346</v>
      </c>
      <c r="O152" s="930"/>
    </row>
    <row r="153" spans="1:15" ht="21" thickBot="1">
      <c r="A153" s="1584" t="s">
        <v>262</v>
      </c>
      <c r="B153" s="1585"/>
      <c r="C153" s="1586"/>
      <c r="D153" s="1081" t="s">
        <v>24</v>
      </c>
      <c r="E153" s="1082"/>
      <c r="F153" s="1082"/>
      <c r="G153" s="1083">
        <f>G152/G7</f>
        <v>6.8725614628872278E-2</v>
      </c>
      <c r="H153" s="926">
        <f>G153+'22'!H153</f>
        <v>1.7793360462772467</v>
      </c>
      <c r="I153" s="1084"/>
      <c r="J153" s="1085">
        <f>H153/DAY(B2)</f>
        <v>7.7362436794662898E-2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263</v>
      </c>
      <c r="B160" s="1076"/>
      <c r="C160" s="1076"/>
      <c r="D160" s="910" t="s">
        <v>187</v>
      </c>
      <c r="E160" s="924">
        <f>'22'!F160</f>
        <v>30284</v>
      </c>
      <c r="F160" s="1101">
        <v>30369.52</v>
      </c>
      <c r="G160" s="925">
        <f t="shared" ref="G160:G163" si="17">F160-E160</f>
        <v>85.520000000000437</v>
      </c>
    </row>
    <row r="161" spans="1:10" ht="21.75" customHeight="1">
      <c r="A161" s="1076" t="s">
        <v>264</v>
      </c>
      <c r="B161" s="1076"/>
      <c r="C161" s="1076"/>
      <c r="D161" s="910" t="s">
        <v>187</v>
      </c>
      <c r="E161" s="924">
        <f>'22'!F161</f>
        <v>52415</v>
      </c>
      <c r="F161" s="1101">
        <v>52872</v>
      </c>
      <c r="G161" s="925">
        <f t="shared" si="17"/>
        <v>457</v>
      </c>
    </row>
    <row r="162" spans="1:10" ht="21.75" customHeight="1">
      <c r="A162" s="1076" t="s">
        <v>265</v>
      </c>
      <c r="B162" s="1076"/>
      <c r="C162" s="1076"/>
      <c r="D162" s="910" t="s">
        <v>187</v>
      </c>
      <c r="E162" s="924">
        <f>'22'!F162</f>
        <v>18925</v>
      </c>
      <c r="F162" s="1101">
        <v>19184</v>
      </c>
      <c r="G162" s="925">
        <f t="shared" si="17"/>
        <v>259</v>
      </c>
    </row>
    <row r="163" spans="1:10" ht="21.75" customHeight="1">
      <c r="A163" s="1076" t="s">
        <v>266</v>
      </c>
      <c r="B163" s="1076"/>
      <c r="C163" s="1076"/>
      <c r="D163" s="910" t="s">
        <v>187</v>
      </c>
      <c r="E163" s="924">
        <f>'22'!F163</f>
        <v>5315</v>
      </c>
      <c r="F163" s="1101">
        <v>5320</v>
      </c>
      <c r="G163" s="925">
        <f t="shared" si="17"/>
        <v>5</v>
      </c>
    </row>
    <row r="164" spans="1:10" ht="21.75" customHeight="1">
      <c r="A164" s="1006" t="s">
        <v>98</v>
      </c>
      <c r="B164" s="1006"/>
      <c r="C164" s="1006"/>
      <c r="D164" s="910" t="s">
        <v>187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0"/>
    </row>
    <row r="165" spans="1:10" ht="21.75" customHeight="1">
      <c r="A165" s="1006" t="s">
        <v>188</v>
      </c>
      <c r="B165" s="1006"/>
      <c r="C165" s="1006"/>
      <c r="D165" s="910" t="s">
        <v>187</v>
      </c>
      <c r="E165" s="1007">
        <f t="shared" ref="E165:E171" si="19">E63</f>
        <v>1624</v>
      </c>
      <c r="F165" s="1007">
        <f t="shared" ref="F165:F171" si="20">F63</f>
        <v>1635</v>
      </c>
      <c r="G165" s="925">
        <f t="shared" si="18"/>
        <v>11</v>
      </c>
    </row>
    <row r="166" spans="1:10" ht="21.75" customHeight="1">
      <c r="A166" s="1593" t="s">
        <v>99</v>
      </c>
      <c r="B166" s="1593"/>
      <c r="C166" s="1593"/>
      <c r="D166" s="923" t="s">
        <v>187</v>
      </c>
      <c r="E166" s="1007">
        <f t="shared" si="19"/>
        <v>120508</v>
      </c>
      <c r="F166" s="1007">
        <f t="shared" si="20"/>
        <v>121047</v>
      </c>
      <c r="G166" s="925">
        <f t="shared" si="18"/>
        <v>539</v>
      </c>
    </row>
    <row r="167" spans="1:10" ht="21.75" customHeight="1">
      <c r="A167" s="1593" t="s">
        <v>100</v>
      </c>
      <c r="B167" s="1593"/>
      <c r="C167" s="1593"/>
      <c r="D167" s="923" t="s">
        <v>187</v>
      </c>
      <c r="E167" s="1007">
        <f t="shared" si="19"/>
        <v>130228</v>
      </c>
      <c r="F167" s="1007">
        <f t="shared" si="20"/>
        <v>130609</v>
      </c>
      <c r="G167" s="925">
        <f t="shared" si="18"/>
        <v>381</v>
      </c>
    </row>
    <row r="168" spans="1:10" ht="21.75" customHeight="1">
      <c r="A168" s="1593" t="s">
        <v>101</v>
      </c>
      <c r="B168" s="1593"/>
      <c r="C168" s="1593"/>
      <c r="D168" s="923" t="s">
        <v>187</v>
      </c>
      <c r="E168" s="1007">
        <f t="shared" si="19"/>
        <v>22819</v>
      </c>
      <c r="F168" s="1007">
        <f t="shared" si="20"/>
        <v>23194</v>
      </c>
      <c r="G168" s="925">
        <f t="shared" si="18"/>
        <v>375</v>
      </c>
    </row>
    <row r="169" spans="1:10">
      <c r="A169" s="1593" t="s">
        <v>102</v>
      </c>
      <c r="B169" s="1593"/>
      <c r="C169" s="1593"/>
      <c r="D169" s="923" t="s">
        <v>187</v>
      </c>
      <c r="E169" s="1007">
        <f t="shared" si="19"/>
        <v>203982</v>
      </c>
      <c r="F169" s="1007">
        <f t="shared" si="20"/>
        <v>204621</v>
      </c>
      <c r="G169" s="925">
        <f t="shared" si="18"/>
        <v>639</v>
      </c>
    </row>
    <row r="170" spans="1:10" ht="24" customHeight="1">
      <c r="A170" s="1593" t="s">
        <v>103</v>
      </c>
      <c r="B170" s="1593"/>
      <c r="C170" s="1593"/>
      <c r="D170" s="923" t="s">
        <v>187</v>
      </c>
      <c r="E170" s="1007">
        <f t="shared" si="19"/>
        <v>70793</v>
      </c>
      <c r="F170" s="1007">
        <f t="shared" si="20"/>
        <v>71085</v>
      </c>
      <c r="G170" s="925">
        <f t="shared" si="18"/>
        <v>292</v>
      </c>
      <c r="J170" s="1161"/>
    </row>
    <row r="171" spans="1:10">
      <c r="A171" s="1593" t="s">
        <v>104</v>
      </c>
      <c r="B171" s="1593"/>
      <c r="C171" s="1593"/>
      <c r="D171" s="923" t="s">
        <v>187</v>
      </c>
      <c r="E171" s="1007">
        <f t="shared" si="19"/>
        <v>62487</v>
      </c>
      <c r="F171" s="1007">
        <f t="shared" si="20"/>
        <v>62814</v>
      </c>
      <c r="G171" s="925">
        <f t="shared" si="18"/>
        <v>327</v>
      </c>
    </row>
    <row r="172" spans="1:10">
      <c r="G172" s="1091">
        <f>SUM(G160:G171)</f>
        <v>3370.3199999999997</v>
      </c>
    </row>
    <row r="173" spans="1:10">
      <c r="J173" s="1162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4" zoomScale="68" zoomScaleNormal="44" zoomScaleSheetLayoutView="68" workbookViewId="0">
      <selection activeCell="F105" sqref="F105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5.7773437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3" t="s">
        <v>117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>
      <c r="A2" s="891" t="s">
        <v>318</v>
      </c>
      <c r="B2" s="1164">
        <v>43885</v>
      </c>
      <c r="C2" s="892" t="s">
        <v>69</v>
      </c>
      <c r="D2" s="893">
        <v>0.55000000000000004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>
      <c r="A3" s="896"/>
      <c r="B3" s="897"/>
      <c r="C3" s="892" t="s">
        <v>120</v>
      </c>
      <c r="D3" s="898">
        <v>29</v>
      </c>
      <c r="E3" s="1556" t="s">
        <v>121</v>
      </c>
      <c r="F3" s="1557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122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>
      <c r="A6" s="1550" t="s">
        <v>130</v>
      </c>
      <c r="B6" s="1551"/>
      <c r="C6" s="1552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131</v>
      </c>
      <c r="B7" s="922"/>
      <c r="C7" s="922"/>
      <c r="D7" s="923" t="s">
        <v>132</v>
      </c>
      <c r="E7" s="924">
        <f>'23'!F7</f>
        <v>4338967</v>
      </c>
      <c r="F7" s="924">
        <v>4361777</v>
      </c>
      <c r="G7" s="925">
        <f>F7-E7</f>
        <v>22810</v>
      </c>
      <c r="H7" s="926">
        <f>G7+'23'!H7</f>
        <v>473579</v>
      </c>
      <c r="I7" s="927">
        <f>'1'!I7</f>
        <v>12000</v>
      </c>
      <c r="J7" s="928">
        <f>H7/DAY(B2)</f>
        <v>19732.458333333332</v>
      </c>
      <c r="K7" s="929"/>
      <c r="L7" s="903"/>
      <c r="O7" s="930"/>
    </row>
    <row r="8" spans="1:15" ht="21" thickBot="1">
      <c r="A8" s="931" t="s">
        <v>133</v>
      </c>
      <c r="B8" s="932"/>
      <c r="C8" s="933"/>
      <c r="D8" s="934" t="s">
        <v>25</v>
      </c>
      <c r="E8" s="924">
        <f>'23'!F8</f>
        <v>4366485</v>
      </c>
      <c r="F8" s="935">
        <v>4389441</v>
      </c>
      <c r="G8" s="936">
        <f>F8-E8</f>
        <v>22956</v>
      </c>
      <c r="H8" s="926">
        <f>G8+'23'!H8</f>
        <v>476590</v>
      </c>
      <c r="I8" s="937">
        <f>'1'!I8</f>
        <v>12000</v>
      </c>
      <c r="J8" s="928">
        <f>H8/DAY(B2)</f>
        <v>19857.916666666668</v>
      </c>
      <c r="K8" s="929"/>
      <c r="L8" s="938"/>
      <c r="M8" s="939"/>
      <c r="O8" s="930"/>
    </row>
    <row r="9" spans="1:15">
      <c r="A9" s="940" t="s">
        <v>134</v>
      </c>
      <c r="B9" s="941"/>
      <c r="C9" s="941"/>
      <c r="D9" s="923" t="s">
        <v>132</v>
      </c>
      <c r="E9" s="924">
        <f>'23'!F9</f>
        <v>16762</v>
      </c>
      <c r="F9" s="942">
        <v>31196</v>
      </c>
      <c r="G9" s="925">
        <f t="shared" ref="G9:G12" si="0">F9-E9</f>
        <v>14434</v>
      </c>
      <c r="H9" s="926">
        <f>G9+'23'!H9</f>
        <v>267735.25</v>
      </c>
      <c r="I9" s="943">
        <f>I8-J8</f>
        <v>-7857.9166666666679</v>
      </c>
      <c r="J9" s="928">
        <f>H9/DAY(B2)</f>
        <v>11155.635416666666</v>
      </c>
      <c r="K9" s="944"/>
      <c r="L9" s="903"/>
      <c r="O9" s="930"/>
    </row>
    <row r="10" spans="1:15">
      <c r="A10" s="921" t="s">
        <v>135</v>
      </c>
      <c r="B10" s="922"/>
      <c r="C10" s="922"/>
      <c r="D10" s="923" t="s">
        <v>132</v>
      </c>
      <c r="E10" s="924">
        <f>'23'!F10</f>
        <v>1382944</v>
      </c>
      <c r="F10" s="942">
        <v>1390699</v>
      </c>
      <c r="G10" s="925">
        <f t="shared" si="0"/>
        <v>7755</v>
      </c>
      <c r="H10" s="926">
        <f>G10+'23'!H10</f>
        <v>189824.60000000009</v>
      </c>
      <c r="I10" s="945"/>
      <c r="J10" s="928">
        <f>H10/DAY(B2)</f>
        <v>7909.3583333333372</v>
      </c>
      <c r="K10" s="944"/>
      <c r="L10" s="903"/>
      <c r="M10" s="890" t="s">
        <v>281</v>
      </c>
      <c r="O10" s="930"/>
    </row>
    <row r="11" spans="1:15">
      <c r="A11" s="921" t="s">
        <v>136</v>
      </c>
      <c r="B11" s="922"/>
      <c r="C11" s="922"/>
      <c r="D11" s="923" t="s">
        <v>132</v>
      </c>
      <c r="E11" s="924">
        <f>'23'!F11</f>
        <v>37000</v>
      </c>
      <c r="F11" s="924">
        <v>37000</v>
      </c>
      <c r="G11" s="925">
        <f t="shared" si="0"/>
        <v>0</v>
      </c>
      <c r="H11" s="926">
        <f>G11+'23'!H11</f>
        <v>1610</v>
      </c>
      <c r="I11" s="945"/>
      <c r="J11" s="928">
        <f>H11/DAY(B2)</f>
        <v>67.083333333333329</v>
      </c>
      <c r="K11" s="944"/>
      <c r="L11" s="903"/>
      <c r="O11" s="930"/>
    </row>
    <row r="12" spans="1:15">
      <c r="A12" s="921" t="s">
        <v>137</v>
      </c>
      <c r="B12" s="922"/>
      <c r="C12" s="922"/>
      <c r="D12" s="923" t="s">
        <v>132</v>
      </c>
      <c r="E12" s="924">
        <f>'23'!F12</f>
        <v>40010</v>
      </c>
      <c r="F12" s="942">
        <v>40010</v>
      </c>
      <c r="G12" s="925">
        <f t="shared" si="0"/>
        <v>0</v>
      </c>
      <c r="H12" s="926">
        <f>G12+'23'!H12</f>
        <v>2380</v>
      </c>
      <c r="I12" s="945"/>
      <c r="J12" s="928">
        <f>H12/DAY(B2)</f>
        <v>99.166666666666671</v>
      </c>
      <c r="K12" s="944"/>
      <c r="L12" s="903"/>
      <c r="O12" s="930"/>
    </row>
    <row r="13" spans="1:15">
      <c r="A13" s="946" t="s">
        <v>138</v>
      </c>
      <c r="B13" s="947"/>
      <c r="C13" s="947"/>
      <c r="D13" s="923"/>
      <c r="E13" s="924"/>
      <c r="F13" s="924"/>
      <c r="G13" s="948">
        <f>G9+G10+G11+G12</f>
        <v>22189</v>
      </c>
      <c r="H13" s="926">
        <f>G13+'23'!H13</f>
        <v>443243.85000000009</v>
      </c>
      <c r="I13" s="949">
        <f>G7-G13</f>
        <v>621</v>
      </c>
      <c r="J13" s="928">
        <f>H13/DAY(B2)</f>
        <v>18468.493750000005</v>
      </c>
      <c r="K13" s="944"/>
      <c r="L13" s="903"/>
      <c r="O13" s="930"/>
    </row>
    <row r="14" spans="1:15">
      <c r="A14" s="1544" t="s">
        <v>139</v>
      </c>
      <c r="B14" s="1545"/>
      <c r="C14" s="1546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140</v>
      </c>
      <c r="B15" s="953"/>
      <c r="C15" s="953"/>
      <c r="D15" s="923" t="s">
        <v>141</v>
      </c>
      <c r="E15" s="924">
        <f>'23'!F15</f>
        <v>1615368.81</v>
      </c>
      <c r="F15" s="954">
        <v>1616156.56</v>
      </c>
      <c r="G15" s="1102">
        <f>(F15-E15)</f>
        <v>787.75</v>
      </c>
      <c r="H15" s="926">
        <f>G15+'23'!H15</f>
        <v>21719.410000000149</v>
      </c>
      <c r="I15" s="927">
        <f>'1'!I15</f>
        <v>800</v>
      </c>
      <c r="J15" s="928">
        <f>H15/DAY(B2)</f>
        <v>904.97541666667291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-104.97541666667291</v>
      </c>
      <c r="J16" s="961"/>
      <c r="K16" s="944"/>
      <c r="L16" s="903"/>
      <c r="N16" s="1094"/>
      <c r="O16" s="930"/>
    </row>
    <row r="17" spans="1:15">
      <c r="A17" s="1544" t="s">
        <v>142</v>
      </c>
      <c r="B17" s="1545"/>
      <c r="C17" s="1546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>
      <c r="A18" s="1541" t="s">
        <v>143</v>
      </c>
      <c r="B18" s="1542"/>
      <c r="C18" s="1543"/>
      <c r="D18" s="923" t="s">
        <v>144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3890</v>
      </c>
      <c r="I18" s="927">
        <f>'1'!I18</f>
        <v>65</v>
      </c>
      <c r="J18" s="928">
        <f>H18/DAY(B2)</f>
        <v>162.08333333333334</v>
      </c>
      <c r="K18" s="944"/>
      <c r="L18" s="903"/>
      <c r="O18" s="930"/>
    </row>
    <row r="19" spans="1:15">
      <c r="A19" s="1541" t="s">
        <v>71</v>
      </c>
      <c r="B19" s="1542"/>
      <c r="C19" s="1543"/>
      <c r="D19" s="923" t="s">
        <v>144</v>
      </c>
      <c r="E19" s="924">
        <f>'23'!F19</f>
        <v>134207</v>
      </c>
      <c r="F19" s="954">
        <v>134259</v>
      </c>
      <c r="G19" s="925">
        <f t="shared" ref="G19" si="1">F19-E19</f>
        <v>52</v>
      </c>
      <c r="H19" s="926">
        <f>G19+'23'!H19</f>
        <v>1211</v>
      </c>
      <c r="I19" s="963"/>
      <c r="J19" s="928">
        <f>H19/DAY(B2)</f>
        <v>50.458333333333336</v>
      </c>
      <c r="K19" s="944"/>
      <c r="L19" s="903"/>
      <c r="O19" s="930"/>
    </row>
    <row r="20" spans="1:15">
      <c r="A20" s="946" t="s">
        <v>145</v>
      </c>
      <c r="B20" s="947"/>
      <c r="C20" s="947"/>
      <c r="D20" s="964"/>
      <c r="E20" s="964"/>
      <c r="F20" s="964"/>
      <c r="G20" s="965">
        <f>G18+G19</f>
        <v>192</v>
      </c>
      <c r="H20" s="926">
        <f>G20+'23'!H20</f>
        <v>5101</v>
      </c>
      <c r="I20" s="966">
        <f>I18-J20</f>
        <v>-147.54166666666666</v>
      </c>
      <c r="J20" s="928">
        <f>H20/DAY(B2)</f>
        <v>212.54166666666666</v>
      </c>
      <c r="K20" s="944"/>
      <c r="L20" s="903"/>
      <c r="O20" s="930"/>
    </row>
    <row r="21" spans="1:15">
      <c r="A21" s="1544" t="s">
        <v>146</v>
      </c>
      <c r="B21" s="1545"/>
      <c r="C21" s="1546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147</v>
      </c>
      <c r="B22" s="953"/>
      <c r="C22" s="953"/>
      <c r="D22" s="923" t="s">
        <v>148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149</v>
      </c>
      <c r="B23" s="953"/>
      <c r="C23" s="953"/>
      <c r="D23" s="923" t="s">
        <v>148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150</v>
      </c>
      <c r="B24" s="968"/>
      <c r="C24" s="968"/>
      <c r="D24" s="910" t="s">
        <v>148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0" t="s">
        <v>151</v>
      </c>
      <c r="B25" s="1551"/>
      <c r="C25" s="1552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22956</v>
      </c>
      <c r="F27" s="577">
        <v>9</v>
      </c>
      <c r="G27" s="986">
        <f>E27*F27</f>
        <v>206604</v>
      </c>
      <c r="H27" s="926">
        <f>G27+'23'!H27</f>
        <v>4289310</v>
      </c>
      <c r="I27" s="987"/>
      <c r="J27" s="928">
        <f>H27/DAY(B2)</f>
        <v>178721.25</v>
      </c>
      <c r="K27" s="944"/>
      <c r="L27" s="974"/>
      <c r="N27" s="1093"/>
      <c r="O27" s="930"/>
    </row>
    <row r="28" spans="1:15" s="975" customFormat="1" ht="22.5">
      <c r="A28" s="976" t="s">
        <v>154</v>
      </c>
      <c r="B28" s="977"/>
      <c r="C28" s="978"/>
      <c r="D28" s="983" t="s">
        <v>155</v>
      </c>
      <c r="E28" s="984">
        <f>G15</f>
        <v>787.75</v>
      </c>
      <c r="F28" s="577">
        <v>43.5</v>
      </c>
      <c r="G28" s="986">
        <f>E28*F28</f>
        <v>34267.125</v>
      </c>
      <c r="H28" s="926">
        <f>G28+'23'!H28</f>
        <v>944794.33500000648</v>
      </c>
      <c r="I28" s="988"/>
      <c r="J28" s="928">
        <f>H28/DAY(B2)</f>
        <v>39366.43062500027</v>
      </c>
      <c r="K28" s="944"/>
      <c r="L28" s="974"/>
      <c r="N28" s="1093"/>
      <c r="O28" s="930"/>
    </row>
    <row r="29" spans="1:15" s="975" customFormat="1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>
      <c r="A30" s="976" t="s">
        <v>158</v>
      </c>
      <c r="B30" s="977"/>
      <c r="C30" s="978"/>
      <c r="D30" s="983" t="s">
        <v>159</v>
      </c>
      <c r="E30" s="984">
        <f>G19</f>
        <v>52</v>
      </c>
      <c r="F30" s="985">
        <v>134</v>
      </c>
      <c r="G30" s="986">
        <f>E30*F30</f>
        <v>6968</v>
      </c>
      <c r="H30" s="926">
        <f>G30+'23'!H30</f>
        <v>162274</v>
      </c>
      <c r="I30" s="988"/>
      <c r="J30" s="928">
        <f>H30/DAY(B2)</f>
        <v>6761.416666666667</v>
      </c>
      <c r="K30" s="944"/>
      <c r="L30" s="974"/>
      <c r="N30" s="1093"/>
      <c r="O30" s="930"/>
    </row>
    <row r="31" spans="1:15" s="975" customFormat="1">
      <c r="A31" s="976" t="s">
        <v>160</v>
      </c>
      <c r="B31" s="977"/>
      <c r="C31" s="978"/>
      <c r="D31" s="983" t="s">
        <v>144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311200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161</v>
      </c>
      <c r="B32" s="990"/>
      <c r="C32" s="991"/>
      <c r="D32" s="992"/>
      <c r="E32" s="992"/>
      <c r="F32" s="992"/>
      <c r="G32" s="993">
        <f>G27+G28+G29+G30+G31</f>
        <v>259039.125</v>
      </c>
      <c r="H32" s="926">
        <f>G32+'23'!H32</f>
        <v>5869728.3350000065</v>
      </c>
      <c r="I32" s="994"/>
      <c r="J32" s="928">
        <f>H32/DAY(B2)</f>
        <v>244572.01395833361</v>
      </c>
      <c r="K32" s="944"/>
      <c r="L32" s="974"/>
      <c r="N32" s="1093"/>
      <c r="O32" s="930"/>
    </row>
    <row r="33" spans="1:15" ht="18.7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944"/>
      <c r="L33" s="903"/>
      <c r="O33" s="930"/>
    </row>
    <row r="34" spans="1:1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164</v>
      </c>
      <c r="B35" s="922"/>
      <c r="C35" s="922"/>
      <c r="D35" s="923" t="s">
        <v>132</v>
      </c>
      <c r="E35" s="924">
        <f>'23'!F35</f>
        <v>677148</v>
      </c>
      <c r="F35" s="997">
        <v>680346</v>
      </c>
      <c r="G35" s="925">
        <f t="shared" ref="G35:G46" si="3">F35-E35</f>
        <v>3198</v>
      </c>
      <c r="H35" s="926">
        <f>G35+'23'!H35</f>
        <v>51318.329999999958</v>
      </c>
      <c r="I35" s="924"/>
      <c r="J35" s="928">
        <f>H35/DAY(B2)</f>
        <v>2138.2637499999983</v>
      </c>
      <c r="K35" s="944"/>
      <c r="L35" s="903"/>
      <c r="O35" s="930"/>
    </row>
    <row r="36" spans="1:15">
      <c r="A36" s="921" t="s">
        <v>165</v>
      </c>
      <c r="B36" s="922"/>
      <c r="C36" s="922"/>
      <c r="D36" s="923" t="s">
        <v>132</v>
      </c>
      <c r="E36" s="924">
        <f>'23'!F36</f>
        <v>292815</v>
      </c>
      <c r="F36" s="997">
        <v>293916</v>
      </c>
      <c r="G36" s="925">
        <f t="shared" si="3"/>
        <v>1101</v>
      </c>
      <c r="H36" s="926">
        <f>G36+'23'!H36</f>
        <v>17424.549999999988</v>
      </c>
      <c r="I36" s="924"/>
      <c r="J36" s="928">
        <f>H36/DAY(B2)</f>
        <v>726.02291666666622</v>
      </c>
      <c r="K36" s="944"/>
      <c r="L36" s="903"/>
      <c r="O36" s="930"/>
    </row>
    <row r="37" spans="1:15">
      <c r="A37" s="921" t="s">
        <v>166</v>
      </c>
      <c r="B37" s="922"/>
      <c r="C37" s="922"/>
      <c r="D37" s="923" t="s">
        <v>132</v>
      </c>
      <c r="E37" s="924">
        <f>'23'!F37</f>
        <v>24667</v>
      </c>
      <c r="F37" s="997">
        <v>26173</v>
      </c>
      <c r="G37" s="925">
        <f t="shared" si="3"/>
        <v>1506</v>
      </c>
      <c r="H37" s="926">
        <f>G37+'23'!H37</f>
        <v>26173</v>
      </c>
      <c r="I37" s="924"/>
      <c r="J37" s="928">
        <f>H37/DAY(B2)</f>
        <v>1090.5416666666667</v>
      </c>
      <c r="K37" s="944"/>
      <c r="L37" s="903"/>
      <c r="O37" s="930"/>
    </row>
    <row r="38" spans="1:15">
      <c r="A38" s="921" t="s">
        <v>167</v>
      </c>
      <c r="B38" s="922"/>
      <c r="C38" s="922"/>
      <c r="D38" s="923" t="s">
        <v>132</v>
      </c>
      <c r="E38" s="924">
        <f>'23'!F38</f>
        <v>33267</v>
      </c>
      <c r="F38" s="913">
        <v>35341</v>
      </c>
      <c r="G38" s="925">
        <f t="shared" si="3"/>
        <v>2074</v>
      </c>
      <c r="H38" s="926">
        <f>G38+'23'!H38</f>
        <v>35243.120000000003</v>
      </c>
      <c r="I38" s="924"/>
      <c r="J38" s="928">
        <f>H38/DAY(B2)</f>
        <v>1468.4633333333334</v>
      </c>
      <c r="K38" s="944"/>
      <c r="L38" s="903"/>
      <c r="O38" s="930"/>
    </row>
    <row r="39" spans="1:15">
      <c r="A39" s="921" t="s">
        <v>168</v>
      </c>
      <c r="B39" s="922"/>
      <c r="C39" s="922"/>
      <c r="D39" s="923" t="s">
        <v>132</v>
      </c>
      <c r="E39" s="924">
        <f>'23'!F39</f>
        <v>69744.83</v>
      </c>
      <c r="F39" s="997">
        <v>73829</v>
      </c>
      <c r="G39" s="925">
        <f t="shared" si="3"/>
        <v>4084.1699999999983</v>
      </c>
      <c r="H39" s="926">
        <f>G39+'23'!H39</f>
        <v>73829</v>
      </c>
      <c r="I39" s="924"/>
      <c r="J39" s="928">
        <f>H39/DAY(B2)</f>
        <v>3076.2083333333335</v>
      </c>
      <c r="K39" s="944"/>
      <c r="L39" s="903"/>
      <c r="N39" s="1092">
        <f>20*38.64</f>
        <v>772.8</v>
      </c>
      <c r="O39" s="930"/>
    </row>
    <row r="40" spans="1:15">
      <c r="A40" s="998" t="s">
        <v>169</v>
      </c>
      <c r="B40" s="999"/>
      <c r="C40" s="999"/>
      <c r="D40" s="923" t="s">
        <v>132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>
      <c r="A41" s="921" t="s">
        <v>170</v>
      </c>
      <c r="B41" s="922"/>
      <c r="C41" s="922"/>
      <c r="D41" s="923" t="s">
        <v>132</v>
      </c>
      <c r="E41" s="924">
        <f>'23'!F41</f>
        <v>63882</v>
      </c>
      <c r="F41" s="997">
        <v>63882</v>
      </c>
      <c r="G41" s="925">
        <f t="shared" si="3"/>
        <v>0</v>
      </c>
      <c r="H41" s="926">
        <f>G41+'23'!H41</f>
        <v>19259.480000000003</v>
      </c>
      <c r="I41" s="924"/>
      <c r="J41" s="928">
        <f>H41/DAY(B2)</f>
        <v>802.47833333333347</v>
      </c>
      <c r="K41" s="944"/>
      <c r="L41" s="903"/>
      <c r="O41" s="930"/>
    </row>
    <row r="42" spans="1:15">
      <c r="A42" s="921" t="s">
        <v>171</v>
      </c>
      <c r="B42" s="922"/>
      <c r="C42" s="922"/>
      <c r="D42" s="923" t="s">
        <v>132</v>
      </c>
      <c r="E42" s="924">
        <f>'23'!F42</f>
        <v>59129</v>
      </c>
      <c r="F42" s="997">
        <v>59129</v>
      </c>
      <c r="G42" s="925">
        <f t="shared" si="3"/>
        <v>0</v>
      </c>
      <c r="H42" s="926">
        <f>G42+'23'!H42</f>
        <v>203</v>
      </c>
      <c r="I42" s="924"/>
      <c r="J42" s="928">
        <f>H42/DAY(B2)</f>
        <v>8.4583333333333339</v>
      </c>
      <c r="K42" s="944"/>
      <c r="L42" s="903"/>
      <c r="O42" s="930"/>
    </row>
    <row r="43" spans="1:15">
      <c r="A43" s="921" t="s">
        <v>172</v>
      </c>
      <c r="B43" s="922"/>
      <c r="C43" s="922"/>
      <c r="D43" s="923" t="s">
        <v>132</v>
      </c>
      <c r="E43" s="924">
        <f>'23'!F43</f>
        <v>814188</v>
      </c>
      <c r="F43" s="997">
        <v>816657</v>
      </c>
      <c r="G43" s="925">
        <f t="shared" si="3"/>
        <v>2469</v>
      </c>
      <c r="H43" s="926">
        <f>G43+'23'!H43</f>
        <v>48845.089999999967</v>
      </c>
      <c r="I43" s="924"/>
      <c r="J43" s="928">
        <f>H43/DAY(B2)</f>
        <v>2035.212083333332</v>
      </c>
      <c r="K43" s="944"/>
      <c r="L43" s="903"/>
      <c r="O43" s="930"/>
    </row>
    <row r="44" spans="1:15">
      <c r="A44" s="921" t="s">
        <v>173</v>
      </c>
      <c r="B44" s="922"/>
      <c r="C44" s="922"/>
      <c r="D44" s="923" t="s">
        <v>132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174</v>
      </c>
      <c r="B45" s="922"/>
      <c r="C45" s="922"/>
      <c r="D45" s="923" t="s">
        <v>132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>
      <c r="A46" s="921" t="s">
        <v>175</v>
      </c>
      <c r="B46" s="922"/>
      <c r="C46" s="922"/>
      <c r="D46" s="923" t="s">
        <v>132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14432.169999999998</v>
      </c>
      <c r="H47" s="926">
        <f>G47+'23'!H47</f>
        <v>272294.53999999986</v>
      </c>
      <c r="I47" s="924"/>
      <c r="J47" s="928">
        <f>H47/DAY(B2)</f>
        <v>11345.605833333328</v>
      </c>
      <c r="K47" s="944"/>
      <c r="L47" s="903"/>
      <c r="N47" s="1094"/>
      <c r="O47" s="930"/>
    </row>
    <row r="48" spans="1:1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164</v>
      </c>
      <c r="B49" s="1000"/>
      <c r="C49" s="1000"/>
      <c r="D49" s="923" t="s">
        <v>132</v>
      </c>
      <c r="E49" s="924">
        <f>'23'!F49</f>
        <v>260732</v>
      </c>
      <c r="F49" s="997">
        <v>260732</v>
      </c>
      <c r="G49" s="925">
        <f t="shared" ref="G49:G58" si="4">F49-E49</f>
        <v>0</v>
      </c>
      <c r="H49" s="926">
        <f>G49+'23'!H49</f>
        <v>14832.950000000012</v>
      </c>
      <c r="I49" s="924"/>
      <c r="J49" s="928">
        <f>H49/DAY(B2)</f>
        <v>618.03958333333378</v>
      </c>
      <c r="K49" s="944"/>
      <c r="L49" s="903"/>
      <c r="O49" s="930"/>
    </row>
    <row r="50" spans="1:15">
      <c r="A50" s="921" t="s">
        <v>178</v>
      </c>
      <c r="B50" s="1000"/>
      <c r="C50" s="1000"/>
      <c r="D50" s="923" t="s">
        <v>132</v>
      </c>
      <c r="E50" s="924">
        <f>'23'!F50</f>
        <v>396445.71</v>
      </c>
      <c r="F50" s="997">
        <v>398195</v>
      </c>
      <c r="G50" s="925">
        <f t="shared" si="4"/>
        <v>1749.289999999979</v>
      </c>
      <c r="H50" s="926">
        <f>G50+'23'!H50</f>
        <v>28534.690000000002</v>
      </c>
      <c r="I50" s="924"/>
      <c r="J50" s="928">
        <f>H50/DAY(B2)</f>
        <v>1188.9454166666667</v>
      </c>
      <c r="K50" s="944"/>
      <c r="L50" s="903"/>
      <c r="O50" s="930"/>
    </row>
    <row r="51" spans="1:15">
      <c r="A51" s="921" t="s">
        <v>166</v>
      </c>
      <c r="B51" s="1000"/>
      <c r="C51" s="1000"/>
      <c r="D51" s="923" t="s">
        <v>132</v>
      </c>
      <c r="E51" s="924">
        <f>'23'!F51</f>
        <v>120051</v>
      </c>
      <c r="F51" s="997">
        <v>120051</v>
      </c>
      <c r="G51" s="925">
        <f t="shared" si="4"/>
        <v>0</v>
      </c>
      <c r="H51" s="926">
        <f>G51+'23'!H51</f>
        <v>9951.2599999999948</v>
      </c>
      <c r="I51" s="924"/>
      <c r="J51" s="928">
        <f>H51/DAY(B2)</f>
        <v>414.6358333333331</v>
      </c>
      <c r="K51" s="944"/>
      <c r="L51" s="903"/>
      <c r="O51" s="930"/>
    </row>
    <row r="52" spans="1:15">
      <c r="A52" s="921" t="s">
        <v>179</v>
      </c>
      <c r="B52" s="1000"/>
      <c r="C52" s="1000"/>
      <c r="D52" s="923" t="s">
        <v>132</v>
      </c>
      <c r="E52" s="924">
        <f>'23'!F52</f>
        <v>507913</v>
      </c>
      <c r="F52" s="997">
        <v>507913</v>
      </c>
      <c r="G52" s="925">
        <f t="shared" si="4"/>
        <v>0</v>
      </c>
      <c r="H52" s="926">
        <f>G52+'23'!H52</f>
        <v>14104.330000000016</v>
      </c>
      <c r="I52" s="924"/>
      <c r="J52" s="928">
        <f>H52/DAY(B2)</f>
        <v>587.68041666666738</v>
      </c>
      <c r="K52" s="944"/>
      <c r="L52" s="903"/>
      <c r="O52" s="930"/>
    </row>
    <row r="53" spans="1:15">
      <c r="A53" s="921" t="s">
        <v>168</v>
      </c>
      <c r="B53" s="1000"/>
      <c r="C53" s="1000"/>
      <c r="D53" s="923" t="s">
        <v>132</v>
      </c>
      <c r="E53" s="924">
        <f>'23'!F53</f>
        <v>331855</v>
      </c>
      <c r="F53" s="997">
        <v>331855</v>
      </c>
      <c r="G53" s="925">
        <f t="shared" si="4"/>
        <v>0</v>
      </c>
      <c r="H53" s="926">
        <f>G53+'23'!H53</f>
        <v>27556.729999999981</v>
      </c>
      <c r="I53" s="924"/>
      <c r="J53" s="928">
        <f>H53/DAY(B2)</f>
        <v>1148.1970833333326</v>
      </c>
      <c r="K53" s="944"/>
      <c r="L53" s="903"/>
      <c r="O53" s="930"/>
    </row>
    <row r="54" spans="1:15">
      <c r="A54" s="921" t="s">
        <v>180</v>
      </c>
      <c r="B54" s="1000"/>
      <c r="C54" s="1000"/>
      <c r="D54" s="923" t="s">
        <v>132</v>
      </c>
      <c r="E54" s="924">
        <f>'23'!F54</f>
        <v>7747</v>
      </c>
      <c r="F54" s="997">
        <v>7815</v>
      </c>
      <c r="G54" s="925">
        <f t="shared" si="4"/>
        <v>68</v>
      </c>
      <c r="H54" s="926">
        <f>G54+'23'!H54</f>
        <v>1426.1999999999998</v>
      </c>
      <c r="I54" s="924"/>
      <c r="J54" s="928">
        <f>H54/DAY(B2)</f>
        <v>59.42499999999999</v>
      </c>
      <c r="K54" s="944"/>
      <c r="L54" s="903"/>
      <c r="O54" s="930"/>
    </row>
    <row r="55" spans="1:15">
      <c r="A55" s="921" t="s">
        <v>181</v>
      </c>
      <c r="B55" s="1000"/>
      <c r="C55" s="1000"/>
      <c r="D55" s="923" t="s">
        <v>132</v>
      </c>
      <c r="E55" s="924">
        <f>'23'!F55</f>
        <v>94270</v>
      </c>
      <c r="F55" s="997">
        <v>96591</v>
      </c>
      <c r="G55" s="925">
        <f t="shared" si="4"/>
        <v>2321</v>
      </c>
      <c r="H55" s="926">
        <f>G55+'23'!H55</f>
        <v>53603.02</v>
      </c>
      <c r="I55" s="924"/>
      <c r="J55" s="928">
        <f>H55/DAY(B2)</f>
        <v>2233.4591666666665</v>
      </c>
      <c r="K55" s="944"/>
      <c r="L55" s="903"/>
      <c r="O55" s="930"/>
    </row>
    <row r="56" spans="1:15">
      <c r="A56" s="921" t="s">
        <v>182</v>
      </c>
      <c r="B56" s="1000"/>
      <c r="C56" s="1000"/>
      <c r="D56" s="923" t="s">
        <v>183</v>
      </c>
      <c r="E56" s="924">
        <f>'23'!F56</f>
        <v>582487</v>
      </c>
      <c r="F56" s="997">
        <v>586023</v>
      </c>
      <c r="G56" s="925">
        <f t="shared" si="4"/>
        <v>3536</v>
      </c>
      <c r="H56" s="926">
        <f>G56+'23'!H56</f>
        <v>28291.089999999967</v>
      </c>
      <c r="I56" s="924"/>
      <c r="J56" s="928">
        <f>H56/DAY(B2)</f>
        <v>1178.7954166666652</v>
      </c>
      <c r="K56" s="920"/>
      <c r="L56" s="903"/>
      <c r="O56" s="930"/>
    </row>
    <row r="57" spans="1:15">
      <c r="A57" s="921" t="s">
        <v>172</v>
      </c>
      <c r="B57" s="1000"/>
      <c r="C57" s="1000"/>
      <c r="D57" s="923" t="s">
        <v>132</v>
      </c>
      <c r="E57" s="924">
        <f>'23'!F57</f>
        <v>7711</v>
      </c>
      <c r="F57" s="997">
        <v>7711</v>
      </c>
      <c r="G57" s="925">
        <f t="shared" si="4"/>
        <v>0</v>
      </c>
      <c r="H57" s="926">
        <f>G57+'23'!H57</f>
        <v>7711</v>
      </c>
      <c r="I57" s="924"/>
      <c r="J57" s="928">
        <f>H57/DAY(B2)</f>
        <v>321.29166666666669</v>
      </c>
      <c r="K57" s="944"/>
      <c r="L57" s="903"/>
      <c r="O57" s="930"/>
    </row>
    <row r="58" spans="1:15">
      <c r="A58" s="921" t="s">
        <v>184</v>
      </c>
      <c r="B58" s="1000"/>
      <c r="C58" s="1000"/>
      <c r="D58" s="923" t="s">
        <v>132</v>
      </c>
      <c r="E58" s="924">
        <f>'23'!F58</f>
        <v>34929</v>
      </c>
      <c r="F58" s="997">
        <v>35119</v>
      </c>
      <c r="G58" s="925">
        <f t="shared" si="4"/>
        <v>190</v>
      </c>
      <c r="H58" s="926">
        <f>G58+'23'!H58</f>
        <v>4389.4600000000028</v>
      </c>
      <c r="I58" s="924"/>
      <c r="J58" s="928">
        <f>H58/DAY(B2)</f>
        <v>182.89416666666679</v>
      </c>
      <c r="K58" s="944"/>
      <c r="L58" s="903"/>
      <c r="O58" s="930"/>
    </row>
    <row r="59" spans="1:1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7864.289999999979</v>
      </c>
      <c r="H59" s="926">
        <f>G59+'23'!H59</f>
        <v>190400.73</v>
      </c>
      <c r="I59" s="924">
        <f>G7-G60</f>
        <v>513.5400000000227</v>
      </c>
      <c r="J59" s="928">
        <f>H59/DAY(B2)</f>
        <v>7933.3637500000004</v>
      </c>
      <c r="K59" s="944"/>
      <c r="L59" s="903"/>
      <c r="O59" s="930"/>
    </row>
    <row r="60" spans="1:15">
      <c r="A60" s="921"/>
      <c r="B60" s="922"/>
      <c r="C60" s="922"/>
      <c r="D60" s="910" t="s">
        <v>185</v>
      </c>
      <c r="E60" s="910"/>
      <c r="F60" s="910"/>
      <c r="G60" s="948">
        <f>G47+G59</f>
        <v>22296.459999999977</v>
      </c>
      <c r="H60" s="926">
        <f>G60+'23'!H60</f>
        <v>467875.45999999979</v>
      </c>
      <c r="I60" s="924">
        <f>G13-G60</f>
        <v>-107.4599999999773</v>
      </c>
      <c r="J60" s="928">
        <f>H60/DAY(B2)</f>
        <v>19494.810833333326</v>
      </c>
      <c r="K60" s="944"/>
      <c r="L60" s="903"/>
      <c r="O60" s="930"/>
    </row>
    <row r="61" spans="1:1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98</v>
      </c>
      <c r="B62" s="1006"/>
      <c r="C62" s="1006"/>
      <c r="D62" s="910" t="s">
        <v>187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>
      <c r="A63" s="1005" t="s">
        <v>188</v>
      </c>
      <c r="B63" s="1006"/>
      <c r="C63" s="1006"/>
      <c r="D63" s="910" t="s">
        <v>187</v>
      </c>
      <c r="E63" s="924">
        <f>'23'!F63</f>
        <v>1635</v>
      </c>
      <c r="F63" s="1007">
        <v>1649</v>
      </c>
      <c r="G63" s="925">
        <f t="shared" si="5"/>
        <v>14</v>
      </c>
      <c r="H63" s="926">
        <f>G63+'23'!H63</f>
        <v>316.47000000000003</v>
      </c>
      <c r="I63" s="1008"/>
      <c r="J63" s="928">
        <f>H63/DAY(B2)</f>
        <v>13.186250000000001</v>
      </c>
      <c r="K63" s="944"/>
      <c r="L63" s="903"/>
      <c r="O63" s="930"/>
    </row>
    <row r="64" spans="1:15">
      <c r="A64" s="1538" t="s">
        <v>99</v>
      </c>
      <c r="B64" s="1539"/>
      <c r="C64" s="1540"/>
      <c r="D64" s="923" t="s">
        <v>187</v>
      </c>
      <c r="E64" s="924">
        <f>'23'!F64</f>
        <v>121047</v>
      </c>
      <c r="F64" s="954">
        <v>121561</v>
      </c>
      <c r="G64" s="925">
        <f t="shared" si="5"/>
        <v>514</v>
      </c>
      <c r="H64" s="926">
        <f>G64+'23'!H64</f>
        <v>10277.539999999994</v>
      </c>
      <c r="I64" s="945"/>
      <c r="J64" s="928">
        <f>H64/DAY(B2)</f>
        <v>428.23083333333307</v>
      </c>
      <c r="K64" s="944"/>
      <c r="L64" s="903"/>
      <c r="O64" s="930"/>
    </row>
    <row r="65" spans="1:15">
      <c r="A65" s="1538" t="s">
        <v>100</v>
      </c>
      <c r="B65" s="1539"/>
      <c r="C65" s="1540"/>
      <c r="D65" s="923" t="s">
        <v>187</v>
      </c>
      <c r="E65" s="924">
        <f>'23'!F65</f>
        <v>130609</v>
      </c>
      <c r="F65" s="954">
        <v>131000</v>
      </c>
      <c r="G65" s="925">
        <f t="shared" si="5"/>
        <v>391</v>
      </c>
      <c r="H65" s="926">
        <f>G65+'23'!H65</f>
        <v>9266.89</v>
      </c>
      <c r="I65" s="963"/>
      <c r="J65" s="928">
        <f>H65/DAY(B2)</f>
        <v>386.12041666666664</v>
      </c>
      <c r="K65" s="944"/>
      <c r="L65" s="903"/>
      <c r="O65" s="930"/>
    </row>
    <row r="66" spans="1:15">
      <c r="A66" s="1538" t="s">
        <v>101</v>
      </c>
      <c r="B66" s="1539"/>
      <c r="C66" s="1540"/>
      <c r="D66" s="923" t="s">
        <v>187</v>
      </c>
      <c r="E66" s="924">
        <f>'23'!F66</f>
        <v>23194</v>
      </c>
      <c r="F66" s="954">
        <v>23585</v>
      </c>
      <c r="G66" s="925">
        <f t="shared" si="5"/>
        <v>391</v>
      </c>
      <c r="H66" s="926">
        <f>G66+'23'!H66</f>
        <v>9425.26</v>
      </c>
      <c r="I66" s="945"/>
      <c r="J66" s="928">
        <f>H66/DAY(B2)</f>
        <v>392.71916666666669</v>
      </c>
      <c r="K66" s="944"/>
      <c r="L66" s="903"/>
      <c r="O66" s="930"/>
    </row>
    <row r="67" spans="1:15">
      <c r="A67" s="1538" t="s">
        <v>102</v>
      </c>
      <c r="B67" s="1539"/>
      <c r="C67" s="1540"/>
      <c r="D67" s="923" t="s">
        <v>187</v>
      </c>
      <c r="E67" s="924">
        <f>'23'!F67</f>
        <v>204621</v>
      </c>
      <c r="F67" s="954">
        <v>205231</v>
      </c>
      <c r="G67" s="925">
        <f t="shared" si="5"/>
        <v>610</v>
      </c>
      <c r="H67" s="926">
        <f>G67+'23'!H67</f>
        <v>16556.47</v>
      </c>
      <c r="I67" s="963"/>
      <c r="J67" s="928">
        <f>H67/DAY(B2)</f>
        <v>689.85291666666672</v>
      </c>
      <c r="K67" s="951"/>
      <c r="L67" s="903"/>
      <c r="O67" s="930"/>
    </row>
    <row r="68" spans="1:15">
      <c r="A68" s="1538" t="s">
        <v>103</v>
      </c>
      <c r="B68" s="1539"/>
      <c r="C68" s="1540"/>
      <c r="D68" s="923" t="s">
        <v>187</v>
      </c>
      <c r="E68" s="924">
        <f>'23'!F68</f>
        <v>71085</v>
      </c>
      <c r="F68" s="954">
        <v>71374</v>
      </c>
      <c r="G68" s="925">
        <f t="shared" si="5"/>
        <v>289</v>
      </c>
      <c r="H68" s="926">
        <f>G68+'23'!H68</f>
        <v>9074.14</v>
      </c>
      <c r="I68" s="1009"/>
      <c r="J68" s="928">
        <f>H68/DAY(B2)</f>
        <v>378.08916666666664</v>
      </c>
      <c r="K68" s="1010"/>
      <c r="L68" s="903"/>
      <c r="O68" s="930"/>
    </row>
    <row r="69" spans="1:15">
      <c r="A69" s="1538" t="s">
        <v>104</v>
      </c>
      <c r="B69" s="1539"/>
      <c r="C69" s="1540"/>
      <c r="D69" s="923" t="s">
        <v>187</v>
      </c>
      <c r="E69" s="924">
        <f>'23'!F69</f>
        <v>62814</v>
      </c>
      <c r="F69" s="954">
        <v>63135</v>
      </c>
      <c r="G69" s="925">
        <f t="shared" si="5"/>
        <v>321</v>
      </c>
      <c r="H69" s="926">
        <f>G69+'23'!H69</f>
        <v>7411.2900000000009</v>
      </c>
      <c r="I69" s="1009"/>
      <c r="J69" s="928">
        <f>H69/DAY(B2)</f>
        <v>308.80375000000004</v>
      </c>
      <c r="K69" s="1011"/>
      <c r="L69" s="903"/>
      <c r="O69" s="930"/>
    </row>
    <row r="70" spans="1:15">
      <c r="A70" s="1561" t="s">
        <v>189</v>
      </c>
      <c r="B70" s="1562"/>
      <c r="C70" s="1563"/>
      <c r="D70" s="923" t="s">
        <v>187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1010"/>
      <c r="L71" s="903"/>
      <c r="O71" s="930"/>
    </row>
    <row r="72" spans="1:15">
      <c r="A72" s="1538" t="s">
        <v>191</v>
      </c>
      <c r="B72" s="1539"/>
      <c r="C72" s="1540"/>
      <c r="D72" s="923" t="s">
        <v>187</v>
      </c>
      <c r="E72" s="924">
        <f>'23'!F72</f>
        <v>850201</v>
      </c>
      <c r="F72" s="1015">
        <v>850289</v>
      </c>
      <c r="G72" s="925">
        <f t="shared" ref="G72:G90" si="6">F72-E72</f>
        <v>88</v>
      </c>
      <c r="H72" s="926">
        <f>G72+'23'!H72</f>
        <v>1737</v>
      </c>
      <c r="I72" s="945"/>
      <c r="J72" s="928">
        <f>H72/DAY(B2)</f>
        <v>72.375</v>
      </c>
      <c r="K72" s="1011"/>
      <c r="L72" s="903"/>
      <c r="O72" s="930"/>
    </row>
    <row r="73" spans="1:15">
      <c r="A73" s="1538" t="s">
        <v>192</v>
      </c>
      <c r="B73" s="1539"/>
      <c r="C73" s="1540"/>
      <c r="D73" s="923" t="s">
        <v>187</v>
      </c>
      <c r="E73" s="924">
        <f>'23'!F73</f>
        <v>885768</v>
      </c>
      <c r="F73" s="1016">
        <v>885770</v>
      </c>
      <c r="G73" s="925">
        <f t="shared" si="6"/>
        <v>2</v>
      </c>
      <c r="H73" s="926">
        <f>G73+'23'!H73</f>
        <v>989</v>
      </c>
      <c r="I73" s="945"/>
      <c r="J73" s="928">
        <f>H73/DAY(B2)</f>
        <v>41.208333333333336</v>
      </c>
      <c r="K73" s="1010"/>
      <c r="L73" s="903"/>
      <c r="O73" s="930"/>
    </row>
    <row r="74" spans="1:15">
      <c r="A74" s="1538" t="s">
        <v>193</v>
      </c>
      <c r="B74" s="1539"/>
      <c r="C74" s="1540"/>
      <c r="D74" s="923" t="s">
        <v>187</v>
      </c>
      <c r="E74" s="924">
        <f>'23'!F74</f>
        <v>470</v>
      </c>
      <c r="F74" s="1017">
        <v>486</v>
      </c>
      <c r="G74" s="925">
        <f t="shared" si="6"/>
        <v>16</v>
      </c>
      <c r="H74" s="926">
        <f>G74+'23'!H74</f>
        <v>715.1</v>
      </c>
      <c r="I74" s="945"/>
      <c r="J74" s="928">
        <f>H74/DAY(B2)</f>
        <v>29.795833333333334</v>
      </c>
      <c r="K74" s="1011"/>
      <c r="L74" s="903"/>
      <c r="O74" s="930"/>
    </row>
    <row r="75" spans="1:15">
      <c r="A75" s="1564" t="s">
        <v>194</v>
      </c>
      <c r="B75" s="1565"/>
      <c r="C75" s="1566"/>
      <c r="D75" s="923" t="s">
        <v>187</v>
      </c>
      <c r="E75" s="924">
        <f>'23'!F75</f>
        <v>2684</v>
      </c>
      <c r="F75" s="1017">
        <v>2859</v>
      </c>
      <c r="G75" s="925">
        <f t="shared" si="6"/>
        <v>175</v>
      </c>
      <c r="H75" s="926">
        <f>G75+'23'!H75</f>
        <v>4395.4000000000005</v>
      </c>
      <c r="I75" s="945"/>
      <c r="J75" s="928">
        <f>H75/DAY(B2)</f>
        <v>183.14166666666668</v>
      </c>
      <c r="K75" s="1010"/>
      <c r="L75" s="903"/>
      <c r="O75" s="930"/>
    </row>
    <row r="76" spans="1:15">
      <c r="A76" s="1564" t="s">
        <v>195</v>
      </c>
      <c r="B76" s="1565"/>
      <c r="C76" s="1566"/>
      <c r="D76" s="923" t="s">
        <v>187</v>
      </c>
      <c r="E76" s="924">
        <f>'23'!F76</f>
        <v>1114</v>
      </c>
      <c r="F76" s="1016">
        <v>1196</v>
      </c>
      <c r="G76" s="925">
        <f t="shared" si="6"/>
        <v>82</v>
      </c>
      <c r="H76" s="926">
        <f>G76+'23'!H76</f>
        <v>3193.2000000000003</v>
      </c>
      <c r="I76" s="988"/>
      <c r="J76" s="928">
        <f>H76/DAY(B2)</f>
        <v>133.05000000000001</v>
      </c>
      <c r="K76" s="1010"/>
      <c r="L76" s="903"/>
      <c r="O76" s="930"/>
    </row>
    <row r="77" spans="1:15">
      <c r="A77" s="1538" t="s">
        <v>196</v>
      </c>
      <c r="B77" s="1539"/>
      <c r="C77" s="1540"/>
      <c r="D77" s="923" t="s">
        <v>187</v>
      </c>
      <c r="E77" s="924">
        <f>'23'!F77</f>
        <v>698352</v>
      </c>
      <c r="F77" s="1016">
        <v>698404</v>
      </c>
      <c r="G77" s="925">
        <f t="shared" si="6"/>
        <v>52</v>
      </c>
      <c r="H77" s="926">
        <f>G77+'23'!H77</f>
        <v>1297</v>
      </c>
      <c r="I77" s="988"/>
      <c r="J77" s="928">
        <f>H77/DAY(B2)</f>
        <v>54.041666666666664</v>
      </c>
      <c r="K77" s="1010"/>
      <c r="L77" s="903"/>
      <c r="O77" s="930"/>
    </row>
    <row r="78" spans="1:15">
      <c r="A78" s="1018" t="s">
        <v>197</v>
      </c>
      <c r="B78" s="1226"/>
      <c r="C78" s="1226"/>
      <c r="D78" s="923" t="s">
        <v>187</v>
      </c>
      <c r="E78" s="924">
        <f>'23'!F78</f>
        <v>651177</v>
      </c>
      <c r="F78" s="1017">
        <v>651496</v>
      </c>
      <c r="G78" s="925">
        <f t="shared" si="6"/>
        <v>319</v>
      </c>
      <c r="H78" s="926">
        <f>G78+'23'!H78</f>
        <v>9543</v>
      </c>
      <c r="I78" s="988"/>
      <c r="J78" s="928">
        <f>H78/DAY(B2)</f>
        <v>397.625</v>
      </c>
      <c r="K78" s="1010"/>
      <c r="L78" s="903"/>
      <c r="O78" s="930"/>
    </row>
    <row r="79" spans="1:15">
      <c r="A79" s="1564" t="s">
        <v>92</v>
      </c>
      <c r="B79" s="1565"/>
      <c r="C79" s="1566"/>
      <c r="D79" s="957" t="s">
        <v>187</v>
      </c>
      <c r="E79" s="924">
        <f>'23'!F79</f>
        <v>814106</v>
      </c>
      <c r="F79" s="1017">
        <v>814288</v>
      </c>
      <c r="G79" s="925">
        <f t="shared" si="6"/>
        <v>182</v>
      </c>
      <c r="H79" s="926">
        <f>G79+'23'!H79</f>
        <v>7462</v>
      </c>
      <c r="I79" s="988"/>
      <c r="J79" s="928">
        <f>H79/DAY(B2)</f>
        <v>310.91666666666669</v>
      </c>
      <c r="K79" s="1010"/>
      <c r="L79" s="903"/>
      <c r="O79" s="930"/>
    </row>
    <row r="80" spans="1:15">
      <c r="A80" s="1564" t="s">
        <v>198</v>
      </c>
      <c r="B80" s="1565"/>
      <c r="C80" s="1566"/>
      <c r="D80" s="957" t="s">
        <v>187</v>
      </c>
      <c r="E80" s="924">
        <f>'23'!F80</f>
        <v>492780</v>
      </c>
      <c r="F80" s="1322">
        <v>493174</v>
      </c>
      <c r="G80" s="925">
        <f t="shared" si="6"/>
        <v>394</v>
      </c>
      <c r="H80" s="926">
        <f>G80+'23'!H80</f>
        <v>6592.320000000007</v>
      </c>
      <c r="I80" s="988"/>
      <c r="J80" s="928">
        <f>H80/DAY(B2)</f>
        <v>274.68000000000029</v>
      </c>
      <c r="K80" s="1010"/>
      <c r="L80" s="903"/>
      <c r="O80" s="930"/>
    </row>
    <row r="81" spans="1:15">
      <c r="A81" s="1564" t="s">
        <v>199</v>
      </c>
      <c r="B81" s="1565"/>
      <c r="C81" s="1566"/>
      <c r="D81" s="957" t="s">
        <v>187</v>
      </c>
      <c r="E81" s="924">
        <f>'23'!F81</f>
        <v>625274</v>
      </c>
      <c r="F81" s="1016">
        <v>625425</v>
      </c>
      <c r="G81" s="925">
        <f t="shared" si="6"/>
        <v>151</v>
      </c>
      <c r="H81" s="926">
        <f>G81+'23'!H81</f>
        <v>2650</v>
      </c>
      <c r="I81" s="988"/>
      <c r="J81" s="928">
        <f>H81/DAY(B2)</f>
        <v>110.41666666666667</v>
      </c>
      <c r="K81" s="1010"/>
      <c r="L81" s="903"/>
      <c r="O81" s="930"/>
    </row>
    <row r="82" spans="1:15">
      <c r="A82" s="1564" t="s">
        <v>93</v>
      </c>
      <c r="B82" s="1565"/>
      <c r="C82" s="1566"/>
      <c r="D82" s="958" t="s">
        <v>132</v>
      </c>
      <c r="E82" s="924">
        <f>'23'!F82</f>
        <v>106088</v>
      </c>
      <c r="F82" s="1019">
        <v>106116</v>
      </c>
      <c r="G82" s="925">
        <f t="shared" si="6"/>
        <v>28</v>
      </c>
      <c r="H82" s="926">
        <f>G82+'23'!H82</f>
        <v>676</v>
      </c>
      <c r="I82" s="959"/>
      <c r="J82" s="928">
        <f>H82/DAY(B2)</f>
        <v>28.166666666666668</v>
      </c>
      <c r="K82" s="1010"/>
      <c r="L82" s="903"/>
      <c r="O82" s="930"/>
    </row>
    <row r="83" spans="1:15">
      <c r="A83" s="1564" t="s">
        <v>200</v>
      </c>
      <c r="B83" s="1565"/>
      <c r="C83" s="1566"/>
      <c r="D83" s="1020" t="s">
        <v>132</v>
      </c>
      <c r="E83" s="924">
        <f>'23'!F83</f>
        <v>993885</v>
      </c>
      <c r="F83" s="910">
        <v>994387</v>
      </c>
      <c r="G83" s="925">
        <f>F83-E83</f>
        <v>502</v>
      </c>
      <c r="H83" s="926">
        <f>G83+'23'!H83</f>
        <v>10646</v>
      </c>
      <c r="I83" s="948"/>
      <c r="J83" s="928">
        <f>H83/DAY(B2)</f>
        <v>443.58333333333331</v>
      </c>
      <c r="K83" s="951"/>
      <c r="L83" s="903"/>
      <c r="O83" s="930"/>
    </row>
    <row r="84" spans="1:15">
      <c r="A84" s="1021" t="s">
        <v>201</v>
      </c>
      <c r="B84" s="1022"/>
      <c r="C84" s="1022"/>
      <c r="D84" s="942" t="s">
        <v>132</v>
      </c>
      <c r="E84" s="924">
        <f>'23'!F84</f>
        <v>427614</v>
      </c>
      <c r="F84" s="1023">
        <v>428216</v>
      </c>
      <c r="G84" s="925">
        <f t="shared" si="6"/>
        <v>602</v>
      </c>
      <c r="H84" s="926">
        <f>G84+'23'!H84</f>
        <v>12143</v>
      </c>
      <c r="I84" s="948"/>
      <c r="J84" s="928">
        <f>H84/DAY(B2)</f>
        <v>505.95833333333331</v>
      </c>
      <c r="K84" s="1024"/>
      <c r="L84" s="903"/>
      <c r="O84" s="930"/>
    </row>
    <row r="85" spans="1:15" s="1028" customFormat="1">
      <c r="A85" s="1025" t="s">
        <v>202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2593</v>
      </c>
      <c r="H85" s="926">
        <f>G85+'23'!H85</f>
        <v>56735.649999999994</v>
      </c>
      <c r="I85" s="948"/>
      <c r="J85" s="928">
        <f>H85/DAY(B2)</f>
        <v>2363.9854166666664</v>
      </c>
      <c r="K85" s="1024"/>
      <c r="L85" s="1027"/>
      <c r="N85" s="1095"/>
      <c r="O85" s="930"/>
    </row>
    <row r="86" spans="1:15" s="1038" customFormat="1">
      <c r="A86" s="1029" t="s">
        <v>94</v>
      </c>
      <c r="B86" s="1030"/>
      <c r="C86" s="1030"/>
      <c r="D86" s="1031" t="s">
        <v>183</v>
      </c>
      <c r="E86" s="924">
        <f>'23'!F86</f>
        <v>449828</v>
      </c>
      <c r="F86" s="1032">
        <v>449994</v>
      </c>
      <c r="G86" s="1033">
        <f t="shared" si="6"/>
        <v>166</v>
      </c>
      <c r="H86" s="1033">
        <f t="shared" ref="H86:H88" si="7">G86</f>
        <v>166</v>
      </c>
      <c r="I86" s="1034"/>
      <c r="J86" s="1035">
        <f>H86/DAY(B2)</f>
        <v>6.916666666666667</v>
      </c>
      <c r="K86" s="1036"/>
      <c r="L86" s="1037"/>
      <c r="N86" s="1096"/>
      <c r="O86" s="930"/>
    </row>
    <row r="87" spans="1:15" s="1038" customFormat="1">
      <c r="A87" s="1029" t="s">
        <v>95</v>
      </c>
      <c r="B87" s="1030"/>
      <c r="C87" s="1030"/>
      <c r="D87" s="1031" t="s">
        <v>183</v>
      </c>
      <c r="E87" s="924">
        <f>'23'!F87</f>
        <v>79058.3</v>
      </c>
      <c r="F87" s="1032">
        <v>79094.399999999994</v>
      </c>
      <c r="G87" s="1033">
        <f t="shared" si="6"/>
        <v>36.099999999991269</v>
      </c>
      <c r="H87" s="1033">
        <f t="shared" si="7"/>
        <v>36.099999999991269</v>
      </c>
      <c r="I87" s="1034"/>
      <c r="J87" s="1035">
        <f>H87/DAY(B2)</f>
        <v>1.5041666666663029</v>
      </c>
      <c r="K87" s="1036"/>
      <c r="L87" s="1037"/>
      <c r="N87" s="1096"/>
      <c r="O87" s="930"/>
    </row>
    <row r="88" spans="1:15" s="1038" customFormat="1">
      <c r="A88" s="1029" t="s">
        <v>96</v>
      </c>
      <c r="B88" s="1030"/>
      <c r="C88" s="1030"/>
      <c r="D88" s="1031" t="s">
        <v>183</v>
      </c>
      <c r="E88" s="924">
        <f>'23'!F88</f>
        <v>148005</v>
      </c>
      <c r="F88" s="1032">
        <v>148056</v>
      </c>
      <c r="G88" s="1033">
        <f t="shared" si="6"/>
        <v>51</v>
      </c>
      <c r="H88" s="1033">
        <f t="shared" si="7"/>
        <v>51</v>
      </c>
      <c r="I88" s="1034"/>
      <c r="J88" s="1035">
        <f>H88/DAY(B2)</f>
        <v>2.125</v>
      </c>
      <c r="K88" s="1036"/>
      <c r="L88" s="1037"/>
      <c r="N88" s="1096"/>
      <c r="O88" s="930"/>
    </row>
    <row r="89" spans="1:15" s="1038" customFormat="1">
      <c r="A89" s="1029" t="s">
        <v>204</v>
      </c>
      <c r="B89" s="1030"/>
      <c r="C89" s="1030"/>
      <c r="D89" s="1031" t="s">
        <v>183</v>
      </c>
      <c r="E89" s="924">
        <f>'23'!F89</f>
        <v>61337</v>
      </c>
      <c r="F89" s="1032">
        <v>61400</v>
      </c>
      <c r="G89" s="1033">
        <f t="shared" si="6"/>
        <v>63</v>
      </c>
      <c r="H89" s="1033">
        <f>G89</f>
        <v>63</v>
      </c>
      <c r="I89" s="1034"/>
      <c r="J89" s="1035">
        <f>H89/DAY(B2)</f>
        <v>2.625</v>
      </c>
      <c r="K89" s="1036"/>
      <c r="L89" s="1037"/>
      <c r="N89" s="1097"/>
      <c r="O89" s="930"/>
    </row>
    <row r="90" spans="1:15" s="1038" customFormat="1">
      <c r="A90" s="1029" t="s">
        <v>204</v>
      </c>
      <c r="B90" s="1030"/>
      <c r="C90" s="1030"/>
      <c r="D90" s="1031" t="s">
        <v>183</v>
      </c>
      <c r="E90" s="924">
        <f>'23'!F90</f>
        <v>3146</v>
      </c>
      <c r="F90" s="1032">
        <v>3152</v>
      </c>
      <c r="G90" s="1033">
        <f t="shared" si="6"/>
        <v>6</v>
      </c>
      <c r="H90" s="1033">
        <f>G90</f>
        <v>6</v>
      </c>
      <c r="I90" s="1034"/>
      <c r="J90" s="1035">
        <f>H90/DAY(B2)</f>
        <v>0.25</v>
      </c>
      <c r="K90" s="1036"/>
      <c r="L90" s="1037"/>
      <c r="N90" s="1097"/>
      <c r="O90" s="930"/>
    </row>
    <row r="91" spans="1:15" s="1028" customFormat="1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41" t="s">
        <v>206</v>
      </c>
      <c r="B92" s="1542"/>
      <c r="C92" s="1543"/>
      <c r="D92" s="923" t="s">
        <v>144</v>
      </c>
      <c r="E92" s="924">
        <f>'23'!F92</f>
        <v>239145</v>
      </c>
      <c r="F92" s="954">
        <v>239233</v>
      </c>
      <c r="G92" s="925">
        <f t="shared" ref="G92:G93" si="8">F92-E92</f>
        <v>88</v>
      </c>
      <c r="H92" s="926">
        <f>G92+'23'!H92</f>
        <v>2663</v>
      </c>
      <c r="I92" s="945"/>
      <c r="J92" s="928">
        <f>H92/DAY(B2)</f>
        <v>110.95833333333333</v>
      </c>
      <c r="K92" s="951"/>
      <c r="L92" s="903"/>
      <c r="O92" s="930"/>
    </row>
    <row r="93" spans="1:15">
      <c r="A93" s="1541" t="s">
        <v>207</v>
      </c>
      <c r="B93" s="1542"/>
      <c r="C93" s="1543"/>
      <c r="D93" s="923" t="s">
        <v>144</v>
      </c>
      <c r="E93" s="924">
        <f>'23'!F93</f>
        <v>174818</v>
      </c>
      <c r="F93" s="954">
        <v>174960</v>
      </c>
      <c r="G93" s="925">
        <f t="shared" si="8"/>
        <v>142</v>
      </c>
      <c r="H93" s="926">
        <f>G93+'23'!H93</f>
        <v>3784</v>
      </c>
      <c r="I93" s="945"/>
      <c r="J93" s="928">
        <f>H93/DAY(B2)</f>
        <v>157.66666666666666</v>
      </c>
      <c r="K93" s="1024"/>
      <c r="L93" s="903"/>
      <c r="O93" s="930"/>
    </row>
    <row r="94" spans="1:15">
      <c r="A94" s="1567" t="s">
        <v>208</v>
      </c>
      <c r="B94" s="1568"/>
      <c r="C94" s="1569"/>
      <c r="D94" s="923"/>
      <c r="E94" s="924">
        <f>'23'!F94</f>
        <v>0</v>
      </c>
      <c r="F94" s="954"/>
      <c r="G94" s="925">
        <f>G92+G93</f>
        <v>230</v>
      </c>
      <c r="H94" s="926">
        <f>G94+'23'!H94</f>
        <v>6160</v>
      </c>
      <c r="I94" s="945"/>
      <c r="J94" s="928">
        <f>H94/DAY(B2)</f>
        <v>256.66666666666669</v>
      </c>
      <c r="K94" s="1024"/>
      <c r="L94" s="903"/>
      <c r="O94" s="930"/>
    </row>
    <row r="95" spans="1:15">
      <c r="A95" s="1541" t="s">
        <v>209</v>
      </c>
      <c r="B95" s="1542"/>
      <c r="C95" s="1543"/>
      <c r="D95" s="923" t="s">
        <v>144</v>
      </c>
      <c r="E95" s="924">
        <f>'23'!F95</f>
        <v>407728</v>
      </c>
      <c r="F95" s="954">
        <v>407799</v>
      </c>
      <c r="G95" s="925">
        <f t="shared" ref="G95:G100" si="9">F95-E95</f>
        <v>71</v>
      </c>
      <c r="H95" s="926">
        <f>G95+'23'!H95</f>
        <v>1923</v>
      </c>
      <c r="I95" s="945"/>
      <c r="J95" s="928">
        <f>H95/DAY(B2)</f>
        <v>80.125</v>
      </c>
      <c r="K95" s="1024"/>
      <c r="L95" s="903"/>
      <c r="O95" s="930"/>
    </row>
    <row r="96" spans="1:15">
      <c r="A96" s="952" t="s">
        <v>210</v>
      </c>
      <c r="B96" s="953"/>
      <c r="C96" s="953"/>
      <c r="D96" s="923" t="s">
        <v>144</v>
      </c>
      <c r="E96" s="924">
        <f>'23'!F96</f>
        <v>101237</v>
      </c>
      <c r="F96" s="954">
        <v>101250</v>
      </c>
      <c r="G96" s="925">
        <f t="shared" si="9"/>
        <v>13</v>
      </c>
      <c r="H96" s="926">
        <f>G96+'23'!H96</f>
        <v>716</v>
      </c>
      <c r="I96" s="945"/>
      <c r="J96" s="928">
        <f>H96/DAY(B2)</f>
        <v>29.833333333333332</v>
      </c>
      <c r="K96" s="920"/>
      <c r="L96" s="903"/>
      <c r="O96" s="930"/>
    </row>
    <row r="97" spans="1:15">
      <c r="A97" s="952" t="s">
        <v>211</v>
      </c>
      <c r="B97" s="953"/>
      <c r="C97" s="953"/>
      <c r="D97" s="923" t="s">
        <v>144</v>
      </c>
      <c r="E97" s="924">
        <f>'23'!F97</f>
        <v>96336</v>
      </c>
      <c r="F97" s="954">
        <v>96354</v>
      </c>
      <c r="G97" s="925">
        <f t="shared" si="9"/>
        <v>18</v>
      </c>
      <c r="H97" s="926">
        <f>G97+'23'!H97</f>
        <v>677</v>
      </c>
      <c r="I97" s="945"/>
      <c r="J97" s="928">
        <f>H97/DAY(B2)</f>
        <v>28.208333333333332</v>
      </c>
      <c r="K97" s="1040"/>
      <c r="L97" s="903"/>
      <c r="O97" s="930"/>
    </row>
    <row r="98" spans="1:15">
      <c r="A98" s="952" t="s">
        <v>212</v>
      </c>
      <c r="B98" s="953"/>
      <c r="C98" s="953"/>
      <c r="D98" s="923" t="s">
        <v>144</v>
      </c>
      <c r="E98" s="924">
        <f>'23'!F98</f>
        <v>147146</v>
      </c>
      <c r="F98" s="954">
        <v>147240</v>
      </c>
      <c r="G98" s="925">
        <f t="shared" si="9"/>
        <v>94</v>
      </c>
      <c r="H98" s="926">
        <f>G98+'23'!H98</f>
        <v>1686</v>
      </c>
      <c r="I98" s="945"/>
      <c r="J98" s="928">
        <f>H98/DAY(B2)</f>
        <v>70.25</v>
      </c>
      <c r="K98" s="1024"/>
      <c r="L98" s="903"/>
      <c r="O98" s="930"/>
    </row>
    <row r="99" spans="1:15">
      <c r="A99" s="952" t="s">
        <v>213</v>
      </c>
      <c r="B99" s="953"/>
      <c r="C99" s="953"/>
      <c r="D99" s="923" t="s">
        <v>144</v>
      </c>
      <c r="E99" s="924">
        <f>'23'!F99</f>
        <v>6308</v>
      </c>
      <c r="F99" s="954">
        <v>6333</v>
      </c>
      <c r="G99" s="925">
        <f t="shared" si="9"/>
        <v>25</v>
      </c>
      <c r="H99" s="926">
        <f>G99+'23'!H99</f>
        <v>359</v>
      </c>
      <c r="I99" s="945"/>
      <c r="J99" s="928">
        <f>H99/DAY(B2)</f>
        <v>14.958333333333334</v>
      </c>
      <c r="K99" s="1024"/>
      <c r="L99" s="903"/>
      <c r="O99" s="930"/>
    </row>
    <row r="100" spans="1:15">
      <c r="A100" s="952" t="s">
        <v>214</v>
      </c>
      <c r="B100" s="953"/>
      <c r="C100" s="953"/>
      <c r="D100" s="923" t="s">
        <v>144</v>
      </c>
      <c r="E100" s="924">
        <f>'23'!F100</f>
        <v>4447</v>
      </c>
      <c r="F100" s="954">
        <v>4460</v>
      </c>
      <c r="G100" s="925">
        <f t="shared" si="9"/>
        <v>13</v>
      </c>
      <c r="H100" s="926">
        <f>G100+'23'!H100</f>
        <v>223</v>
      </c>
      <c r="I100" s="945"/>
      <c r="J100" s="928">
        <f>H100/DAY(B2)</f>
        <v>9.2916666666666661</v>
      </c>
      <c r="K100" s="1024"/>
      <c r="L100" s="903"/>
      <c r="O100" s="930"/>
    </row>
    <row r="101" spans="1:15">
      <c r="A101" s="1567" t="s">
        <v>216</v>
      </c>
      <c r="B101" s="1568"/>
      <c r="C101" s="1569"/>
      <c r="D101" s="957"/>
      <c r="E101" s="957"/>
      <c r="F101" s="957"/>
      <c r="G101" s="1041">
        <f>SUM(G95:G100)</f>
        <v>234</v>
      </c>
      <c r="H101" s="926">
        <f>G101+'23'!H101</f>
        <v>5584</v>
      </c>
      <c r="I101" s="1042"/>
      <c r="J101" s="928">
        <f>H101/DAY(B2)</f>
        <v>232.66666666666666</v>
      </c>
      <c r="K101" s="1024"/>
      <c r="L101" s="903"/>
      <c r="O101" s="930"/>
    </row>
    <row r="102" spans="1:15" s="975" customFormat="1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75" t="s">
        <v>218</v>
      </c>
      <c r="B103" s="1576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77" t="s">
        <v>219</v>
      </c>
      <c r="B104" s="1578"/>
      <c r="C104" s="1057"/>
      <c r="D104" s="1053" t="s">
        <v>144</v>
      </c>
      <c r="E104" s="1054">
        <f>'23'!F104</f>
        <v>7115</v>
      </c>
      <c r="F104" s="1054">
        <v>7125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3.5</v>
      </c>
      <c r="N104" s="1093"/>
      <c r="O104" s="930"/>
    </row>
    <row r="105" spans="1:15" s="975" customFormat="1">
      <c r="A105" s="1577" t="s">
        <v>77</v>
      </c>
      <c r="B105" s="1578"/>
      <c r="C105" s="1057"/>
      <c r="D105" s="1053" t="s">
        <v>144</v>
      </c>
      <c r="E105" s="1054">
        <f>'23'!F105</f>
        <v>35366</v>
      </c>
      <c r="F105" s="1058">
        <v>35375</v>
      </c>
      <c r="G105" s="1054">
        <f t="shared" ref="G105:G106" si="10">F105-E105</f>
        <v>9</v>
      </c>
      <c r="H105" s="1055">
        <f>SUM(G105+'1'!G77)</f>
        <v>57</v>
      </c>
      <c r="I105" s="1054"/>
      <c r="J105" s="1056">
        <f>H105/DAY(B2)</f>
        <v>2.375</v>
      </c>
      <c r="N105" s="1093"/>
      <c r="O105" s="930"/>
    </row>
    <row r="106" spans="1:15" s="975" customFormat="1">
      <c r="A106" s="1577" t="s">
        <v>78</v>
      </c>
      <c r="B106" s="1579"/>
      <c r="C106" s="1578"/>
      <c r="D106" s="1053" t="s">
        <v>144</v>
      </c>
      <c r="E106" s="1054">
        <f>'23'!F106</f>
        <v>19220</v>
      </c>
      <c r="F106" s="1054">
        <v>19225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>
      <c r="A107" s="1580" t="s">
        <v>202</v>
      </c>
      <c r="B107" s="1581"/>
      <c r="C107" s="1057"/>
      <c r="D107" s="1053"/>
      <c r="E107" s="1054"/>
      <c r="F107" s="1054"/>
      <c r="G107" s="1054">
        <f>SUM(G104:G106)</f>
        <v>24</v>
      </c>
      <c r="H107" s="1055">
        <f>SUM(G107+'1'!G79)</f>
        <v>229</v>
      </c>
      <c r="I107" s="1054"/>
      <c r="J107" s="1056">
        <f>H107/DAY(B2)</f>
        <v>9.5416666666666661</v>
      </c>
      <c r="N107" s="1093"/>
      <c r="O107" s="930"/>
    </row>
    <row r="108" spans="1:15" s="975" customFormat="1">
      <c r="A108" s="1582" t="s">
        <v>79</v>
      </c>
      <c r="B108" s="1583"/>
      <c r="C108" s="1057"/>
      <c r="D108" s="1053" t="s">
        <v>144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77" t="s">
        <v>220</v>
      </c>
      <c r="B109" s="1578"/>
      <c r="C109" s="1057"/>
      <c r="D109" s="1053" t="s">
        <v>144</v>
      </c>
      <c r="E109" s="1054">
        <f>'23'!F109</f>
        <v>56028</v>
      </c>
      <c r="F109" s="1054">
        <v>56110</v>
      </c>
      <c r="G109" s="1054">
        <f>F109-E109</f>
        <v>82</v>
      </c>
      <c r="H109" s="1055">
        <f>SUM(G109+'1'!G81)</f>
        <v>158</v>
      </c>
      <c r="I109" s="1054"/>
      <c r="J109" s="1056">
        <f>H109/DAY(B2)</f>
        <v>6.583333333333333</v>
      </c>
      <c r="N109" s="1093"/>
      <c r="O109" s="930"/>
    </row>
    <row r="110" spans="1:15" s="975" customFormat="1">
      <c r="A110" s="1577" t="s">
        <v>221</v>
      </c>
      <c r="B110" s="1578"/>
      <c r="C110" s="1057"/>
      <c r="D110" s="1053" t="s">
        <v>144</v>
      </c>
      <c r="E110" s="1054">
        <f>'23'!F110</f>
        <v>30071</v>
      </c>
      <c r="F110" s="1054">
        <v>30112</v>
      </c>
      <c r="G110" s="1054">
        <f t="shared" ref="G110:G111" si="11">F110-E110</f>
        <v>41</v>
      </c>
      <c r="H110" s="1055">
        <f>SUM(G110+'1'!G82)</f>
        <v>86</v>
      </c>
      <c r="I110" s="1054"/>
      <c r="J110" s="1056">
        <f>H110/DAY(B2)</f>
        <v>3.5833333333333335</v>
      </c>
      <c r="N110" s="1093"/>
      <c r="O110" s="930"/>
    </row>
    <row r="111" spans="1:15" s="975" customFormat="1">
      <c r="A111" s="1577" t="s">
        <v>222</v>
      </c>
      <c r="B111" s="1578"/>
      <c r="C111" s="1057"/>
      <c r="D111" s="1053" t="s">
        <v>144</v>
      </c>
      <c r="E111" s="1054">
        <f>'23'!F111</f>
        <v>3951</v>
      </c>
      <c r="F111" s="1054">
        <v>3961</v>
      </c>
      <c r="G111" s="1054">
        <f t="shared" si="11"/>
        <v>10</v>
      </c>
      <c r="H111" s="1055">
        <f>SUM(G111+'1'!G83)</f>
        <v>443</v>
      </c>
      <c r="I111" s="1054"/>
      <c r="J111" s="1056">
        <f>H111/DAY(B2)</f>
        <v>18.458333333333332</v>
      </c>
      <c r="N111" s="1093"/>
      <c r="O111" s="930"/>
    </row>
    <row r="112" spans="1:15" s="975" customFormat="1">
      <c r="A112" s="1587" t="s">
        <v>110</v>
      </c>
      <c r="B112" s="1588"/>
      <c r="C112" s="1057"/>
      <c r="D112" s="1053"/>
      <c r="E112" s="1054">
        <f>'23'!F112</f>
        <v>0</v>
      </c>
      <c r="F112" s="1054"/>
      <c r="G112" s="1054">
        <f>SUM(G109:G111)</f>
        <v>133</v>
      </c>
      <c r="H112" s="1055">
        <f>SUM(G112+'1'!G84)</f>
        <v>654</v>
      </c>
      <c r="I112" s="1054"/>
      <c r="J112" s="1056">
        <f>H112/DAY(B2)</f>
        <v>27.25</v>
      </c>
      <c r="N112" s="1093"/>
      <c r="O112" s="930"/>
    </row>
    <row r="113" spans="1:15" s="975" customFormat="1">
      <c r="A113" s="1582" t="s">
        <v>223</v>
      </c>
      <c r="B113" s="1583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77" t="s">
        <v>224</v>
      </c>
      <c r="B114" s="1578"/>
      <c r="C114" s="1059"/>
      <c r="D114" s="1053" t="s">
        <v>144</v>
      </c>
      <c r="E114" s="1054">
        <f>'23'!F114</f>
        <v>10203</v>
      </c>
      <c r="F114" s="1058">
        <v>10233</v>
      </c>
      <c r="G114" s="1058">
        <f>F114-E114</f>
        <v>30</v>
      </c>
      <c r="H114" s="1055">
        <f>SUM(G114+'1'!G91)</f>
        <v>30</v>
      </c>
      <c r="I114" s="1054"/>
      <c r="J114" s="1056">
        <f>H114/DAY(B2)</f>
        <v>1.25</v>
      </c>
      <c r="N114" s="1093"/>
      <c r="O114" s="930"/>
    </row>
    <row r="115" spans="1:15" s="975" customFormat="1">
      <c r="A115" s="1577" t="s">
        <v>225</v>
      </c>
      <c r="B115" s="1578"/>
      <c r="C115" s="1059"/>
      <c r="D115" s="1053" t="s">
        <v>144</v>
      </c>
      <c r="E115" s="1054">
        <f>'23'!F115</f>
        <v>7597</v>
      </c>
      <c r="F115" s="1058">
        <v>7608</v>
      </c>
      <c r="G115" s="1058">
        <f t="shared" ref="G115:G116" si="12">F115-E115</f>
        <v>11</v>
      </c>
      <c r="H115" s="1055">
        <f>SUM(G115+'1'!G92)</f>
        <v>98</v>
      </c>
      <c r="I115" s="1054"/>
      <c r="J115" s="1056">
        <f>H115/DAY(B2)</f>
        <v>4.083333333333333</v>
      </c>
      <c r="N115" s="1093"/>
      <c r="O115" s="930"/>
    </row>
    <row r="116" spans="1:15" s="975" customFormat="1">
      <c r="A116" s="1577" t="s">
        <v>226</v>
      </c>
      <c r="B116" s="1578"/>
      <c r="C116" s="1059"/>
      <c r="D116" s="1053" t="s">
        <v>144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>
      <c r="A117" s="1580" t="s">
        <v>202</v>
      </c>
      <c r="B117" s="1581"/>
      <c r="C117" s="1059"/>
      <c r="D117" s="1060"/>
      <c r="E117" s="1058"/>
      <c r="F117" s="1058"/>
      <c r="G117" s="1058">
        <f>SUM(G114:G116)</f>
        <v>41</v>
      </c>
      <c r="H117" s="1055">
        <f>SUM(G117+'1'!G95)</f>
        <v>113</v>
      </c>
      <c r="I117" s="1058"/>
      <c r="J117" s="1056">
        <f>H117/DAY(B2)</f>
        <v>4.708333333333333</v>
      </c>
      <c r="N117" s="1098"/>
      <c r="O117" s="930"/>
    </row>
    <row r="118" spans="1:15" s="851" customFormat="1">
      <c r="A118" s="1591" t="s">
        <v>227</v>
      </c>
      <c r="B118" s="1592"/>
      <c r="C118" s="1062"/>
      <c r="D118" s="1063" t="s">
        <v>144</v>
      </c>
      <c r="E118" s="1064"/>
      <c r="F118" s="1065">
        <f>SUM(G19+G92)</f>
        <v>140</v>
      </c>
      <c r="G118" s="1065">
        <f>SUM(G19+G92)</f>
        <v>140</v>
      </c>
      <c r="H118" s="1055">
        <f>SUM(G118+'1'!G96)</f>
        <v>163</v>
      </c>
      <c r="I118" s="1064"/>
      <c r="J118" s="1066">
        <f>H118/DAY(B2)</f>
        <v>6.791666666666667</v>
      </c>
      <c r="N118" s="1099"/>
      <c r="O118" s="930"/>
    </row>
    <row r="119" spans="1:15" s="851" customFormat="1">
      <c r="A119" s="1591" t="s">
        <v>228</v>
      </c>
      <c r="B119" s="1592"/>
      <c r="C119" s="1062"/>
      <c r="D119" s="1063" t="s">
        <v>144</v>
      </c>
      <c r="E119" s="1064"/>
      <c r="F119" s="1065">
        <f>SUM(G95,G96,G97,G99,G100)</f>
        <v>140</v>
      </c>
      <c r="G119" s="1065">
        <f>SUM(G95,G96,G97,G99,G100)</f>
        <v>140</v>
      </c>
      <c r="H119" s="1055">
        <f>SUM(G119+'1'!G98)</f>
        <v>223</v>
      </c>
      <c r="I119" s="1064"/>
      <c r="J119" s="1066">
        <f>H119/DAY(B2)</f>
        <v>9.2916666666666661</v>
      </c>
      <c r="N119" s="1099"/>
      <c r="O119" s="930"/>
    </row>
    <row r="120" spans="1:15" s="851" customFormat="1">
      <c r="A120" s="1591" t="s">
        <v>229</v>
      </c>
      <c r="B120" s="1592"/>
      <c r="C120" s="1062"/>
      <c r="D120" s="1063" t="s">
        <v>144</v>
      </c>
      <c r="E120" s="1064"/>
      <c r="F120" s="1058">
        <f>SUM(G112)</f>
        <v>133</v>
      </c>
      <c r="G120" s="1058">
        <f>SUM(G112)</f>
        <v>133</v>
      </c>
      <c r="H120" s="1055">
        <f>SUM(G120+'1'!G100)</f>
        <v>139</v>
      </c>
      <c r="I120" s="1064"/>
      <c r="J120" s="1066">
        <f>H120/DAY(B2)</f>
        <v>5.791666666666667</v>
      </c>
      <c r="N120" s="1099"/>
      <c r="O120" s="930"/>
    </row>
    <row r="121" spans="1:15" s="975" customFormat="1">
      <c r="A121" s="1589"/>
      <c r="B121" s="1590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>
      <c r="A122" s="1570" t="s">
        <v>230</v>
      </c>
      <c r="B122" s="1571"/>
      <c r="C122" s="1572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231</v>
      </c>
      <c r="B123" s="953"/>
      <c r="C123" s="953"/>
      <c r="D123" s="923" t="s">
        <v>141</v>
      </c>
      <c r="E123" s="924">
        <f>'23'!F123</f>
        <v>809705</v>
      </c>
      <c r="F123" s="942">
        <v>809965</v>
      </c>
      <c r="G123" s="925">
        <f t="shared" ref="G123:G127" si="13">F123-E123</f>
        <v>260</v>
      </c>
      <c r="H123" s="926">
        <f>G123+'23'!H123</f>
        <v>6629.5999999999767</v>
      </c>
      <c r="I123" s="1042"/>
      <c r="J123" s="928">
        <f>H123/DAY(B2)</f>
        <v>276.23333333333238</v>
      </c>
      <c r="K123" s="1024"/>
      <c r="L123" s="903"/>
      <c r="O123" s="930"/>
    </row>
    <row r="124" spans="1:15">
      <c r="A124" s="952" t="s">
        <v>232</v>
      </c>
      <c r="B124" s="953"/>
      <c r="C124" s="953"/>
      <c r="D124" s="923" t="s">
        <v>141</v>
      </c>
      <c r="E124" s="924">
        <f>'23'!F124</f>
        <v>73583</v>
      </c>
      <c r="F124" s="1070">
        <v>73583</v>
      </c>
      <c r="G124" s="925">
        <f t="shared" si="13"/>
        <v>0</v>
      </c>
      <c r="H124" s="926">
        <f>G124+'23'!H124</f>
        <v>1</v>
      </c>
      <c r="I124" s="1042"/>
      <c r="J124" s="928">
        <f>H124/DAY(B2)</f>
        <v>4.1666666666666664E-2</v>
      </c>
      <c r="K124" s="1024"/>
      <c r="L124" s="903"/>
      <c r="O124" s="930"/>
    </row>
    <row r="125" spans="1:15">
      <c r="A125" s="1538" t="s">
        <v>233</v>
      </c>
      <c r="B125" s="1539"/>
      <c r="C125" s="1540"/>
      <c r="D125" s="923" t="s">
        <v>141</v>
      </c>
      <c r="E125" s="924">
        <f>'23'!F125</f>
        <v>139635</v>
      </c>
      <c r="F125" s="942">
        <v>139709</v>
      </c>
      <c r="G125" s="925">
        <f t="shared" si="13"/>
        <v>74</v>
      </c>
      <c r="H125" s="926">
        <f>G125+'23'!H125</f>
        <v>1861</v>
      </c>
      <c r="I125" s="1042"/>
      <c r="J125" s="928">
        <f>H125/DAY(B2)</f>
        <v>77.541666666666671</v>
      </c>
      <c r="K125" s="1024"/>
      <c r="L125" s="903"/>
      <c r="O125" s="930"/>
    </row>
    <row r="126" spans="1:15">
      <c r="A126" s="1071" t="s">
        <v>234</v>
      </c>
      <c r="B126" s="953"/>
      <c r="C126" s="953"/>
      <c r="D126" s="923" t="s">
        <v>141</v>
      </c>
      <c r="E126" s="924">
        <f>'23'!F126</f>
        <v>59179</v>
      </c>
      <c r="F126" s="1070">
        <v>59195</v>
      </c>
      <c r="G126" s="925">
        <f t="shared" si="13"/>
        <v>16</v>
      </c>
      <c r="H126" s="926">
        <f>G126+'23'!H126</f>
        <v>803.30000000000291</v>
      </c>
      <c r="I126" s="1042"/>
      <c r="J126" s="928">
        <f>H126/DAY(B2)</f>
        <v>33.470833333333452</v>
      </c>
      <c r="K126" s="1024"/>
      <c r="L126" s="903"/>
      <c r="O126" s="930"/>
    </row>
    <row r="127" spans="1:15">
      <c r="A127" s="1071" t="s">
        <v>235</v>
      </c>
      <c r="B127" s="953"/>
      <c r="C127" s="953"/>
      <c r="D127" s="923" t="s">
        <v>141</v>
      </c>
      <c r="E127" s="924">
        <f>'23'!F127</f>
        <v>8880</v>
      </c>
      <c r="F127" s="1070">
        <v>8882</v>
      </c>
      <c r="G127" s="925">
        <f t="shared" si="13"/>
        <v>2</v>
      </c>
      <c r="H127" s="926">
        <f>G127+'23'!H127</f>
        <v>66</v>
      </c>
      <c r="I127" s="945"/>
      <c r="J127" s="928">
        <f>H127/DAY(B2)</f>
        <v>2.75</v>
      </c>
      <c r="K127" s="1024"/>
      <c r="L127" s="903"/>
      <c r="O127" s="930"/>
    </row>
    <row r="128" spans="1:1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435.75</v>
      </c>
      <c r="H128" s="926">
        <f>G128+'23'!H128</f>
        <v>5062.0699999999088</v>
      </c>
      <c r="I128" s="945"/>
      <c r="J128" s="928">
        <f>H128/DAY(B2)</f>
        <v>210.91958333332954</v>
      </c>
      <c r="K128" s="1024"/>
      <c r="L128" s="903"/>
      <c r="O128" s="930"/>
    </row>
    <row r="129" spans="1:1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238</v>
      </c>
      <c r="B130" s="953"/>
      <c r="C130" s="953"/>
      <c r="D130" s="923" t="s">
        <v>239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>
      <c r="A131" s="952" t="s">
        <v>240</v>
      </c>
      <c r="B131" s="953"/>
      <c r="C131" s="953"/>
      <c r="D131" s="923" t="s">
        <v>239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>
      <c r="A132" s="952" t="s">
        <v>241</v>
      </c>
      <c r="B132" s="953"/>
      <c r="C132" s="953"/>
      <c r="D132" s="923" t="s">
        <v>239</v>
      </c>
      <c r="E132" s="924">
        <f>'23'!F132</f>
        <v>38829.480000000003</v>
      </c>
      <c r="F132" s="1075">
        <v>38829.480000000003</v>
      </c>
      <c r="G132" s="925">
        <f t="shared" si="14"/>
        <v>0</v>
      </c>
      <c r="H132" s="926">
        <f>G132+'23'!H132</f>
        <v>111.08999999999651</v>
      </c>
      <c r="I132" s="945"/>
      <c r="J132" s="928">
        <f>H132/DAY(B2)</f>
        <v>4.6287499999998545</v>
      </c>
      <c r="O132" s="930"/>
    </row>
    <row r="133" spans="1:15">
      <c r="A133" s="952" t="s">
        <v>242</v>
      </c>
      <c r="B133" s="953"/>
      <c r="C133" s="953"/>
      <c r="D133" s="923" t="s">
        <v>239</v>
      </c>
      <c r="E133" s="924">
        <f>'23'!F133</f>
        <v>299.52</v>
      </c>
      <c r="F133" s="1075">
        <v>299.52</v>
      </c>
      <c r="G133" s="925">
        <f t="shared" si="14"/>
        <v>0</v>
      </c>
      <c r="H133" s="926">
        <f>G133+'23'!H133</f>
        <v>0.51999999999998181</v>
      </c>
      <c r="I133" s="945">
        <f>G130+G131+G132+G133</f>
        <v>0</v>
      </c>
      <c r="J133" s="928">
        <f>H133/DAY(B2)</f>
        <v>2.1666666666665908E-2</v>
      </c>
      <c r="O133" s="930"/>
    </row>
    <row r="134" spans="1:15">
      <c r="A134" s="952" t="s">
        <v>243</v>
      </c>
      <c r="B134" s="953"/>
      <c r="C134" s="953"/>
      <c r="D134" s="923" t="s">
        <v>239</v>
      </c>
      <c r="E134" s="924">
        <f>'23'!F134</f>
        <v>40260.519999999997</v>
      </c>
      <c r="F134" s="1075">
        <v>40270.559999999998</v>
      </c>
      <c r="G134" s="925">
        <f t="shared" si="14"/>
        <v>10.040000000000873</v>
      </c>
      <c r="H134" s="926">
        <f>G134+'23'!H134</f>
        <v>34.040000000000873</v>
      </c>
      <c r="I134" s="945"/>
      <c r="J134" s="928">
        <f>H134/DAY(B2)</f>
        <v>1.4183333333333696</v>
      </c>
      <c r="O134" s="930"/>
    </row>
    <row r="135" spans="1:15">
      <c r="A135" s="952" t="s">
        <v>244</v>
      </c>
      <c r="B135" s="953"/>
      <c r="C135" s="953"/>
      <c r="D135" s="923" t="s">
        <v>239</v>
      </c>
      <c r="E135" s="924">
        <f>'23'!F135</f>
        <v>32554.48</v>
      </c>
      <c r="F135" s="1075">
        <v>32571.360000000001</v>
      </c>
      <c r="G135" s="925">
        <f t="shared" si="14"/>
        <v>16.880000000001019</v>
      </c>
      <c r="H135" s="926">
        <f>G135+'23'!H135</f>
        <v>29.880000000001019</v>
      </c>
      <c r="I135" s="945"/>
      <c r="J135" s="928">
        <f>H135/DAY(B2)</f>
        <v>1.2450000000000425</v>
      </c>
      <c r="O135" s="930"/>
    </row>
    <row r="136" spans="1:15">
      <c r="A136" s="952" t="s">
        <v>245</v>
      </c>
      <c r="B136" s="953"/>
      <c r="C136" s="953"/>
      <c r="D136" s="923" t="s">
        <v>239</v>
      </c>
      <c r="E136" s="924">
        <f>'23'!F136</f>
        <v>22183</v>
      </c>
      <c r="F136" s="1075">
        <v>22183</v>
      </c>
      <c r="G136" s="925">
        <f t="shared" si="14"/>
        <v>0</v>
      </c>
      <c r="H136" s="926">
        <f>G136+'23'!H136</f>
        <v>181.04000000000087</v>
      </c>
      <c r="I136" s="945">
        <f>G134+G135+G136</f>
        <v>26.920000000001892</v>
      </c>
      <c r="J136" s="928">
        <f>H136/DAY(B2)</f>
        <v>7.5433333333333694</v>
      </c>
      <c r="O136" s="930"/>
    </row>
    <row r="137" spans="1:15">
      <c r="A137" s="952" t="s">
        <v>246</v>
      </c>
      <c r="B137" s="953"/>
      <c r="C137" s="953"/>
      <c r="D137" s="923" t="s">
        <v>239</v>
      </c>
      <c r="E137" s="924">
        <f>'23'!F137</f>
        <v>25036.560000000001</v>
      </c>
      <c r="F137" s="1075">
        <v>25044.31</v>
      </c>
      <c r="G137" s="925">
        <f t="shared" si="14"/>
        <v>7.75</v>
      </c>
      <c r="H137" s="926">
        <f>G137+'23'!H137</f>
        <v>15.75</v>
      </c>
      <c r="I137" s="945"/>
      <c r="J137" s="928">
        <f>H137/DAY(B2)</f>
        <v>0.65625</v>
      </c>
      <c r="O137" s="930"/>
    </row>
    <row r="138" spans="1:15">
      <c r="A138" s="952" t="s">
        <v>247</v>
      </c>
      <c r="B138" s="953"/>
      <c r="C138" s="953"/>
      <c r="D138" s="923" t="s">
        <v>239</v>
      </c>
      <c r="E138" s="924">
        <f>'23'!F138</f>
        <v>70130.850000000006</v>
      </c>
      <c r="F138" s="1075">
        <v>70132</v>
      </c>
      <c r="G138" s="925">
        <f t="shared" si="14"/>
        <v>1.1499999999941792</v>
      </c>
      <c r="H138" s="926">
        <f>G138+'23'!H138</f>
        <v>16.149999999994179</v>
      </c>
      <c r="I138" s="945">
        <f>G137+G138</f>
        <v>8.8999999999941792</v>
      </c>
      <c r="J138" s="928">
        <f>H138/DAY(B2)</f>
        <v>0.67291666666642413</v>
      </c>
      <c r="O138" s="930"/>
    </row>
    <row r="139" spans="1:15">
      <c r="A139" s="952" t="s">
        <v>248</v>
      </c>
      <c r="B139" s="953"/>
      <c r="C139" s="953"/>
      <c r="D139" s="923" t="s">
        <v>239</v>
      </c>
      <c r="E139" s="924">
        <f>'23'!F139</f>
        <v>1385.51</v>
      </c>
      <c r="F139" s="954">
        <v>1393.11</v>
      </c>
      <c r="G139" s="925">
        <f t="shared" si="14"/>
        <v>7.5999999999999091</v>
      </c>
      <c r="H139" s="926">
        <f>G139+'23'!H139</f>
        <v>192.51999999999998</v>
      </c>
      <c r="I139" s="1076"/>
      <c r="J139" s="928">
        <f>H139/DAY(B2)</f>
        <v>8.0216666666666665</v>
      </c>
      <c r="O139" s="930"/>
    </row>
    <row r="140" spans="1:15">
      <c r="A140" s="952" t="s">
        <v>249</v>
      </c>
      <c r="B140" s="953"/>
      <c r="C140" s="953"/>
      <c r="D140" s="923" t="s">
        <v>239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>
      <c r="A141" s="1573" t="s">
        <v>250</v>
      </c>
      <c r="B141" s="1574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41" t="s">
        <v>251</v>
      </c>
      <c r="B142" s="1542"/>
      <c r="C142" s="1543"/>
      <c r="D142" s="923" t="s">
        <v>132</v>
      </c>
      <c r="E142" s="923"/>
      <c r="F142" s="923"/>
      <c r="G142" s="926">
        <f>G35+G43+G49+G57</f>
        <v>5667</v>
      </c>
      <c r="H142" s="926">
        <f>G142+'23'!H142</f>
        <v>121009.93</v>
      </c>
      <c r="I142" s="945"/>
      <c r="J142" s="928">
        <f>H142/DAY(B2)</f>
        <v>5042.0804166666667</v>
      </c>
      <c r="K142" s="1024"/>
      <c r="L142" s="903"/>
      <c r="O142" s="930"/>
    </row>
    <row r="143" spans="1:15">
      <c r="A143" s="1541" t="s">
        <v>252</v>
      </c>
      <c r="B143" s="1542"/>
      <c r="C143" s="1543"/>
      <c r="D143" s="923" t="s">
        <v>24</v>
      </c>
      <c r="E143" s="910"/>
      <c r="F143" s="910"/>
      <c r="G143" s="1077">
        <f>G142/G7</f>
        <v>0.24844366505918458</v>
      </c>
      <c r="H143" s="926">
        <f>G143+'23'!H143</f>
        <v>5.9608604738998689</v>
      </c>
      <c r="I143" s="1078"/>
      <c r="J143" s="928">
        <f>H143/DAY(B2)</f>
        <v>0.24836918641249453</v>
      </c>
      <c r="K143" s="1024"/>
      <c r="L143" s="903"/>
      <c r="O143" s="930"/>
    </row>
    <row r="144" spans="1:15">
      <c r="A144" s="1541" t="s">
        <v>253</v>
      </c>
      <c r="B144" s="1542"/>
      <c r="C144" s="1543"/>
      <c r="D144" s="923" t="s">
        <v>132</v>
      </c>
      <c r="E144" s="924"/>
      <c r="F144" s="924"/>
      <c r="G144" s="926">
        <f>G41+G42+G55+G56</f>
        <v>5857</v>
      </c>
      <c r="H144" s="926">
        <f>G144+'23'!H144</f>
        <v>105223.98999999996</v>
      </c>
      <c r="I144" s="945"/>
      <c r="J144" s="928">
        <f>H144/DAY(B2)</f>
        <v>4384.3329166666654</v>
      </c>
      <c r="K144" s="1024"/>
      <c r="L144" s="903"/>
      <c r="O144" s="930"/>
    </row>
    <row r="145" spans="1:15">
      <c r="A145" s="1541" t="s">
        <v>254</v>
      </c>
      <c r="B145" s="1542"/>
      <c r="C145" s="1543"/>
      <c r="D145" s="923" t="s">
        <v>24</v>
      </c>
      <c r="E145" s="924"/>
      <c r="F145" s="924"/>
      <c r="G145" s="1077">
        <f>G144/G7</f>
        <v>0.25677334502411225</v>
      </c>
      <c r="H145" s="926">
        <f>G145+'23'!H145</f>
        <v>5.3158046315185565</v>
      </c>
      <c r="I145" s="1078"/>
      <c r="J145" s="928">
        <f>H145/DAY(B2)</f>
        <v>0.22149185964660653</v>
      </c>
      <c r="K145" s="1024"/>
      <c r="L145" s="903"/>
      <c r="O145" s="930"/>
    </row>
    <row r="146" spans="1:15">
      <c r="A146" s="1541" t="s">
        <v>255</v>
      </c>
      <c r="B146" s="1542"/>
      <c r="C146" s="1543"/>
      <c r="D146" s="923" t="s">
        <v>132</v>
      </c>
      <c r="E146" s="924"/>
      <c r="F146" s="924"/>
      <c r="G146" s="926">
        <f>G39+G53</f>
        <v>4084.1699999999983</v>
      </c>
      <c r="H146" s="926">
        <f>G146+'23'!H146</f>
        <v>101385.72999999997</v>
      </c>
      <c r="I146" s="1079"/>
      <c r="J146" s="928">
        <f>H146/DAY(B2)</f>
        <v>4224.4054166666656</v>
      </c>
      <c r="K146" s="1024"/>
      <c r="L146" s="903"/>
      <c r="O146" s="930"/>
    </row>
    <row r="147" spans="1:15">
      <c r="A147" s="1541" t="s">
        <v>256</v>
      </c>
      <c r="B147" s="1542"/>
      <c r="C147" s="1543"/>
      <c r="D147" s="923" t="s">
        <v>24</v>
      </c>
      <c r="E147" s="924"/>
      <c r="F147" s="924"/>
      <c r="G147" s="1077">
        <f>G146/G7</f>
        <v>0.17905173169662422</v>
      </c>
      <c r="H147" s="926">
        <f>G147+'23'!H147</f>
        <v>5.1665335758525739</v>
      </c>
      <c r="I147" s="1079"/>
      <c r="J147" s="928">
        <f>H147/DAY(B2)</f>
        <v>0.21527223232719059</v>
      </c>
      <c r="O147" s="930"/>
    </row>
    <row r="148" spans="1:15">
      <c r="A148" s="1541" t="s">
        <v>257</v>
      </c>
      <c r="B148" s="1542"/>
      <c r="C148" s="1543"/>
      <c r="D148" s="923" t="s">
        <v>183</v>
      </c>
      <c r="E148" s="924"/>
      <c r="F148" s="924"/>
      <c r="G148" s="926">
        <f>G38+G52</f>
        <v>2074</v>
      </c>
      <c r="H148" s="926">
        <f>G148+'23'!H148</f>
        <v>49347.450000000012</v>
      </c>
      <c r="I148" s="945"/>
      <c r="J148" s="928">
        <f>H148/DAY(B2)</f>
        <v>2056.1437500000006</v>
      </c>
      <c r="K148" s="1080"/>
      <c r="O148" s="930"/>
    </row>
    <row r="149" spans="1:15">
      <c r="A149" s="1541" t="s">
        <v>258</v>
      </c>
      <c r="B149" s="1542"/>
      <c r="C149" s="1543"/>
      <c r="D149" s="923" t="s">
        <v>24</v>
      </c>
      <c r="E149" s="924"/>
      <c r="F149" s="924"/>
      <c r="G149" s="1077">
        <f>G148/G7</f>
        <v>9.0925032880315657E-2</v>
      </c>
      <c r="H149" s="926">
        <f>G149+'23'!H149</f>
        <v>2.5093929069502918</v>
      </c>
      <c r="I149" s="1079"/>
      <c r="J149" s="928">
        <f>H149/DAY(B2)</f>
        <v>0.10455803778959549</v>
      </c>
      <c r="O149" s="930"/>
    </row>
    <row r="150" spans="1:15">
      <c r="A150" s="1541" t="s">
        <v>259</v>
      </c>
      <c r="B150" s="1542"/>
      <c r="C150" s="1543"/>
      <c r="D150" s="923" t="s">
        <v>183</v>
      </c>
      <c r="E150" s="924"/>
      <c r="F150" s="924"/>
      <c r="G150" s="926">
        <f>G36+G50</f>
        <v>2850.289999999979</v>
      </c>
      <c r="H150" s="926">
        <f>G150+'23'!H150</f>
        <v>47002.239999999991</v>
      </c>
      <c r="I150" s="1079"/>
      <c r="J150" s="928">
        <f>H150/DAY(B2)</f>
        <v>1958.4266666666663</v>
      </c>
      <c r="O150" s="930"/>
    </row>
    <row r="151" spans="1:15">
      <c r="A151" s="1541" t="s">
        <v>260</v>
      </c>
      <c r="B151" s="1542"/>
      <c r="C151" s="1543"/>
      <c r="D151" s="923" t="s">
        <v>24</v>
      </c>
      <c r="E151" s="924"/>
      <c r="F151" s="924"/>
      <c r="G151" s="1077">
        <f>G150/G7</f>
        <v>0.12495791319596576</v>
      </c>
      <c r="H151" s="926">
        <f>G151+'23'!H151</f>
        <v>2.3725777523336156</v>
      </c>
      <c r="I151" s="945"/>
      <c r="J151" s="928">
        <f>H151/DAY(B2)</f>
        <v>9.8857406347233986E-2</v>
      </c>
      <c r="O151" s="930"/>
    </row>
    <row r="152" spans="1:15">
      <c r="A152" s="1541" t="s">
        <v>261</v>
      </c>
      <c r="B152" s="1542"/>
      <c r="C152" s="1543"/>
      <c r="D152" s="923" t="s">
        <v>183</v>
      </c>
      <c r="E152" s="924"/>
      <c r="F152" s="924"/>
      <c r="G152" s="926">
        <f>G37+G51</f>
        <v>1506</v>
      </c>
      <c r="H152" s="926">
        <f>G152+'23'!H152</f>
        <v>36124.259999999995</v>
      </c>
      <c r="I152" s="945"/>
      <c r="J152" s="928">
        <f>H152/DAY(B2)</f>
        <v>1505.1774999999998</v>
      </c>
      <c r="O152" s="930"/>
    </row>
    <row r="153" spans="1:15" ht="21" thickBot="1">
      <c r="A153" s="1584" t="s">
        <v>262</v>
      </c>
      <c r="B153" s="1585"/>
      <c r="C153" s="1586"/>
      <c r="D153" s="1081" t="s">
        <v>24</v>
      </c>
      <c r="E153" s="1082"/>
      <c r="F153" s="1082"/>
      <c r="G153" s="1083">
        <f>G152/G7</f>
        <v>6.6023673827268745E-2</v>
      </c>
      <c r="H153" s="926">
        <f>G153+'23'!H153</f>
        <v>1.8453597201045155</v>
      </c>
      <c r="I153" s="1084"/>
      <c r="J153" s="1085">
        <f>H153/DAY(B2)</f>
        <v>7.6889988337688148E-2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263</v>
      </c>
      <c r="B160" s="1076"/>
      <c r="C160" s="1076"/>
      <c r="D160" s="910" t="s">
        <v>187</v>
      </c>
      <c r="E160" s="924">
        <f>'23'!F160</f>
        <v>30369.52</v>
      </c>
      <c r="F160" s="1101">
        <v>30456.28</v>
      </c>
      <c r="G160" s="925">
        <f t="shared" ref="G160:G163" si="15">F160-E160</f>
        <v>86.759999999998399</v>
      </c>
    </row>
    <row r="161" spans="1:7" ht="21.75" customHeight="1">
      <c r="A161" s="1076" t="s">
        <v>264</v>
      </c>
      <c r="B161" s="1076"/>
      <c r="C161" s="1076"/>
      <c r="D161" s="910" t="s">
        <v>187</v>
      </c>
      <c r="E161" s="924">
        <f>'23'!F161</f>
        <v>52872</v>
      </c>
      <c r="F161" s="1101">
        <v>53331</v>
      </c>
      <c r="G161" s="925">
        <f t="shared" si="15"/>
        <v>459</v>
      </c>
    </row>
    <row r="162" spans="1:7" ht="21.75" customHeight="1">
      <c r="A162" s="1076" t="s">
        <v>265</v>
      </c>
      <c r="B162" s="1076"/>
      <c r="C162" s="1076"/>
      <c r="D162" s="910" t="s">
        <v>187</v>
      </c>
      <c r="E162" s="924">
        <f>'23'!F162</f>
        <v>19184</v>
      </c>
      <c r="F162" s="1101">
        <v>19463</v>
      </c>
      <c r="G162" s="925">
        <f t="shared" si="15"/>
        <v>279</v>
      </c>
    </row>
    <row r="163" spans="1:7" ht="21.75" customHeight="1">
      <c r="A163" s="1076" t="s">
        <v>266</v>
      </c>
      <c r="B163" s="1076"/>
      <c r="C163" s="1076"/>
      <c r="D163" s="910" t="s">
        <v>187</v>
      </c>
      <c r="E163" s="924">
        <f>'23'!F163</f>
        <v>5320</v>
      </c>
      <c r="F163" s="1101">
        <v>5339</v>
      </c>
      <c r="G163" s="925">
        <f t="shared" si="15"/>
        <v>19</v>
      </c>
    </row>
    <row r="164" spans="1:7" ht="21.75" customHeight="1">
      <c r="A164" s="1006" t="s">
        <v>98</v>
      </c>
      <c r="B164" s="1006"/>
      <c r="C164" s="1006"/>
      <c r="D164" s="910" t="s">
        <v>187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>
      <c r="A165" s="1006" t="s">
        <v>188</v>
      </c>
      <c r="B165" s="1006"/>
      <c r="C165" s="1006"/>
      <c r="D165" s="910" t="s">
        <v>187</v>
      </c>
      <c r="E165" s="1007">
        <f t="shared" ref="E165:E171" si="17">E63</f>
        <v>1635</v>
      </c>
      <c r="F165" s="1007">
        <f t="shared" ref="F165:F171" si="18">F63</f>
        <v>1649</v>
      </c>
      <c r="G165" s="925">
        <f t="shared" si="16"/>
        <v>14</v>
      </c>
    </row>
    <row r="166" spans="1:7" ht="21.75" customHeight="1">
      <c r="A166" s="1593" t="s">
        <v>99</v>
      </c>
      <c r="B166" s="1593"/>
      <c r="C166" s="1593"/>
      <c r="D166" s="923" t="s">
        <v>187</v>
      </c>
      <c r="E166" s="1007">
        <f t="shared" si="17"/>
        <v>121047</v>
      </c>
      <c r="F166" s="1007">
        <f t="shared" si="18"/>
        <v>121561</v>
      </c>
      <c r="G166" s="925">
        <f t="shared" si="16"/>
        <v>514</v>
      </c>
    </row>
    <row r="167" spans="1:7" ht="21.75" customHeight="1">
      <c r="A167" s="1593" t="s">
        <v>100</v>
      </c>
      <c r="B167" s="1593"/>
      <c r="C167" s="1593"/>
      <c r="D167" s="923" t="s">
        <v>187</v>
      </c>
      <c r="E167" s="1007">
        <f t="shared" si="17"/>
        <v>130609</v>
      </c>
      <c r="F167" s="1007">
        <f t="shared" si="18"/>
        <v>131000</v>
      </c>
      <c r="G167" s="925">
        <f t="shared" si="16"/>
        <v>391</v>
      </c>
    </row>
    <row r="168" spans="1:7" ht="21.75" customHeight="1">
      <c r="A168" s="1593" t="s">
        <v>101</v>
      </c>
      <c r="B168" s="1593"/>
      <c r="C168" s="1593"/>
      <c r="D168" s="923" t="s">
        <v>187</v>
      </c>
      <c r="E168" s="1007">
        <f t="shared" si="17"/>
        <v>23194</v>
      </c>
      <c r="F168" s="1007">
        <f t="shared" si="18"/>
        <v>23585</v>
      </c>
      <c r="G168" s="925">
        <f t="shared" si="16"/>
        <v>391</v>
      </c>
    </row>
    <row r="169" spans="1:7">
      <c r="A169" s="1593" t="s">
        <v>102</v>
      </c>
      <c r="B169" s="1593"/>
      <c r="C169" s="1593"/>
      <c r="D169" s="923" t="s">
        <v>187</v>
      </c>
      <c r="E169" s="1007">
        <f t="shared" si="17"/>
        <v>204621</v>
      </c>
      <c r="F169" s="1007">
        <f t="shared" si="18"/>
        <v>205231</v>
      </c>
      <c r="G169" s="925">
        <f t="shared" si="16"/>
        <v>610</v>
      </c>
    </row>
    <row r="170" spans="1:7" ht="24" customHeight="1">
      <c r="A170" s="1593" t="s">
        <v>103</v>
      </c>
      <c r="B170" s="1593"/>
      <c r="C170" s="1593"/>
      <c r="D170" s="923" t="s">
        <v>187</v>
      </c>
      <c r="E170" s="1007">
        <f t="shared" si="17"/>
        <v>71085</v>
      </c>
      <c r="F170" s="1007">
        <f t="shared" si="18"/>
        <v>71374</v>
      </c>
      <c r="G170" s="925">
        <f t="shared" si="16"/>
        <v>289</v>
      </c>
    </row>
    <row r="171" spans="1:7">
      <c r="A171" s="1593" t="s">
        <v>104</v>
      </c>
      <c r="B171" s="1593"/>
      <c r="C171" s="1593"/>
      <c r="D171" s="923" t="s">
        <v>187</v>
      </c>
      <c r="E171" s="1007">
        <f t="shared" si="17"/>
        <v>62814</v>
      </c>
      <c r="F171" s="1007">
        <f t="shared" si="18"/>
        <v>63135</v>
      </c>
      <c r="G171" s="925">
        <f t="shared" si="16"/>
        <v>321</v>
      </c>
    </row>
    <row r="172" spans="1:7">
      <c r="G172" s="1091">
        <f>SUM(G160:G171)</f>
        <v>3373.9399999999987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49" zoomScale="70" zoomScaleNormal="49" zoomScaleSheetLayoutView="70" workbookViewId="0">
      <selection sqref="A1:J1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3" t="s">
        <v>117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>
      <c r="A2" s="891" t="s">
        <v>273</v>
      </c>
      <c r="B2" s="1119">
        <v>43886</v>
      </c>
      <c r="C2" s="892" t="s">
        <v>69</v>
      </c>
      <c r="D2" s="1106">
        <v>0.54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>
      <c r="A3" s="896"/>
      <c r="B3" s="897"/>
      <c r="C3" s="892" t="s">
        <v>120</v>
      </c>
      <c r="D3" s="892">
        <v>31</v>
      </c>
      <c r="E3" s="1556" t="s">
        <v>121</v>
      </c>
      <c r="F3" s="1557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122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>
      <c r="A6" s="1550" t="s">
        <v>130</v>
      </c>
      <c r="B6" s="1551"/>
      <c r="C6" s="1552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131</v>
      </c>
      <c r="B7" s="922"/>
      <c r="C7" s="922"/>
      <c r="D7" s="923" t="s">
        <v>132</v>
      </c>
      <c r="E7" s="924">
        <f>'24'!F7</f>
        <v>4361777</v>
      </c>
      <c r="F7" s="924">
        <v>4382380</v>
      </c>
      <c r="G7" s="925">
        <f>F7-E7</f>
        <v>20603</v>
      </c>
      <c r="H7" s="926">
        <f>G7+'24'!H7</f>
        <v>494182</v>
      </c>
      <c r="I7" s="927">
        <f>'1'!I7</f>
        <v>12000</v>
      </c>
      <c r="J7" s="928">
        <f>H7/DAY(B2)</f>
        <v>19767.28</v>
      </c>
      <c r="K7" s="929"/>
      <c r="L7" s="903"/>
      <c r="N7" s="1104">
        <f>G7/G8</f>
        <v>0.99560259012274088</v>
      </c>
      <c r="O7" s="930"/>
    </row>
    <row r="8" spans="1:15" ht="21" thickBot="1">
      <c r="A8" s="931" t="s">
        <v>133</v>
      </c>
      <c r="B8" s="932"/>
      <c r="C8" s="933"/>
      <c r="D8" s="934" t="s">
        <v>25</v>
      </c>
      <c r="E8" s="924">
        <f>'24'!F8</f>
        <v>4389441</v>
      </c>
      <c r="F8" s="935">
        <v>4410135</v>
      </c>
      <c r="G8" s="936">
        <f>F8-E8</f>
        <v>20694</v>
      </c>
      <c r="H8" s="926">
        <f>G8+'24'!H8</f>
        <v>497284</v>
      </c>
      <c r="I8" s="937">
        <f>'1'!I8</f>
        <v>12000</v>
      </c>
      <c r="J8" s="928">
        <f>H8/DAY(B2)</f>
        <v>19891.36</v>
      </c>
      <c r="K8" s="929">
        <v>1375467</v>
      </c>
      <c r="L8" s="938">
        <v>1667461</v>
      </c>
      <c r="M8" s="939"/>
      <c r="O8" s="930"/>
    </row>
    <row r="9" spans="1:15">
      <c r="A9" s="940" t="s">
        <v>134</v>
      </c>
      <c r="B9" s="941"/>
      <c r="C9" s="941"/>
      <c r="D9" s="923" t="s">
        <v>132</v>
      </c>
      <c r="E9" s="924">
        <f>'24'!F9</f>
        <v>31196</v>
      </c>
      <c r="F9" s="942">
        <v>44987</v>
      </c>
      <c r="G9" s="925">
        <f t="shared" ref="G9:G12" si="0">F9-E9</f>
        <v>13791</v>
      </c>
      <c r="H9" s="926">
        <f>G9+'24'!H9</f>
        <v>281526.25</v>
      </c>
      <c r="I9" s="943">
        <f>I8-J8</f>
        <v>-7891.3600000000006</v>
      </c>
      <c r="J9" s="928">
        <f>H9/DAY(B2)</f>
        <v>11261.05</v>
      </c>
      <c r="K9" s="944"/>
      <c r="L9" s="903"/>
      <c r="O9" s="930"/>
    </row>
    <row r="10" spans="1:15">
      <c r="A10" s="921" t="s">
        <v>135</v>
      </c>
      <c r="B10" s="922"/>
      <c r="C10" s="922"/>
      <c r="D10" s="923" t="s">
        <v>132</v>
      </c>
      <c r="E10" s="924">
        <v>527</v>
      </c>
      <c r="F10" s="942">
        <v>6733</v>
      </c>
      <c r="G10" s="925">
        <f t="shared" si="0"/>
        <v>6206</v>
      </c>
      <c r="H10" s="926">
        <f>G10+'24'!H10</f>
        <v>196030.60000000009</v>
      </c>
      <c r="I10" s="945"/>
      <c r="J10" s="928">
        <f>H10/DAY(B2)</f>
        <v>7841.2240000000038</v>
      </c>
      <c r="K10" s="944"/>
      <c r="L10" s="903">
        <f>L8-K8</f>
        <v>291994</v>
      </c>
      <c r="O10" s="930"/>
    </row>
    <row r="11" spans="1:15">
      <c r="A11" s="921" t="s">
        <v>136</v>
      </c>
      <c r="B11" s="922"/>
      <c r="C11" s="922"/>
      <c r="D11" s="923" t="s">
        <v>132</v>
      </c>
      <c r="E11" s="924">
        <f>'24'!F11</f>
        <v>37000</v>
      </c>
      <c r="F11" s="924">
        <v>37000</v>
      </c>
      <c r="G11" s="925">
        <f t="shared" si="0"/>
        <v>0</v>
      </c>
      <c r="H11" s="926">
        <f>G11+'24'!H11</f>
        <v>1610</v>
      </c>
      <c r="I11" s="945"/>
      <c r="J11" s="928">
        <f>H11/DAY(B2)</f>
        <v>64.400000000000006</v>
      </c>
      <c r="K11" s="944"/>
      <c r="L11" s="903"/>
      <c r="N11" s="1105">
        <f>G7*N7</f>
        <v>20512.40016429883</v>
      </c>
      <c r="O11" s="930"/>
    </row>
    <row r="12" spans="1:15">
      <c r="A12" s="921" t="s">
        <v>137</v>
      </c>
      <c r="B12" s="922"/>
      <c r="C12" s="922"/>
      <c r="D12" s="923" t="s">
        <v>132</v>
      </c>
      <c r="E12" s="924">
        <f>'24'!F12</f>
        <v>40010</v>
      </c>
      <c r="F12" s="942">
        <v>40010</v>
      </c>
      <c r="G12" s="925">
        <f t="shared" si="0"/>
        <v>0</v>
      </c>
      <c r="H12" s="926">
        <f>G12+'24'!H12</f>
        <v>2380</v>
      </c>
      <c r="I12" s="945"/>
      <c r="J12" s="928">
        <f>H12/DAY(B2)</f>
        <v>95.2</v>
      </c>
      <c r="K12" s="944"/>
      <c r="L12" s="903"/>
      <c r="O12" s="930"/>
    </row>
    <row r="13" spans="1:15">
      <c r="A13" s="946" t="s">
        <v>138</v>
      </c>
      <c r="B13" s="947"/>
      <c r="C13" s="947"/>
      <c r="D13" s="923"/>
      <c r="E13" s="924"/>
      <c r="F13" s="924"/>
      <c r="G13" s="948">
        <f>G9+G10+G11+G12</f>
        <v>19997</v>
      </c>
      <c r="H13" s="926">
        <f>G13+'24'!H13</f>
        <v>463240.85000000009</v>
      </c>
      <c r="I13" s="949">
        <f>G7-G13</f>
        <v>606</v>
      </c>
      <c r="J13" s="928">
        <f>H13/DAY(B2)</f>
        <v>18529.634000000005</v>
      </c>
      <c r="K13" s="944"/>
      <c r="L13" s="903">
        <f>L10-H7</f>
        <v>-202188</v>
      </c>
      <c r="O13" s="930"/>
    </row>
    <row r="14" spans="1:15">
      <c r="A14" s="1544" t="s">
        <v>139</v>
      </c>
      <c r="B14" s="1545"/>
      <c r="C14" s="1546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140</v>
      </c>
      <c r="B15" s="953"/>
      <c r="C15" s="953"/>
      <c r="D15" s="923" t="s">
        <v>141</v>
      </c>
      <c r="E15" s="924">
        <f>'24'!F15</f>
        <v>1616156.56</v>
      </c>
      <c r="F15" s="1019">
        <v>1617018.55</v>
      </c>
      <c r="G15" s="1102">
        <f>(F15-E15)</f>
        <v>861.98999999999069</v>
      </c>
      <c r="H15" s="926">
        <f>G15+'24'!H15</f>
        <v>22581.40000000014</v>
      </c>
      <c r="I15" s="927">
        <f>'1'!I15</f>
        <v>800</v>
      </c>
      <c r="J15" s="928">
        <f>H15/DAY(B2)</f>
        <v>903.25600000000554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-103.25600000000554</v>
      </c>
      <c r="J16" s="961"/>
      <c r="K16" s="944"/>
      <c r="L16" s="903"/>
      <c r="O16" s="930"/>
    </row>
    <row r="17" spans="1:15">
      <c r="A17" s="1544" t="s">
        <v>142</v>
      </c>
      <c r="B17" s="1545"/>
      <c r="C17" s="1546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41" t="s">
        <v>143</v>
      </c>
      <c r="B18" s="1542"/>
      <c r="C18" s="1543"/>
      <c r="D18" s="923" t="s">
        <v>144</v>
      </c>
      <c r="E18" s="924">
        <f>'24'!F18</f>
        <v>14</v>
      </c>
      <c r="F18" s="954">
        <v>14</v>
      </c>
      <c r="G18" s="948">
        <f>F18*10</f>
        <v>140</v>
      </c>
      <c r="H18" s="926">
        <f>G18+'24'!H18</f>
        <v>4030</v>
      </c>
      <c r="I18" s="927">
        <f>'1'!I18</f>
        <v>65</v>
      </c>
      <c r="J18" s="928">
        <f>H18/DAY(B2)</f>
        <v>161.19999999999999</v>
      </c>
      <c r="K18" s="944"/>
      <c r="L18" s="903"/>
      <c r="O18" s="930"/>
    </row>
    <row r="19" spans="1:15">
      <c r="A19" s="1541" t="s">
        <v>71</v>
      </c>
      <c r="B19" s="1542"/>
      <c r="C19" s="1543"/>
      <c r="D19" s="923" t="s">
        <v>144</v>
      </c>
      <c r="E19" s="924">
        <f>'24'!F19</f>
        <v>134259</v>
      </c>
      <c r="F19" s="954">
        <v>134311</v>
      </c>
      <c r="G19" s="925">
        <f t="shared" ref="G19" si="1">F19-E19</f>
        <v>52</v>
      </c>
      <c r="H19" s="926">
        <f>G19+'24'!H19</f>
        <v>1263</v>
      </c>
      <c r="I19" s="963"/>
      <c r="J19" s="928">
        <f>H19/DAY(B2)</f>
        <v>50.52</v>
      </c>
      <c r="K19" s="944"/>
      <c r="L19" s="903"/>
      <c r="O19" s="930"/>
    </row>
    <row r="20" spans="1:15">
      <c r="A20" s="946" t="s">
        <v>145</v>
      </c>
      <c r="B20" s="947"/>
      <c r="C20" s="947"/>
      <c r="D20" s="964"/>
      <c r="E20" s="964"/>
      <c r="F20" s="964"/>
      <c r="G20" s="965">
        <f>G18+G19</f>
        <v>192</v>
      </c>
      <c r="H20" s="926">
        <f>G20+'24'!H20</f>
        <v>5293</v>
      </c>
      <c r="I20" s="966">
        <f>I18-J20</f>
        <v>-146.72</v>
      </c>
      <c r="J20" s="928">
        <f>H20/DAY(B2)</f>
        <v>211.72</v>
      </c>
      <c r="K20" s="944"/>
      <c r="L20" s="903"/>
      <c r="O20" s="930"/>
    </row>
    <row r="21" spans="1:15">
      <c r="A21" s="1544" t="s">
        <v>146</v>
      </c>
      <c r="B21" s="1545"/>
      <c r="C21" s="1546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147</v>
      </c>
      <c r="B22" s="953"/>
      <c r="C22" s="953"/>
      <c r="D22" s="923" t="s">
        <v>148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149</v>
      </c>
      <c r="B23" s="953"/>
      <c r="C23" s="953"/>
      <c r="D23" s="923" t="s">
        <v>148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150</v>
      </c>
      <c r="B24" s="968"/>
      <c r="C24" s="968"/>
      <c r="D24" s="910" t="s">
        <v>148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0" t="s">
        <v>151</v>
      </c>
      <c r="B25" s="1551"/>
      <c r="C25" s="1552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20694</v>
      </c>
      <c r="F27" s="577">
        <v>9</v>
      </c>
      <c r="G27" s="986">
        <f>E27*F27</f>
        <v>186246</v>
      </c>
      <c r="H27" s="926">
        <f>G27+'24'!H27</f>
        <v>4475556</v>
      </c>
      <c r="I27" s="987"/>
      <c r="J27" s="928">
        <f>H27/DAY(B2)</f>
        <v>179022.24</v>
      </c>
      <c r="K27" s="944"/>
      <c r="L27" s="974"/>
      <c r="N27" s="1093"/>
      <c r="O27" s="930"/>
    </row>
    <row r="28" spans="1:15" s="975" customFormat="1" ht="22.5">
      <c r="A28" s="976" t="s">
        <v>154</v>
      </c>
      <c r="B28" s="977"/>
      <c r="C28" s="978"/>
      <c r="D28" s="983" t="s">
        <v>155</v>
      </c>
      <c r="E28" s="984">
        <f>G15</f>
        <v>861.98999999999069</v>
      </c>
      <c r="F28" s="577">
        <v>43.5</v>
      </c>
      <c r="G28" s="986">
        <f>E28*F28</f>
        <v>37496.564999999595</v>
      </c>
      <c r="H28" s="926">
        <f>G28+'24'!H28</f>
        <v>982290.90000000608</v>
      </c>
      <c r="I28" s="988"/>
      <c r="J28" s="928">
        <f>H28/DAY(B2)</f>
        <v>39291.636000000246</v>
      </c>
      <c r="K28" s="944"/>
      <c r="L28" s="974"/>
      <c r="N28" s="1093"/>
      <c r="O28" s="930"/>
    </row>
    <row r="29" spans="1:15" s="975" customFormat="1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>
      <c r="A30" s="976" t="s">
        <v>158</v>
      </c>
      <c r="B30" s="977"/>
      <c r="C30" s="978"/>
      <c r="D30" s="983" t="s">
        <v>159</v>
      </c>
      <c r="E30" s="984">
        <f>G19</f>
        <v>52</v>
      </c>
      <c r="F30" s="985">
        <v>134</v>
      </c>
      <c r="G30" s="986">
        <f>E30*F30</f>
        <v>6968</v>
      </c>
      <c r="H30" s="926">
        <f>G30+'24'!H30</f>
        <v>169242</v>
      </c>
      <c r="I30" s="988"/>
      <c r="J30" s="928">
        <f>H30/DAY(B2)</f>
        <v>6769.68</v>
      </c>
      <c r="K30" s="944"/>
      <c r="L30" s="974"/>
      <c r="N30" s="1093"/>
      <c r="O30" s="930"/>
    </row>
    <row r="31" spans="1:15" s="975" customFormat="1">
      <c r="A31" s="976" t="s">
        <v>160</v>
      </c>
      <c r="B31" s="977"/>
      <c r="C31" s="978"/>
      <c r="D31" s="983" t="s">
        <v>144</v>
      </c>
      <c r="E31" s="984">
        <f>G18</f>
        <v>140</v>
      </c>
      <c r="F31" s="985">
        <v>80</v>
      </c>
      <c r="G31" s="986">
        <f>E31*F31</f>
        <v>11200</v>
      </c>
      <c r="H31" s="926">
        <f>G31+'24'!H31</f>
        <v>322400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161</v>
      </c>
      <c r="B32" s="990"/>
      <c r="C32" s="991"/>
      <c r="D32" s="992"/>
      <c r="E32" s="992"/>
      <c r="F32" s="992"/>
      <c r="G32" s="993">
        <f>G27+G28+G29+G30+G31</f>
        <v>241910.56499999959</v>
      </c>
      <c r="H32" s="926">
        <f>G32+'24'!H32</f>
        <v>6111638.900000006</v>
      </c>
      <c r="I32" s="994"/>
      <c r="J32" s="928">
        <f>H32/DAY(B2)</f>
        <v>244465.55600000024</v>
      </c>
      <c r="K32" s="944"/>
      <c r="L32" s="974"/>
      <c r="N32" s="1093"/>
      <c r="O32" s="930"/>
    </row>
    <row r="33" spans="1:15" ht="18.7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944"/>
      <c r="L33" s="903"/>
      <c r="O33" s="930"/>
    </row>
    <row r="34" spans="1:1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164</v>
      </c>
      <c r="B35" s="922"/>
      <c r="C35" s="922"/>
      <c r="D35" s="923" t="s">
        <v>132</v>
      </c>
      <c r="E35" s="924">
        <f>'24'!F35</f>
        <v>680346</v>
      </c>
      <c r="F35" s="997">
        <v>683535</v>
      </c>
      <c r="G35" s="925">
        <f t="shared" ref="G35:G46" si="3">F35-E35</f>
        <v>3189</v>
      </c>
      <c r="H35" s="926">
        <f>G35+'24'!H35</f>
        <v>54507.329999999958</v>
      </c>
      <c r="I35" s="924"/>
      <c r="J35" s="928">
        <f>H35/DAY(B2)</f>
        <v>2180.2931999999983</v>
      </c>
      <c r="K35" s="944"/>
      <c r="L35" s="903"/>
      <c r="O35" s="930"/>
    </row>
    <row r="36" spans="1:15">
      <c r="A36" s="921" t="s">
        <v>165</v>
      </c>
      <c r="B36" s="922"/>
      <c r="C36" s="922"/>
      <c r="D36" s="923" t="s">
        <v>132</v>
      </c>
      <c r="E36" s="924">
        <f>'24'!F36</f>
        <v>293916</v>
      </c>
      <c r="F36" s="997">
        <v>294659</v>
      </c>
      <c r="G36" s="925">
        <f t="shared" si="3"/>
        <v>743</v>
      </c>
      <c r="H36" s="926">
        <f>G36+'24'!H36</f>
        <v>18167.549999999988</v>
      </c>
      <c r="I36" s="924"/>
      <c r="J36" s="928">
        <f>H36/DAY(B2)</f>
        <v>726.70199999999954</v>
      </c>
      <c r="K36" s="944"/>
      <c r="L36" s="903"/>
      <c r="O36" s="930"/>
    </row>
    <row r="37" spans="1:15">
      <c r="A37" s="921" t="s">
        <v>166</v>
      </c>
      <c r="B37" s="922"/>
      <c r="C37" s="922"/>
      <c r="D37" s="923" t="s">
        <v>132</v>
      </c>
      <c r="E37" s="924">
        <f>'24'!F37</f>
        <v>26173</v>
      </c>
      <c r="F37" s="997">
        <v>27665</v>
      </c>
      <c r="G37" s="925">
        <f t="shared" si="3"/>
        <v>1492</v>
      </c>
      <c r="H37" s="926">
        <f>G37+'24'!H37</f>
        <v>27665</v>
      </c>
      <c r="I37" s="924"/>
      <c r="J37" s="928">
        <f>H37/DAY(B2)</f>
        <v>1106.5999999999999</v>
      </c>
      <c r="K37" s="944"/>
      <c r="L37" s="903"/>
      <c r="O37" s="930"/>
    </row>
    <row r="38" spans="1:15">
      <c r="A38" s="921" t="s">
        <v>167</v>
      </c>
      <c r="B38" s="922"/>
      <c r="C38" s="922"/>
      <c r="D38" s="923" t="s">
        <v>132</v>
      </c>
      <c r="E38" s="924">
        <f>'24'!F38</f>
        <v>35341</v>
      </c>
      <c r="F38" s="913">
        <v>37328</v>
      </c>
      <c r="G38" s="925">
        <f t="shared" si="3"/>
        <v>1987</v>
      </c>
      <c r="H38" s="926">
        <f>G38+'24'!H38</f>
        <v>37230.120000000003</v>
      </c>
      <c r="I38" s="924"/>
      <c r="J38" s="928">
        <f>H38/DAY(B2)</f>
        <v>1489.2048000000002</v>
      </c>
      <c r="K38" s="944"/>
      <c r="L38" s="903"/>
      <c r="O38" s="930"/>
    </row>
    <row r="39" spans="1:15">
      <c r="A39" s="921" t="s">
        <v>168</v>
      </c>
      <c r="B39" s="922"/>
      <c r="C39" s="922"/>
      <c r="D39" s="923" t="s">
        <v>132</v>
      </c>
      <c r="E39" s="924">
        <f>'24'!F39</f>
        <v>73829</v>
      </c>
      <c r="F39" s="997">
        <v>77927</v>
      </c>
      <c r="G39" s="925">
        <f t="shared" si="3"/>
        <v>4098</v>
      </c>
      <c r="H39" s="926">
        <f>G39+'24'!H39</f>
        <v>77927</v>
      </c>
      <c r="I39" s="924"/>
      <c r="J39" s="928">
        <f>H39/DAY(B2)</f>
        <v>3117.08</v>
      </c>
      <c r="K39" s="944"/>
      <c r="L39" s="903"/>
      <c r="O39" s="930"/>
    </row>
    <row r="40" spans="1:15">
      <c r="A40" s="998" t="s">
        <v>169</v>
      </c>
      <c r="B40" s="999"/>
      <c r="C40" s="999"/>
      <c r="D40" s="923" t="s">
        <v>132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>
      <c r="A41" s="921" t="s">
        <v>170</v>
      </c>
      <c r="B41" s="922"/>
      <c r="C41" s="922"/>
      <c r="D41" s="923" t="s">
        <v>132</v>
      </c>
      <c r="E41" s="924">
        <f>'24'!F41</f>
        <v>63882</v>
      </c>
      <c r="F41" s="997">
        <v>63882</v>
      </c>
      <c r="G41" s="925">
        <f t="shared" si="3"/>
        <v>0</v>
      </c>
      <c r="H41" s="926">
        <f>G41+'24'!H41</f>
        <v>19259.480000000003</v>
      </c>
      <c r="I41" s="924"/>
      <c r="J41" s="928">
        <f>H41/DAY(B2)</f>
        <v>770.37920000000008</v>
      </c>
      <c r="K41" s="944"/>
      <c r="L41" s="903"/>
      <c r="O41" s="930"/>
    </row>
    <row r="42" spans="1:15">
      <c r="A42" s="921" t="s">
        <v>171</v>
      </c>
      <c r="B42" s="922"/>
      <c r="C42" s="922"/>
      <c r="D42" s="923" t="s">
        <v>132</v>
      </c>
      <c r="E42" s="924">
        <f>'24'!F42</f>
        <v>59129</v>
      </c>
      <c r="F42" s="997">
        <v>59129</v>
      </c>
      <c r="G42" s="925">
        <f t="shared" si="3"/>
        <v>0</v>
      </c>
      <c r="H42" s="926">
        <f>G42+'24'!H42</f>
        <v>203</v>
      </c>
      <c r="I42" s="924"/>
      <c r="J42" s="928">
        <f>H42/DAY(B2)</f>
        <v>8.1199999999999992</v>
      </c>
      <c r="K42" s="944"/>
      <c r="L42" s="903"/>
      <c r="O42" s="930"/>
    </row>
    <row r="43" spans="1:15">
      <c r="A43" s="921" t="s">
        <v>172</v>
      </c>
      <c r="B43" s="922"/>
      <c r="C43" s="922"/>
      <c r="D43" s="923" t="s">
        <v>132</v>
      </c>
      <c r="E43" s="924">
        <f>'24'!F43</f>
        <v>816657</v>
      </c>
      <c r="F43" s="997">
        <v>818936</v>
      </c>
      <c r="G43" s="925">
        <f t="shared" si="3"/>
        <v>2279</v>
      </c>
      <c r="H43" s="926">
        <f>G43+'24'!H43</f>
        <v>51124.089999999967</v>
      </c>
      <c r="I43" s="924"/>
      <c r="J43" s="928">
        <f>H43/DAY(B2)</f>
        <v>2044.9635999999987</v>
      </c>
      <c r="K43" s="944"/>
      <c r="L43" s="903"/>
      <c r="O43" s="930"/>
    </row>
    <row r="44" spans="1:15">
      <c r="A44" s="921" t="s">
        <v>173</v>
      </c>
      <c r="B44" s="922"/>
      <c r="C44" s="922"/>
      <c r="D44" s="923" t="s">
        <v>132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174</v>
      </c>
      <c r="B45" s="922"/>
      <c r="C45" s="922"/>
      <c r="D45" s="923" t="s">
        <v>132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>
      <c r="A46" s="921" t="s">
        <v>175</v>
      </c>
      <c r="B46" s="922"/>
      <c r="C46" s="922"/>
      <c r="D46" s="923" t="s">
        <v>132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13788</v>
      </c>
      <c r="H47" s="926">
        <f>G47+'24'!H47</f>
        <v>286082.53999999986</v>
      </c>
      <c r="I47" s="924"/>
      <c r="J47" s="928">
        <f>H47/DAY(B2)</f>
        <v>11443.301599999995</v>
      </c>
      <c r="K47" s="944"/>
      <c r="L47" s="903"/>
      <c r="N47" s="1094"/>
      <c r="O47" s="930"/>
    </row>
    <row r="48" spans="1:1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164</v>
      </c>
      <c r="B49" s="1000"/>
      <c r="C49" s="1000"/>
      <c r="D49" s="923" t="s">
        <v>132</v>
      </c>
      <c r="E49" s="924">
        <f>'24'!F49</f>
        <v>260732</v>
      </c>
      <c r="F49" s="997">
        <v>260732</v>
      </c>
      <c r="G49" s="925">
        <f t="shared" ref="G49:G58" si="4">F49-E49</f>
        <v>0</v>
      </c>
      <c r="H49" s="926">
        <f>G49+'24'!H49</f>
        <v>14832.950000000012</v>
      </c>
      <c r="I49" s="924"/>
      <c r="J49" s="928">
        <f>H49/DAY(B2)</f>
        <v>593.31800000000044</v>
      </c>
      <c r="K49" s="944"/>
      <c r="L49" s="903"/>
      <c r="O49" s="930"/>
    </row>
    <row r="50" spans="1:15">
      <c r="A50" s="921" t="s">
        <v>178</v>
      </c>
      <c r="B50" s="1000"/>
      <c r="C50" s="1000"/>
      <c r="D50" s="923" t="s">
        <v>132</v>
      </c>
      <c r="E50" s="924">
        <f>'24'!F50</f>
        <v>398195</v>
      </c>
      <c r="F50" s="997">
        <v>399395</v>
      </c>
      <c r="G50" s="925">
        <f t="shared" si="4"/>
        <v>1200</v>
      </c>
      <c r="H50" s="926">
        <f>G50+'24'!H50</f>
        <v>29734.690000000002</v>
      </c>
      <c r="I50" s="924"/>
      <c r="J50" s="928">
        <f>H50/DAY(B2)</f>
        <v>1189.3876</v>
      </c>
      <c r="K50" s="944"/>
      <c r="L50" s="903"/>
      <c r="O50" s="930"/>
    </row>
    <row r="51" spans="1:15">
      <c r="A51" s="921" t="s">
        <v>166</v>
      </c>
      <c r="B51" s="1000"/>
      <c r="C51" s="1000"/>
      <c r="D51" s="923" t="s">
        <v>132</v>
      </c>
      <c r="E51" s="924">
        <f>'24'!F51</f>
        <v>120051</v>
      </c>
      <c r="F51" s="997">
        <v>120051</v>
      </c>
      <c r="G51" s="925">
        <f t="shared" si="4"/>
        <v>0</v>
      </c>
      <c r="H51" s="926">
        <f>G51+'24'!H51</f>
        <v>9951.2599999999948</v>
      </c>
      <c r="I51" s="924"/>
      <c r="J51" s="928">
        <f>H51/DAY(B2)</f>
        <v>398.0503999999998</v>
      </c>
      <c r="K51" s="944"/>
      <c r="L51" s="903"/>
      <c r="O51" s="930"/>
    </row>
    <row r="52" spans="1:15">
      <c r="A52" s="921" t="s">
        <v>179</v>
      </c>
      <c r="B52" s="1000"/>
      <c r="C52" s="1000"/>
      <c r="D52" s="923" t="s">
        <v>132</v>
      </c>
      <c r="E52" s="924">
        <f>'24'!F52</f>
        <v>507913</v>
      </c>
      <c r="F52" s="997">
        <v>507913</v>
      </c>
      <c r="G52" s="925">
        <f t="shared" si="4"/>
        <v>0</v>
      </c>
      <c r="H52" s="926">
        <f>G52+'24'!H52</f>
        <v>14104.330000000016</v>
      </c>
      <c r="I52" s="924"/>
      <c r="J52" s="928">
        <f>H52/DAY(B2)</f>
        <v>564.17320000000063</v>
      </c>
      <c r="K52" s="944"/>
      <c r="L52" s="903"/>
      <c r="O52" s="930"/>
    </row>
    <row r="53" spans="1:15">
      <c r="A53" s="921" t="s">
        <v>168</v>
      </c>
      <c r="B53" s="1000"/>
      <c r="C53" s="1000"/>
      <c r="D53" s="923" t="s">
        <v>132</v>
      </c>
      <c r="E53" s="924">
        <f>'24'!F53</f>
        <v>331855</v>
      </c>
      <c r="F53" s="997">
        <v>331855</v>
      </c>
      <c r="G53" s="925">
        <f t="shared" si="4"/>
        <v>0</v>
      </c>
      <c r="H53" s="926">
        <f>G53+'24'!H53</f>
        <v>27556.729999999981</v>
      </c>
      <c r="I53" s="924"/>
      <c r="J53" s="928">
        <f>H53/DAY(B2)</f>
        <v>1102.2691999999993</v>
      </c>
      <c r="K53" s="944"/>
      <c r="L53" s="903"/>
      <c r="O53" s="930"/>
    </row>
    <row r="54" spans="1:15">
      <c r="A54" s="921" t="s">
        <v>180</v>
      </c>
      <c r="B54" s="1000"/>
      <c r="C54" s="1000"/>
      <c r="D54" s="923" t="s">
        <v>132</v>
      </c>
      <c r="E54" s="924">
        <f>'24'!F54</f>
        <v>7815</v>
      </c>
      <c r="F54" s="997">
        <v>7884</v>
      </c>
      <c r="G54" s="925">
        <f t="shared" si="4"/>
        <v>69</v>
      </c>
      <c r="H54" s="926">
        <f>G54+'24'!H54</f>
        <v>1495.1999999999998</v>
      </c>
      <c r="I54" s="924"/>
      <c r="J54" s="928">
        <f>H54/DAY(B2)</f>
        <v>59.807999999999993</v>
      </c>
      <c r="K54" s="944"/>
      <c r="L54" s="903"/>
      <c r="O54" s="930"/>
    </row>
    <row r="55" spans="1:15">
      <c r="A55" s="921" t="s">
        <v>181</v>
      </c>
      <c r="B55" s="1000"/>
      <c r="C55" s="1000"/>
      <c r="D55" s="923" t="s">
        <v>132</v>
      </c>
      <c r="E55" s="924">
        <f>'24'!F55</f>
        <v>96591</v>
      </c>
      <c r="F55" s="997">
        <v>101639</v>
      </c>
      <c r="G55" s="925">
        <f t="shared" si="4"/>
        <v>5048</v>
      </c>
      <c r="H55" s="926">
        <f>G55+'24'!H55</f>
        <v>58651.02</v>
      </c>
      <c r="I55" s="924"/>
      <c r="J55" s="928">
        <f>H55/DAY(B2)</f>
        <v>2346.0407999999998</v>
      </c>
      <c r="K55" s="944"/>
      <c r="L55" s="903"/>
      <c r="O55" s="930"/>
    </row>
    <row r="56" spans="1:15">
      <c r="A56" s="921" t="s">
        <v>182</v>
      </c>
      <c r="B56" s="1000"/>
      <c r="C56" s="1000"/>
      <c r="D56" s="923" t="s">
        <v>183</v>
      </c>
      <c r="E56" s="924">
        <f>'24'!F56</f>
        <v>586023</v>
      </c>
      <c r="F56" s="997">
        <v>586023</v>
      </c>
      <c r="G56" s="925">
        <f t="shared" si="4"/>
        <v>0</v>
      </c>
      <c r="H56" s="926">
        <f>G56+'24'!H56</f>
        <v>28291.089999999967</v>
      </c>
      <c r="I56" s="924"/>
      <c r="J56" s="928">
        <f>H56/DAY(B2)</f>
        <v>1131.6435999999987</v>
      </c>
      <c r="K56" s="920"/>
      <c r="L56" s="903"/>
      <c r="O56" s="930"/>
    </row>
    <row r="57" spans="1:15">
      <c r="A57" s="921" t="s">
        <v>172</v>
      </c>
      <c r="B57" s="1000"/>
      <c r="C57" s="1000"/>
      <c r="D57" s="923" t="s">
        <v>132</v>
      </c>
      <c r="E57" s="924">
        <f>'24'!F57</f>
        <v>7711</v>
      </c>
      <c r="F57" s="997">
        <v>7711</v>
      </c>
      <c r="G57" s="925">
        <f t="shared" si="4"/>
        <v>0</v>
      </c>
      <c r="H57" s="926">
        <f>G57+'24'!H57</f>
        <v>7711</v>
      </c>
      <c r="I57" s="924"/>
      <c r="J57" s="928">
        <f>H57/DAY(B2)</f>
        <v>308.44</v>
      </c>
      <c r="K57" s="944"/>
      <c r="L57" s="903"/>
      <c r="O57" s="930"/>
    </row>
    <row r="58" spans="1:15">
      <c r="A58" s="921" t="s">
        <v>184</v>
      </c>
      <c r="B58" s="1000"/>
      <c r="C58" s="1000"/>
      <c r="D58" s="923" t="s">
        <v>132</v>
      </c>
      <c r="E58" s="924">
        <f>'24'!F58</f>
        <v>35119</v>
      </c>
      <c r="F58" s="997">
        <v>35277</v>
      </c>
      <c r="G58" s="925">
        <f t="shared" si="4"/>
        <v>158</v>
      </c>
      <c r="H58" s="926">
        <f>G58+'24'!H58</f>
        <v>4547.4600000000028</v>
      </c>
      <c r="I58" s="924"/>
      <c r="J58" s="928">
        <f>H58/DAY(B2)</f>
        <v>181.89840000000012</v>
      </c>
      <c r="K58" s="944"/>
      <c r="L58" s="903"/>
      <c r="O58" s="930"/>
    </row>
    <row r="59" spans="1:1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6475</v>
      </c>
      <c r="H59" s="926">
        <f>G59+'24'!H59</f>
        <v>196875.73</v>
      </c>
      <c r="I59" s="924">
        <f>G7-G60</f>
        <v>340</v>
      </c>
      <c r="J59" s="928">
        <f>H59/DAY(B2)</f>
        <v>7875.0292000000009</v>
      </c>
      <c r="K59" s="944"/>
      <c r="L59" s="903"/>
      <c r="O59" s="930"/>
    </row>
    <row r="60" spans="1:15">
      <c r="A60" s="921"/>
      <c r="B60" s="922"/>
      <c r="C60" s="922"/>
      <c r="D60" s="910" t="s">
        <v>185</v>
      </c>
      <c r="E60" s="910"/>
      <c r="F60" s="910"/>
      <c r="G60" s="948">
        <f>G47+G59</f>
        <v>20263</v>
      </c>
      <c r="H60" s="926">
        <f>G60+'24'!H60</f>
        <v>488138.45999999979</v>
      </c>
      <c r="I60" s="924">
        <f>G13-G60</f>
        <v>-266</v>
      </c>
      <c r="J60" s="928">
        <f>H60/DAY(B2)</f>
        <v>19525.53839999999</v>
      </c>
      <c r="K60" s="944"/>
      <c r="L60" s="903"/>
      <c r="O60" s="930"/>
    </row>
    <row r="61" spans="1:1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98</v>
      </c>
      <c r="B62" s="1006"/>
      <c r="C62" s="1006"/>
      <c r="D62" s="910" t="s">
        <v>187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>
      <c r="A63" s="1005" t="s">
        <v>188</v>
      </c>
      <c r="B63" s="1006"/>
      <c r="C63" s="1006"/>
      <c r="D63" s="910" t="s">
        <v>187</v>
      </c>
      <c r="E63" s="924">
        <f>'24'!F63</f>
        <v>1649</v>
      </c>
      <c r="F63" s="1007">
        <v>1663</v>
      </c>
      <c r="G63" s="925">
        <f t="shared" si="5"/>
        <v>14</v>
      </c>
      <c r="H63" s="926">
        <f>G63+'24'!H63</f>
        <v>330.47</v>
      </c>
      <c r="I63" s="1008"/>
      <c r="J63" s="928">
        <f>H63/DAY(B2)</f>
        <v>13.218800000000002</v>
      </c>
      <c r="K63" s="944"/>
      <c r="L63" s="903"/>
      <c r="O63" s="930"/>
    </row>
    <row r="64" spans="1:15">
      <c r="A64" s="1538" t="s">
        <v>99</v>
      </c>
      <c r="B64" s="1539"/>
      <c r="C64" s="1540"/>
      <c r="D64" s="923" t="s">
        <v>187</v>
      </c>
      <c r="E64" s="924">
        <f>'24'!F64</f>
        <v>121561</v>
      </c>
      <c r="F64" s="954">
        <v>122093</v>
      </c>
      <c r="G64" s="925">
        <f t="shared" si="5"/>
        <v>532</v>
      </c>
      <c r="H64" s="926">
        <f>G64+'24'!H64</f>
        <v>10809.539999999994</v>
      </c>
      <c r="I64" s="945"/>
      <c r="J64" s="928">
        <f>H64/DAY(B2)</f>
        <v>432.38159999999976</v>
      </c>
      <c r="K64" s="944"/>
      <c r="L64" s="903"/>
      <c r="O64" s="930"/>
    </row>
    <row r="65" spans="1:15">
      <c r="A65" s="1538" t="s">
        <v>100</v>
      </c>
      <c r="B65" s="1539"/>
      <c r="C65" s="1540"/>
      <c r="D65" s="923" t="s">
        <v>187</v>
      </c>
      <c r="E65" s="924">
        <f>'24'!F65</f>
        <v>131000</v>
      </c>
      <c r="F65" s="954">
        <v>131392</v>
      </c>
      <c r="G65" s="925">
        <f t="shared" si="5"/>
        <v>392</v>
      </c>
      <c r="H65" s="926">
        <f>G65+'24'!H65</f>
        <v>9658.89</v>
      </c>
      <c r="I65" s="963"/>
      <c r="J65" s="928">
        <f>H65/DAY(B2)</f>
        <v>386.35559999999998</v>
      </c>
      <c r="K65" s="944"/>
      <c r="L65" s="903"/>
      <c r="O65" s="930"/>
    </row>
    <row r="66" spans="1:15">
      <c r="A66" s="1538" t="s">
        <v>101</v>
      </c>
      <c r="B66" s="1539"/>
      <c r="C66" s="1540"/>
      <c r="D66" s="923" t="s">
        <v>187</v>
      </c>
      <c r="E66" s="924">
        <f>'24'!F66</f>
        <v>23585</v>
      </c>
      <c r="F66" s="954">
        <v>23979</v>
      </c>
      <c r="G66" s="925">
        <f t="shared" si="5"/>
        <v>394</v>
      </c>
      <c r="H66" s="926">
        <f>G66+'24'!H66</f>
        <v>9819.26</v>
      </c>
      <c r="I66" s="945"/>
      <c r="J66" s="928">
        <f>H66/DAY(B2)</f>
        <v>392.7704</v>
      </c>
      <c r="K66" s="944"/>
      <c r="L66" s="903"/>
      <c r="O66" s="930"/>
    </row>
    <row r="67" spans="1:15">
      <c r="A67" s="1538" t="s">
        <v>102</v>
      </c>
      <c r="B67" s="1539"/>
      <c r="C67" s="1540"/>
      <c r="D67" s="923" t="s">
        <v>187</v>
      </c>
      <c r="E67" s="924">
        <f>'24'!F67</f>
        <v>205231</v>
      </c>
      <c r="F67" s="954">
        <v>205830</v>
      </c>
      <c r="G67" s="925">
        <f t="shared" si="5"/>
        <v>599</v>
      </c>
      <c r="H67" s="926">
        <f>G67+'24'!H67</f>
        <v>17155.47</v>
      </c>
      <c r="I67" s="963"/>
      <c r="J67" s="928">
        <f>H67/DAY(B2)</f>
        <v>686.2188000000001</v>
      </c>
      <c r="K67" s="951"/>
      <c r="L67" s="903"/>
      <c r="O67" s="930"/>
    </row>
    <row r="68" spans="1:15">
      <c r="A68" s="1538" t="s">
        <v>103</v>
      </c>
      <c r="B68" s="1539"/>
      <c r="C68" s="1540"/>
      <c r="D68" s="923" t="s">
        <v>187</v>
      </c>
      <c r="E68" s="924">
        <f>'24'!F68</f>
        <v>71374</v>
      </c>
      <c r="F68" s="954">
        <v>71669</v>
      </c>
      <c r="G68" s="925">
        <f t="shared" si="5"/>
        <v>295</v>
      </c>
      <c r="H68" s="926">
        <f>G68+'24'!H68</f>
        <v>9369.14</v>
      </c>
      <c r="I68" s="1009"/>
      <c r="J68" s="928">
        <f>H68/DAY(B2)</f>
        <v>374.76559999999995</v>
      </c>
      <c r="K68" s="1010"/>
      <c r="L68" s="903"/>
      <c r="O68" s="930"/>
    </row>
    <row r="69" spans="1:15">
      <c r="A69" s="1538" t="s">
        <v>104</v>
      </c>
      <c r="B69" s="1539"/>
      <c r="C69" s="1540"/>
      <c r="D69" s="923" t="s">
        <v>187</v>
      </c>
      <c r="E69" s="924">
        <f>'24'!F69</f>
        <v>63135</v>
      </c>
      <c r="F69" s="954">
        <v>63459</v>
      </c>
      <c r="G69" s="925">
        <f t="shared" si="5"/>
        <v>324</v>
      </c>
      <c r="H69" s="926">
        <f>G69+'24'!H69</f>
        <v>7735.2900000000009</v>
      </c>
      <c r="I69" s="1009"/>
      <c r="J69" s="928">
        <f>H69/DAY(B2)</f>
        <v>309.41160000000002</v>
      </c>
      <c r="K69" s="1011"/>
      <c r="L69" s="903"/>
      <c r="O69" s="930"/>
    </row>
    <row r="70" spans="1:15">
      <c r="A70" s="1561" t="s">
        <v>189</v>
      </c>
      <c r="B70" s="1562"/>
      <c r="C70" s="1563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1010"/>
      <c r="L71" s="903"/>
      <c r="O71" s="930"/>
    </row>
    <row r="72" spans="1:15">
      <c r="A72" s="1538" t="s">
        <v>191</v>
      </c>
      <c r="B72" s="1539"/>
      <c r="C72" s="1540"/>
      <c r="D72" s="923" t="s">
        <v>187</v>
      </c>
      <c r="E72" s="924">
        <f>'24'!F72</f>
        <v>850289</v>
      </c>
      <c r="F72" s="1015">
        <v>850364</v>
      </c>
      <c r="G72" s="925">
        <f t="shared" ref="G72:G84" si="6">F72-E72</f>
        <v>75</v>
      </c>
      <c r="H72" s="926">
        <f>G72+'24'!H72</f>
        <v>1812</v>
      </c>
      <c r="I72" s="945"/>
      <c r="J72" s="928">
        <f>H72/DAY(B2)</f>
        <v>72.48</v>
      </c>
      <c r="K72" s="1011"/>
      <c r="L72" s="903"/>
      <c r="O72" s="930"/>
    </row>
    <row r="73" spans="1:15">
      <c r="A73" s="1538" t="s">
        <v>192</v>
      </c>
      <c r="B73" s="1539"/>
      <c r="C73" s="1540"/>
      <c r="D73" s="923" t="s">
        <v>187</v>
      </c>
      <c r="E73" s="924">
        <f>'24'!F73</f>
        <v>885770</v>
      </c>
      <c r="F73" s="1016">
        <v>885771</v>
      </c>
      <c r="G73" s="925">
        <f t="shared" si="6"/>
        <v>1</v>
      </c>
      <c r="H73" s="926">
        <f>G73+'24'!H73</f>
        <v>990</v>
      </c>
      <c r="I73" s="945"/>
      <c r="J73" s="928">
        <f>H73/DAY(B2)</f>
        <v>39.6</v>
      </c>
      <c r="K73" s="1010"/>
      <c r="L73" s="903"/>
      <c r="O73" s="930"/>
    </row>
    <row r="74" spans="1:15">
      <c r="A74" s="1538" t="s">
        <v>193</v>
      </c>
      <c r="B74" s="1539"/>
      <c r="C74" s="1540"/>
      <c r="D74" s="923" t="s">
        <v>187</v>
      </c>
      <c r="E74" s="924">
        <f>'24'!F74</f>
        <v>486</v>
      </c>
      <c r="F74" s="1017">
        <v>501</v>
      </c>
      <c r="G74" s="925">
        <f t="shared" si="6"/>
        <v>15</v>
      </c>
      <c r="H74" s="926">
        <f>G74+'24'!H74</f>
        <v>730.1</v>
      </c>
      <c r="I74" s="945"/>
      <c r="J74" s="928">
        <f>H74/DAY(B2)</f>
        <v>29.204000000000001</v>
      </c>
      <c r="K74" s="1011"/>
      <c r="L74" s="903"/>
      <c r="O74" s="930"/>
    </row>
    <row r="75" spans="1:15">
      <c r="A75" s="1564" t="s">
        <v>194</v>
      </c>
      <c r="B75" s="1565"/>
      <c r="C75" s="1566"/>
      <c r="D75" s="923" t="s">
        <v>187</v>
      </c>
      <c r="E75" s="924">
        <f>'24'!F75</f>
        <v>2859</v>
      </c>
      <c r="F75" s="1017">
        <v>3012</v>
      </c>
      <c r="G75" s="925">
        <f t="shared" si="6"/>
        <v>153</v>
      </c>
      <c r="H75" s="926">
        <f>G75+'24'!H75</f>
        <v>4548.4000000000005</v>
      </c>
      <c r="I75" s="945"/>
      <c r="J75" s="928">
        <f>H75/DAY(B2)</f>
        <v>181.93600000000004</v>
      </c>
      <c r="K75" s="1010"/>
      <c r="L75" s="903"/>
      <c r="O75" s="930"/>
    </row>
    <row r="76" spans="1:15">
      <c r="A76" s="1564" t="s">
        <v>195</v>
      </c>
      <c r="B76" s="1565"/>
      <c r="C76" s="1566"/>
      <c r="D76" s="923" t="s">
        <v>187</v>
      </c>
      <c r="E76" s="924">
        <f>'24'!F76</f>
        <v>1196</v>
      </c>
      <c r="F76" s="1016">
        <v>1273</v>
      </c>
      <c r="G76" s="925">
        <f t="shared" si="6"/>
        <v>77</v>
      </c>
      <c r="H76" s="926">
        <f>G76+'24'!H76</f>
        <v>3270.2000000000003</v>
      </c>
      <c r="I76" s="988"/>
      <c r="J76" s="928">
        <f>H76/DAY(B2)</f>
        <v>130.80800000000002</v>
      </c>
      <c r="K76" s="1010"/>
      <c r="L76" s="903"/>
      <c r="O76" s="930"/>
    </row>
    <row r="77" spans="1:15">
      <c r="A77" s="1538" t="s">
        <v>196</v>
      </c>
      <c r="B77" s="1539"/>
      <c r="C77" s="1540"/>
      <c r="D77" s="923" t="s">
        <v>187</v>
      </c>
      <c r="E77" s="924">
        <f>'24'!F77</f>
        <v>698404</v>
      </c>
      <c r="F77" s="1016">
        <v>698448</v>
      </c>
      <c r="G77" s="925">
        <f t="shared" si="6"/>
        <v>44</v>
      </c>
      <c r="H77" s="926">
        <f>G77+'24'!H77</f>
        <v>1341</v>
      </c>
      <c r="I77" s="988"/>
      <c r="J77" s="928">
        <f>H77/DAY(B2)</f>
        <v>53.64</v>
      </c>
      <c r="K77" s="1010"/>
      <c r="L77" s="903"/>
      <c r="O77" s="930"/>
    </row>
    <row r="78" spans="1:15">
      <c r="A78" s="1018" t="s">
        <v>197</v>
      </c>
      <c r="B78" s="1226"/>
      <c r="C78" s="1226"/>
      <c r="D78" s="923" t="s">
        <v>187</v>
      </c>
      <c r="E78" s="924">
        <f>'24'!F78</f>
        <v>651496</v>
      </c>
      <c r="F78" s="1017">
        <v>651780</v>
      </c>
      <c r="G78" s="925">
        <f t="shared" si="6"/>
        <v>284</v>
      </c>
      <c r="H78" s="926">
        <f>G78+'24'!H78</f>
        <v>9827</v>
      </c>
      <c r="I78" s="988"/>
      <c r="J78" s="928">
        <f>H78/DAY(B2)</f>
        <v>393.08</v>
      </c>
      <c r="K78" s="1010"/>
      <c r="L78" s="903"/>
      <c r="O78" s="930"/>
    </row>
    <row r="79" spans="1:15">
      <c r="A79" s="1564" t="s">
        <v>92</v>
      </c>
      <c r="B79" s="1565"/>
      <c r="C79" s="1566"/>
      <c r="D79" s="957" t="s">
        <v>187</v>
      </c>
      <c r="E79" s="924">
        <f>'24'!F79</f>
        <v>814288</v>
      </c>
      <c r="F79" s="1017">
        <v>814492</v>
      </c>
      <c r="G79" s="925">
        <f t="shared" si="6"/>
        <v>204</v>
      </c>
      <c r="H79" s="926">
        <f>G79+'24'!H79</f>
        <v>7666</v>
      </c>
      <c r="I79" s="988"/>
      <c r="J79" s="928">
        <f>H79/DAY(B2)</f>
        <v>306.64</v>
      </c>
      <c r="K79" s="1010"/>
      <c r="L79" s="903"/>
      <c r="O79" s="930"/>
    </row>
    <row r="80" spans="1:15">
      <c r="A80" s="1564" t="s">
        <v>198</v>
      </c>
      <c r="B80" s="1565"/>
      <c r="C80" s="1566"/>
      <c r="D80" s="957" t="s">
        <v>187</v>
      </c>
      <c r="E80" s="924">
        <f>'24'!F80</f>
        <v>493174</v>
      </c>
      <c r="F80" s="1015">
        <v>493543</v>
      </c>
      <c r="G80" s="925">
        <f t="shared" si="6"/>
        <v>369</v>
      </c>
      <c r="H80" s="926">
        <f>G80+'24'!H80</f>
        <v>6961.320000000007</v>
      </c>
      <c r="I80" s="988"/>
      <c r="J80" s="928">
        <f>H80/DAY(B2)</f>
        <v>278.45280000000025</v>
      </c>
      <c r="K80" s="1010"/>
      <c r="L80" s="903"/>
      <c r="O80" s="930"/>
    </row>
    <row r="81" spans="1:15">
      <c r="A81" s="1564" t="s">
        <v>199</v>
      </c>
      <c r="B81" s="1565"/>
      <c r="C81" s="1566"/>
      <c r="D81" s="957" t="s">
        <v>187</v>
      </c>
      <c r="E81" s="924">
        <f>'24'!F81</f>
        <v>625425</v>
      </c>
      <c r="F81" s="1016">
        <v>625551</v>
      </c>
      <c r="G81" s="925">
        <f t="shared" si="6"/>
        <v>126</v>
      </c>
      <c r="H81" s="926">
        <f>G81+'24'!H81</f>
        <v>2776</v>
      </c>
      <c r="I81" s="988"/>
      <c r="J81" s="928">
        <f>H81/DAY(B2)</f>
        <v>111.04</v>
      </c>
      <c r="K81" s="1010"/>
      <c r="L81" s="903"/>
      <c r="O81" s="930"/>
    </row>
    <row r="82" spans="1:15">
      <c r="A82" s="1564" t="s">
        <v>93</v>
      </c>
      <c r="B82" s="1565"/>
      <c r="C82" s="1566"/>
      <c r="D82" s="958" t="s">
        <v>132</v>
      </c>
      <c r="E82" s="924">
        <f>'24'!F82</f>
        <v>106116</v>
      </c>
      <c r="F82" s="1019">
        <v>106140</v>
      </c>
      <c r="G82" s="925">
        <f t="shared" si="6"/>
        <v>24</v>
      </c>
      <c r="H82" s="926">
        <f>G82+'24'!H82</f>
        <v>700</v>
      </c>
      <c r="I82" s="959"/>
      <c r="J82" s="928">
        <f>H82/DAY(B2)</f>
        <v>28</v>
      </c>
      <c r="K82" s="1010"/>
      <c r="L82" s="903"/>
      <c r="N82" s="1092">
        <f>371*0.99</f>
        <v>367.29</v>
      </c>
      <c r="O82" s="930"/>
    </row>
    <row r="83" spans="1:15">
      <c r="A83" s="1564" t="s">
        <v>200</v>
      </c>
      <c r="B83" s="1565"/>
      <c r="C83" s="1566"/>
      <c r="D83" s="1020" t="s">
        <v>132</v>
      </c>
      <c r="E83" s="924">
        <f>'24'!F83</f>
        <v>994387</v>
      </c>
      <c r="F83" s="910">
        <v>994867</v>
      </c>
      <c r="G83" s="925">
        <f t="shared" si="6"/>
        <v>480</v>
      </c>
      <c r="H83" s="926">
        <f>G83+'24'!H83</f>
        <v>11126</v>
      </c>
      <c r="I83" s="948"/>
      <c r="J83" s="928">
        <f>H83/DAY(B2)</f>
        <v>445.04</v>
      </c>
      <c r="K83" s="951"/>
      <c r="L83" s="903"/>
      <c r="O83" s="930"/>
    </row>
    <row r="84" spans="1:15">
      <c r="A84" s="1021" t="s">
        <v>201</v>
      </c>
      <c r="B84" s="1022"/>
      <c r="C84" s="1022"/>
      <c r="D84" s="942" t="s">
        <v>132</v>
      </c>
      <c r="E84" s="924">
        <f>'24'!F84</f>
        <v>428216</v>
      </c>
      <c r="F84" s="1023">
        <v>428770</v>
      </c>
      <c r="G84" s="925">
        <f t="shared" si="6"/>
        <v>554</v>
      </c>
      <c r="H84" s="926">
        <f>G84+'24'!H84</f>
        <v>12697</v>
      </c>
      <c r="I84" s="948"/>
      <c r="J84" s="928">
        <f>H84/DAY(B2)</f>
        <v>507.88</v>
      </c>
      <c r="K84" s="1024"/>
      <c r="L84" s="903"/>
      <c r="O84" s="930"/>
    </row>
    <row r="85" spans="1:15" s="1028" customFormat="1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2406</v>
      </c>
      <c r="H85" s="926">
        <f>G85+'24'!H85</f>
        <v>59141.649999999994</v>
      </c>
      <c r="I85" s="948"/>
      <c r="J85" s="928">
        <f>H85/DAY(B2)</f>
        <v>2365.6659999999997</v>
      </c>
      <c r="K85" s="1024"/>
      <c r="L85" s="1027"/>
      <c r="N85" s="1095"/>
      <c r="O85" s="930"/>
    </row>
    <row r="86" spans="1:15" s="1038" customFormat="1">
      <c r="A86" s="1029" t="s">
        <v>94</v>
      </c>
      <c r="B86" s="1030"/>
      <c r="C86" s="1030"/>
      <c r="D86" s="1031" t="s">
        <v>183</v>
      </c>
      <c r="E86" s="924">
        <f>'24'!F86</f>
        <v>449994</v>
      </c>
      <c r="F86" s="1032">
        <v>450129</v>
      </c>
      <c r="G86" s="1033">
        <f t="shared" ref="G86:G90" si="7">F86-E86</f>
        <v>135</v>
      </c>
      <c r="H86" s="1033">
        <f t="shared" ref="H86:H88" si="8">G86</f>
        <v>135</v>
      </c>
      <c r="I86" s="1034"/>
      <c r="J86" s="1035">
        <f>H86/DAY(B2)</f>
        <v>5.4</v>
      </c>
      <c r="K86" s="1036"/>
      <c r="L86" s="1037"/>
      <c r="N86" s="1096">
        <f>G86/0.995</f>
        <v>135.678391959799</v>
      </c>
      <c r="O86" s="930"/>
    </row>
    <row r="87" spans="1:15" s="1038" customFormat="1">
      <c r="A87" s="1029" t="s">
        <v>95</v>
      </c>
      <c r="B87" s="1030"/>
      <c r="C87" s="1030"/>
      <c r="D87" s="1031" t="s">
        <v>183</v>
      </c>
      <c r="E87" s="924">
        <f>'24'!F87</f>
        <v>79094.399999999994</v>
      </c>
      <c r="F87" s="1032">
        <v>79130</v>
      </c>
      <c r="G87" s="1033">
        <f t="shared" si="7"/>
        <v>35.600000000005821</v>
      </c>
      <c r="H87" s="1033">
        <f t="shared" si="8"/>
        <v>35.600000000005821</v>
      </c>
      <c r="I87" s="1034"/>
      <c r="J87" s="1035">
        <f>H87/DAY(B2)</f>
        <v>1.4240000000002329</v>
      </c>
      <c r="K87" s="1036"/>
      <c r="L87" s="1037"/>
      <c r="N87" s="1096"/>
      <c r="O87" s="930"/>
    </row>
    <row r="88" spans="1:15" s="1038" customFormat="1">
      <c r="A88" s="1029" t="s">
        <v>96</v>
      </c>
      <c r="B88" s="1030"/>
      <c r="C88" s="1030"/>
      <c r="D88" s="1031" t="s">
        <v>183</v>
      </c>
      <c r="E88" s="924">
        <f>'24'!F88</f>
        <v>148056</v>
      </c>
      <c r="F88" s="1032">
        <v>148102</v>
      </c>
      <c r="G88" s="1033">
        <f t="shared" si="7"/>
        <v>46</v>
      </c>
      <c r="H88" s="1033">
        <f t="shared" si="8"/>
        <v>46</v>
      </c>
      <c r="I88" s="1034"/>
      <c r="J88" s="1035">
        <f>H88/DAY(B2)</f>
        <v>1.84</v>
      </c>
      <c r="K88" s="1036"/>
      <c r="L88" s="1037"/>
      <c r="N88" s="1096"/>
      <c r="O88" s="930"/>
    </row>
    <row r="89" spans="1:15" s="1038" customFormat="1">
      <c r="A89" s="1029" t="s">
        <v>204</v>
      </c>
      <c r="B89" s="1030"/>
      <c r="C89" s="1030"/>
      <c r="D89" s="1031" t="s">
        <v>183</v>
      </c>
      <c r="E89" s="924">
        <f>'24'!F89</f>
        <v>61400</v>
      </c>
      <c r="F89" s="1032">
        <v>61459</v>
      </c>
      <c r="G89" s="1033">
        <f t="shared" si="7"/>
        <v>59</v>
      </c>
      <c r="H89" s="1033">
        <f>G89</f>
        <v>59</v>
      </c>
      <c r="I89" s="1034"/>
      <c r="J89" s="1035">
        <f>H89/DAY(B2)</f>
        <v>2.36</v>
      </c>
      <c r="K89" s="1036"/>
      <c r="L89" s="1037"/>
      <c r="N89" s="1103">
        <f>204/205</f>
        <v>0.99512195121951219</v>
      </c>
      <c r="O89" s="930"/>
    </row>
    <row r="90" spans="1:15" s="1038" customFormat="1">
      <c r="A90" s="1029" t="s">
        <v>204</v>
      </c>
      <c r="B90" s="1030"/>
      <c r="C90" s="1030"/>
      <c r="D90" s="1031" t="s">
        <v>183</v>
      </c>
      <c r="E90" s="924">
        <f>'24'!F90</f>
        <v>3152</v>
      </c>
      <c r="F90" s="1032">
        <v>3155</v>
      </c>
      <c r="G90" s="1033">
        <f t="shared" si="7"/>
        <v>3</v>
      </c>
      <c r="H90" s="1033">
        <f>G90</f>
        <v>3</v>
      </c>
      <c r="I90" s="1034"/>
      <c r="J90" s="1035">
        <f>H90/DAY(B2)</f>
        <v>0.12</v>
      </c>
      <c r="K90" s="1036"/>
      <c r="L90" s="1037"/>
      <c r="N90" s="1097"/>
      <c r="O90" s="930"/>
    </row>
    <row r="91" spans="1:15" s="1028" customFormat="1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41" t="s">
        <v>206</v>
      </c>
      <c r="B92" s="1542"/>
      <c r="C92" s="1543"/>
      <c r="D92" s="923" t="s">
        <v>144</v>
      </c>
      <c r="E92" s="924">
        <f>'24'!F92</f>
        <v>239233</v>
      </c>
      <c r="F92" s="954">
        <v>239336</v>
      </c>
      <c r="G92" s="925">
        <f t="shared" ref="G92:G93" si="9">F92-E92</f>
        <v>103</v>
      </c>
      <c r="H92" s="926">
        <f>G92+'24'!H92</f>
        <v>2766</v>
      </c>
      <c r="I92" s="945"/>
      <c r="J92" s="928">
        <f>H92/DAY(B2)</f>
        <v>110.64</v>
      </c>
      <c r="K92" s="951"/>
      <c r="L92" s="903"/>
      <c r="O92" s="930"/>
    </row>
    <row r="93" spans="1:15">
      <c r="A93" s="1541" t="s">
        <v>207</v>
      </c>
      <c r="B93" s="1542"/>
      <c r="C93" s="1543"/>
      <c r="D93" s="923" t="s">
        <v>144</v>
      </c>
      <c r="E93" s="924">
        <f>'24'!F93</f>
        <v>174960</v>
      </c>
      <c r="F93" s="954">
        <v>175150</v>
      </c>
      <c r="G93" s="925">
        <f t="shared" si="9"/>
        <v>190</v>
      </c>
      <c r="H93" s="926">
        <f>G93+'24'!H93</f>
        <v>3974</v>
      </c>
      <c r="I93" s="945"/>
      <c r="J93" s="928">
        <f>H93/DAY(B2)</f>
        <v>158.96</v>
      </c>
      <c r="K93" s="1024"/>
      <c r="L93" s="903"/>
      <c r="O93" s="930"/>
    </row>
    <row r="94" spans="1:15">
      <c r="A94" s="1567" t="s">
        <v>208</v>
      </c>
      <c r="B94" s="1568"/>
      <c r="C94" s="1569"/>
      <c r="D94" s="923"/>
      <c r="E94" s="924">
        <f>'24'!F94</f>
        <v>0</v>
      </c>
      <c r="F94" s="954"/>
      <c r="G94" s="925">
        <f>G92+G93</f>
        <v>293</v>
      </c>
      <c r="H94" s="926">
        <f>G94+'24'!H94</f>
        <v>6453</v>
      </c>
      <c r="I94" s="945"/>
      <c r="J94" s="928">
        <f>H94/DAY(B2)</f>
        <v>258.12</v>
      </c>
      <c r="K94" s="1024"/>
      <c r="L94" s="903"/>
      <c r="O94" s="930"/>
    </row>
    <row r="95" spans="1:15">
      <c r="A95" s="1541" t="s">
        <v>209</v>
      </c>
      <c r="B95" s="1542"/>
      <c r="C95" s="1543"/>
      <c r="D95" s="923" t="s">
        <v>144</v>
      </c>
      <c r="E95" s="924">
        <f>'24'!F95</f>
        <v>407799</v>
      </c>
      <c r="F95" s="954">
        <v>407902</v>
      </c>
      <c r="G95" s="925">
        <f t="shared" ref="G95:G100" si="10">F95-E95</f>
        <v>103</v>
      </c>
      <c r="H95" s="926">
        <f>G95+'24'!H95</f>
        <v>2026</v>
      </c>
      <c r="I95" s="945"/>
      <c r="J95" s="928">
        <f>H95/DAY(B2)</f>
        <v>81.040000000000006</v>
      </c>
      <c r="K95" s="1024"/>
      <c r="L95" s="903"/>
      <c r="O95" s="930"/>
    </row>
    <row r="96" spans="1:15">
      <c r="A96" s="952" t="s">
        <v>210</v>
      </c>
      <c r="B96" s="953"/>
      <c r="C96" s="953"/>
      <c r="D96" s="923" t="s">
        <v>144</v>
      </c>
      <c r="E96" s="924">
        <f>'24'!F96</f>
        <v>101250</v>
      </c>
      <c r="F96" s="954">
        <v>101264</v>
      </c>
      <c r="G96" s="925">
        <f t="shared" si="10"/>
        <v>14</v>
      </c>
      <c r="H96" s="926">
        <f>G96+'24'!H96</f>
        <v>730</v>
      </c>
      <c r="I96" s="945"/>
      <c r="J96" s="928">
        <f>H96/DAY(B2)</f>
        <v>29.2</v>
      </c>
      <c r="K96" s="920"/>
      <c r="L96" s="903"/>
      <c r="O96" s="930"/>
    </row>
    <row r="97" spans="1:15">
      <c r="A97" s="952" t="s">
        <v>211</v>
      </c>
      <c r="B97" s="953"/>
      <c r="C97" s="953"/>
      <c r="D97" s="923" t="s">
        <v>144</v>
      </c>
      <c r="E97" s="924">
        <f>'24'!F97</f>
        <v>96354</v>
      </c>
      <c r="F97" s="1075">
        <v>96369</v>
      </c>
      <c r="G97" s="925">
        <f t="shared" si="10"/>
        <v>15</v>
      </c>
      <c r="H97" s="926">
        <f>G97+'24'!H97</f>
        <v>692</v>
      </c>
      <c r="I97" s="945"/>
      <c r="J97" s="928">
        <f>H97/DAY(B2)</f>
        <v>27.68</v>
      </c>
      <c r="K97" s="1040"/>
      <c r="L97" s="903"/>
      <c r="O97" s="930"/>
    </row>
    <row r="98" spans="1:15">
      <c r="A98" s="952" t="s">
        <v>212</v>
      </c>
      <c r="B98" s="953"/>
      <c r="C98" s="953"/>
      <c r="D98" s="923" t="s">
        <v>144</v>
      </c>
      <c r="E98" s="924">
        <f>'24'!F98</f>
        <v>147240</v>
      </c>
      <c r="F98" s="954">
        <v>147348</v>
      </c>
      <c r="G98" s="925">
        <f t="shared" si="10"/>
        <v>108</v>
      </c>
      <c r="H98" s="926">
        <f>G98+'24'!H98</f>
        <v>1794</v>
      </c>
      <c r="I98" s="945"/>
      <c r="J98" s="928">
        <f>H98/DAY(B2)</f>
        <v>71.760000000000005</v>
      </c>
      <c r="K98" s="1024"/>
      <c r="L98" s="903"/>
      <c r="O98" s="930"/>
    </row>
    <row r="99" spans="1:15">
      <c r="A99" s="952" t="s">
        <v>213</v>
      </c>
      <c r="B99" s="953"/>
      <c r="C99" s="953"/>
      <c r="D99" s="923" t="s">
        <v>144</v>
      </c>
      <c r="E99" s="924">
        <f>'24'!F99</f>
        <v>6333</v>
      </c>
      <c r="F99" s="954">
        <v>6349</v>
      </c>
      <c r="G99" s="925">
        <f t="shared" si="10"/>
        <v>16</v>
      </c>
      <c r="H99" s="926">
        <f>G99+'24'!H99</f>
        <v>375</v>
      </c>
      <c r="I99" s="945"/>
      <c r="J99" s="928">
        <f>H99/DAY(B2)</f>
        <v>15</v>
      </c>
      <c r="K99" s="1024"/>
      <c r="L99" s="903"/>
      <c r="O99" s="930"/>
    </row>
    <row r="100" spans="1:15">
      <c r="A100" s="952" t="s">
        <v>214</v>
      </c>
      <c r="B100" s="953"/>
      <c r="C100" s="953"/>
      <c r="D100" s="923" t="s">
        <v>144</v>
      </c>
      <c r="E100" s="924">
        <f>'24'!F100</f>
        <v>4460</v>
      </c>
      <c r="F100" s="954">
        <v>4465</v>
      </c>
      <c r="G100" s="925">
        <f t="shared" si="10"/>
        <v>5</v>
      </c>
      <c r="H100" s="926">
        <f>G100+'24'!H100</f>
        <v>228</v>
      </c>
      <c r="I100" s="945"/>
      <c r="J100" s="928">
        <f>H100/DAY(B2)</f>
        <v>9.1199999999999992</v>
      </c>
      <c r="K100" s="1024"/>
      <c r="L100" s="903"/>
      <c r="O100" s="930"/>
    </row>
    <row r="101" spans="1:15">
      <c r="A101" s="1567" t="s">
        <v>216</v>
      </c>
      <c r="B101" s="1568"/>
      <c r="C101" s="1569"/>
      <c r="D101" s="957"/>
      <c r="E101" s="957"/>
      <c r="F101" s="957"/>
      <c r="G101" s="1041">
        <f>SUM(G95:G100)</f>
        <v>261</v>
      </c>
      <c r="H101" s="926">
        <f>G101+'24'!H101</f>
        <v>5845</v>
      </c>
      <c r="I101" s="1042"/>
      <c r="J101" s="928">
        <f>H101/DAY(B2)</f>
        <v>233.8</v>
      </c>
      <c r="K101" s="1024"/>
      <c r="L101" s="903"/>
      <c r="O101" s="930"/>
    </row>
    <row r="102" spans="1:15" s="975" customFormat="1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75" t="s">
        <v>218</v>
      </c>
      <c r="B103" s="1576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77" t="s">
        <v>219</v>
      </c>
      <c r="B104" s="1578"/>
      <c r="C104" s="1057"/>
      <c r="D104" s="1053" t="s">
        <v>144</v>
      </c>
      <c r="E104" s="1054">
        <f>'24'!F104</f>
        <v>7125</v>
      </c>
      <c r="F104" s="1054">
        <v>7125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>
      <c r="A105" s="1577" t="s">
        <v>77</v>
      </c>
      <c r="B105" s="1578"/>
      <c r="C105" s="1057"/>
      <c r="D105" s="1053" t="s">
        <v>144</v>
      </c>
      <c r="E105" s="1054">
        <f>'24'!F105</f>
        <v>35375</v>
      </c>
      <c r="F105" s="1058">
        <v>35381</v>
      </c>
      <c r="G105" s="1054">
        <f t="shared" ref="G105:G106" si="11">F105-E105</f>
        <v>6</v>
      </c>
      <c r="H105" s="1055">
        <f>SUM(G105+'1'!G77)</f>
        <v>54</v>
      </c>
      <c r="I105" s="1054"/>
      <c r="J105" s="1056">
        <f>H105/DAY(B2)</f>
        <v>2.16</v>
      </c>
      <c r="N105" s="1093"/>
      <c r="O105" s="930"/>
    </row>
    <row r="106" spans="1:15" s="975" customFormat="1">
      <c r="A106" s="1577" t="s">
        <v>78</v>
      </c>
      <c r="B106" s="1579"/>
      <c r="C106" s="1578"/>
      <c r="D106" s="1053" t="s">
        <v>144</v>
      </c>
      <c r="E106" s="1054">
        <f>'24'!F106</f>
        <v>19225</v>
      </c>
      <c r="F106" s="1054">
        <v>19229</v>
      </c>
      <c r="G106" s="1054">
        <f t="shared" si="11"/>
        <v>4</v>
      </c>
      <c r="H106" s="1055">
        <f>SUM(G106+'1'!G78)</f>
        <v>338</v>
      </c>
      <c r="I106" s="1054"/>
      <c r="J106" s="1056">
        <f>H106/DAY(B2)</f>
        <v>13.52</v>
      </c>
      <c r="N106" s="1093"/>
      <c r="O106" s="930"/>
    </row>
    <row r="107" spans="1:15" s="975" customFormat="1">
      <c r="A107" s="1580" t="s">
        <v>202</v>
      </c>
      <c r="B107" s="1581"/>
      <c r="C107" s="1057"/>
      <c r="D107" s="1053"/>
      <c r="E107" s="1054">
        <f>'24'!F107</f>
        <v>0</v>
      </c>
      <c r="F107" s="1054" t="s">
        <v>269</v>
      </c>
      <c r="G107" s="1054">
        <f>SUM(G104:G106)</f>
        <v>10</v>
      </c>
      <c r="H107" s="1055">
        <f>SUM(G107+'1'!G79)</f>
        <v>215</v>
      </c>
      <c r="I107" s="1054"/>
      <c r="J107" s="1056">
        <f>H107/DAY(B2)</f>
        <v>8.6</v>
      </c>
      <c r="N107" s="1093"/>
      <c r="O107" s="930"/>
    </row>
    <row r="108" spans="1:15" s="975" customFormat="1">
      <c r="A108" s="1582" t="s">
        <v>79</v>
      </c>
      <c r="B108" s="1583"/>
      <c r="C108" s="1057"/>
      <c r="D108" s="1053" t="s">
        <v>144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77" t="s">
        <v>220</v>
      </c>
      <c r="B109" s="1578"/>
      <c r="C109" s="1057"/>
      <c r="D109" s="1053" t="s">
        <v>144</v>
      </c>
      <c r="E109" s="1054">
        <f>'24'!F109</f>
        <v>56110</v>
      </c>
      <c r="F109" s="1054">
        <v>56150</v>
      </c>
      <c r="G109" s="1054">
        <f>F109-E109</f>
        <v>40</v>
      </c>
      <c r="H109" s="1055">
        <f>SUM(G109+'1'!G81)</f>
        <v>116</v>
      </c>
      <c r="I109" s="1054"/>
      <c r="J109" s="1056">
        <f>H109/DAY(B2)</f>
        <v>4.6399999999999997</v>
      </c>
      <c r="N109" s="1093"/>
      <c r="O109" s="930"/>
    </row>
    <row r="110" spans="1:15" s="975" customFormat="1">
      <c r="A110" s="1577" t="s">
        <v>221</v>
      </c>
      <c r="B110" s="1578"/>
      <c r="C110" s="1057"/>
      <c r="D110" s="1053" t="s">
        <v>144</v>
      </c>
      <c r="E110" s="1054">
        <f>'24'!F110</f>
        <v>30112</v>
      </c>
      <c r="F110" s="1054">
        <v>30260</v>
      </c>
      <c r="G110" s="1054">
        <f t="shared" ref="G110:G111" si="12">F110-E110</f>
        <v>148</v>
      </c>
      <c r="H110" s="1055">
        <f>SUM(G110+'1'!G82)</f>
        <v>193</v>
      </c>
      <c r="I110" s="1054"/>
      <c r="J110" s="1056">
        <f>H110/DAY(B2)</f>
        <v>7.72</v>
      </c>
      <c r="N110" s="1093"/>
      <c r="O110" s="930"/>
    </row>
    <row r="111" spans="1:15" s="975" customFormat="1">
      <c r="A111" s="1577" t="s">
        <v>222</v>
      </c>
      <c r="B111" s="1578"/>
      <c r="C111" s="1057"/>
      <c r="D111" s="1053" t="s">
        <v>144</v>
      </c>
      <c r="E111" s="1054">
        <f>'24'!F111</f>
        <v>3961</v>
      </c>
      <c r="F111" s="1054">
        <v>3961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17.32</v>
      </c>
      <c r="N111" s="1093"/>
      <c r="O111" s="930"/>
    </row>
    <row r="112" spans="1:15" s="975" customFormat="1">
      <c r="A112" s="1587" t="s">
        <v>110</v>
      </c>
      <c r="B112" s="1588"/>
      <c r="C112" s="1057"/>
      <c r="D112" s="1053"/>
      <c r="E112" s="1054">
        <f>'24'!F112</f>
        <v>0</v>
      </c>
      <c r="F112" s="1054"/>
      <c r="G112" s="1054">
        <f>SUM(G109:G111)</f>
        <v>188</v>
      </c>
      <c r="H112" s="1055">
        <f>SUM(G112+'1'!G84)</f>
        <v>709</v>
      </c>
      <c r="I112" s="1054"/>
      <c r="J112" s="1056">
        <f>H112/DAY(B2)</f>
        <v>28.36</v>
      </c>
      <c r="N112" s="1093"/>
      <c r="O112" s="930"/>
    </row>
    <row r="113" spans="1:15" s="975" customFormat="1">
      <c r="A113" s="1582" t="s">
        <v>223</v>
      </c>
      <c r="B113" s="1583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77" t="s">
        <v>224</v>
      </c>
      <c r="B114" s="1578"/>
      <c r="C114" s="1059"/>
      <c r="D114" s="1053" t="s">
        <v>144</v>
      </c>
      <c r="E114" s="1054">
        <f>'24'!F114</f>
        <v>10233</v>
      </c>
      <c r="F114" s="1058">
        <v>10252</v>
      </c>
      <c r="G114" s="1058">
        <f>F114-E114</f>
        <v>19</v>
      </c>
      <c r="H114" s="1055">
        <f>SUM(G114+'1'!G91)</f>
        <v>19</v>
      </c>
      <c r="I114" s="1054"/>
      <c r="J114" s="1056">
        <f>H114/DAY(B2)</f>
        <v>0.76</v>
      </c>
      <c r="N114" s="1093"/>
      <c r="O114" s="930"/>
    </row>
    <row r="115" spans="1:15" s="975" customFormat="1">
      <c r="A115" s="1577" t="s">
        <v>225</v>
      </c>
      <c r="B115" s="1578"/>
      <c r="C115" s="1059"/>
      <c r="D115" s="1053" t="s">
        <v>144</v>
      </c>
      <c r="E115" s="1054">
        <f>'24'!F115</f>
        <v>7608</v>
      </c>
      <c r="F115" s="1058">
        <v>7613</v>
      </c>
      <c r="G115" s="1058">
        <f t="shared" ref="G115:G116" si="13">F115-E115</f>
        <v>5</v>
      </c>
      <c r="H115" s="1055">
        <f>SUM(G115+'1'!G92)</f>
        <v>92</v>
      </c>
      <c r="I115" s="1054"/>
      <c r="J115" s="1056">
        <f>H115/DAY(B2)</f>
        <v>3.68</v>
      </c>
      <c r="N115" s="1093"/>
      <c r="O115" s="930"/>
    </row>
    <row r="116" spans="1:15" s="975" customFormat="1">
      <c r="A116" s="1577" t="s">
        <v>226</v>
      </c>
      <c r="B116" s="1578"/>
      <c r="C116" s="1059"/>
      <c r="D116" s="1053" t="s">
        <v>144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>
      <c r="A117" s="1580" t="s">
        <v>202</v>
      </c>
      <c r="B117" s="1581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3.84</v>
      </c>
      <c r="N117" s="1098"/>
      <c r="O117" s="930"/>
    </row>
    <row r="118" spans="1:15" s="851" customFormat="1">
      <c r="A118" s="1591" t="s">
        <v>227</v>
      </c>
      <c r="B118" s="1592"/>
      <c r="C118" s="1062"/>
      <c r="D118" s="1063" t="s">
        <v>144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7.12</v>
      </c>
      <c r="N118" s="1099"/>
      <c r="O118" s="930"/>
    </row>
    <row r="119" spans="1:15" s="851" customFormat="1">
      <c r="A119" s="1591" t="s">
        <v>228</v>
      </c>
      <c r="B119" s="1592"/>
      <c r="C119" s="1062"/>
      <c r="D119" s="1063" t="s">
        <v>144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9.44</v>
      </c>
      <c r="N119" s="1099"/>
      <c r="O119" s="930"/>
    </row>
    <row r="120" spans="1:15" s="851" customFormat="1">
      <c r="A120" s="1591" t="s">
        <v>229</v>
      </c>
      <c r="B120" s="1592"/>
      <c r="C120" s="1062"/>
      <c r="D120" s="1063" t="s">
        <v>144</v>
      </c>
      <c r="E120" s="1064"/>
      <c r="F120" s="1058">
        <f>SUM(G112)</f>
        <v>188</v>
      </c>
      <c r="G120" s="1058">
        <f>SUM(G112)</f>
        <v>188</v>
      </c>
      <c r="H120" s="1055">
        <f>SUM(G120+'1'!G100)</f>
        <v>194</v>
      </c>
      <c r="I120" s="1064"/>
      <c r="J120" s="1066">
        <f>H120/DAY(B2)</f>
        <v>7.76</v>
      </c>
      <c r="N120" s="1099"/>
      <c r="O120" s="930"/>
    </row>
    <row r="121" spans="1:15" s="975" customFormat="1">
      <c r="A121" s="1589"/>
      <c r="B121" s="1590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>
      <c r="A122" s="1570" t="s">
        <v>230</v>
      </c>
      <c r="B122" s="1571"/>
      <c r="C122" s="1572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231</v>
      </c>
      <c r="B123" s="953"/>
      <c r="C123" s="953"/>
      <c r="D123" s="923" t="s">
        <v>141</v>
      </c>
      <c r="E123" s="924">
        <f>'24'!F123</f>
        <v>809965</v>
      </c>
      <c r="F123" s="942">
        <v>810230</v>
      </c>
      <c r="G123" s="925">
        <f t="shared" ref="G123:G127" si="14">F123-E123</f>
        <v>265</v>
      </c>
      <c r="H123" s="926">
        <f>G123+'24'!H123</f>
        <v>6894.5999999999767</v>
      </c>
      <c r="I123" s="1042"/>
      <c r="J123" s="928">
        <f>H123/DAY(B2)</f>
        <v>275.78399999999908</v>
      </c>
      <c r="K123" s="1024"/>
      <c r="L123" s="903"/>
      <c r="O123" s="930"/>
    </row>
    <row r="124" spans="1:15">
      <c r="A124" s="952" t="s">
        <v>232</v>
      </c>
      <c r="B124" s="953"/>
      <c r="C124" s="953"/>
      <c r="D124" s="923" t="s">
        <v>141</v>
      </c>
      <c r="E124" s="924">
        <f>'24'!F124</f>
        <v>73583</v>
      </c>
      <c r="F124" s="1070">
        <v>73583</v>
      </c>
      <c r="G124" s="925">
        <f t="shared" si="14"/>
        <v>0</v>
      </c>
      <c r="H124" s="926">
        <f>G124+'24'!H124</f>
        <v>1</v>
      </c>
      <c r="I124" s="1042"/>
      <c r="J124" s="928">
        <f>H124/DAY(B2)</f>
        <v>0.04</v>
      </c>
      <c r="K124" s="1024"/>
      <c r="L124" s="903"/>
      <c r="O124" s="930"/>
    </row>
    <row r="125" spans="1:15">
      <c r="A125" s="1538" t="s">
        <v>233</v>
      </c>
      <c r="B125" s="1539"/>
      <c r="C125" s="1540"/>
      <c r="D125" s="923" t="s">
        <v>141</v>
      </c>
      <c r="E125" s="924">
        <f>'24'!F125</f>
        <v>139709</v>
      </c>
      <c r="F125" s="942">
        <v>139776</v>
      </c>
      <c r="G125" s="925">
        <f t="shared" si="14"/>
        <v>67</v>
      </c>
      <c r="H125" s="926">
        <f>G125+'24'!H125</f>
        <v>1928</v>
      </c>
      <c r="I125" s="1042"/>
      <c r="J125" s="928">
        <f>H125/DAY(B2)</f>
        <v>77.12</v>
      </c>
      <c r="K125" s="1024"/>
      <c r="L125" s="903"/>
      <c r="O125" s="930"/>
    </row>
    <row r="126" spans="1:15">
      <c r="A126" s="1071" t="s">
        <v>234</v>
      </c>
      <c r="B126" s="953"/>
      <c r="C126" s="953"/>
      <c r="D126" s="923" t="s">
        <v>141</v>
      </c>
      <c r="E126" s="924">
        <f>'24'!F126</f>
        <v>59195</v>
      </c>
      <c r="F126" s="1070">
        <v>59217</v>
      </c>
      <c r="G126" s="925">
        <f t="shared" si="14"/>
        <v>22</v>
      </c>
      <c r="H126" s="926">
        <f>G126+'24'!H126</f>
        <v>825.30000000000291</v>
      </c>
      <c r="I126" s="1042"/>
      <c r="J126" s="928">
        <f>H126/DAY(B2)</f>
        <v>33.012000000000114</v>
      </c>
      <c r="K126" s="1024"/>
      <c r="L126" s="903"/>
      <c r="O126" s="930"/>
    </row>
    <row r="127" spans="1:15">
      <c r="A127" s="1071" t="s">
        <v>235</v>
      </c>
      <c r="B127" s="953"/>
      <c r="C127" s="953"/>
      <c r="D127" s="923" t="s">
        <v>141</v>
      </c>
      <c r="E127" s="924">
        <f>'24'!F127</f>
        <v>8882</v>
      </c>
      <c r="F127" s="1070">
        <v>8882</v>
      </c>
      <c r="G127" s="925">
        <f t="shared" si="14"/>
        <v>0</v>
      </c>
      <c r="H127" s="926">
        <f>G127+'24'!H127</f>
        <v>66</v>
      </c>
      <c r="I127" s="945"/>
      <c r="J127" s="928">
        <f>H127/DAY(B2)</f>
        <v>2.64</v>
      </c>
      <c r="K127" s="1024"/>
      <c r="L127" s="903"/>
      <c r="O127" s="930"/>
    </row>
    <row r="128" spans="1:1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507.98999999999069</v>
      </c>
      <c r="H128" s="926">
        <f>G128+'24'!H128</f>
        <v>5570.0599999998994</v>
      </c>
      <c r="I128" s="945"/>
      <c r="J128" s="928">
        <f>H128/DAY(B2)</f>
        <v>222.80239999999597</v>
      </c>
      <c r="K128" s="1024"/>
      <c r="L128" s="903"/>
      <c r="O128" s="930"/>
    </row>
    <row r="129" spans="1:16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>
      <c r="A130" s="952" t="s">
        <v>238</v>
      </c>
      <c r="B130" s="953"/>
      <c r="C130" s="953"/>
      <c r="D130" s="923" t="s">
        <v>239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>
      <c r="A131" s="952" t="s">
        <v>240</v>
      </c>
      <c r="B131" s="953"/>
      <c r="C131" s="953"/>
      <c r="D131" s="923" t="s">
        <v>239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>
      <c r="A132" s="952" t="s">
        <v>241</v>
      </c>
      <c r="B132" s="953"/>
      <c r="C132" s="953"/>
      <c r="D132" s="923" t="s">
        <v>239</v>
      </c>
      <c r="E132" s="924">
        <f>'24'!F132</f>
        <v>38829.480000000003</v>
      </c>
      <c r="F132" s="1075">
        <v>38829.480000000003</v>
      </c>
      <c r="G132" s="925">
        <f t="shared" si="15"/>
        <v>0</v>
      </c>
      <c r="H132" s="926">
        <f>G132+'24'!H132</f>
        <v>111.08999999999651</v>
      </c>
      <c r="I132" s="945"/>
      <c r="J132" s="928">
        <f>H132/DAY(B2)</f>
        <v>4.4435999999998606</v>
      </c>
      <c r="O132" s="930"/>
      <c r="P132" s="890">
        <f>49-24</f>
        <v>25</v>
      </c>
    </row>
    <row r="133" spans="1:16">
      <c r="A133" s="952" t="s">
        <v>242</v>
      </c>
      <c r="B133" s="953"/>
      <c r="C133" s="953"/>
      <c r="D133" s="923" t="s">
        <v>239</v>
      </c>
      <c r="E133" s="924">
        <f>'24'!F133</f>
        <v>299.52</v>
      </c>
      <c r="F133" s="1075">
        <v>299.52</v>
      </c>
      <c r="G133" s="925">
        <f t="shared" si="15"/>
        <v>0</v>
      </c>
      <c r="H133" s="926">
        <f>G133+'24'!H133</f>
        <v>0.51999999999998181</v>
      </c>
      <c r="I133" s="945">
        <f>G130+G131+G132+G133</f>
        <v>0</v>
      </c>
      <c r="J133" s="928">
        <f>H133/DAY(B2)</f>
        <v>2.0799999999999274E-2</v>
      </c>
      <c r="O133" s="930"/>
    </row>
    <row r="134" spans="1:16">
      <c r="A134" s="952" t="s">
        <v>243</v>
      </c>
      <c r="B134" s="953"/>
      <c r="C134" s="953"/>
      <c r="D134" s="923" t="s">
        <v>239</v>
      </c>
      <c r="E134" s="924">
        <f>'24'!F134</f>
        <v>40270.559999999998</v>
      </c>
      <c r="F134" s="1075">
        <v>40295</v>
      </c>
      <c r="G134" s="925">
        <f t="shared" si="15"/>
        <v>24.440000000002328</v>
      </c>
      <c r="H134" s="926">
        <f>G134+'24'!H134</f>
        <v>58.480000000003201</v>
      </c>
      <c r="I134" s="945"/>
      <c r="J134" s="928">
        <f>H134/DAY(B2)</f>
        <v>2.3392000000001278</v>
      </c>
      <c r="O134" s="930"/>
    </row>
    <row r="135" spans="1:16">
      <c r="A135" s="952" t="s">
        <v>244</v>
      </c>
      <c r="B135" s="953"/>
      <c r="C135" s="953"/>
      <c r="D135" s="923" t="s">
        <v>239</v>
      </c>
      <c r="E135" s="924">
        <f>'24'!F135</f>
        <v>32571.360000000001</v>
      </c>
      <c r="F135" s="1075">
        <v>32571</v>
      </c>
      <c r="G135" s="925">
        <f t="shared" si="15"/>
        <v>-0.36000000000058208</v>
      </c>
      <c r="H135" s="926">
        <f>G135+'24'!H135</f>
        <v>29.520000000000437</v>
      </c>
      <c r="I135" s="945"/>
      <c r="J135" s="928">
        <f>H135/DAY(B2)</f>
        <v>1.1808000000000174</v>
      </c>
      <c r="O135" s="930"/>
    </row>
    <row r="136" spans="1:16">
      <c r="A136" s="952" t="s">
        <v>245</v>
      </c>
      <c r="B136" s="953"/>
      <c r="C136" s="953"/>
      <c r="D136" s="923" t="s">
        <v>239</v>
      </c>
      <c r="E136" s="924">
        <f>'24'!F136</f>
        <v>22183</v>
      </c>
      <c r="F136" s="1075">
        <v>22192</v>
      </c>
      <c r="G136" s="925">
        <f t="shared" si="15"/>
        <v>9</v>
      </c>
      <c r="H136" s="926">
        <f>G136+'24'!H136</f>
        <v>190.04000000000087</v>
      </c>
      <c r="I136" s="945">
        <f>G134+G135+G136</f>
        <v>33.080000000001746</v>
      </c>
      <c r="J136" s="928">
        <f>H136/DAY(B2)</f>
        <v>7.601600000000035</v>
      </c>
      <c r="O136" s="930"/>
    </row>
    <row r="137" spans="1:16">
      <c r="A137" s="952" t="s">
        <v>246</v>
      </c>
      <c r="B137" s="953"/>
      <c r="C137" s="953"/>
      <c r="D137" s="923" t="s">
        <v>239</v>
      </c>
      <c r="E137" s="924">
        <f>'24'!F137</f>
        <v>25044.31</v>
      </c>
      <c r="F137" s="1075">
        <v>25044</v>
      </c>
      <c r="G137" s="925">
        <f t="shared" si="15"/>
        <v>-0.31000000000130967</v>
      </c>
      <c r="H137" s="926">
        <f>G137+'24'!H137</f>
        <v>15.43999999999869</v>
      </c>
      <c r="I137" s="945"/>
      <c r="J137" s="928">
        <f>H137/DAY(B2)</f>
        <v>0.61759999999994764</v>
      </c>
      <c r="O137" s="930"/>
    </row>
    <row r="138" spans="1:16">
      <c r="A138" s="952" t="s">
        <v>247</v>
      </c>
      <c r="B138" s="953"/>
      <c r="C138" s="953"/>
      <c r="D138" s="923" t="s">
        <v>239</v>
      </c>
      <c r="E138" s="924">
        <f>'24'!F138</f>
        <v>70132</v>
      </c>
      <c r="F138" s="1075">
        <v>70133</v>
      </c>
      <c r="G138" s="925">
        <f t="shared" si="15"/>
        <v>1</v>
      </c>
      <c r="H138" s="926">
        <f>G138+'24'!H138</f>
        <v>17.149999999994179</v>
      </c>
      <c r="I138" s="945">
        <f>G137+G138</f>
        <v>0.68999999999869033</v>
      </c>
      <c r="J138" s="928">
        <f>H138/DAY(B2)</f>
        <v>0.68599999999976713</v>
      </c>
      <c r="O138" s="930"/>
    </row>
    <row r="139" spans="1:16">
      <c r="A139" s="952" t="s">
        <v>248</v>
      </c>
      <c r="B139" s="953"/>
      <c r="C139" s="953"/>
      <c r="D139" s="923" t="s">
        <v>239</v>
      </c>
      <c r="E139" s="924">
        <f>'24'!F139</f>
        <v>1393.11</v>
      </c>
      <c r="F139" s="954">
        <v>1400.76</v>
      </c>
      <c r="G139" s="925">
        <f t="shared" si="15"/>
        <v>7.6500000000000909</v>
      </c>
      <c r="H139" s="926">
        <f>G139+'24'!H139</f>
        <v>200.17000000000007</v>
      </c>
      <c r="I139" s="1076"/>
      <c r="J139" s="928">
        <f>H139/DAY(B2)</f>
        <v>8.0068000000000037</v>
      </c>
      <c r="O139" s="930"/>
    </row>
    <row r="140" spans="1:16">
      <c r="A140" s="952" t="s">
        <v>249</v>
      </c>
      <c r="B140" s="953"/>
      <c r="C140" s="953"/>
      <c r="D140" s="923" t="s">
        <v>239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>
      <c r="A141" s="1573" t="s">
        <v>250</v>
      </c>
      <c r="B141" s="1574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>
      <c r="A142" s="1541" t="s">
        <v>251</v>
      </c>
      <c r="B142" s="1542"/>
      <c r="C142" s="1543"/>
      <c r="D142" s="923" t="s">
        <v>132</v>
      </c>
      <c r="E142" s="923"/>
      <c r="F142" s="923"/>
      <c r="G142" s="926">
        <f>G35+G43+G49+G57</f>
        <v>5468</v>
      </c>
      <c r="H142" s="926">
        <f>G142+'24'!H142</f>
        <v>126477.93</v>
      </c>
      <c r="I142" s="945"/>
      <c r="J142" s="928">
        <f>H142/DAY(B2)</f>
        <v>5059.1171999999997</v>
      </c>
      <c r="K142" s="1024"/>
      <c r="L142" s="903"/>
      <c r="O142" s="930"/>
    </row>
    <row r="143" spans="1:16">
      <c r="A143" s="1541" t="s">
        <v>252</v>
      </c>
      <c r="B143" s="1542"/>
      <c r="C143" s="1543"/>
      <c r="D143" s="923" t="s">
        <v>24</v>
      </c>
      <c r="E143" s="910"/>
      <c r="F143" s="910"/>
      <c r="G143" s="1077">
        <f>G142/G7</f>
        <v>0.26539824297432413</v>
      </c>
      <c r="H143" s="926">
        <f>G143+'24'!H143</f>
        <v>6.2262587168741934</v>
      </c>
      <c r="I143" s="1078"/>
      <c r="J143" s="928">
        <f>H143/DAY(B2)</f>
        <v>0.24905034867496773</v>
      </c>
      <c r="K143" s="1024"/>
      <c r="L143" s="903"/>
      <c r="O143" s="930"/>
    </row>
    <row r="144" spans="1:16">
      <c r="A144" s="1541" t="s">
        <v>253</v>
      </c>
      <c r="B144" s="1542"/>
      <c r="C144" s="1543"/>
      <c r="D144" s="923" t="s">
        <v>132</v>
      </c>
      <c r="E144" s="924"/>
      <c r="F144" s="924"/>
      <c r="G144" s="926">
        <f>G41+G42+G55+G56</f>
        <v>5048</v>
      </c>
      <c r="H144" s="926">
        <f>G144+'24'!H144</f>
        <v>110271.98999999996</v>
      </c>
      <c r="I144" s="945"/>
      <c r="J144" s="928">
        <f>H144/DAY(B2)</f>
        <v>4410.8795999999984</v>
      </c>
      <c r="K144" s="1024"/>
      <c r="L144" s="903"/>
      <c r="O144" s="930"/>
    </row>
    <row r="145" spans="1:15">
      <c r="A145" s="1541" t="s">
        <v>254</v>
      </c>
      <c r="B145" s="1542"/>
      <c r="C145" s="1543"/>
      <c r="D145" s="923" t="s">
        <v>24</v>
      </c>
      <c r="E145" s="924"/>
      <c r="F145" s="924"/>
      <c r="G145" s="1077">
        <f>G144/G7</f>
        <v>0.24501286220453333</v>
      </c>
      <c r="H145" s="926">
        <f>G145+'24'!H145</f>
        <v>5.5608174937230901</v>
      </c>
      <c r="I145" s="1078"/>
      <c r="J145" s="928">
        <f>H145/DAY(B2)</f>
        <v>0.2224326997489236</v>
      </c>
      <c r="K145" s="1024"/>
      <c r="L145" s="903"/>
      <c r="O145" s="930"/>
    </row>
    <row r="146" spans="1:15">
      <c r="A146" s="1541" t="s">
        <v>255</v>
      </c>
      <c r="B146" s="1542"/>
      <c r="C146" s="1543"/>
      <c r="D146" s="923" t="s">
        <v>132</v>
      </c>
      <c r="E146" s="924"/>
      <c r="F146" s="924"/>
      <c r="G146" s="926">
        <f>G39+G53</f>
        <v>4098</v>
      </c>
      <c r="H146" s="926">
        <f>G146+'24'!H146</f>
        <v>105483.72999999997</v>
      </c>
      <c r="I146" s="1079"/>
      <c r="J146" s="928">
        <f>H146/DAY(B2)</f>
        <v>4219.3491999999987</v>
      </c>
      <c r="K146" s="1024"/>
      <c r="L146" s="903"/>
      <c r="O146" s="930"/>
    </row>
    <row r="147" spans="1:15">
      <c r="A147" s="1541" t="s">
        <v>256</v>
      </c>
      <c r="B147" s="1542"/>
      <c r="C147" s="1543"/>
      <c r="D147" s="923" t="s">
        <v>24</v>
      </c>
      <c r="E147" s="924"/>
      <c r="F147" s="924"/>
      <c r="G147" s="1077">
        <f>G146/G7</f>
        <v>0.19890307236810173</v>
      </c>
      <c r="H147" s="926">
        <f>G147+'24'!H147</f>
        <v>5.3654366482206752</v>
      </c>
      <c r="I147" s="1079"/>
      <c r="J147" s="928">
        <f>H147/DAY(B2)</f>
        <v>0.21461746592882702</v>
      </c>
      <c r="O147" s="930"/>
    </row>
    <row r="148" spans="1:15">
      <c r="A148" s="1541" t="s">
        <v>257</v>
      </c>
      <c r="B148" s="1542"/>
      <c r="C148" s="1543"/>
      <c r="D148" s="923" t="s">
        <v>183</v>
      </c>
      <c r="E148" s="924"/>
      <c r="F148" s="924"/>
      <c r="G148" s="926">
        <f>G38+G52</f>
        <v>1987</v>
      </c>
      <c r="H148" s="926">
        <f>G148+'24'!H148</f>
        <v>51334.450000000012</v>
      </c>
      <c r="I148" s="945"/>
      <c r="J148" s="928">
        <f>H148/DAY(B2)</f>
        <v>2053.3780000000006</v>
      </c>
      <c r="K148" s="1080"/>
      <c r="O148" s="930"/>
    </row>
    <row r="149" spans="1:15">
      <c r="A149" s="1541" t="s">
        <v>258</v>
      </c>
      <c r="B149" s="1542"/>
      <c r="C149" s="1543"/>
      <c r="D149" s="923" t="s">
        <v>24</v>
      </c>
      <c r="E149" s="924"/>
      <c r="F149" s="924"/>
      <c r="G149" s="1077">
        <f>G148/G7</f>
        <v>9.6442265689462695E-2</v>
      </c>
      <c r="H149" s="926">
        <f>G149+'24'!H149</f>
        <v>2.6058351726397544</v>
      </c>
      <c r="I149" s="1079"/>
      <c r="J149" s="928">
        <f>H149/DAY(B2)</f>
        <v>0.10423340690559017</v>
      </c>
      <c r="O149" s="930"/>
    </row>
    <row r="150" spans="1:15">
      <c r="A150" s="1541" t="s">
        <v>259</v>
      </c>
      <c r="B150" s="1542"/>
      <c r="C150" s="1543"/>
      <c r="D150" s="923" t="s">
        <v>183</v>
      </c>
      <c r="E150" s="924"/>
      <c r="F150" s="924"/>
      <c r="G150" s="926">
        <f>G36+G50</f>
        <v>1943</v>
      </c>
      <c r="H150" s="926">
        <f>G150+'24'!H150</f>
        <v>48945.239999999991</v>
      </c>
      <c r="I150" s="1079"/>
      <c r="J150" s="928">
        <f>H150/DAY(B2)</f>
        <v>1957.8095999999996</v>
      </c>
      <c r="O150" s="930"/>
    </row>
    <row r="151" spans="1:15">
      <c r="A151" s="1541" t="s">
        <v>260</v>
      </c>
      <c r="B151" s="1542"/>
      <c r="C151" s="1543"/>
      <c r="D151" s="923" t="s">
        <v>24</v>
      </c>
      <c r="E151" s="924"/>
      <c r="F151" s="924"/>
      <c r="G151" s="1077">
        <f>G150/G7</f>
        <v>9.4306654370722706E-2</v>
      </c>
      <c r="H151" s="926">
        <f>G151+'24'!H151</f>
        <v>2.4668844067043381</v>
      </c>
      <c r="I151" s="945"/>
      <c r="J151" s="928">
        <f>H151/DAY(B2)</f>
        <v>9.867537626817352E-2</v>
      </c>
      <c r="O151" s="930"/>
    </row>
    <row r="152" spans="1:15">
      <c r="A152" s="1541" t="s">
        <v>261</v>
      </c>
      <c r="B152" s="1542"/>
      <c r="C152" s="1543"/>
      <c r="D152" s="923" t="s">
        <v>183</v>
      </c>
      <c r="E152" s="924"/>
      <c r="F152" s="924"/>
      <c r="G152" s="926">
        <f>G37+G51</f>
        <v>1492</v>
      </c>
      <c r="H152" s="926">
        <f>G152+'24'!H152</f>
        <v>37616.259999999995</v>
      </c>
      <c r="I152" s="945"/>
      <c r="J152" s="928">
        <f>H152/DAY(B2)</f>
        <v>1504.6503999999998</v>
      </c>
      <c r="O152" s="930"/>
    </row>
    <row r="153" spans="1:15" ht="21" thickBot="1">
      <c r="A153" s="1584" t="s">
        <v>262</v>
      </c>
      <c r="B153" s="1585"/>
      <c r="C153" s="1586"/>
      <c r="D153" s="1081" t="s">
        <v>24</v>
      </c>
      <c r="E153" s="1082"/>
      <c r="F153" s="1082"/>
      <c r="G153" s="1083">
        <f>G152/G7</f>
        <v>7.2416638353637819E-2</v>
      </c>
      <c r="H153" s="926">
        <f>G153+'24'!H153</f>
        <v>1.9177763584581533</v>
      </c>
      <c r="I153" s="1084"/>
      <c r="J153" s="1085">
        <f>H153/DAY(B2)</f>
        <v>7.6711054338326132E-2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263</v>
      </c>
      <c r="B160" s="1076"/>
      <c r="C160" s="1076"/>
      <c r="D160" s="910" t="s">
        <v>187</v>
      </c>
      <c r="E160" s="924">
        <f>'24'!F160</f>
        <v>30456.28</v>
      </c>
      <c r="F160" s="1101">
        <v>30541</v>
      </c>
      <c r="G160" s="925">
        <f t="shared" ref="G160:G163" si="16">F160-E160</f>
        <v>84.720000000001164</v>
      </c>
    </row>
    <row r="161" spans="1:7" ht="21.75" customHeight="1">
      <c r="A161" s="1076" t="s">
        <v>264</v>
      </c>
      <c r="B161" s="1076"/>
      <c r="C161" s="1076"/>
      <c r="D161" s="910" t="s">
        <v>187</v>
      </c>
      <c r="E161" s="924">
        <f>'24'!F161</f>
        <v>53331</v>
      </c>
      <c r="F161" s="1101">
        <v>53792.22</v>
      </c>
      <c r="G161" s="925">
        <f t="shared" si="16"/>
        <v>461.22000000000116</v>
      </c>
    </row>
    <row r="162" spans="1:7" ht="21.75" customHeight="1">
      <c r="A162" s="1076" t="s">
        <v>265</v>
      </c>
      <c r="B162" s="1076"/>
      <c r="C162" s="1076"/>
      <c r="D162" s="910" t="s">
        <v>187</v>
      </c>
      <c r="E162" s="924">
        <f>'24'!F162</f>
        <v>19463</v>
      </c>
      <c r="F162" s="1101">
        <v>19739</v>
      </c>
      <c r="G162" s="925">
        <f t="shared" si="16"/>
        <v>276</v>
      </c>
    </row>
    <row r="163" spans="1:7" ht="21.75" customHeight="1">
      <c r="A163" s="1076" t="s">
        <v>266</v>
      </c>
      <c r="B163" s="1076"/>
      <c r="C163" s="1076"/>
      <c r="D163" s="910" t="s">
        <v>187</v>
      </c>
      <c r="E163" s="924">
        <f>'24'!F163</f>
        <v>5339</v>
      </c>
      <c r="F163" s="1101">
        <v>5354</v>
      </c>
      <c r="G163" s="925">
        <f t="shared" si="16"/>
        <v>15</v>
      </c>
    </row>
    <row r="164" spans="1:7" ht="21.75" customHeight="1">
      <c r="A164" s="1006" t="s">
        <v>98</v>
      </c>
      <c r="B164" s="1006"/>
      <c r="C164" s="1006"/>
      <c r="D164" s="910" t="s">
        <v>187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188</v>
      </c>
      <c r="B165" s="1006"/>
      <c r="C165" s="1006"/>
      <c r="D165" s="910" t="s">
        <v>187</v>
      </c>
      <c r="E165" s="1007">
        <f t="shared" ref="E165:E171" si="18">E63</f>
        <v>1649</v>
      </c>
      <c r="F165" s="1007">
        <f t="shared" ref="F165:F171" si="19">F63</f>
        <v>1663</v>
      </c>
      <c r="G165" s="925">
        <f t="shared" si="17"/>
        <v>14</v>
      </c>
    </row>
    <row r="166" spans="1:7" ht="21.75" customHeight="1">
      <c r="A166" s="1593" t="s">
        <v>99</v>
      </c>
      <c r="B166" s="1593"/>
      <c r="C166" s="1593"/>
      <c r="D166" s="923" t="s">
        <v>187</v>
      </c>
      <c r="E166" s="1007">
        <f t="shared" si="18"/>
        <v>121561</v>
      </c>
      <c r="F166" s="1007">
        <f t="shared" si="19"/>
        <v>122093</v>
      </c>
      <c r="G166" s="925">
        <f t="shared" si="17"/>
        <v>532</v>
      </c>
    </row>
    <row r="167" spans="1:7" ht="21.75" customHeight="1">
      <c r="A167" s="1593" t="s">
        <v>100</v>
      </c>
      <c r="B167" s="1593"/>
      <c r="C167" s="1593"/>
      <c r="D167" s="923" t="s">
        <v>187</v>
      </c>
      <c r="E167" s="1007">
        <f t="shared" si="18"/>
        <v>131000</v>
      </c>
      <c r="F167" s="1007">
        <f t="shared" si="19"/>
        <v>131392</v>
      </c>
      <c r="G167" s="925">
        <f t="shared" si="17"/>
        <v>392</v>
      </c>
    </row>
    <row r="168" spans="1:7" ht="21.75" customHeight="1">
      <c r="A168" s="1593" t="s">
        <v>101</v>
      </c>
      <c r="B168" s="1593"/>
      <c r="C168" s="1593"/>
      <c r="D168" s="923" t="s">
        <v>187</v>
      </c>
      <c r="E168" s="1007">
        <f t="shared" si="18"/>
        <v>23585</v>
      </c>
      <c r="F168" s="1007">
        <f t="shared" si="19"/>
        <v>23979</v>
      </c>
      <c r="G168" s="925">
        <f t="shared" si="17"/>
        <v>394</v>
      </c>
    </row>
    <row r="169" spans="1:7">
      <c r="A169" s="1593" t="s">
        <v>102</v>
      </c>
      <c r="B169" s="1593"/>
      <c r="C169" s="1593"/>
      <c r="D169" s="923" t="s">
        <v>187</v>
      </c>
      <c r="E169" s="1007">
        <f t="shared" si="18"/>
        <v>205231</v>
      </c>
      <c r="F169" s="1007">
        <f t="shared" si="19"/>
        <v>205830</v>
      </c>
      <c r="G169" s="925">
        <f t="shared" si="17"/>
        <v>599</v>
      </c>
    </row>
    <row r="170" spans="1:7" ht="24" customHeight="1">
      <c r="A170" s="1593" t="s">
        <v>103</v>
      </c>
      <c r="B170" s="1593"/>
      <c r="C170" s="1593"/>
      <c r="D170" s="923" t="s">
        <v>187</v>
      </c>
      <c r="E170" s="1007">
        <f t="shared" si="18"/>
        <v>71374</v>
      </c>
      <c r="F170" s="1007">
        <f t="shared" si="19"/>
        <v>71669</v>
      </c>
      <c r="G170" s="925">
        <f t="shared" si="17"/>
        <v>295</v>
      </c>
    </row>
    <row r="171" spans="1:7">
      <c r="A171" s="1593" t="s">
        <v>104</v>
      </c>
      <c r="B171" s="1593"/>
      <c r="C171" s="1593"/>
      <c r="D171" s="923" t="s">
        <v>187</v>
      </c>
      <c r="E171" s="1007">
        <f t="shared" si="18"/>
        <v>63135</v>
      </c>
      <c r="F171" s="1007">
        <f t="shared" si="19"/>
        <v>63459</v>
      </c>
      <c r="G171" s="925">
        <f t="shared" si="17"/>
        <v>324</v>
      </c>
    </row>
    <row r="172" spans="1:7">
      <c r="G172" s="1091">
        <f>SUM(G160:G171)</f>
        <v>3386.9400000000023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7" zoomScale="70" zoomScaleSheetLayoutView="70" workbookViewId="0">
      <selection activeCell="G104" sqref="G104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>
      <c r="A1" s="1553" t="s">
        <v>117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ht="30.75" customHeight="1">
      <c r="A2" s="891" t="s">
        <v>319</v>
      </c>
      <c r="B2" s="1164">
        <v>43887</v>
      </c>
      <c r="C2" s="892" t="s">
        <v>69</v>
      </c>
      <c r="D2" s="1106">
        <v>0.54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 ht="20.100000000000001" customHeight="1">
      <c r="A3" s="896"/>
      <c r="B3" s="897"/>
      <c r="C3" s="892" t="s">
        <v>120</v>
      </c>
      <c r="D3" s="892">
        <v>28</v>
      </c>
      <c r="E3" s="1556" t="s">
        <v>121</v>
      </c>
      <c r="F3" s="1557"/>
      <c r="G3" s="899"/>
      <c r="H3" s="900"/>
      <c r="I3" s="900"/>
      <c r="J3" s="901"/>
      <c r="K3" s="902"/>
      <c r="L3" s="903"/>
    </row>
    <row r="4" spans="1:15" ht="20.100000000000001" customHeight="1">
      <c r="A4" s="904"/>
      <c r="B4" s="905"/>
      <c r="C4" s="892" t="s">
        <v>122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 ht="20.100000000000001" customHeight="1">
      <c r="A6" s="1550" t="s">
        <v>130</v>
      </c>
      <c r="B6" s="1551"/>
      <c r="C6" s="1552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>
      <c r="A7" s="921" t="s">
        <v>131</v>
      </c>
      <c r="B7" s="922"/>
      <c r="C7" s="922"/>
      <c r="D7" s="923" t="s">
        <v>132</v>
      </c>
      <c r="E7" s="924">
        <f>'25'!F7</f>
        <v>4382380</v>
      </c>
      <c r="F7" s="924">
        <v>4402658</v>
      </c>
      <c r="G7" s="925">
        <f>F7-E7</f>
        <v>20278</v>
      </c>
      <c r="H7" s="926">
        <f>G7+'25'!H7</f>
        <v>514460</v>
      </c>
      <c r="I7" s="927">
        <f>'1'!I7</f>
        <v>12000</v>
      </c>
      <c r="J7" s="928">
        <f>H7/DAY(B2)</f>
        <v>19786.923076923078</v>
      </c>
      <c r="K7" s="929"/>
      <c r="L7" s="903"/>
      <c r="N7" s="1104"/>
      <c r="O7" s="930"/>
    </row>
    <row r="8" spans="1:15" ht="20.100000000000001" customHeight="1" thickBot="1">
      <c r="A8" s="931" t="s">
        <v>133</v>
      </c>
      <c r="B8" s="932"/>
      <c r="C8" s="933"/>
      <c r="D8" s="934" t="s">
        <v>25</v>
      </c>
      <c r="E8" s="924">
        <f>'25'!F8</f>
        <v>4410135</v>
      </c>
      <c r="F8" s="935">
        <v>4430516</v>
      </c>
      <c r="G8" s="936">
        <f>F8-E8</f>
        <v>20381</v>
      </c>
      <c r="H8" s="926">
        <f>G8+'25'!H8</f>
        <v>517665</v>
      </c>
      <c r="I8" s="937">
        <f>'1'!I8</f>
        <v>12000</v>
      </c>
      <c r="J8" s="928">
        <f>H8/DAY(B2)</f>
        <v>19910.192307692309</v>
      </c>
      <c r="K8" s="929"/>
      <c r="L8" s="938"/>
      <c r="M8" s="939"/>
      <c r="O8" s="930"/>
    </row>
    <row r="9" spans="1:15" ht="20.100000000000001" customHeight="1">
      <c r="A9" s="940" t="s">
        <v>134</v>
      </c>
      <c r="B9" s="941"/>
      <c r="C9" s="941"/>
      <c r="D9" s="923" t="s">
        <v>132</v>
      </c>
      <c r="E9" s="924">
        <f>'25'!F9</f>
        <v>44987</v>
      </c>
      <c r="F9" s="942">
        <v>58614</v>
      </c>
      <c r="G9" s="925">
        <f>F9-E9</f>
        <v>13627</v>
      </c>
      <c r="H9" s="926">
        <f>G9+'25'!H9</f>
        <v>295153.25</v>
      </c>
      <c r="I9" s="943">
        <f>I8-J8</f>
        <v>-7910.1923076923085</v>
      </c>
      <c r="J9" s="928">
        <f>H9/DAY(B2)</f>
        <v>11352.048076923076</v>
      </c>
      <c r="K9" s="944"/>
      <c r="L9" s="903"/>
      <c r="O9" s="930"/>
    </row>
    <row r="10" spans="1:15" ht="20.100000000000001" customHeight="1">
      <c r="A10" s="921" t="s">
        <v>135</v>
      </c>
      <c r="B10" s="922"/>
      <c r="C10" s="922"/>
      <c r="D10" s="923" t="s">
        <v>132</v>
      </c>
      <c r="E10" s="924">
        <f>'25'!F10</f>
        <v>6733</v>
      </c>
      <c r="F10" s="942">
        <v>12787</v>
      </c>
      <c r="G10" s="925">
        <f t="shared" ref="G10:G12" si="0">F10-E10</f>
        <v>6054</v>
      </c>
      <c r="H10" s="926">
        <f>G10+'25'!H10</f>
        <v>202084.60000000009</v>
      </c>
      <c r="I10" s="945"/>
      <c r="J10" s="928">
        <f>H10/DAY(B2)</f>
        <v>7772.4846153846192</v>
      </c>
      <c r="K10" s="944"/>
      <c r="L10" s="903"/>
      <c r="O10" s="930"/>
    </row>
    <row r="11" spans="1:15" ht="20.100000000000001" customHeight="1">
      <c r="A11" s="921" t="s">
        <v>136</v>
      </c>
      <c r="B11" s="922"/>
      <c r="C11" s="922"/>
      <c r="D11" s="923" t="s">
        <v>132</v>
      </c>
      <c r="E11" s="924">
        <f>'25'!F11</f>
        <v>37000</v>
      </c>
      <c r="F11" s="924">
        <v>37000</v>
      </c>
      <c r="G11" s="925">
        <f t="shared" si="0"/>
        <v>0</v>
      </c>
      <c r="H11" s="926">
        <f>G11+'25'!H11</f>
        <v>1610</v>
      </c>
      <c r="I11" s="945"/>
      <c r="J11" s="928">
        <f>H11/DAY(B2)</f>
        <v>61.92307692307692</v>
      </c>
      <c r="K11" s="944"/>
      <c r="L11" s="903">
        <v>1375467</v>
      </c>
      <c r="N11" s="1105"/>
      <c r="O11" s="930"/>
    </row>
    <row r="12" spans="1:15" ht="20.100000000000001" customHeight="1">
      <c r="A12" s="921" t="s">
        <v>137</v>
      </c>
      <c r="B12" s="922"/>
      <c r="C12" s="922"/>
      <c r="D12" s="923" t="s">
        <v>132</v>
      </c>
      <c r="E12" s="924">
        <f>'25'!F12</f>
        <v>40010</v>
      </c>
      <c r="F12" s="942">
        <v>40010</v>
      </c>
      <c r="G12" s="925">
        <f t="shared" si="0"/>
        <v>0</v>
      </c>
      <c r="H12" s="926">
        <f>G12+'25'!H12</f>
        <v>2380</v>
      </c>
      <c r="I12" s="945"/>
      <c r="J12" s="928">
        <f>H12/DAY(B2)</f>
        <v>91.538461538461533</v>
      </c>
      <c r="K12" s="944"/>
      <c r="L12" s="903"/>
      <c r="O12" s="930"/>
    </row>
    <row r="13" spans="1:15" ht="20.100000000000001" customHeight="1">
      <c r="A13" s="946" t="s">
        <v>138</v>
      </c>
      <c r="B13" s="947"/>
      <c r="C13" s="947"/>
      <c r="D13" s="923"/>
      <c r="E13" s="924"/>
      <c r="F13" s="924"/>
      <c r="G13" s="948">
        <f>G9+G10+G11+G12</f>
        <v>19681</v>
      </c>
      <c r="H13" s="926">
        <f>G13+'25'!H13</f>
        <v>482921.85000000009</v>
      </c>
      <c r="I13" s="949">
        <f>G7-G13</f>
        <v>597</v>
      </c>
      <c r="J13" s="928">
        <f>H13/DAY(B2)</f>
        <v>18573.917307692311</v>
      </c>
      <c r="K13" s="944"/>
      <c r="L13" s="903"/>
      <c r="O13" s="930"/>
    </row>
    <row r="14" spans="1:15" ht="28.5" customHeight="1">
      <c r="A14" s="1544" t="s">
        <v>139</v>
      </c>
      <c r="B14" s="1545"/>
      <c r="C14" s="1546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>
      <c r="A15" s="952" t="s">
        <v>140</v>
      </c>
      <c r="B15" s="953"/>
      <c r="C15" s="953"/>
      <c r="D15" s="923" t="s">
        <v>141</v>
      </c>
      <c r="E15" s="924">
        <f>'25'!F15</f>
        <v>1617018.55</v>
      </c>
      <c r="F15" s="954">
        <v>1617857</v>
      </c>
      <c r="G15" s="1102">
        <f>(F15-E15)</f>
        <v>838.44999999995343</v>
      </c>
      <c r="H15" s="926">
        <f>G15+'25'!H15</f>
        <v>23419.850000000093</v>
      </c>
      <c r="I15" s="927">
        <f>'1'!I15</f>
        <v>800</v>
      </c>
      <c r="J15" s="928">
        <f>H15/DAY(B2)</f>
        <v>900.76346153846509</v>
      </c>
      <c r="K15" s="944"/>
      <c r="L15" s="903"/>
      <c r="O15" s="930"/>
    </row>
    <row r="16" spans="1:15" ht="20.100000000000001" customHeight="1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-100.76346153846509</v>
      </c>
      <c r="J16" s="961"/>
      <c r="K16" s="944"/>
      <c r="L16" s="903">
        <f>L14-L11</f>
        <v>303877</v>
      </c>
      <c r="O16" s="930"/>
    </row>
    <row r="17" spans="1:15" ht="20.100000000000001" customHeight="1">
      <c r="A17" s="1544" t="s">
        <v>142</v>
      </c>
      <c r="B17" s="1545"/>
      <c r="C17" s="1546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>
      <c r="A18" s="1541" t="s">
        <v>143</v>
      </c>
      <c r="B18" s="1542"/>
      <c r="C18" s="1543"/>
      <c r="D18" s="923" t="s">
        <v>144</v>
      </c>
      <c r="E18" s="924">
        <f>'25'!F18</f>
        <v>14</v>
      </c>
      <c r="F18" s="954">
        <v>12</v>
      </c>
      <c r="G18" s="948">
        <f>F18*10</f>
        <v>120</v>
      </c>
      <c r="H18" s="926">
        <f>G18+'25'!H18</f>
        <v>4150</v>
      </c>
      <c r="I18" s="927">
        <f>'1'!I18</f>
        <v>65</v>
      </c>
      <c r="J18" s="928">
        <f>H18/DAY(B2)</f>
        <v>159.61538461538461</v>
      </c>
      <c r="K18" s="944"/>
      <c r="L18" s="903"/>
      <c r="O18" s="930"/>
    </row>
    <row r="19" spans="1:15" ht="20.100000000000001" customHeight="1">
      <c r="A19" s="1541" t="s">
        <v>71</v>
      </c>
      <c r="B19" s="1542"/>
      <c r="C19" s="1543"/>
      <c r="D19" s="923" t="s">
        <v>144</v>
      </c>
      <c r="E19" s="924">
        <f>'25'!F19</f>
        <v>134311</v>
      </c>
      <c r="F19" s="954">
        <v>134362</v>
      </c>
      <c r="G19" s="925">
        <f t="shared" ref="G19" si="1">F19-E19</f>
        <v>51</v>
      </c>
      <c r="H19" s="926">
        <f>G19+'25'!H19</f>
        <v>1314</v>
      </c>
      <c r="I19" s="963"/>
      <c r="J19" s="928">
        <f>H19/DAY(B2)</f>
        <v>50.53846153846154</v>
      </c>
      <c r="K19" s="944"/>
      <c r="L19" s="903">
        <f>L16/26</f>
        <v>11687.576923076924</v>
      </c>
      <c r="O19" s="930"/>
    </row>
    <row r="20" spans="1:15" ht="20.100000000000001" customHeight="1">
      <c r="A20" s="946" t="s">
        <v>145</v>
      </c>
      <c r="B20" s="947"/>
      <c r="C20" s="947"/>
      <c r="D20" s="964"/>
      <c r="E20" s="964"/>
      <c r="F20" s="964"/>
      <c r="G20" s="965">
        <f>G18+G19</f>
        <v>171</v>
      </c>
      <c r="H20" s="926">
        <f>G20+'25'!H20</f>
        <v>5464</v>
      </c>
      <c r="I20" s="966">
        <f>I18-J20</f>
        <v>-145.15384615384616</v>
      </c>
      <c r="J20" s="928">
        <f>H20/DAY(B2)</f>
        <v>210.15384615384616</v>
      </c>
      <c r="K20" s="944"/>
      <c r="L20" s="903"/>
      <c r="O20" s="930"/>
    </row>
    <row r="21" spans="1:15" ht="20.100000000000001" customHeight="1">
      <c r="A21" s="1544" t="s">
        <v>146</v>
      </c>
      <c r="B21" s="1545"/>
      <c r="C21" s="1546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>
      <c r="A22" s="952" t="s">
        <v>147</v>
      </c>
      <c r="B22" s="953"/>
      <c r="C22" s="953"/>
      <c r="D22" s="923" t="s">
        <v>148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>
      <c r="A23" s="952" t="s">
        <v>149</v>
      </c>
      <c r="B23" s="953"/>
      <c r="C23" s="953"/>
      <c r="D23" s="923" t="s">
        <v>148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>
      <c r="A24" s="967" t="s">
        <v>150</v>
      </c>
      <c r="B24" s="968"/>
      <c r="C24" s="968"/>
      <c r="D24" s="910" t="s">
        <v>148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>
      <c r="A25" s="1550" t="s">
        <v>151</v>
      </c>
      <c r="B25" s="1551"/>
      <c r="C25" s="1552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>
      <c r="A27" s="976" t="s">
        <v>6</v>
      </c>
      <c r="B27" s="977"/>
      <c r="C27" s="978"/>
      <c r="D27" s="983" t="s">
        <v>25</v>
      </c>
      <c r="E27" s="984">
        <f>G8</f>
        <v>20381</v>
      </c>
      <c r="F27" s="577">
        <v>9</v>
      </c>
      <c r="G27" s="986">
        <f>E27*F27</f>
        <v>183429</v>
      </c>
      <c r="H27" s="926">
        <f>G27+'25'!H27</f>
        <v>4658985</v>
      </c>
      <c r="I27" s="987"/>
      <c r="J27" s="928">
        <f>H27/DAY(B2)</f>
        <v>179191.73076923078</v>
      </c>
      <c r="K27" s="944"/>
      <c r="L27" s="974"/>
      <c r="N27" s="1093"/>
      <c r="O27" s="930"/>
    </row>
    <row r="28" spans="1:15" s="975" customFormat="1" ht="18.75" customHeight="1">
      <c r="A28" s="976" t="s">
        <v>154</v>
      </c>
      <c r="B28" s="977"/>
      <c r="C28" s="978"/>
      <c r="D28" s="983" t="s">
        <v>155</v>
      </c>
      <c r="E28" s="984">
        <f>G15</f>
        <v>838.44999999995343</v>
      </c>
      <c r="F28" s="577">
        <v>43.5</v>
      </c>
      <c r="G28" s="986">
        <f>E28*F28</f>
        <v>36472.574999997974</v>
      </c>
      <c r="H28" s="926">
        <f>G28+'25'!H28</f>
        <v>1018763.4750000041</v>
      </c>
      <c r="I28" s="988"/>
      <c r="J28" s="928">
        <f>H28/DAY(B2)</f>
        <v>39183.210576923229</v>
      </c>
      <c r="K28" s="944"/>
      <c r="L28" s="974"/>
      <c r="N28" s="1093"/>
      <c r="O28" s="930"/>
    </row>
    <row r="29" spans="1:15" s="975" customFormat="1" ht="18.75" customHeight="1">
      <c r="A29" s="976" t="s">
        <v>156</v>
      </c>
      <c r="B29" s="977"/>
      <c r="C29" s="978"/>
      <c r="D29" s="983" t="s">
        <v>157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G30+'25'!H30</f>
        <v>176076</v>
      </c>
      <c r="I30" s="988"/>
      <c r="J30" s="928">
        <f>H30/DAY(B2)</f>
        <v>6772.1538461538457</v>
      </c>
      <c r="K30" s="944"/>
      <c r="L30" s="974"/>
      <c r="N30" s="1093"/>
      <c r="O30" s="930"/>
    </row>
    <row r="31" spans="1:15" s="975" customFormat="1" ht="18.75" customHeight="1">
      <c r="A31" s="976" t="s">
        <v>160</v>
      </c>
      <c r="B31" s="977"/>
      <c r="C31" s="978"/>
      <c r="D31" s="983" t="s">
        <v>144</v>
      </c>
      <c r="E31" s="984">
        <f>G18</f>
        <v>120</v>
      </c>
      <c r="F31" s="985">
        <v>80</v>
      </c>
      <c r="G31" s="986">
        <f>E31*F31</f>
        <v>9600</v>
      </c>
      <c r="H31" s="926">
        <f>G31+'25'!H31</f>
        <v>332000</v>
      </c>
      <c r="I31" s="988"/>
      <c r="J31" s="928"/>
      <c r="K31" s="944"/>
      <c r="L31" s="974"/>
      <c r="N31" s="1093"/>
      <c r="O31" s="930"/>
    </row>
    <row r="32" spans="1:15" s="975" customFormat="1" ht="18.75" customHeight="1">
      <c r="A32" s="989" t="s">
        <v>161</v>
      </c>
      <c r="B32" s="990"/>
      <c r="C32" s="991"/>
      <c r="D32" s="992"/>
      <c r="E32" s="992"/>
      <c r="F32" s="992"/>
      <c r="G32" s="993">
        <f>G27+G28+G29+G30+G31</f>
        <v>236335.57499999797</v>
      </c>
      <c r="H32" s="926">
        <f>G32+'25'!H32</f>
        <v>6347974.4750000043</v>
      </c>
      <c r="I32" s="994"/>
      <c r="J32" s="928">
        <f>H32/DAY(B2)</f>
        <v>244152.86442307709</v>
      </c>
      <c r="K32" s="944"/>
      <c r="L32" s="974"/>
      <c r="N32" s="1093"/>
      <c r="O32" s="930"/>
    </row>
    <row r="33" spans="1:15" ht="20.100000000000001" customHeight="1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944"/>
      <c r="L33" s="903"/>
      <c r="O33" s="930"/>
    </row>
    <row r="34" spans="1:15" ht="20.100000000000001" customHeight="1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>
      <c r="A35" s="921" t="s">
        <v>164</v>
      </c>
      <c r="B35" s="922"/>
      <c r="C35" s="922"/>
      <c r="D35" s="923" t="s">
        <v>132</v>
      </c>
      <c r="E35" s="924">
        <f>'25'!F35</f>
        <v>683535</v>
      </c>
      <c r="F35" s="997">
        <v>686650</v>
      </c>
      <c r="G35" s="925">
        <f t="shared" ref="G35:G46" si="3">F35-E35</f>
        <v>3115</v>
      </c>
      <c r="H35" s="926">
        <f>G35+'25'!H35</f>
        <v>57622.329999999958</v>
      </c>
      <c r="I35" s="924"/>
      <c r="J35" s="928">
        <f>H35/DAY(B2)</f>
        <v>2216.24346153846</v>
      </c>
      <c r="K35" s="944"/>
      <c r="L35" s="903"/>
      <c r="O35" s="930"/>
    </row>
    <row r="36" spans="1:15" ht="20.100000000000001" customHeight="1">
      <c r="A36" s="921" t="s">
        <v>165</v>
      </c>
      <c r="B36" s="922"/>
      <c r="C36" s="922"/>
      <c r="D36" s="923" t="s">
        <v>132</v>
      </c>
      <c r="E36" s="924">
        <f>'25'!F36</f>
        <v>294659</v>
      </c>
      <c r="F36" s="997">
        <v>295269</v>
      </c>
      <c r="G36" s="925">
        <f t="shared" si="3"/>
        <v>610</v>
      </c>
      <c r="H36" s="926">
        <f>G36+'25'!H36</f>
        <v>18777.549999999988</v>
      </c>
      <c r="I36" s="924"/>
      <c r="J36" s="928">
        <f>H36/DAY(B2)</f>
        <v>722.21346153846105</v>
      </c>
      <c r="K36" s="944"/>
      <c r="L36" s="903"/>
      <c r="O36" s="930"/>
    </row>
    <row r="37" spans="1:15" ht="20.100000000000001" customHeight="1">
      <c r="A37" s="921" t="s">
        <v>166</v>
      </c>
      <c r="B37" s="922"/>
      <c r="C37" s="922"/>
      <c r="D37" s="923" t="s">
        <v>132</v>
      </c>
      <c r="E37" s="924">
        <f>'25'!F37</f>
        <v>27665</v>
      </c>
      <c r="F37" s="997">
        <v>29086</v>
      </c>
      <c r="G37" s="925">
        <f t="shared" si="3"/>
        <v>1421</v>
      </c>
      <c r="H37" s="926">
        <f>G37+'25'!H37</f>
        <v>29086</v>
      </c>
      <c r="I37" s="924"/>
      <c r="J37" s="928">
        <f>H37/DAY(B2)</f>
        <v>1118.6923076923076</v>
      </c>
      <c r="K37" s="944"/>
      <c r="L37" s="903"/>
      <c r="O37" s="930"/>
    </row>
    <row r="38" spans="1:15" ht="20.100000000000001" customHeight="1">
      <c r="A38" s="921" t="s">
        <v>167</v>
      </c>
      <c r="B38" s="922"/>
      <c r="C38" s="922"/>
      <c r="D38" s="923" t="s">
        <v>132</v>
      </c>
      <c r="E38" s="924">
        <f>'25'!F38</f>
        <v>37328</v>
      </c>
      <c r="F38" s="913">
        <v>39316</v>
      </c>
      <c r="G38" s="925">
        <f t="shared" si="3"/>
        <v>1988</v>
      </c>
      <c r="H38" s="926">
        <f>G38+'25'!H38</f>
        <v>39218.120000000003</v>
      </c>
      <c r="I38" s="924"/>
      <c r="J38" s="928">
        <f>H38/DAY(B2)</f>
        <v>1508.3892307692308</v>
      </c>
      <c r="K38" s="944"/>
      <c r="L38" s="903"/>
      <c r="O38" s="930"/>
    </row>
    <row r="39" spans="1:15" ht="20.100000000000001" customHeight="1">
      <c r="A39" s="921" t="s">
        <v>168</v>
      </c>
      <c r="B39" s="922"/>
      <c r="C39" s="922"/>
      <c r="D39" s="923" t="s">
        <v>132</v>
      </c>
      <c r="E39" s="924">
        <f>'25'!F39</f>
        <v>77927</v>
      </c>
      <c r="F39" s="997">
        <v>82129</v>
      </c>
      <c r="G39" s="925">
        <f t="shared" si="3"/>
        <v>4202</v>
      </c>
      <c r="H39" s="926">
        <f>G39+'25'!H39</f>
        <v>82129</v>
      </c>
      <c r="I39" s="924"/>
      <c r="J39" s="928">
        <f>H39/DAY(B2)</f>
        <v>3158.8076923076924</v>
      </c>
      <c r="K39" s="944"/>
      <c r="L39" s="903"/>
      <c r="O39" s="930"/>
    </row>
    <row r="40" spans="1:15" ht="20.100000000000001" customHeight="1">
      <c r="A40" s="998" t="s">
        <v>169</v>
      </c>
      <c r="B40" s="999"/>
      <c r="C40" s="999"/>
      <c r="D40" s="923" t="s">
        <v>132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>
      <c r="A41" s="921" t="s">
        <v>170</v>
      </c>
      <c r="B41" s="922"/>
      <c r="C41" s="922"/>
      <c r="D41" s="923" t="s">
        <v>132</v>
      </c>
      <c r="E41" s="924">
        <f>'25'!F41</f>
        <v>63882</v>
      </c>
      <c r="F41" s="997">
        <v>63882</v>
      </c>
      <c r="G41" s="925">
        <f t="shared" si="3"/>
        <v>0</v>
      </c>
      <c r="H41" s="926">
        <f>G41+'25'!H41</f>
        <v>19259.480000000003</v>
      </c>
      <c r="I41" s="924"/>
      <c r="J41" s="928">
        <f>H41/DAY(B2)</f>
        <v>740.74923076923085</v>
      </c>
      <c r="K41" s="944"/>
      <c r="L41" s="903"/>
      <c r="O41" s="930"/>
    </row>
    <row r="42" spans="1:15" ht="20.100000000000001" customHeight="1">
      <c r="A42" s="921" t="s">
        <v>171</v>
      </c>
      <c r="B42" s="922"/>
      <c r="C42" s="922"/>
      <c r="D42" s="923" t="s">
        <v>132</v>
      </c>
      <c r="E42" s="924">
        <f>'25'!F42</f>
        <v>59129</v>
      </c>
      <c r="F42" s="997">
        <v>59129</v>
      </c>
      <c r="G42" s="925">
        <f t="shared" si="3"/>
        <v>0</v>
      </c>
      <c r="H42" s="926">
        <f>G42+'25'!H42</f>
        <v>203</v>
      </c>
      <c r="I42" s="924"/>
      <c r="J42" s="928">
        <f>H42/DAY(B2)</f>
        <v>7.8076923076923075</v>
      </c>
      <c r="K42" s="944"/>
      <c r="L42" s="903"/>
      <c r="N42" s="1094">
        <f>3450-G42</f>
        <v>3450</v>
      </c>
      <c r="O42" s="930"/>
    </row>
    <row r="43" spans="1:15" ht="20.100000000000001" customHeight="1">
      <c r="A43" s="921" t="s">
        <v>172</v>
      </c>
      <c r="B43" s="922"/>
      <c r="C43" s="922"/>
      <c r="D43" s="923" t="s">
        <v>132</v>
      </c>
      <c r="E43" s="924">
        <f>'25'!F43</f>
        <v>818936</v>
      </c>
      <c r="F43" s="997">
        <v>821228</v>
      </c>
      <c r="G43" s="925">
        <f t="shared" si="3"/>
        <v>2292</v>
      </c>
      <c r="H43" s="926">
        <f>G43+'25'!H43</f>
        <v>53416.089999999967</v>
      </c>
      <c r="I43" s="924"/>
      <c r="J43" s="928">
        <f>H43/DAY(B2)</f>
        <v>2054.4649999999988</v>
      </c>
      <c r="K43" s="944"/>
      <c r="L43" s="903"/>
      <c r="O43" s="930"/>
    </row>
    <row r="44" spans="1:15" ht="20.100000000000001" customHeight="1">
      <c r="A44" s="921" t="s">
        <v>173</v>
      </c>
      <c r="B44" s="922"/>
      <c r="C44" s="922"/>
      <c r="D44" s="923" t="s">
        <v>132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>
      <c r="A45" s="921" t="s">
        <v>174</v>
      </c>
      <c r="B45" s="922"/>
      <c r="C45" s="922"/>
      <c r="D45" s="923" t="s">
        <v>132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>
      <c r="A46" s="921" t="s">
        <v>175</v>
      </c>
      <c r="B46" s="922"/>
      <c r="C46" s="922"/>
      <c r="D46" s="923" t="s">
        <v>132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13628</v>
      </c>
      <c r="H47" s="926">
        <f>G47+'25'!H47</f>
        <v>299710.53999999986</v>
      </c>
      <c r="I47" s="924"/>
      <c r="J47" s="928">
        <f>H47/DAY(B2)</f>
        <v>11527.328461538456</v>
      </c>
      <c r="K47" s="944"/>
      <c r="L47" s="903"/>
      <c r="N47" s="1094"/>
      <c r="O47" s="930"/>
    </row>
    <row r="48" spans="1:15" ht="20.100000000000001" customHeight="1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>
      <c r="A49" s="921" t="s">
        <v>164</v>
      </c>
      <c r="B49" s="1000"/>
      <c r="C49" s="1000"/>
      <c r="D49" s="923" t="s">
        <v>132</v>
      </c>
      <c r="E49" s="924">
        <f>'25'!F49</f>
        <v>260732</v>
      </c>
      <c r="F49" s="997">
        <v>260732</v>
      </c>
      <c r="G49" s="925">
        <f t="shared" ref="G49:G58" si="4">F49-E49</f>
        <v>0</v>
      </c>
      <c r="H49" s="926">
        <f>G49+'25'!H49</f>
        <v>14832.950000000012</v>
      </c>
      <c r="I49" s="924"/>
      <c r="J49" s="928">
        <f>H49/DAY(B2)</f>
        <v>570.49807692307741</v>
      </c>
      <c r="K49" s="944"/>
      <c r="L49" s="903"/>
      <c r="O49" s="930"/>
    </row>
    <row r="50" spans="1:15" ht="20.100000000000001" customHeight="1">
      <c r="A50" s="921" t="s">
        <v>178</v>
      </c>
      <c r="B50" s="1000"/>
      <c r="C50" s="1000"/>
      <c r="D50" s="923" t="s">
        <v>132</v>
      </c>
      <c r="E50" s="924">
        <f>'25'!F50</f>
        <v>399395</v>
      </c>
      <c r="F50" s="997">
        <v>400400</v>
      </c>
      <c r="G50" s="925">
        <f t="shared" si="4"/>
        <v>1005</v>
      </c>
      <c r="H50" s="926">
        <f>G50+'25'!H50</f>
        <v>30739.690000000002</v>
      </c>
      <c r="I50" s="924"/>
      <c r="J50" s="928">
        <f>H50/DAY(B2)</f>
        <v>1182.2957692307693</v>
      </c>
      <c r="K50" s="944"/>
      <c r="L50" s="903"/>
      <c r="O50" s="930"/>
    </row>
    <row r="51" spans="1:15" ht="20.100000000000001" customHeight="1">
      <c r="A51" s="921" t="s">
        <v>166</v>
      </c>
      <c r="B51" s="1000"/>
      <c r="C51" s="1000"/>
      <c r="D51" s="923" t="s">
        <v>132</v>
      </c>
      <c r="E51" s="924">
        <f>'25'!F51</f>
        <v>120051</v>
      </c>
      <c r="F51" s="997">
        <v>120051</v>
      </c>
      <c r="G51" s="925">
        <f t="shared" si="4"/>
        <v>0</v>
      </c>
      <c r="H51" s="926">
        <f>G51+'25'!H51</f>
        <v>9951.2599999999948</v>
      </c>
      <c r="I51" s="924"/>
      <c r="J51" s="928">
        <f>H51/DAY(B2)</f>
        <v>382.74076923076905</v>
      </c>
      <c r="K51" s="944"/>
      <c r="L51" s="903"/>
      <c r="O51" s="930"/>
    </row>
    <row r="52" spans="1:15" ht="20.100000000000001" customHeight="1">
      <c r="A52" s="921" t="s">
        <v>179</v>
      </c>
      <c r="B52" s="1000"/>
      <c r="C52" s="1000"/>
      <c r="D52" s="923" t="s">
        <v>132</v>
      </c>
      <c r="E52" s="924">
        <f>'25'!F52</f>
        <v>507913</v>
      </c>
      <c r="F52" s="997">
        <v>507913</v>
      </c>
      <c r="G52" s="925">
        <f t="shared" si="4"/>
        <v>0</v>
      </c>
      <c r="H52" s="926">
        <f>G52+'25'!H52</f>
        <v>14104.330000000016</v>
      </c>
      <c r="I52" s="924"/>
      <c r="J52" s="928">
        <f>H52/DAY(B2)</f>
        <v>542.47423076923144</v>
      </c>
      <c r="K52" s="944"/>
      <c r="L52" s="903"/>
      <c r="O52" s="930"/>
    </row>
    <row r="53" spans="1:15" ht="20.100000000000001" customHeight="1">
      <c r="A53" s="921" t="s">
        <v>168</v>
      </c>
      <c r="B53" s="1000"/>
      <c r="C53" s="1000"/>
      <c r="D53" s="923" t="s">
        <v>132</v>
      </c>
      <c r="E53" s="924">
        <f>'25'!F53</f>
        <v>331855</v>
      </c>
      <c r="F53" s="997">
        <v>331855</v>
      </c>
      <c r="G53" s="925">
        <f t="shared" si="4"/>
        <v>0</v>
      </c>
      <c r="H53" s="926">
        <f>G53+'25'!H53</f>
        <v>27556.729999999981</v>
      </c>
      <c r="I53" s="924"/>
      <c r="J53" s="928">
        <f>H53/DAY(B2)</f>
        <v>1059.8742307692301</v>
      </c>
      <c r="K53" s="944"/>
      <c r="L53" s="903"/>
      <c r="O53" s="930"/>
    </row>
    <row r="54" spans="1:15" ht="20.100000000000001" customHeight="1">
      <c r="A54" s="921" t="s">
        <v>180</v>
      </c>
      <c r="B54" s="1000"/>
      <c r="C54" s="1000"/>
      <c r="D54" s="923" t="s">
        <v>132</v>
      </c>
      <c r="E54" s="924">
        <f>'25'!F54</f>
        <v>7884</v>
      </c>
      <c r="F54" s="997">
        <v>7956</v>
      </c>
      <c r="G54" s="925">
        <f t="shared" si="4"/>
        <v>72</v>
      </c>
      <c r="H54" s="926">
        <f>G54+'25'!H54</f>
        <v>1567.1999999999998</v>
      </c>
      <c r="I54" s="924"/>
      <c r="J54" s="928">
        <f>H54/DAY(B2)</f>
        <v>60.276923076923069</v>
      </c>
      <c r="K54" s="944"/>
      <c r="L54" s="903"/>
      <c r="O54" s="930"/>
    </row>
    <row r="55" spans="1:15" ht="20.100000000000001" customHeight="1">
      <c r="A55" s="921" t="s">
        <v>181</v>
      </c>
      <c r="B55" s="1000"/>
      <c r="C55" s="1000"/>
      <c r="D55" s="923" t="s">
        <v>132</v>
      </c>
      <c r="E55" s="924">
        <f>'25'!F55</f>
        <v>101639</v>
      </c>
      <c r="F55" s="997">
        <v>106716</v>
      </c>
      <c r="G55" s="925">
        <f t="shared" si="4"/>
        <v>5077</v>
      </c>
      <c r="H55" s="926">
        <f>G55+'25'!H55</f>
        <v>63728.02</v>
      </c>
      <c r="I55" s="924"/>
      <c r="J55" s="928">
        <f>H55/DAY(B2)</f>
        <v>2451.0776923076924</v>
      </c>
      <c r="K55" s="944"/>
      <c r="L55" s="903"/>
      <c r="O55" s="930"/>
    </row>
    <row r="56" spans="1:15" ht="20.100000000000001" customHeight="1">
      <c r="A56" s="921" t="s">
        <v>182</v>
      </c>
      <c r="B56" s="1000"/>
      <c r="C56" s="1000"/>
      <c r="D56" s="923" t="s">
        <v>183</v>
      </c>
      <c r="E56" s="924">
        <f>'25'!F56</f>
        <v>586023</v>
      </c>
      <c r="F56" s="997">
        <v>586023</v>
      </c>
      <c r="G56" s="925">
        <f t="shared" si="4"/>
        <v>0</v>
      </c>
      <c r="H56" s="926">
        <f>G56+'25'!H56</f>
        <v>28291.089999999967</v>
      </c>
      <c r="I56" s="924"/>
      <c r="J56" s="928">
        <f>H56/DAY(B2)</f>
        <v>1088.118846153845</v>
      </c>
      <c r="K56" s="920"/>
      <c r="L56" s="903"/>
      <c r="O56" s="930"/>
    </row>
    <row r="57" spans="1:15" ht="20.100000000000001" customHeight="1">
      <c r="A57" s="921" t="s">
        <v>172</v>
      </c>
      <c r="B57" s="1000"/>
      <c r="C57" s="1000"/>
      <c r="D57" s="923" t="s">
        <v>132</v>
      </c>
      <c r="E57" s="924">
        <f>'25'!F57</f>
        <v>7711</v>
      </c>
      <c r="F57" s="997">
        <v>7711</v>
      </c>
      <c r="G57" s="925">
        <f t="shared" si="4"/>
        <v>0</v>
      </c>
      <c r="H57" s="926">
        <f>G57+'25'!H57</f>
        <v>7711</v>
      </c>
      <c r="I57" s="924"/>
      <c r="J57" s="928">
        <f>H57/DAY(B2)</f>
        <v>296.57692307692309</v>
      </c>
      <c r="K57" s="944"/>
      <c r="L57" s="903"/>
      <c r="O57" s="930"/>
    </row>
    <row r="58" spans="1:15" ht="20.100000000000001" customHeight="1">
      <c r="A58" s="921" t="s">
        <v>184</v>
      </c>
      <c r="B58" s="1000"/>
      <c r="C58" s="1000"/>
      <c r="D58" s="923" t="s">
        <v>132</v>
      </c>
      <c r="E58" s="924">
        <f>'25'!F58</f>
        <v>35277</v>
      </c>
      <c r="F58" s="997">
        <v>35454</v>
      </c>
      <c r="G58" s="925">
        <f t="shared" si="4"/>
        <v>177</v>
      </c>
      <c r="H58" s="926">
        <f>G58+'25'!H58</f>
        <v>4724.4600000000028</v>
      </c>
      <c r="I58" s="924"/>
      <c r="J58" s="928">
        <f>H58/DAY(B2)</f>
        <v>181.71000000000009</v>
      </c>
      <c r="K58" s="944"/>
      <c r="L58" s="903"/>
      <c r="O58" s="930"/>
    </row>
    <row r="59" spans="1:15" ht="20.100000000000001" customHeight="1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6331</v>
      </c>
      <c r="H59" s="926">
        <f>G59+'25'!H59</f>
        <v>203206.73</v>
      </c>
      <c r="I59" s="924">
        <f>G7-G60</f>
        <v>319</v>
      </c>
      <c r="J59" s="928">
        <f>H59/DAY(B2)</f>
        <v>7815.6434615384624</v>
      </c>
      <c r="K59" s="944"/>
      <c r="L59" s="903"/>
      <c r="O59" s="930"/>
    </row>
    <row r="60" spans="1:15" ht="20.100000000000001" customHeight="1">
      <c r="A60" s="921"/>
      <c r="B60" s="922"/>
      <c r="C60" s="922"/>
      <c r="D60" s="910" t="s">
        <v>185</v>
      </c>
      <c r="E60" s="910"/>
      <c r="F60" s="910"/>
      <c r="G60" s="948">
        <f>G47+G59</f>
        <v>19959</v>
      </c>
      <c r="H60" s="926">
        <f>G60+'25'!H60</f>
        <v>508097.45999999979</v>
      </c>
      <c r="I60" s="924">
        <f>G13-G60</f>
        <v>-278</v>
      </c>
      <c r="J60" s="928">
        <f>H60/DAY(B2)</f>
        <v>19542.209999999992</v>
      </c>
      <c r="K60" s="944"/>
      <c r="L60" s="903"/>
      <c r="O60" s="930"/>
    </row>
    <row r="61" spans="1:15" ht="20.100000000000001" customHeight="1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>
      <c r="A62" s="1005" t="s">
        <v>98</v>
      </c>
      <c r="B62" s="1006"/>
      <c r="C62" s="1006"/>
      <c r="D62" s="910" t="s">
        <v>187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>
      <c r="A63" s="1005" t="s">
        <v>188</v>
      </c>
      <c r="B63" s="1006"/>
      <c r="C63" s="1006"/>
      <c r="D63" s="910" t="s">
        <v>187</v>
      </c>
      <c r="E63" s="924">
        <f>'25'!F63</f>
        <v>1663</v>
      </c>
      <c r="F63" s="1007">
        <v>1678</v>
      </c>
      <c r="G63" s="925">
        <f t="shared" si="5"/>
        <v>15</v>
      </c>
      <c r="H63" s="926">
        <f>G63+'25'!H63</f>
        <v>345.47</v>
      </c>
      <c r="I63" s="1008"/>
      <c r="J63" s="928">
        <f>H63/DAY(B2)</f>
        <v>13.287307692307694</v>
      </c>
      <c r="K63" s="944"/>
      <c r="L63" s="903"/>
      <c r="O63" s="930"/>
    </row>
    <row r="64" spans="1:15" ht="20.100000000000001" customHeight="1">
      <c r="A64" s="1538" t="s">
        <v>99</v>
      </c>
      <c r="B64" s="1539"/>
      <c r="C64" s="1540"/>
      <c r="D64" s="923" t="s">
        <v>187</v>
      </c>
      <c r="E64" s="924">
        <f>'25'!F64</f>
        <v>122093</v>
      </c>
      <c r="F64" s="954">
        <v>122649</v>
      </c>
      <c r="G64" s="925">
        <f t="shared" si="5"/>
        <v>556</v>
      </c>
      <c r="H64" s="926">
        <f>G64+'25'!H64</f>
        <v>11365.539999999994</v>
      </c>
      <c r="I64" s="945"/>
      <c r="J64" s="928">
        <f>H64/DAY(B2)</f>
        <v>437.1361538461536</v>
      </c>
      <c r="K64" s="944"/>
      <c r="L64" s="903"/>
      <c r="O64" s="930"/>
    </row>
    <row r="65" spans="1:15" ht="20.100000000000001" customHeight="1">
      <c r="A65" s="1538" t="s">
        <v>100</v>
      </c>
      <c r="B65" s="1539"/>
      <c r="C65" s="1540"/>
      <c r="D65" s="923" t="s">
        <v>187</v>
      </c>
      <c r="E65" s="924">
        <f>'25'!F65</f>
        <v>131392</v>
      </c>
      <c r="F65" s="954">
        <v>131788</v>
      </c>
      <c r="G65" s="925">
        <f t="shared" si="5"/>
        <v>396</v>
      </c>
      <c r="H65" s="926">
        <f>G65+'25'!H65</f>
        <v>10054.89</v>
      </c>
      <c r="I65" s="963"/>
      <c r="J65" s="928">
        <f>H65/DAY(B2)</f>
        <v>386.72653846153844</v>
      </c>
      <c r="K65" s="944"/>
      <c r="L65" s="903"/>
      <c r="O65" s="930"/>
    </row>
    <row r="66" spans="1:15" ht="20.100000000000001" customHeight="1">
      <c r="A66" s="1538" t="s">
        <v>101</v>
      </c>
      <c r="B66" s="1539"/>
      <c r="C66" s="1540"/>
      <c r="D66" s="923" t="s">
        <v>187</v>
      </c>
      <c r="E66" s="924">
        <f>'25'!F66</f>
        <v>23979</v>
      </c>
      <c r="F66" s="954">
        <v>24369</v>
      </c>
      <c r="G66" s="925">
        <f t="shared" si="5"/>
        <v>390</v>
      </c>
      <c r="H66" s="926">
        <f>G66+'25'!H66</f>
        <v>10209.26</v>
      </c>
      <c r="I66" s="945"/>
      <c r="J66" s="928">
        <f>H66/DAY(B2)</f>
        <v>392.66384615384618</v>
      </c>
      <c r="K66" s="944"/>
      <c r="L66" s="903"/>
      <c r="O66" s="930"/>
    </row>
    <row r="67" spans="1:15" ht="20.100000000000001" customHeight="1">
      <c r="A67" s="1538" t="s">
        <v>102</v>
      </c>
      <c r="B67" s="1539"/>
      <c r="C67" s="1540"/>
      <c r="D67" s="923" t="s">
        <v>187</v>
      </c>
      <c r="E67" s="924">
        <f>'25'!F67</f>
        <v>205830</v>
      </c>
      <c r="F67" s="954">
        <v>206487</v>
      </c>
      <c r="G67" s="925">
        <f t="shared" si="5"/>
        <v>657</v>
      </c>
      <c r="H67" s="926">
        <f>G67+'25'!H67</f>
        <v>17812.47</v>
      </c>
      <c r="I67" s="963"/>
      <c r="J67" s="928">
        <f>H67/DAY(B2)</f>
        <v>685.09500000000003</v>
      </c>
      <c r="K67" s="951"/>
      <c r="L67" s="903"/>
      <c r="O67" s="930"/>
    </row>
    <row r="68" spans="1:15" ht="20.100000000000001" customHeight="1">
      <c r="A68" s="1538" t="s">
        <v>103</v>
      </c>
      <c r="B68" s="1539"/>
      <c r="C68" s="1540"/>
      <c r="D68" s="923" t="s">
        <v>187</v>
      </c>
      <c r="E68" s="924">
        <f>'25'!F68</f>
        <v>71669</v>
      </c>
      <c r="F68" s="954">
        <v>71975</v>
      </c>
      <c r="G68" s="925">
        <f t="shared" si="5"/>
        <v>306</v>
      </c>
      <c r="H68" s="926">
        <f>G68+'25'!H68</f>
        <v>9675.14</v>
      </c>
      <c r="I68" s="1009"/>
      <c r="J68" s="928">
        <f>H68/DAY(B2)</f>
        <v>372.12076923076921</v>
      </c>
      <c r="K68" s="1010"/>
      <c r="L68" s="903"/>
      <c r="O68" s="930"/>
    </row>
    <row r="69" spans="1:15" ht="20.100000000000001" customHeight="1">
      <c r="A69" s="1538" t="s">
        <v>104</v>
      </c>
      <c r="B69" s="1539"/>
      <c r="C69" s="1540"/>
      <c r="D69" s="923" t="s">
        <v>187</v>
      </c>
      <c r="E69" s="924">
        <f>'25'!F69</f>
        <v>63459</v>
      </c>
      <c r="F69" s="954">
        <v>63792</v>
      </c>
      <c r="G69" s="925">
        <f t="shared" si="5"/>
        <v>333</v>
      </c>
      <c r="H69" s="926">
        <f>G69+'25'!H69</f>
        <v>8068.2900000000009</v>
      </c>
      <c r="I69" s="1009"/>
      <c r="J69" s="928">
        <f>H69/DAY(B2)</f>
        <v>310.31884615384621</v>
      </c>
      <c r="K69" s="1011"/>
      <c r="L69" s="903"/>
      <c r="O69" s="930"/>
    </row>
    <row r="70" spans="1:15" ht="20.100000000000001" customHeight="1">
      <c r="A70" s="1561" t="s">
        <v>189</v>
      </c>
      <c r="B70" s="1562"/>
      <c r="C70" s="1563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1010"/>
      <c r="L71" s="903"/>
      <c r="O71" s="930"/>
    </row>
    <row r="72" spans="1:15" ht="20.100000000000001" customHeight="1">
      <c r="A72" s="1538" t="s">
        <v>191</v>
      </c>
      <c r="B72" s="1539"/>
      <c r="C72" s="1540"/>
      <c r="D72" s="923" t="s">
        <v>187</v>
      </c>
      <c r="E72" s="924">
        <f>'25'!F72</f>
        <v>850364</v>
      </c>
      <c r="F72" s="1015">
        <v>850432</v>
      </c>
      <c r="G72" s="925">
        <f t="shared" ref="G72:G84" si="6">F72-E72</f>
        <v>68</v>
      </c>
      <c r="H72" s="926">
        <f>G72+'25'!H72</f>
        <v>1880</v>
      </c>
      <c r="I72" s="945"/>
      <c r="J72" s="928">
        <f>H72/DAY(B2)</f>
        <v>72.307692307692307</v>
      </c>
      <c r="K72" s="1011"/>
      <c r="L72" s="903"/>
      <c r="O72" s="930"/>
    </row>
    <row r="73" spans="1:15" ht="20.100000000000001" customHeight="1">
      <c r="A73" s="1538" t="s">
        <v>192</v>
      </c>
      <c r="B73" s="1539"/>
      <c r="C73" s="1540"/>
      <c r="D73" s="923" t="s">
        <v>187</v>
      </c>
      <c r="E73" s="924">
        <f>'25'!F73</f>
        <v>885771</v>
      </c>
      <c r="F73" s="1016">
        <v>885771</v>
      </c>
      <c r="G73" s="925">
        <f t="shared" si="6"/>
        <v>0</v>
      </c>
      <c r="H73" s="926">
        <f>G73+'25'!H73</f>
        <v>990</v>
      </c>
      <c r="I73" s="945"/>
      <c r="J73" s="928">
        <f>H73/DAY(B2)</f>
        <v>38.07692307692308</v>
      </c>
      <c r="K73" s="1010"/>
      <c r="L73" s="903"/>
      <c r="O73" s="930"/>
    </row>
    <row r="74" spans="1:15" ht="20.100000000000001" customHeight="1">
      <c r="A74" s="1538" t="s">
        <v>193</v>
      </c>
      <c r="B74" s="1539"/>
      <c r="C74" s="1540"/>
      <c r="D74" s="923" t="s">
        <v>187</v>
      </c>
      <c r="E74" s="924">
        <f>'25'!F74</f>
        <v>501</v>
      </c>
      <c r="F74" s="1017">
        <v>516</v>
      </c>
      <c r="G74" s="925">
        <f t="shared" si="6"/>
        <v>15</v>
      </c>
      <c r="H74" s="926">
        <f>G74+'25'!H74</f>
        <v>745.1</v>
      </c>
      <c r="I74" s="945"/>
      <c r="J74" s="928">
        <f>H74/DAY(B2)</f>
        <v>28.657692307692308</v>
      </c>
      <c r="K74" s="1011"/>
      <c r="L74" s="903"/>
      <c r="O74" s="930"/>
    </row>
    <row r="75" spans="1:15" ht="20.100000000000001" customHeight="1">
      <c r="A75" s="1564" t="s">
        <v>194</v>
      </c>
      <c r="B75" s="1565"/>
      <c r="C75" s="1566"/>
      <c r="D75" s="923" t="s">
        <v>187</v>
      </c>
      <c r="E75" s="924">
        <f>'25'!F75</f>
        <v>3012</v>
      </c>
      <c r="F75" s="1017">
        <v>3184</v>
      </c>
      <c r="G75" s="925">
        <f t="shared" si="6"/>
        <v>172</v>
      </c>
      <c r="H75" s="926">
        <f>G75+'25'!H75</f>
        <v>4720.4000000000005</v>
      </c>
      <c r="I75" s="945"/>
      <c r="J75" s="928">
        <f>H75/DAY(B2)</f>
        <v>181.55384615384617</v>
      </c>
      <c r="K75" s="1010"/>
      <c r="L75" s="903"/>
      <c r="O75" s="930"/>
    </row>
    <row r="76" spans="1:15" ht="20.100000000000001" customHeight="1">
      <c r="A76" s="1564" t="s">
        <v>195</v>
      </c>
      <c r="B76" s="1565"/>
      <c r="C76" s="1566"/>
      <c r="D76" s="923" t="s">
        <v>187</v>
      </c>
      <c r="E76" s="924">
        <f>'25'!F76</f>
        <v>1273</v>
      </c>
      <c r="F76" s="1016">
        <v>1355</v>
      </c>
      <c r="G76" s="925">
        <f t="shared" si="6"/>
        <v>82</v>
      </c>
      <c r="H76" s="926">
        <f>G76+'25'!H76</f>
        <v>3352.2000000000003</v>
      </c>
      <c r="I76" s="988"/>
      <c r="J76" s="928">
        <f>H76/DAY(B2)</f>
        <v>128.93076923076924</v>
      </c>
      <c r="K76" s="1010"/>
      <c r="L76" s="903"/>
      <c r="O76" s="930"/>
    </row>
    <row r="77" spans="1:15" ht="20.100000000000001" customHeight="1">
      <c r="A77" s="1538" t="s">
        <v>196</v>
      </c>
      <c r="B77" s="1539"/>
      <c r="C77" s="1540"/>
      <c r="D77" s="923" t="s">
        <v>187</v>
      </c>
      <c r="E77" s="924">
        <f>'25'!F77</f>
        <v>698448</v>
      </c>
      <c r="F77" s="1016">
        <v>698495</v>
      </c>
      <c r="G77" s="925">
        <f t="shared" si="6"/>
        <v>47</v>
      </c>
      <c r="H77" s="926">
        <f>G77+'25'!H77</f>
        <v>1388</v>
      </c>
      <c r="I77" s="988"/>
      <c r="J77" s="928">
        <f>H77/DAY(B2)</f>
        <v>53.384615384615387</v>
      </c>
      <c r="K77" s="1010"/>
      <c r="L77" s="903"/>
      <c r="O77" s="930"/>
    </row>
    <row r="78" spans="1:15" ht="18.75" customHeight="1">
      <c r="A78" s="1018" t="s">
        <v>197</v>
      </c>
      <c r="B78" s="1226"/>
      <c r="C78" s="1226"/>
      <c r="D78" s="923" t="s">
        <v>187</v>
      </c>
      <c r="E78" s="924">
        <f>'25'!F78</f>
        <v>651780</v>
      </c>
      <c r="F78" s="1017">
        <v>652125</v>
      </c>
      <c r="G78" s="925">
        <f t="shared" si="6"/>
        <v>345</v>
      </c>
      <c r="H78" s="926">
        <f>G78+'25'!H78</f>
        <v>10172</v>
      </c>
      <c r="I78" s="988"/>
      <c r="J78" s="928">
        <f>H78/DAY(B2)</f>
        <v>391.23076923076923</v>
      </c>
      <c r="K78" s="1010"/>
      <c r="L78" s="903"/>
      <c r="O78" s="930"/>
    </row>
    <row r="79" spans="1:15" ht="20.100000000000001" customHeight="1">
      <c r="A79" s="1564" t="s">
        <v>92</v>
      </c>
      <c r="B79" s="1565"/>
      <c r="C79" s="1566"/>
      <c r="D79" s="957" t="s">
        <v>187</v>
      </c>
      <c r="E79" s="924">
        <f>'25'!F79</f>
        <v>814492</v>
      </c>
      <c r="F79" s="1017">
        <v>814690</v>
      </c>
      <c r="G79" s="925">
        <f t="shared" si="6"/>
        <v>198</v>
      </c>
      <c r="H79" s="926">
        <f>G79+'25'!H79</f>
        <v>7864</v>
      </c>
      <c r="I79" s="988"/>
      <c r="J79" s="928">
        <f>H79/DAY(B2)</f>
        <v>302.46153846153845</v>
      </c>
      <c r="K79" s="1010"/>
      <c r="L79" s="903"/>
      <c r="O79" s="930"/>
    </row>
    <row r="80" spans="1:15" ht="20.100000000000001" customHeight="1">
      <c r="A80" s="1564" t="s">
        <v>198</v>
      </c>
      <c r="B80" s="1565"/>
      <c r="C80" s="1566"/>
      <c r="D80" s="957" t="s">
        <v>187</v>
      </c>
      <c r="E80" s="924">
        <f>'25'!F80</f>
        <v>493543</v>
      </c>
      <c r="F80" s="1322">
        <v>493896</v>
      </c>
      <c r="G80" s="925">
        <f t="shared" si="6"/>
        <v>353</v>
      </c>
      <c r="H80" s="926">
        <f>G80+'25'!H80</f>
        <v>7314.320000000007</v>
      </c>
      <c r="I80" s="988"/>
      <c r="J80" s="928">
        <f>H80/DAY(B2)</f>
        <v>281.32000000000028</v>
      </c>
      <c r="K80" s="1010"/>
      <c r="L80" s="903"/>
      <c r="O80" s="930"/>
    </row>
    <row r="81" spans="1:15" ht="20.100000000000001" customHeight="1">
      <c r="A81" s="1564" t="s">
        <v>199</v>
      </c>
      <c r="B81" s="1565"/>
      <c r="C81" s="1566"/>
      <c r="D81" s="957" t="s">
        <v>187</v>
      </c>
      <c r="E81" s="924">
        <f>'25'!F81</f>
        <v>625551</v>
      </c>
      <c r="F81" s="1016">
        <v>625674</v>
      </c>
      <c r="G81" s="925">
        <f t="shared" si="6"/>
        <v>123</v>
      </c>
      <c r="H81" s="926">
        <f>G81+'25'!H81</f>
        <v>2899</v>
      </c>
      <c r="I81" s="988"/>
      <c r="J81" s="928">
        <f>H81/DAY(B2)</f>
        <v>111.5</v>
      </c>
      <c r="K81" s="1010"/>
      <c r="L81" s="903"/>
      <c r="O81" s="930"/>
    </row>
    <row r="82" spans="1:15" ht="20.100000000000001" customHeight="1">
      <c r="A82" s="1564" t="s">
        <v>93</v>
      </c>
      <c r="B82" s="1565"/>
      <c r="C82" s="1566"/>
      <c r="D82" s="958" t="s">
        <v>132</v>
      </c>
      <c r="E82" s="924">
        <f>'25'!F82</f>
        <v>106140</v>
      </c>
      <c r="F82" s="1019">
        <v>106159</v>
      </c>
      <c r="G82" s="925">
        <f t="shared" si="6"/>
        <v>19</v>
      </c>
      <c r="H82" s="926">
        <f>G82+'25'!H82</f>
        <v>719</v>
      </c>
      <c r="I82" s="959"/>
      <c r="J82" s="928">
        <f>H82/DAY(B2)</f>
        <v>27.653846153846153</v>
      </c>
      <c r="K82" s="1010"/>
      <c r="L82" s="903"/>
      <c r="O82" s="930"/>
    </row>
    <row r="83" spans="1:15" ht="20.100000000000001" customHeight="1">
      <c r="A83" s="1564" t="s">
        <v>200</v>
      </c>
      <c r="B83" s="1565"/>
      <c r="C83" s="1566"/>
      <c r="D83" s="1020" t="s">
        <v>132</v>
      </c>
      <c r="E83" s="924">
        <f>'25'!F83</f>
        <v>994867</v>
      </c>
      <c r="F83" s="910">
        <v>995362</v>
      </c>
      <c r="G83" s="925">
        <f t="shared" si="6"/>
        <v>495</v>
      </c>
      <c r="H83" s="926">
        <f>G83+'25'!H83</f>
        <v>11621</v>
      </c>
      <c r="I83" s="948"/>
      <c r="J83" s="928">
        <f>H83/DAY(B2)</f>
        <v>446.96153846153845</v>
      </c>
      <c r="K83" s="951"/>
      <c r="L83" s="903"/>
      <c r="O83" s="930"/>
    </row>
    <row r="84" spans="1:15" ht="20.100000000000001" customHeight="1">
      <c r="A84" s="1021" t="s">
        <v>201</v>
      </c>
      <c r="B84" s="1022"/>
      <c r="C84" s="1022"/>
      <c r="D84" s="942" t="s">
        <v>132</v>
      </c>
      <c r="E84" s="924">
        <f>'25'!F84</f>
        <v>428770</v>
      </c>
      <c r="F84" s="1023">
        <v>429387</v>
      </c>
      <c r="G84" s="925">
        <f t="shared" si="6"/>
        <v>617</v>
      </c>
      <c r="H84" s="926">
        <f>G84+'25'!H84</f>
        <v>13314</v>
      </c>
      <c r="I84" s="948"/>
      <c r="J84" s="928">
        <f>H84/DAY(B2)</f>
        <v>512.07692307692309</v>
      </c>
      <c r="K84" s="1024"/>
      <c r="L84" s="903"/>
      <c r="O84" s="930"/>
    </row>
    <row r="85" spans="1:15" s="1028" customFormat="1" ht="20.100000000000001" customHeight="1">
      <c r="A85" s="1025" t="s">
        <v>202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2534</v>
      </c>
      <c r="H85" s="926">
        <f>G85+'25'!H85</f>
        <v>61675.649999999994</v>
      </c>
      <c r="I85" s="948"/>
      <c r="J85" s="928">
        <f>H85/DAY(B2)</f>
        <v>2372.1403846153844</v>
      </c>
      <c r="K85" s="1024"/>
      <c r="L85" s="1027"/>
      <c r="N85" s="1095"/>
      <c r="O85" s="930"/>
    </row>
    <row r="86" spans="1:15" s="1038" customFormat="1">
      <c r="A86" s="1029" t="s">
        <v>94</v>
      </c>
      <c r="B86" s="1030"/>
      <c r="C86" s="1030"/>
      <c r="D86" s="1031" t="s">
        <v>183</v>
      </c>
      <c r="E86" s="924">
        <f>'25'!F86</f>
        <v>450129</v>
      </c>
      <c r="F86" s="1032">
        <v>450219</v>
      </c>
      <c r="G86" s="1033">
        <f t="shared" ref="G86:G90" si="7">F86-E86</f>
        <v>90</v>
      </c>
      <c r="H86" s="1033">
        <f t="shared" ref="H86:H88" si="8">G86</f>
        <v>90</v>
      </c>
      <c r="I86" s="1034"/>
      <c r="J86" s="1035">
        <f>H86/DAY(B2)</f>
        <v>3.4615384615384617</v>
      </c>
      <c r="K86" s="1036"/>
      <c r="L86" s="1037"/>
      <c r="N86" s="1096"/>
      <c r="O86" s="930"/>
    </row>
    <row r="87" spans="1:15" s="1038" customFormat="1">
      <c r="A87" s="1029" t="s">
        <v>95</v>
      </c>
      <c r="B87" s="1030"/>
      <c r="C87" s="1030"/>
      <c r="D87" s="1031" t="s">
        <v>183</v>
      </c>
      <c r="E87" s="924">
        <f>'25'!F87</f>
        <v>79130</v>
      </c>
      <c r="F87" s="1374">
        <v>79167.199999999997</v>
      </c>
      <c r="G87" s="1033">
        <f t="shared" si="7"/>
        <v>37.19999999999709</v>
      </c>
      <c r="H87" s="1033">
        <f t="shared" si="8"/>
        <v>37.19999999999709</v>
      </c>
      <c r="I87" s="1034"/>
      <c r="J87" s="1035">
        <f>H87/DAY(B2)</f>
        <v>1.4307692307691189</v>
      </c>
      <c r="K87" s="1036"/>
      <c r="L87" s="1037"/>
      <c r="N87" s="1096"/>
      <c r="O87" s="930"/>
    </row>
    <row r="88" spans="1:15" s="1038" customFormat="1">
      <c r="A88" s="1029" t="s">
        <v>96</v>
      </c>
      <c r="B88" s="1030"/>
      <c r="C88" s="1030"/>
      <c r="D88" s="1031" t="s">
        <v>183</v>
      </c>
      <c r="E88" s="924">
        <f>'25'!F88</f>
        <v>148102</v>
      </c>
      <c r="F88" s="1032">
        <v>148201</v>
      </c>
      <c r="G88" s="1033">
        <f t="shared" si="7"/>
        <v>99</v>
      </c>
      <c r="H88" s="1033">
        <f t="shared" si="8"/>
        <v>99</v>
      </c>
      <c r="I88" s="1034"/>
      <c r="J88" s="1035">
        <f>H88/DAY(B2)</f>
        <v>3.8076923076923075</v>
      </c>
      <c r="K88" s="1036"/>
      <c r="L88" s="1037"/>
      <c r="N88" s="1096"/>
      <c r="O88" s="930"/>
    </row>
    <row r="89" spans="1:15" s="1038" customFormat="1">
      <c r="A89" s="1029" t="s">
        <v>204</v>
      </c>
      <c r="B89" s="1030"/>
      <c r="C89" s="1030"/>
      <c r="D89" s="1031" t="s">
        <v>183</v>
      </c>
      <c r="E89" s="924">
        <f>'25'!F89</f>
        <v>61459</v>
      </c>
      <c r="F89" s="1032">
        <v>61568</v>
      </c>
      <c r="G89" s="1033">
        <f t="shared" si="7"/>
        <v>109</v>
      </c>
      <c r="H89" s="1033">
        <f>G89</f>
        <v>109</v>
      </c>
      <c r="I89" s="1034"/>
      <c r="J89" s="1035">
        <f>H89/DAY(B2)</f>
        <v>4.1923076923076925</v>
      </c>
      <c r="K89" s="1036"/>
      <c r="L89" s="1037"/>
      <c r="N89" s="1103"/>
      <c r="O89" s="930"/>
    </row>
    <row r="90" spans="1:15" s="1038" customFormat="1">
      <c r="A90" s="1029" t="s">
        <v>204</v>
      </c>
      <c r="B90" s="1030"/>
      <c r="C90" s="1030"/>
      <c r="D90" s="1031" t="s">
        <v>183</v>
      </c>
      <c r="E90" s="924">
        <f>'25'!F90</f>
        <v>3155</v>
      </c>
      <c r="F90" s="1032">
        <v>3160</v>
      </c>
      <c r="G90" s="1033">
        <f t="shared" si="7"/>
        <v>5</v>
      </c>
      <c r="H90" s="1033">
        <f>G90</f>
        <v>5</v>
      </c>
      <c r="I90" s="1034"/>
      <c r="J90" s="1035">
        <f>H90/DAY(B2)</f>
        <v>0.19230769230769232</v>
      </c>
      <c r="K90" s="1036"/>
      <c r="L90" s="1037"/>
      <c r="N90" s="1097"/>
      <c r="O90" s="930"/>
    </row>
    <row r="91" spans="1:15" s="1028" customFormat="1" ht="20.100000000000001" customHeight="1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>
      <c r="A92" s="1541" t="s">
        <v>206</v>
      </c>
      <c r="B92" s="1542"/>
      <c r="C92" s="1543"/>
      <c r="D92" s="923" t="s">
        <v>144</v>
      </c>
      <c r="E92" s="924">
        <f>'25'!F92</f>
        <v>239336</v>
      </c>
      <c r="F92" s="954">
        <v>239405</v>
      </c>
      <c r="G92" s="925">
        <f t="shared" ref="G92:G93" si="9">F92-E92</f>
        <v>69</v>
      </c>
      <c r="H92" s="926">
        <f>G92+'25'!H92</f>
        <v>2835</v>
      </c>
      <c r="I92" s="945"/>
      <c r="J92" s="928">
        <f>H92/DAY(B2)</f>
        <v>109.03846153846153</v>
      </c>
      <c r="K92" s="951"/>
      <c r="L92" s="903"/>
      <c r="O92" s="930"/>
    </row>
    <row r="93" spans="1:15" ht="20.100000000000001" customHeight="1">
      <c r="A93" s="1541" t="s">
        <v>207</v>
      </c>
      <c r="B93" s="1542"/>
      <c r="C93" s="1543"/>
      <c r="D93" s="923" t="s">
        <v>144</v>
      </c>
      <c r="E93" s="924">
        <f>'25'!F93</f>
        <v>175150</v>
      </c>
      <c r="F93" s="954">
        <v>175308</v>
      </c>
      <c r="G93" s="925">
        <f t="shared" si="9"/>
        <v>158</v>
      </c>
      <c r="H93" s="926">
        <f>G93+'25'!H93</f>
        <v>4132</v>
      </c>
      <c r="I93" s="945"/>
      <c r="J93" s="928">
        <f>H93/DAY(B2)</f>
        <v>158.92307692307693</v>
      </c>
      <c r="K93" s="1024"/>
      <c r="L93" s="903"/>
      <c r="O93" s="930"/>
    </row>
    <row r="94" spans="1:15" ht="20.100000000000001" customHeight="1">
      <c r="A94" s="1567" t="s">
        <v>208</v>
      </c>
      <c r="B94" s="1568"/>
      <c r="C94" s="1569"/>
      <c r="D94" s="923"/>
      <c r="E94" s="924">
        <f>'25'!F94</f>
        <v>0</v>
      </c>
      <c r="F94" s="954"/>
      <c r="G94" s="925">
        <f>G92+G93</f>
        <v>227</v>
      </c>
      <c r="H94" s="926">
        <f>G94+'25'!H94</f>
        <v>6680</v>
      </c>
      <c r="I94" s="945"/>
      <c r="J94" s="928">
        <f>H94/DAY(B2)</f>
        <v>256.92307692307691</v>
      </c>
      <c r="K94" s="1024"/>
      <c r="L94" s="903"/>
      <c r="O94" s="930"/>
    </row>
    <row r="95" spans="1:15" ht="20.100000000000001" customHeight="1">
      <c r="A95" s="1541" t="s">
        <v>209</v>
      </c>
      <c r="B95" s="1542"/>
      <c r="C95" s="1543"/>
      <c r="D95" s="923" t="s">
        <v>144</v>
      </c>
      <c r="E95" s="924">
        <f>'25'!F95</f>
        <v>407902</v>
      </c>
      <c r="F95" s="954">
        <v>407981</v>
      </c>
      <c r="G95" s="925">
        <f t="shared" ref="G95:G100" si="10">F95-E95</f>
        <v>79</v>
      </c>
      <c r="H95" s="926">
        <f>G95+'25'!H95</f>
        <v>2105</v>
      </c>
      <c r="I95" s="945"/>
      <c r="J95" s="928">
        <f>H95/DAY(B2)</f>
        <v>80.961538461538467</v>
      </c>
      <c r="K95" s="1024"/>
      <c r="L95" s="903"/>
      <c r="O95" s="930"/>
    </row>
    <row r="96" spans="1:15" ht="20.100000000000001" customHeight="1">
      <c r="A96" s="952" t="s">
        <v>210</v>
      </c>
      <c r="B96" s="953"/>
      <c r="C96" s="953"/>
      <c r="D96" s="923" t="s">
        <v>144</v>
      </c>
      <c r="E96" s="924">
        <f>'25'!F96</f>
        <v>101264</v>
      </c>
      <c r="F96" s="954">
        <v>101276</v>
      </c>
      <c r="G96" s="925">
        <f t="shared" si="10"/>
        <v>12</v>
      </c>
      <c r="H96" s="926">
        <f>G96+'25'!H96</f>
        <v>742</v>
      </c>
      <c r="I96" s="945"/>
      <c r="J96" s="928">
        <f>H96/DAY(B2)</f>
        <v>28.53846153846154</v>
      </c>
      <c r="K96" s="920"/>
      <c r="L96" s="903"/>
      <c r="O96" s="930"/>
    </row>
    <row r="97" spans="1:15" ht="20.100000000000001" customHeight="1">
      <c r="A97" s="952" t="s">
        <v>211</v>
      </c>
      <c r="B97" s="953"/>
      <c r="C97" s="953"/>
      <c r="D97" s="923" t="s">
        <v>144</v>
      </c>
      <c r="E97" s="924">
        <f>'25'!F97</f>
        <v>96369</v>
      </c>
      <c r="F97" s="954">
        <v>96388</v>
      </c>
      <c r="G97" s="925">
        <f t="shared" si="10"/>
        <v>19</v>
      </c>
      <c r="H97" s="926">
        <f>G97+'25'!H97</f>
        <v>711</v>
      </c>
      <c r="I97" s="945"/>
      <c r="J97" s="928">
        <f>H97/DAY(B2)</f>
        <v>27.346153846153847</v>
      </c>
      <c r="K97" s="1040"/>
      <c r="L97" s="903"/>
      <c r="O97" s="930"/>
    </row>
    <row r="98" spans="1:15" ht="20.100000000000001" customHeight="1">
      <c r="A98" s="952" t="s">
        <v>212</v>
      </c>
      <c r="B98" s="953"/>
      <c r="C98" s="953"/>
      <c r="D98" s="923" t="s">
        <v>144</v>
      </c>
      <c r="E98" s="924">
        <f>'25'!F98</f>
        <v>147348</v>
      </c>
      <c r="F98" s="954">
        <v>147477</v>
      </c>
      <c r="G98" s="925">
        <f t="shared" si="10"/>
        <v>129</v>
      </c>
      <c r="H98" s="926">
        <f>G98+'25'!H98</f>
        <v>1923</v>
      </c>
      <c r="I98" s="945"/>
      <c r="J98" s="928">
        <f>H98/DAY(B2)</f>
        <v>73.961538461538467</v>
      </c>
      <c r="K98" s="1024"/>
      <c r="L98" s="903"/>
      <c r="O98" s="930"/>
    </row>
    <row r="99" spans="1:15" ht="20.100000000000001" customHeight="1">
      <c r="A99" s="952" t="s">
        <v>213</v>
      </c>
      <c r="B99" s="953"/>
      <c r="C99" s="953"/>
      <c r="D99" s="923" t="s">
        <v>144</v>
      </c>
      <c r="E99" s="924">
        <f>'25'!F99</f>
        <v>6349</v>
      </c>
      <c r="F99" s="954">
        <v>6362</v>
      </c>
      <c r="G99" s="925">
        <f t="shared" si="10"/>
        <v>13</v>
      </c>
      <c r="H99" s="926">
        <f>G99+'25'!H99</f>
        <v>388</v>
      </c>
      <c r="I99" s="945"/>
      <c r="J99" s="928">
        <f>H99/DAY(B2)</f>
        <v>14.923076923076923</v>
      </c>
      <c r="K99" s="1024"/>
      <c r="L99" s="903"/>
      <c r="O99" s="930"/>
    </row>
    <row r="100" spans="1:15" ht="20.100000000000001" customHeight="1">
      <c r="A100" s="952" t="s">
        <v>214</v>
      </c>
      <c r="B100" s="953"/>
      <c r="C100" s="953"/>
      <c r="D100" s="923" t="s">
        <v>144</v>
      </c>
      <c r="E100" s="924">
        <f>'25'!F100</f>
        <v>4465</v>
      </c>
      <c r="F100" s="954">
        <v>4477</v>
      </c>
      <c r="G100" s="925">
        <f t="shared" si="10"/>
        <v>12</v>
      </c>
      <c r="H100" s="926">
        <f>G100+'25'!H100</f>
        <v>240</v>
      </c>
      <c r="I100" s="945"/>
      <c r="J100" s="928">
        <f>H100/DAY(B2)</f>
        <v>9.2307692307692299</v>
      </c>
      <c r="K100" s="1024"/>
      <c r="L100" s="903"/>
      <c r="O100" s="930"/>
    </row>
    <row r="101" spans="1:15" ht="20.100000000000001" customHeight="1">
      <c r="A101" s="1567" t="s">
        <v>216</v>
      </c>
      <c r="B101" s="1568"/>
      <c r="C101" s="1569"/>
      <c r="D101" s="957"/>
      <c r="E101" s="957"/>
      <c r="F101" s="957"/>
      <c r="G101" s="1041">
        <f>SUM(G95:G100)</f>
        <v>264</v>
      </c>
      <c r="H101" s="926">
        <f>G101+'25'!H101</f>
        <v>6109</v>
      </c>
      <c r="I101" s="1042"/>
      <c r="J101" s="928">
        <f>H101/DAY(B2)</f>
        <v>234.96153846153845</v>
      </c>
      <c r="K101" s="1024"/>
      <c r="L101" s="903"/>
      <c r="O101" s="930"/>
    </row>
    <row r="102" spans="1:15" s="975" customFormat="1" ht="25.5" customHeight="1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>
      <c r="A103" s="1575" t="s">
        <v>218</v>
      </c>
      <c r="B103" s="1576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>
      <c r="A104" s="1577" t="s">
        <v>219</v>
      </c>
      <c r="B104" s="1578"/>
      <c r="C104" s="1057"/>
      <c r="D104" s="1053" t="s">
        <v>144</v>
      </c>
      <c r="E104" s="1054">
        <f>'25'!F104</f>
        <v>7125</v>
      </c>
      <c r="F104" s="1054">
        <v>7128</v>
      </c>
      <c r="G104" s="1054">
        <f>F104-E104</f>
        <v>3</v>
      </c>
      <c r="H104" s="1055">
        <f>SUM(G104+'1'!G76)</f>
        <v>77</v>
      </c>
      <c r="I104" s="1054"/>
      <c r="J104" s="1056">
        <f>H104/DAY(B2)</f>
        <v>2.9615384615384617</v>
      </c>
      <c r="N104" s="1093"/>
      <c r="O104" s="930"/>
    </row>
    <row r="105" spans="1:15" s="975" customFormat="1" ht="21.75" customHeight="1">
      <c r="A105" s="1577" t="s">
        <v>77</v>
      </c>
      <c r="B105" s="1578"/>
      <c r="C105" s="1057"/>
      <c r="D105" s="1053" t="s">
        <v>144</v>
      </c>
      <c r="E105" s="1054">
        <f>'25'!F105</f>
        <v>35381</v>
      </c>
      <c r="F105" s="1058">
        <v>35390</v>
      </c>
      <c r="G105" s="1054">
        <f t="shared" ref="G105:G106" si="11">F105-E105</f>
        <v>9</v>
      </c>
      <c r="H105" s="1055">
        <f>SUM(G105+'1'!G77)</f>
        <v>57</v>
      </c>
      <c r="I105" s="1054"/>
      <c r="J105" s="1056">
        <f>H105/DAY(B2)</f>
        <v>2.1923076923076925</v>
      </c>
      <c r="N105" s="1093"/>
      <c r="O105" s="930"/>
    </row>
    <row r="106" spans="1:15" s="975" customFormat="1" ht="21.75" customHeight="1">
      <c r="A106" s="1577" t="s">
        <v>78</v>
      </c>
      <c r="B106" s="1579"/>
      <c r="C106" s="1578"/>
      <c r="D106" s="1053" t="s">
        <v>144</v>
      </c>
      <c r="E106" s="1054">
        <f>'25'!F106</f>
        <v>19229</v>
      </c>
      <c r="F106" s="1054">
        <v>19235</v>
      </c>
      <c r="G106" s="1054">
        <f t="shared" si="11"/>
        <v>6</v>
      </c>
      <c r="H106" s="1055">
        <f>SUM(G106+'1'!G78)</f>
        <v>340</v>
      </c>
      <c r="I106" s="1054"/>
      <c r="J106" s="1056">
        <f>H106/DAY(B2)</f>
        <v>13.076923076923077</v>
      </c>
      <c r="N106" s="1093"/>
      <c r="O106" s="930"/>
    </row>
    <row r="107" spans="1:15" s="975" customFormat="1" ht="21.75" customHeight="1">
      <c r="A107" s="1580" t="s">
        <v>202</v>
      </c>
      <c r="B107" s="1581"/>
      <c r="C107" s="1057"/>
      <c r="D107" s="1053"/>
      <c r="E107" s="1054" t="str">
        <f>'25'!F107</f>
        <v>.</v>
      </c>
      <c r="F107" s="1054"/>
      <c r="G107" s="1054">
        <f>SUM(G104:G106)</f>
        <v>18</v>
      </c>
      <c r="H107" s="1055">
        <f>SUM(G107+'1'!G79)</f>
        <v>223</v>
      </c>
      <c r="I107" s="1054"/>
      <c r="J107" s="1056">
        <f>H107/DAY(B2)</f>
        <v>8.5769230769230766</v>
      </c>
      <c r="N107" s="1093"/>
      <c r="O107" s="930"/>
    </row>
    <row r="108" spans="1:15" s="975" customFormat="1" ht="21.75" customHeight="1">
      <c r="A108" s="1582" t="s">
        <v>79</v>
      </c>
      <c r="B108" s="1583"/>
      <c r="C108" s="1057"/>
      <c r="D108" s="1053" t="s">
        <v>144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>
      <c r="A109" s="1577" t="s">
        <v>220</v>
      </c>
      <c r="B109" s="1578"/>
      <c r="C109" s="1057"/>
      <c r="D109" s="1053" t="s">
        <v>144</v>
      </c>
      <c r="E109" s="1054">
        <f>'25'!F109</f>
        <v>56150</v>
      </c>
      <c r="F109" s="1054">
        <v>56210</v>
      </c>
      <c r="G109" s="1054">
        <f>F109-E109</f>
        <v>60</v>
      </c>
      <c r="H109" s="1055">
        <f>SUM(G109+'1'!G81)</f>
        <v>136</v>
      </c>
      <c r="I109" s="1054"/>
      <c r="J109" s="1056">
        <f>H109/DAY(B2)</f>
        <v>5.2307692307692308</v>
      </c>
      <c r="N109" s="1093"/>
      <c r="O109" s="930"/>
    </row>
    <row r="110" spans="1:15" s="975" customFormat="1" ht="21.75" customHeight="1">
      <c r="A110" s="1577" t="s">
        <v>221</v>
      </c>
      <c r="B110" s="1578"/>
      <c r="C110" s="1057"/>
      <c r="D110" s="1053" t="s">
        <v>144</v>
      </c>
      <c r="E110" s="1054">
        <f>'25'!F110</f>
        <v>30260</v>
      </c>
      <c r="F110" s="1054">
        <v>30383</v>
      </c>
      <c r="G110" s="1054">
        <f t="shared" ref="G110:G111" si="12">F110-E110</f>
        <v>123</v>
      </c>
      <c r="H110" s="1055">
        <f>SUM(G110+'1'!G82)</f>
        <v>168</v>
      </c>
      <c r="I110" s="1054"/>
      <c r="J110" s="1056">
        <f>H110/DAY(B2)</f>
        <v>6.4615384615384617</v>
      </c>
      <c r="N110" s="1093"/>
      <c r="O110" s="930"/>
    </row>
    <row r="111" spans="1:15" s="975" customFormat="1" ht="21.75" customHeight="1">
      <c r="A111" s="1577" t="s">
        <v>222</v>
      </c>
      <c r="B111" s="1578"/>
      <c r="C111" s="1057"/>
      <c r="D111" s="1053" t="s">
        <v>144</v>
      </c>
      <c r="E111" s="1054">
        <f>'25'!F111</f>
        <v>3961</v>
      </c>
      <c r="F111" s="1054">
        <v>3973</v>
      </c>
      <c r="G111" s="1054">
        <f t="shared" si="12"/>
        <v>12</v>
      </c>
      <c r="H111" s="1055">
        <f>SUM(G111+'1'!G83)</f>
        <v>445</v>
      </c>
      <c r="I111" s="1054"/>
      <c r="J111" s="1056">
        <f>H111/DAY(B2)</f>
        <v>17.115384615384617</v>
      </c>
      <c r="N111" s="1093"/>
      <c r="O111" s="930"/>
    </row>
    <row r="112" spans="1:15" s="975" customFormat="1" ht="21.75" customHeight="1">
      <c r="A112" s="1587" t="s">
        <v>110</v>
      </c>
      <c r="B112" s="1588"/>
      <c r="C112" s="1057"/>
      <c r="D112" s="1053"/>
      <c r="E112" s="1054">
        <f>'25'!F112</f>
        <v>0</v>
      </c>
      <c r="F112" s="1054"/>
      <c r="G112" s="1054">
        <f>SUM(G109:G111)</f>
        <v>195</v>
      </c>
      <c r="H112" s="1055">
        <f>SUM(G112+'1'!G84)</f>
        <v>716</v>
      </c>
      <c r="I112" s="1054"/>
      <c r="J112" s="1056">
        <f>H112/DAY(B2)</f>
        <v>27.53846153846154</v>
      </c>
      <c r="N112" s="1093"/>
      <c r="O112" s="930"/>
    </row>
    <row r="113" spans="1:15" s="975" customFormat="1" ht="21.75" customHeight="1">
      <c r="A113" s="1582" t="s">
        <v>223</v>
      </c>
      <c r="B113" s="1583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>
      <c r="A114" s="1577" t="s">
        <v>224</v>
      </c>
      <c r="B114" s="1578"/>
      <c r="C114" s="1059"/>
      <c r="D114" s="1053" t="s">
        <v>144</v>
      </c>
      <c r="E114" s="1054">
        <f>'25'!F114</f>
        <v>10252</v>
      </c>
      <c r="F114" s="1058">
        <v>10268</v>
      </c>
      <c r="G114" s="1058">
        <f>F114-E114</f>
        <v>16</v>
      </c>
      <c r="H114" s="1055">
        <f>SUM(G114+'1'!G91)</f>
        <v>16</v>
      </c>
      <c r="I114" s="1054"/>
      <c r="J114" s="1056">
        <f>H114/DAY(B2)</f>
        <v>0.61538461538461542</v>
      </c>
      <c r="N114" s="1093"/>
      <c r="O114" s="930"/>
    </row>
    <row r="115" spans="1:15" s="975" customFormat="1" ht="21.75" customHeight="1">
      <c r="A115" s="1577" t="s">
        <v>225</v>
      </c>
      <c r="B115" s="1578"/>
      <c r="C115" s="1059"/>
      <c r="D115" s="1053" t="s">
        <v>144</v>
      </c>
      <c r="E115" s="1054">
        <f>'25'!F115</f>
        <v>7613</v>
      </c>
      <c r="F115" s="1058">
        <v>7619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3.5769230769230771</v>
      </c>
      <c r="N115" s="1093"/>
      <c r="O115" s="930"/>
    </row>
    <row r="116" spans="1:15" s="975" customFormat="1" ht="21.75" customHeight="1">
      <c r="A116" s="1577" t="s">
        <v>226</v>
      </c>
      <c r="B116" s="1578"/>
      <c r="C116" s="1059"/>
      <c r="D116" s="1053" t="s">
        <v>144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>
      <c r="A117" s="1580" t="s">
        <v>202</v>
      </c>
      <c r="B117" s="1581"/>
      <c r="C117" s="1059"/>
      <c r="D117" s="1060"/>
      <c r="E117" s="1058"/>
      <c r="F117" s="1058"/>
      <c r="G117" s="1058">
        <f>SUM(G114:G116)</f>
        <v>22</v>
      </c>
      <c r="H117" s="1055">
        <f>SUM(G117+'1'!G95)</f>
        <v>94</v>
      </c>
      <c r="I117" s="1058"/>
      <c r="J117" s="1056">
        <f>H117/DAY(B2)</f>
        <v>3.6153846153846154</v>
      </c>
      <c r="N117" s="1098"/>
      <c r="O117" s="930"/>
    </row>
    <row r="118" spans="1:15" s="851" customFormat="1">
      <c r="A118" s="1591" t="s">
        <v>227</v>
      </c>
      <c r="B118" s="1592"/>
      <c r="C118" s="1062"/>
      <c r="D118" s="1063" t="s">
        <v>144</v>
      </c>
      <c r="E118" s="1064"/>
      <c r="F118" s="1065">
        <f>SUM(G19+G92)</f>
        <v>120</v>
      </c>
      <c r="G118" s="1065">
        <f>SUM(G19+G92)</f>
        <v>120</v>
      </c>
      <c r="H118" s="1055">
        <f>SUM(G118+'1'!G96)</f>
        <v>143</v>
      </c>
      <c r="I118" s="1064"/>
      <c r="J118" s="1066">
        <f>H118/DAY(B2)</f>
        <v>5.5</v>
      </c>
      <c r="N118" s="1099"/>
      <c r="O118" s="930"/>
    </row>
    <row r="119" spans="1:15" s="851" customFormat="1">
      <c r="A119" s="1591" t="s">
        <v>228</v>
      </c>
      <c r="B119" s="1592"/>
      <c r="C119" s="1062"/>
      <c r="D119" s="1063" t="s">
        <v>144</v>
      </c>
      <c r="E119" s="1064"/>
      <c r="F119" s="1065">
        <f>SUM(G95,G96,G97,G99,G100)</f>
        <v>135</v>
      </c>
      <c r="G119" s="1065">
        <f>SUM(G95,G96,G97,G99,G100)</f>
        <v>135</v>
      </c>
      <c r="H119" s="1055">
        <f>SUM(G119+'1'!G98)</f>
        <v>218</v>
      </c>
      <c r="I119" s="1064"/>
      <c r="J119" s="1066">
        <f>H119/DAY(B2)</f>
        <v>8.384615384615385</v>
      </c>
      <c r="N119" s="1099"/>
      <c r="O119" s="930"/>
    </row>
    <row r="120" spans="1:15" s="851" customFormat="1">
      <c r="A120" s="1591" t="s">
        <v>229</v>
      </c>
      <c r="B120" s="1592"/>
      <c r="C120" s="1062"/>
      <c r="D120" s="1063" t="s">
        <v>144</v>
      </c>
      <c r="E120" s="1064"/>
      <c r="F120" s="1058">
        <f>SUM(G112)</f>
        <v>195</v>
      </c>
      <c r="G120" s="1058">
        <f>SUM(G112)</f>
        <v>195</v>
      </c>
      <c r="H120" s="1055">
        <f>SUM(G120+'1'!G100)</f>
        <v>201</v>
      </c>
      <c r="I120" s="1064"/>
      <c r="J120" s="1066">
        <f>H120/DAY(B2)</f>
        <v>7.7307692307692308</v>
      </c>
      <c r="N120" s="1099"/>
      <c r="O120" s="930"/>
    </row>
    <row r="121" spans="1:15" s="975" customFormat="1" ht="18.75" customHeight="1">
      <c r="A121" s="1589"/>
      <c r="B121" s="1590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 ht="20.100000000000001" customHeight="1">
      <c r="A122" s="1570" t="s">
        <v>230</v>
      </c>
      <c r="B122" s="1571"/>
      <c r="C122" s="1572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>
      <c r="A123" s="952" t="s">
        <v>231</v>
      </c>
      <c r="B123" s="953"/>
      <c r="C123" s="953"/>
      <c r="D123" s="923" t="s">
        <v>141</v>
      </c>
      <c r="E123" s="924">
        <f>'25'!F123</f>
        <v>810230</v>
      </c>
      <c r="F123" s="942">
        <v>810481</v>
      </c>
      <c r="G123" s="925">
        <f t="shared" ref="G123:G127" si="14">F123-E123</f>
        <v>251</v>
      </c>
      <c r="H123" s="926">
        <f>G123+'25'!H123</f>
        <v>7145.5999999999767</v>
      </c>
      <c r="I123" s="1042"/>
      <c r="J123" s="928">
        <f>H123/DAY(B2)</f>
        <v>274.83076923076834</v>
      </c>
      <c r="K123" s="1024"/>
      <c r="L123" s="903"/>
      <c r="O123" s="930"/>
    </row>
    <row r="124" spans="1:15" ht="22.5" customHeight="1">
      <c r="A124" s="952" t="s">
        <v>232</v>
      </c>
      <c r="B124" s="953"/>
      <c r="C124" s="953"/>
      <c r="D124" s="923" t="s">
        <v>141</v>
      </c>
      <c r="E124" s="924">
        <f>'25'!F124</f>
        <v>73583</v>
      </c>
      <c r="F124" s="1070">
        <v>73583</v>
      </c>
      <c r="G124" s="925">
        <f t="shared" si="14"/>
        <v>0</v>
      </c>
      <c r="H124" s="926">
        <f>G124+'25'!H124</f>
        <v>1</v>
      </c>
      <c r="I124" s="1042"/>
      <c r="J124" s="928">
        <f>H124/DAY(B2)</f>
        <v>3.8461538461538464E-2</v>
      </c>
      <c r="K124" s="1024"/>
      <c r="L124" s="903"/>
      <c r="O124" s="930"/>
    </row>
    <row r="125" spans="1:15" ht="22.5" customHeight="1">
      <c r="A125" s="1538" t="s">
        <v>233</v>
      </c>
      <c r="B125" s="1539"/>
      <c r="C125" s="1540"/>
      <c r="D125" s="923" t="s">
        <v>141</v>
      </c>
      <c r="E125" s="924">
        <f>'25'!F125</f>
        <v>139776</v>
      </c>
      <c r="F125" s="942">
        <v>139833</v>
      </c>
      <c r="G125" s="925">
        <f t="shared" si="14"/>
        <v>57</v>
      </c>
      <c r="H125" s="926">
        <f>G125+'25'!H125</f>
        <v>1985</v>
      </c>
      <c r="I125" s="1042"/>
      <c r="J125" s="928">
        <f>H125/DAY(B2)</f>
        <v>76.34615384615384</v>
      </c>
      <c r="K125" s="1024"/>
      <c r="L125" s="903"/>
      <c r="O125" s="930"/>
    </row>
    <row r="126" spans="1:15" ht="20.100000000000001" customHeight="1">
      <c r="A126" s="1071" t="s">
        <v>234</v>
      </c>
      <c r="B126" s="953"/>
      <c r="C126" s="953"/>
      <c r="D126" s="923" t="s">
        <v>141</v>
      </c>
      <c r="E126" s="924">
        <f>'25'!F126</f>
        <v>59217</v>
      </c>
      <c r="F126" s="1070">
        <v>59240</v>
      </c>
      <c r="G126" s="925">
        <f t="shared" si="14"/>
        <v>23</v>
      </c>
      <c r="H126" s="926">
        <f>G126+'25'!H126</f>
        <v>848.30000000000291</v>
      </c>
      <c r="I126" s="1042"/>
      <c r="J126" s="928">
        <f>H126/DAY(B2)</f>
        <v>32.626923076923191</v>
      </c>
      <c r="K126" s="1024"/>
      <c r="L126" s="903"/>
      <c r="O126" s="930"/>
    </row>
    <row r="127" spans="1:15" ht="20.100000000000001" customHeight="1">
      <c r="A127" s="1071" t="s">
        <v>235</v>
      </c>
      <c r="B127" s="953"/>
      <c r="C127" s="953"/>
      <c r="D127" s="923" t="s">
        <v>141</v>
      </c>
      <c r="E127" s="924">
        <f>'25'!F127</f>
        <v>8882</v>
      </c>
      <c r="F127" s="1070">
        <v>8883</v>
      </c>
      <c r="G127" s="925">
        <f t="shared" si="14"/>
        <v>1</v>
      </c>
      <c r="H127" s="926">
        <f>G127+'25'!H127</f>
        <v>67</v>
      </c>
      <c r="I127" s="945"/>
      <c r="J127" s="928">
        <f>H127/DAY(B2)</f>
        <v>2.5769230769230771</v>
      </c>
      <c r="K127" s="1024"/>
      <c r="L127" s="903"/>
      <c r="O127" s="930"/>
    </row>
    <row r="128" spans="1:15" ht="21.75" customHeight="1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506.44999999995343</v>
      </c>
      <c r="H128" s="926">
        <f>G128+'25'!H128</f>
        <v>6076.5099999998529</v>
      </c>
      <c r="I128" s="945"/>
      <c r="J128" s="928">
        <f>H128/DAY(B2)</f>
        <v>233.71192307691743</v>
      </c>
      <c r="K128" s="1024"/>
      <c r="L128" s="903"/>
      <c r="O128" s="930"/>
    </row>
    <row r="129" spans="1:1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238</v>
      </c>
      <c r="B130" s="953"/>
      <c r="C130" s="953"/>
      <c r="D130" s="923" t="s">
        <v>239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>
      <c r="A131" s="952" t="s">
        <v>240</v>
      </c>
      <c r="B131" s="953"/>
      <c r="C131" s="953"/>
      <c r="D131" s="923" t="s">
        <v>239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>
      <c r="A132" s="952" t="s">
        <v>241</v>
      </c>
      <c r="B132" s="953"/>
      <c r="C132" s="953"/>
      <c r="D132" s="923" t="s">
        <v>239</v>
      </c>
      <c r="E132" s="924">
        <f>'25'!F132</f>
        <v>38829.480000000003</v>
      </c>
      <c r="F132" s="1075">
        <v>38829.480000000003</v>
      </c>
      <c r="G132" s="925">
        <f t="shared" si="15"/>
        <v>0</v>
      </c>
      <c r="H132" s="926">
        <f>G132+'25'!H132</f>
        <v>111.08999999999651</v>
      </c>
      <c r="I132" s="945"/>
      <c r="J132" s="928">
        <f>H132/DAY(B2)</f>
        <v>4.2726923076921732</v>
      </c>
      <c r="O132" s="930"/>
    </row>
    <row r="133" spans="1:15">
      <c r="A133" s="952" t="s">
        <v>242</v>
      </c>
      <c r="B133" s="953"/>
      <c r="C133" s="953"/>
      <c r="D133" s="923" t="s">
        <v>239</v>
      </c>
      <c r="E133" s="924">
        <f>'25'!F133</f>
        <v>299.52</v>
      </c>
      <c r="F133" s="1075">
        <v>299.52</v>
      </c>
      <c r="G133" s="925">
        <f t="shared" si="15"/>
        <v>0</v>
      </c>
      <c r="H133" s="926">
        <f>G133+'25'!H133</f>
        <v>0.51999999999998181</v>
      </c>
      <c r="I133" s="945">
        <f>G130+G131+G132+G133</f>
        <v>0</v>
      </c>
      <c r="J133" s="928">
        <f>H133/DAY(B2)</f>
        <v>1.99999999999993E-2</v>
      </c>
      <c r="O133" s="930"/>
    </row>
    <row r="134" spans="1:15">
      <c r="A134" s="952" t="s">
        <v>243</v>
      </c>
      <c r="B134" s="953"/>
      <c r="C134" s="953"/>
      <c r="D134" s="923" t="s">
        <v>239</v>
      </c>
      <c r="E134" s="924">
        <f>'25'!F134</f>
        <v>40295</v>
      </c>
      <c r="F134" s="1075">
        <v>40319.120000000003</v>
      </c>
      <c r="G134" s="925">
        <f t="shared" si="15"/>
        <v>24.120000000002619</v>
      </c>
      <c r="H134" s="926">
        <f>G134+'25'!H134</f>
        <v>82.600000000005821</v>
      </c>
      <c r="I134" s="945"/>
      <c r="J134" s="928">
        <f>H134/DAY(B2)</f>
        <v>3.176923076923301</v>
      </c>
      <c r="O134" s="930"/>
    </row>
    <row r="135" spans="1:15">
      <c r="A135" s="952" t="s">
        <v>244</v>
      </c>
      <c r="B135" s="953"/>
      <c r="C135" s="953"/>
      <c r="D135" s="923" t="s">
        <v>239</v>
      </c>
      <c r="E135" s="924">
        <f>'25'!F135</f>
        <v>32571</v>
      </c>
      <c r="F135" s="1075">
        <v>32571</v>
      </c>
      <c r="G135" s="925">
        <f t="shared" si="15"/>
        <v>0</v>
      </c>
      <c r="H135" s="926">
        <f>G135+'25'!H135</f>
        <v>29.520000000000437</v>
      </c>
      <c r="I135" s="945"/>
      <c r="J135" s="928">
        <f>H135/DAY(B2)</f>
        <v>1.1353846153846321</v>
      </c>
      <c r="O135" s="930"/>
    </row>
    <row r="136" spans="1:15">
      <c r="A136" s="952" t="s">
        <v>245</v>
      </c>
      <c r="B136" s="953"/>
      <c r="C136" s="953"/>
      <c r="D136" s="923" t="s">
        <v>239</v>
      </c>
      <c r="E136" s="924">
        <f>'25'!F136</f>
        <v>22192</v>
      </c>
      <c r="F136" s="1075">
        <v>22200.6</v>
      </c>
      <c r="G136" s="925">
        <f t="shared" si="15"/>
        <v>8.5999999999985448</v>
      </c>
      <c r="H136" s="926">
        <f>G136+'25'!H136</f>
        <v>198.63999999999942</v>
      </c>
      <c r="I136" s="945">
        <f>G134+G135+G136</f>
        <v>32.720000000001164</v>
      </c>
      <c r="J136" s="928">
        <f>H136/DAY(B2)</f>
        <v>7.6399999999999775</v>
      </c>
      <c r="O136" s="930"/>
    </row>
    <row r="137" spans="1:15">
      <c r="A137" s="952" t="s">
        <v>246</v>
      </c>
      <c r="B137" s="953"/>
      <c r="C137" s="953"/>
      <c r="D137" s="923" t="s">
        <v>239</v>
      </c>
      <c r="E137" s="924">
        <f>'25'!F137</f>
        <v>25044</v>
      </c>
      <c r="F137" s="1075">
        <v>25044.31</v>
      </c>
      <c r="G137" s="925">
        <f t="shared" si="15"/>
        <v>0.31000000000130967</v>
      </c>
      <c r="H137" s="926">
        <f>G137+'25'!H137</f>
        <v>15.75</v>
      </c>
      <c r="I137" s="945"/>
      <c r="J137" s="928">
        <f>H137/DAY(B2)</f>
        <v>0.60576923076923073</v>
      </c>
      <c r="O137" s="930"/>
    </row>
    <row r="138" spans="1:15">
      <c r="A138" s="952" t="s">
        <v>247</v>
      </c>
      <c r="B138" s="953"/>
      <c r="C138" s="953"/>
      <c r="D138" s="923" t="s">
        <v>239</v>
      </c>
      <c r="E138" s="924">
        <f>'25'!F138</f>
        <v>70133</v>
      </c>
      <c r="F138" s="1075">
        <v>70137.81</v>
      </c>
      <c r="G138" s="925">
        <f t="shared" si="15"/>
        <v>4.8099999999976717</v>
      </c>
      <c r="H138" s="926">
        <f>G138+'25'!H138</f>
        <v>21.959999999991851</v>
      </c>
      <c r="I138" s="945">
        <f>G137+G138</f>
        <v>5.1199999999989814</v>
      </c>
      <c r="J138" s="928">
        <f>H138/DAY(B2)</f>
        <v>0.84461538461507124</v>
      </c>
      <c r="O138" s="930"/>
    </row>
    <row r="139" spans="1:15">
      <c r="A139" s="952" t="s">
        <v>248</v>
      </c>
      <c r="B139" s="953"/>
      <c r="C139" s="953"/>
      <c r="D139" s="923" t="s">
        <v>239</v>
      </c>
      <c r="E139" s="924">
        <f>'25'!F139</f>
        <v>1400.76</v>
      </c>
      <c r="F139" s="954">
        <v>1408</v>
      </c>
      <c r="G139" s="925">
        <f t="shared" si="15"/>
        <v>7.2400000000000091</v>
      </c>
      <c r="H139" s="926">
        <f>G139+'25'!H139</f>
        <v>207.41000000000008</v>
      </c>
      <c r="I139" s="1076"/>
      <c r="J139" s="928">
        <f>H139/DAY(B2)</f>
        <v>7.9773076923076953</v>
      </c>
      <c r="O139" s="930"/>
    </row>
    <row r="140" spans="1:15">
      <c r="A140" s="952" t="s">
        <v>249</v>
      </c>
      <c r="B140" s="953"/>
      <c r="C140" s="953"/>
      <c r="D140" s="923" t="s">
        <v>239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>
      <c r="A141" s="1573" t="s">
        <v>250</v>
      </c>
      <c r="B141" s="1574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41" t="s">
        <v>251</v>
      </c>
      <c r="B142" s="1542"/>
      <c r="C142" s="1543"/>
      <c r="D142" s="923" t="s">
        <v>132</v>
      </c>
      <c r="E142" s="923"/>
      <c r="F142" s="923"/>
      <c r="G142" s="926">
        <f>G35+G43+G49+G57</f>
        <v>5407</v>
      </c>
      <c r="H142" s="926">
        <f>G142+'25'!H142</f>
        <v>131884.93</v>
      </c>
      <c r="I142" s="945"/>
      <c r="J142" s="928">
        <f>H142/DAY(B2)</f>
        <v>5072.497307692307</v>
      </c>
      <c r="K142" s="1024"/>
      <c r="L142" s="903"/>
      <c r="O142" s="930"/>
    </row>
    <row r="143" spans="1:15">
      <c r="A143" s="1541" t="s">
        <v>252</v>
      </c>
      <c r="B143" s="1542"/>
      <c r="C143" s="1543"/>
      <c r="D143" s="923" t="s">
        <v>24</v>
      </c>
      <c r="E143" s="910"/>
      <c r="F143" s="910"/>
      <c r="G143" s="1077">
        <f>G142/G7</f>
        <v>0.2666436532202387</v>
      </c>
      <c r="H143" s="926">
        <f>G143+'25'!H143</f>
        <v>6.4929023700944324</v>
      </c>
      <c r="I143" s="1078"/>
      <c r="J143" s="928">
        <f>H143/DAY(B2)</f>
        <v>0.24972701423440125</v>
      </c>
      <c r="K143" s="1024"/>
      <c r="L143" s="903"/>
      <c r="O143" s="930"/>
    </row>
    <row r="144" spans="1:15">
      <c r="A144" s="1541" t="s">
        <v>253</v>
      </c>
      <c r="B144" s="1542"/>
      <c r="C144" s="1543"/>
      <c r="D144" s="923" t="s">
        <v>132</v>
      </c>
      <c r="E144" s="924"/>
      <c r="F144" s="924"/>
      <c r="G144" s="926">
        <f>G41+G42+G55+G56</f>
        <v>5077</v>
      </c>
      <c r="H144" s="926">
        <f>G144+'25'!H144</f>
        <v>115348.98999999996</v>
      </c>
      <c r="I144" s="945"/>
      <c r="J144" s="928">
        <f>H144/DAY(B2)</f>
        <v>4436.4996153846141</v>
      </c>
      <c r="K144" s="1024"/>
      <c r="L144" s="903"/>
      <c r="O144" s="930"/>
    </row>
    <row r="145" spans="1:15" ht="20.100000000000001" customHeight="1">
      <c r="A145" s="1541" t="s">
        <v>254</v>
      </c>
      <c r="B145" s="1542"/>
      <c r="C145" s="1543"/>
      <c r="D145" s="923" t="s">
        <v>24</v>
      </c>
      <c r="E145" s="924"/>
      <c r="F145" s="924"/>
      <c r="G145" s="1077">
        <f>G144/G7</f>
        <v>0.25036985896044978</v>
      </c>
      <c r="H145" s="926">
        <f>G145+'25'!H145</f>
        <v>5.8111873526835396</v>
      </c>
      <c r="I145" s="1078"/>
      <c r="J145" s="928">
        <f>H145/DAY(B2)</f>
        <v>0.22350720587244383</v>
      </c>
      <c r="K145" s="1024"/>
      <c r="L145" s="903"/>
      <c r="O145" s="930"/>
    </row>
    <row r="146" spans="1:15" ht="20.100000000000001" customHeight="1">
      <c r="A146" s="1541" t="s">
        <v>255</v>
      </c>
      <c r="B146" s="1542"/>
      <c r="C146" s="1543"/>
      <c r="D146" s="923" t="s">
        <v>132</v>
      </c>
      <c r="E146" s="924"/>
      <c r="F146" s="924"/>
      <c r="G146" s="926">
        <f>G39+G53</f>
        <v>4202</v>
      </c>
      <c r="H146" s="926">
        <f>G146+'25'!H146</f>
        <v>109685.72999999997</v>
      </c>
      <c r="I146" s="1079"/>
      <c r="J146" s="928">
        <f>H146/DAY(B2)</f>
        <v>4218.6819230769215</v>
      </c>
      <c r="K146" s="1024"/>
      <c r="L146" s="903"/>
      <c r="O146" s="930"/>
    </row>
    <row r="147" spans="1:15" ht="20.100000000000001" customHeight="1">
      <c r="A147" s="1541" t="s">
        <v>256</v>
      </c>
      <c r="B147" s="1542"/>
      <c r="C147" s="1543"/>
      <c r="D147" s="923" t="s">
        <v>24</v>
      </c>
      <c r="E147" s="924"/>
      <c r="F147" s="924"/>
      <c r="G147" s="1077">
        <f>G146/G7</f>
        <v>0.20721964690797909</v>
      </c>
      <c r="H147" s="926">
        <f>G147+'25'!H147</f>
        <v>5.5726562951286542</v>
      </c>
      <c r="I147" s="1079"/>
      <c r="J147" s="928">
        <f>H147/DAY(B2)</f>
        <v>0.21433293442802517</v>
      </c>
      <c r="O147" s="930"/>
    </row>
    <row r="148" spans="1:15" ht="20.100000000000001" customHeight="1">
      <c r="A148" s="1541" t="s">
        <v>257</v>
      </c>
      <c r="B148" s="1542"/>
      <c r="C148" s="1543"/>
      <c r="D148" s="923" t="s">
        <v>183</v>
      </c>
      <c r="E148" s="924"/>
      <c r="F148" s="924"/>
      <c r="G148" s="926">
        <f>G38+G52</f>
        <v>1988</v>
      </c>
      <c r="H148" s="926">
        <f>G148+'25'!H148</f>
        <v>53322.450000000012</v>
      </c>
      <c r="I148" s="945"/>
      <c r="J148" s="928">
        <f>H148/DAY(B2)</f>
        <v>2050.8634615384622</v>
      </c>
      <c r="K148" s="1080"/>
      <c r="O148" s="930"/>
    </row>
    <row r="149" spans="1:15" ht="20.100000000000001" customHeight="1">
      <c r="A149" s="1541" t="s">
        <v>258</v>
      </c>
      <c r="B149" s="1542"/>
      <c r="C149" s="1543"/>
      <c r="D149" s="923" t="s">
        <v>24</v>
      </c>
      <c r="E149" s="924"/>
      <c r="F149" s="924"/>
      <c r="G149" s="1077">
        <f>G148/G7</f>
        <v>9.8037281783213331E-2</v>
      </c>
      <c r="H149" s="926">
        <f>G149+'25'!H149</f>
        <v>2.7038724544229678</v>
      </c>
      <c r="I149" s="1079"/>
      <c r="J149" s="928">
        <f>H149/DAY(B2)</f>
        <v>0.10399509440088338</v>
      </c>
      <c r="O149" s="930"/>
    </row>
    <row r="150" spans="1:15" ht="20.100000000000001" customHeight="1">
      <c r="A150" s="1541" t="s">
        <v>259</v>
      </c>
      <c r="B150" s="1542"/>
      <c r="C150" s="1543"/>
      <c r="D150" s="923" t="s">
        <v>183</v>
      </c>
      <c r="E150" s="924"/>
      <c r="F150" s="924"/>
      <c r="G150" s="926">
        <f>G36+G50</f>
        <v>1615</v>
      </c>
      <c r="H150" s="926">
        <f>G150+'25'!H150</f>
        <v>50560.239999999991</v>
      </c>
      <c r="I150" s="1079"/>
      <c r="J150" s="928">
        <f>H150/DAY(B2)</f>
        <v>1944.624615384615</v>
      </c>
      <c r="O150" s="930"/>
    </row>
    <row r="151" spans="1:15" ht="20.100000000000001" customHeight="1">
      <c r="A151" s="1541" t="s">
        <v>260</v>
      </c>
      <c r="B151" s="1542"/>
      <c r="C151" s="1543"/>
      <c r="D151" s="923" t="s">
        <v>24</v>
      </c>
      <c r="E151" s="924"/>
      <c r="F151" s="924"/>
      <c r="G151" s="1077">
        <f>G150/G7</f>
        <v>7.9642962816845839E-2</v>
      </c>
      <c r="H151" s="926">
        <f>G151+'25'!H151</f>
        <v>2.5465273695211841</v>
      </c>
      <c r="I151" s="945"/>
      <c r="J151" s="928">
        <f>H151/DAY(B2)</f>
        <v>9.7943360366199383E-2</v>
      </c>
      <c r="O151" s="930"/>
    </row>
    <row r="152" spans="1:15" ht="20.100000000000001" customHeight="1">
      <c r="A152" s="1541" t="s">
        <v>261</v>
      </c>
      <c r="B152" s="1542"/>
      <c r="C152" s="1543"/>
      <c r="D152" s="923" t="s">
        <v>183</v>
      </c>
      <c r="E152" s="924"/>
      <c r="F152" s="924"/>
      <c r="G152" s="926">
        <f>G37+G51</f>
        <v>1421</v>
      </c>
      <c r="H152" s="926">
        <f>G152+'25'!H152</f>
        <v>39037.259999999995</v>
      </c>
      <c r="I152" s="945"/>
      <c r="J152" s="928">
        <f>H152/DAY(B2)</f>
        <v>1501.4330769230767</v>
      </c>
      <c r="O152" s="930"/>
    </row>
    <row r="153" spans="1:15" ht="20.100000000000001" customHeight="1" thickBot="1">
      <c r="A153" s="1584" t="s">
        <v>262</v>
      </c>
      <c r="B153" s="1585"/>
      <c r="C153" s="1586"/>
      <c r="D153" s="1081" t="s">
        <v>24</v>
      </c>
      <c r="E153" s="1082"/>
      <c r="F153" s="1082"/>
      <c r="G153" s="1083">
        <f>G152/G7</f>
        <v>7.0075944373212351E-2</v>
      </c>
      <c r="H153" s="926">
        <f>G153+'25'!H153</f>
        <v>1.9878523028313657</v>
      </c>
      <c r="I153" s="1084"/>
      <c r="J153" s="1085">
        <f>H153/DAY(B2)</f>
        <v>7.6455857801206367E-2</v>
      </c>
      <c r="O153" s="930"/>
    </row>
    <row r="154" spans="1:15" ht="44.25" customHeight="1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6" t="s">
        <v>263</v>
      </c>
      <c r="B160" s="1076"/>
      <c r="C160" s="1076"/>
      <c r="D160" s="910" t="s">
        <v>187</v>
      </c>
      <c r="E160" s="924">
        <f>'25'!F160</f>
        <v>30541</v>
      </c>
      <c r="F160" s="1101">
        <v>30625</v>
      </c>
      <c r="G160" s="925">
        <f t="shared" ref="G160:G163" si="16">F160-E160</f>
        <v>84</v>
      </c>
    </row>
    <row r="161" spans="1:7" ht="21.75" customHeight="1">
      <c r="A161" s="1076" t="s">
        <v>264</v>
      </c>
      <c r="B161" s="1076"/>
      <c r="C161" s="1076"/>
      <c r="D161" s="910" t="s">
        <v>187</v>
      </c>
      <c r="E161" s="924">
        <f>'25'!F161</f>
        <v>53792.22</v>
      </c>
      <c r="F161" s="1101">
        <v>54238.47</v>
      </c>
      <c r="G161" s="925">
        <f t="shared" si="16"/>
        <v>446.25</v>
      </c>
    </row>
    <row r="162" spans="1:7" ht="21.75" customHeight="1">
      <c r="A162" s="1076" t="s">
        <v>265</v>
      </c>
      <c r="B162" s="1076"/>
      <c r="C162" s="1076"/>
      <c r="D162" s="910" t="s">
        <v>187</v>
      </c>
      <c r="E162" s="924">
        <f>'25'!F162</f>
        <v>19739</v>
      </c>
      <c r="F162" s="1101">
        <v>20018</v>
      </c>
      <c r="G162" s="925">
        <f t="shared" si="16"/>
        <v>279</v>
      </c>
    </row>
    <row r="163" spans="1:7" ht="21.75" customHeight="1">
      <c r="A163" s="1076" t="s">
        <v>266</v>
      </c>
      <c r="B163" s="1076"/>
      <c r="C163" s="1076"/>
      <c r="D163" s="910" t="s">
        <v>187</v>
      </c>
      <c r="E163" s="924">
        <f>'25'!F163</f>
        <v>5354</v>
      </c>
      <c r="F163" s="1101">
        <v>5371.89</v>
      </c>
      <c r="G163" s="925">
        <f t="shared" si="16"/>
        <v>17.890000000000327</v>
      </c>
    </row>
    <row r="164" spans="1:7" ht="21.75" customHeight="1">
      <c r="A164" s="1006" t="s">
        <v>98</v>
      </c>
      <c r="B164" s="1006"/>
      <c r="C164" s="1006"/>
      <c r="D164" s="910" t="s">
        <v>187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188</v>
      </c>
      <c r="B165" s="1006"/>
      <c r="C165" s="1006"/>
      <c r="D165" s="910" t="s">
        <v>187</v>
      </c>
      <c r="E165" s="1007">
        <f t="shared" ref="E165:E171" si="18">E63</f>
        <v>1663</v>
      </c>
      <c r="F165" s="1007">
        <f t="shared" ref="F165:F171" si="19">F63</f>
        <v>1678</v>
      </c>
      <c r="G165" s="925">
        <f t="shared" si="17"/>
        <v>15</v>
      </c>
    </row>
    <row r="166" spans="1:7" ht="21.75" customHeight="1">
      <c r="A166" s="1593" t="s">
        <v>99</v>
      </c>
      <c r="B166" s="1593"/>
      <c r="C166" s="1593"/>
      <c r="D166" s="923" t="s">
        <v>187</v>
      </c>
      <c r="E166" s="1007">
        <f t="shared" si="18"/>
        <v>122093</v>
      </c>
      <c r="F166" s="1007">
        <f t="shared" si="19"/>
        <v>122649</v>
      </c>
      <c r="G166" s="925">
        <f t="shared" si="17"/>
        <v>556</v>
      </c>
    </row>
    <row r="167" spans="1:7" ht="21.75" customHeight="1">
      <c r="A167" s="1593" t="s">
        <v>100</v>
      </c>
      <c r="B167" s="1593"/>
      <c r="C167" s="1593"/>
      <c r="D167" s="923" t="s">
        <v>187</v>
      </c>
      <c r="E167" s="1007">
        <f t="shared" si="18"/>
        <v>131392</v>
      </c>
      <c r="F167" s="1007">
        <f t="shared" si="19"/>
        <v>131788</v>
      </c>
      <c r="G167" s="925">
        <f t="shared" si="17"/>
        <v>396</v>
      </c>
    </row>
    <row r="168" spans="1:7" ht="21.75" customHeight="1">
      <c r="A168" s="1593" t="s">
        <v>101</v>
      </c>
      <c r="B168" s="1593"/>
      <c r="C168" s="1593"/>
      <c r="D168" s="923" t="s">
        <v>187</v>
      </c>
      <c r="E168" s="1007">
        <f t="shared" si="18"/>
        <v>23979</v>
      </c>
      <c r="F168" s="1007">
        <f t="shared" si="19"/>
        <v>24369</v>
      </c>
      <c r="G168" s="925">
        <f t="shared" si="17"/>
        <v>390</v>
      </c>
    </row>
    <row r="169" spans="1:7" ht="21.75" customHeight="1">
      <c r="A169" s="1593" t="s">
        <v>102</v>
      </c>
      <c r="B169" s="1593"/>
      <c r="C169" s="1593"/>
      <c r="D169" s="923" t="s">
        <v>187</v>
      </c>
      <c r="E169" s="1007">
        <f t="shared" si="18"/>
        <v>205830</v>
      </c>
      <c r="F169" s="1007">
        <f t="shared" si="19"/>
        <v>206487</v>
      </c>
      <c r="G169" s="925">
        <f t="shared" si="17"/>
        <v>657</v>
      </c>
    </row>
    <row r="170" spans="1:7" ht="24" customHeight="1">
      <c r="A170" s="1593" t="s">
        <v>103</v>
      </c>
      <c r="B170" s="1593"/>
      <c r="C170" s="1593"/>
      <c r="D170" s="923" t="s">
        <v>187</v>
      </c>
      <c r="E170" s="1007">
        <f t="shared" si="18"/>
        <v>71669</v>
      </c>
      <c r="F170" s="1007">
        <f t="shared" si="19"/>
        <v>71975</v>
      </c>
      <c r="G170" s="925">
        <f t="shared" si="17"/>
        <v>306</v>
      </c>
    </row>
    <row r="171" spans="1:7">
      <c r="A171" s="1593" t="s">
        <v>104</v>
      </c>
      <c r="B171" s="1593"/>
      <c r="C171" s="1593"/>
      <c r="D171" s="923" t="s">
        <v>187</v>
      </c>
      <c r="E171" s="1007">
        <f t="shared" si="18"/>
        <v>63459</v>
      </c>
      <c r="F171" s="1007">
        <f t="shared" si="19"/>
        <v>63792</v>
      </c>
      <c r="G171" s="925">
        <f t="shared" si="17"/>
        <v>333</v>
      </c>
    </row>
    <row r="172" spans="1:7">
      <c r="G172" s="1091">
        <f>SUM(G160:G171)</f>
        <v>3480.1400000000003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0" zoomScale="55" zoomScaleSheetLayoutView="55" workbookViewId="0">
      <selection activeCell="F19" sqref="F19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4" s="281" customFormat="1" ht="27">
      <c r="A2" s="652" t="s">
        <v>341</v>
      </c>
      <c r="B2" s="1164">
        <v>43888</v>
      </c>
      <c r="C2" s="1232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>
      <c r="A3" s="647"/>
      <c r="B3" s="691"/>
      <c r="C3" s="1232" t="s">
        <v>120</v>
      </c>
      <c r="D3" s="689">
        <v>22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122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'26'!F7</f>
        <v>4402658</v>
      </c>
      <c r="F7" s="531">
        <v>4423259</v>
      </c>
      <c r="G7" s="759">
        <f>F7-E7</f>
        <v>20601</v>
      </c>
      <c r="H7" s="760">
        <f>G7+'26'!H7</f>
        <v>535061</v>
      </c>
      <c r="I7" s="761">
        <f>'1'!I7</f>
        <v>12000</v>
      </c>
      <c r="J7" s="762">
        <f>H7/DAY(B2)</f>
        <v>19817.074074074073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133</v>
      </c>
      <c r="B8" s="764"/>
      <c r="C8" s="765"/>
      <c r="D8" s="766" t="s">
        <v>25</v>
      </c>
      <c r="E8" s="710">
        <f>'26'!F8</f>
        <v>4430516</v>
      </c>
      <c r="F8" s="551">
        <v>4451214</v>
      </c>
      <c r="G8" s="770">
        <f>F8-E8</f>
        <v>20698</v>
      </c>
      <c r="H8" s="760">
        <f>G8+'26'!H8</f>
        <v>538363</v>
      </c>
      <c r="I8" s="767">
        <f>'1'!I8</f>
        <v>12000</v>
      </c>
      <c r="J8" s="762">
        <f>H8/DAY(B2)</f>
        <v>19939.370370370369</v>
      </c>
      <c r="K8" s="626"/>
      <c r="L8" s="464"/>
      <c r="M8" s="479"/>
      <c r="N8" s="784"/>
    </row>
    <row r="9" spans="1:14">
      <c r="A9" s="768" t="s">
        <v>134</v>
      </c>
      <c r="B9" s="769"/>
      <c r="C9" s="769"/>
      <c r="D9" s="715" t="s">
        <v>132</v>
      </c>
      <c r="E9" s="712">
        <f>'26'!F9</f>
        <v>58614</v>
      </c>
      <c r="F9" s="554">
        <v>72462.47</v>
      </c>
      <c r="G9" s="783">
        <f t="shared" ref="G9:G12" si="0">F9-E9</f>
        <v>13848.470000000001</v>
      </c>
      <c r="H9" s="760">
        <f>G9+'26'!H9</f>
        <v>309001.71999999997</v>
      </c>
      <c r="I9" s="771">
        <f>I8-J8</f>
        <v>-7939.3703703703686</v>
      </c>
      <c r="J9" s="762">
        <f>H9/DAY(B2)</f>
        <v>11444.508148148147</v>
      </c>
      <c r="K9" s="467"/>
      <c r="L9" s="408"/>
      <c r="N9" s="413"/>
    </row>
    <row r="10" spans="1:14">
      <c r="A10" s="757" t="s">
        <v>135</v>
      </c>
      <c r="B10" s="758"/>
      <c r="C10" s="758"/>
      <c r="D10" s="715" t="s">
        <v>132</v>
      </c>
      <c r="E10" s="712">
        <f>'26'!F10</f>
        <v>12787</v>
      </c>
      <c r="F10" s="554">
        <v>18982.07</v>
      </c>
      <c r="G10" s="770">
        <f t="shared" si="0"/>
        <v>6195.07</v>
      </c>
      <c r="H10" s="760">
        <f>G10+'26'!H10</f>
        <v>208279.6700000001</v>
      </c>
      <c r="I10" s="772"/>
      <c r="J10" s="762">
        <f>H10/DAY(B2)</f>
        <v>7714.0618518518559</v>
      </c>
      <c r="K10" s="467"/>
      <c r="L10" s="408"/>
      <c r="N10" s="413"/>
    </row>
    <row r="11" spans="1:14">
      <c r="A11" s="757" t="s">
        <v>136</v>
      </c>
      <c r="B11" s="758"/>
      <c r="C11" s="758"/>
      <c r="D11" s="715" t="s">
        <v>132</v>
      </c>
      <c r="E11" s="710">
        <f>'26'!F11</f>
        <v>37000</v>
      </c>
      <c r="F11" s="531">
        <v>37000</v>
      </c>
      <c r="G11" s="770">
        <f t="shared" si="0"/>
        <v>0</v>
      </c>
      <c r="H11" s="760">
        <f>G11+'26'!H11</f>
        <v>1610</v>
      </c>
      <c r="I11" s="772"/>
      <c r="J11" s="762">
        <f>H11/DAY(B2)</f>
        <v>59.629629629629626</v>
      </c>
      <c r="K11" s="467"/>
      <c r="L11" s="408"/>
      <c r="N11" s="413"/>
    </row>
    <row r="12" spans="1:14">
      <c r="A12" s="757" t="s">
        <v>137</v>
      </c>
      <c r="B12" s="758"/>
      <c r="C12" s="758"/>
      <c r="D12" s="715" t="s">
        <v>132</v>
      </c>
      <c r="E12" s="712">
        <f>'26'!F12</f>
        <v>40010</v>
      </c>
      <c r="F12" s="554">
        <v>40010</v>
      </c>
      <c r="G12" s="770">
        <f t="shared" si="0"/>
        <v>0</v>
      </c>
      <c r="H12" s="760">
        <f>G12+'26'!H12</f>
        <v>2380</v>
      </c>
      <c r="I12" s="772"/>
      <c r="J12" s="762">
        <f>H12/DAY(B2)</f>
        <v>88.148148148148152</v>
      </c>
      <c r="K12" s="467"/>
      <c r="L12" s="408"/>
      <c r="N12" s="413"/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20043.54</v>
      </c>
      <c r="H13" s="760">
        <f>G13+'26'!H13</f>
        <v>502965.39000000007</v>
      </c>
      <c r="I13" s="776">
        <f>G7-G13</f>
        <v>557.45999999999913</v>
      </c>
      <c r="J13" s="762">
        <f>H13/DAY(B2)</f>
        <v>18628.347777777781</v>
      </c>
      <c r="K13" s="467"/>
      <c r="L13" s="408"/>
      <c r="N13" s="413"/>
    </row>
    <row r="14" spans="1:14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140</v>
      </c>
      <c r="B15" s="747"/>
      <c r="C15" s="747"/>
      <c r="D15" s="748" t="s">
        <v>141</v>
      </c>
      <c r="E15" s="749">
        <f>'26'!F15</f>
        <v>1617857</v>
      </c>
      <c r="F15" s="781">
        <v>1618818.6029999999</v>
      </c>
      <c r="G15" s="745">
        <f>(F15-E15)</f>
        <v>961.60299999988638</v>
      </c>
      <c r="H15" s="751">
        <f>G15+'26'!H15</f>
        <v>24381.45299999998</v>
      </c>
      <c r="I15" s="752">
        <v>800</v>
      </c>
      <c r="J15" s="1375">
        <f>H15/DAY(B2)</f>
        <v>903.01677777777707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-103.01677777777707</v>
      </c>
      <c r="J16" s="753"/>
      <c r="K16" s="467"/>
      <c r="L16" s="408"/>
      <c r="N16" s="413"/>
    </row>
    <row r="17" spans="1:14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72" t="s">
        <v>143</v>
      </c>
      <c r="B18" s="1473"/>
      <c r="C18" s="1474"/>
      <c r="D18" s="715" t="s">
        <v>144</v>
      </c>
      <c r="E18" s="712">
        <f>'26'!F18</f>
        <v>12</v>
      </c>
      <c r="F18" s="554">
        <v>18</v>
      </c>
      <c r="G18" s="775">
        <f>F18*10</f>
        <v>180</v>
      </c>
      <c r="H18" s="760">
        <f>G18+'26'!H18</f>
        <v>4330</v>
      </c>
      <c r="I18" s="761">
        <f>'1'!I18</f>
        <v>65</v>
      </c>
      <c r="J18" s="762">
        <f>H18/DAY(B2)</f>
        <v>160.37037037037038</v>
      </c>
      <c r="K18" s="467"/>
      <c r="L18" s="408"/>
      <c r="N18" s="413"/>
    </row>
    <row r="19" spans="1:14" ht="27.75">
      <c r="A19" s="1472" t="s">
        <v>71</v>
      </c>
      <c r="B19" s="1473"/>
      <c r="C19" s="1474"/>
      <c r="D19" s="715" t="s">
        <v>144</v>
      </c>
      <c r="E19" s="712">
        <f>'26'!F19</f>
        <v>134362</v>
      </c>
      <c r="F19" s="554">
        <v>134416</v>
      </c>
      <c r="G19" s="770">
        <f t="shared" ref="G19" si="1">F19-E19</f>
        <v>54</v>
      </c>
      <c r="H19" s="760">
        <f>G19+'26'!H19</f>
        <v>1368</v>
      </c>
      <c r="I19" s="777"/>
      <c r="J19" s="762">
        <f>H19/DAY(B2)</f>
        <v>50.666666666666664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234</v>
      </c>
      <c r="H20" s="760">
        <f>G20+'26'!H20</f>
        <v>5698</v>
      </c>
      <c r="I20" s="779">
        <f>I18-J20</f>
        <v>-146.03703703703704</v>
      </c>
      <c r="J20" s="762">
        <f>H20/DAY(B2)</f>
        <v>211.03703703703704</v>
      </c>
      <c r="K20" s="467"/>
      <c r="L20" s="408"/>
      <c r="N20" s="413"/>
    </row>
    <row r="21" spans="1:14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147</v>
      </c>
      <c r="B22" s="666"/>
      <c r="C22" s="666"/>
      <c r="D22" s="599" t="s">
        <v>148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149</v>
      </c>
      <c r="B23" s="666"/>
      <c r="C23" s="666"/>
      <c r="D23" s="599" t="s">
        <v>148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20698</v>
      </c>
      <c r="F27" s="577">
        <v>9</v>
      </c>
      <c r="G27" s="578">
        <f>E27*F27</f>
        <v>186282</v>
      </c>
      <c r="H27" s="536">
        <f>G27+'26'!H27</f>
        <v>4845267</v>
      </c>
      <c r="I27" s="579"/>
      <c r="J27" s="629">
        <f>H27/DAY(B2)</f>
        <v>179454.33333333334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961.60299999988638</v>
      </c>
      <c r="F28" s="577">
        <v>43.5</v>
      </c>
      <c r="G28" s="578">
        <f>E28*F28</f>
        <v>41829.730499995057</v>
      </c>
      <c r="H28" s="536">
        <f>G28+'26'!H28</f>
        <v>1060593.2054999992</v>
      </c>
      <c r="I28" s="581"/>
      <c r="J28" s="629">
        <f>H28/DAY(B2)</f>
        <v>39281.229833333302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183312</v>
      </c>
      <c r="I30" s="581"/>
      <c r="J30" s="629">
        <f>H30/DAY(B2)</f>
        <v>6789.333333333333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180</v>
      </c>
      <c r="F31" s="577">
        <v>80</v>
      </c>
      <c r="G31" s="578">
        <f>E31*F31</f>
        <v>14400</v>
      </c>
      <c r="H31" s="536">
        <f>G31+'26'!H31</f>
        <v>346400</v>
      </c>
      <c r="I31" s="581"/>
      <c r="J31" s="629"/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249747.73049999506</v>
      </c>
      <c r="H32" s="536">
        <f>G32+'26'!H32</f>
        <v>6597722.2054999992</v>
      </c>
      <c r="I32" s="585"/>
      <c r="J32" s="629">
        <f>H32/DAY(B2)</f>
        <v>244360.08168518517</v>
      </c>
      <c r="K32" s="404"/>
      <c r="L32" s="484"/>
      <c r="N32" s="413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13"/>
    </row>
    <row r="34" spans="1:14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'26'!F35</f>
        <v>686650</v>
      </c>
      <c r="F35" s="586">
        <v>689771.35</v>
      </c>
      <c r="G35" s="549">
        <f t="shared" ref="G35:G46" si="3">F35-E35</f>
        <v>3121.3499999999767</v>
      </c>
      <c r="H35" s="536">
        <f>G35+'26'!H35</f>
        <v>60743.679999999935</v>
      </c>
      <c r="I35" s="531"/>
      <c r="J35" s="629">
        <f>H35/DAY(B2)</f>
        <v>2249.7659259259235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'26'!F36</f>
        <v>295269</v>
      </c>
      <c r="F36" s="586">
        <v>295831.33</v>
      </c>
      <c r="G36" s="549">
        <f t="shared" si="3"/>
        <v>562.3300000000163</v>
      </c>
      <c r="H36" s="536">
        <f>G36+'26'!H36</f>
        <v>19339.880000000005</v>
      </c>
      <c r="I36" s="531"/>
      <c r="J36" s="629">
        <f>H36/DAY(B2)</f>
        <v>716.29185185185202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'26'!F37</f>
        <v>29086</v>
      </c>
      <c r="F37" s="586">
        <v>30576.07</v>
      </c>
      <c r="G37" s="549">
        <f t="shared" si="3"/>
        <v>1490.0699999999997</v>
      </c>
      <c r="H37" s="536">
        <f>G37+'26'!H37</f>
        <v>30576.07</v>
      </c>
      <c r="I37" s="531"/>
      <c r="J37" s="629">
        <f>H37/DAY(B2)</f>
        <v>1132.447037037037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86">
        <f>'26'!F38</f>
        <v>39316</v>
      </c>
      <c r="F38" s="545">
        <v>41540.754999999997</v>
      </c>
      <c r="G38" s="549">
        <f t="shared" si="3"/>
        <v>2224.7549999999974</v>
      </c>
      <c r="H38" s="536">
        <f>G38+'26'!H38</f>
        <v>41442.875</v>
      </c>
      <c r="I38" s="531"/>
      <c r="J38" s="629">
        <f>H38/DAY(B2)</f>
        <v>1534.9212962962963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'26'!F39</f>
        <v>82129</v>
      </c>
      <c r="F39" s="586">
        <v>86304.45</v>
      </c>
      <c r="G39" s="549">
        <f t="shared" si="3"/>
        <v>4175.4499999999971</v>
      </c>
      <c r="H39" s="536">
        <f>G39+'26'!H39</f>
        <v>86304.45</v>
      </c>
      <c r="I39" s="531"/>
      <c r="J39" s="629">
        <f>H39/DAY(B2)</f>
        <v>3196.4611111111112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'26'!F41</f>
        <v>63882</v>
      </c>
      <c r="F41" s="586">
        <v>63882.37</v>
      </c>
      <c r="G41" s="549">
        <f t="shared" si="3"/>
        <v>0.37000000000261934</v>
      </c>
      <c r="H41" s="536">
        <f>G41+'26'!H41</f>
        <v>19259.850000000006</v>
      </c>
      <c r="I41" s="531"/>
      <c r="J41" s="629">
        <f>H41/DAY(B2)</f>
        <v>713.32777777777801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'26'!F42</f>
        <v>59129</v>
      </c>
      <c r="F42" s="586">
        <v>59128.85</v>
      </c>
      <c r="G42" s="549">
        <f t="shared" si="3"/>
        <v>-0.15000000000145519</v>
      </c>
      <c r="H42" s="536">
        <f>G42+'26'!H42</f>
        <v>202.84999999999854</v>
      </c>
      <c r="I42" s="531"/>
      <c r="J42" s="629">
        <f>H42/DAY(B2)</f>
        <v>7.5129629629629093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'26'!F43</f>
        <v>821228</v>
      </c>
      <c r="F43" s="586">
        <v>823506.23</v>
      </c>
      <c r="G43" s="549">
        <f t="shared" si="3"/>
        <v>2278.2299999999814</v>
      </c>
      <c r="H43" s="536">
        <f>G43+'26'!H43</f>
        <v>55694.319999999949</v>
      </c>
      <c r="I43" s="531"/>
      <c r="J43" s="629">
        <f>H43/DAY(B2)</f>
        <v>2062.7525925925906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13852.40499999997</v>
      </c>
      <c r="H47" s="536">
        <f>G47+'26'!H47</f>
        <v>313562.94499999983</v>
      </c>
      <c r="I47" s="531"/>
      <c r="J47" s="629">
        <f>H47/DAY(B2)</f>
        <v>11613.442407407401</v>
      </c>
      <c r="K47" s="467"/>
      <c r="L47" s="408"/>
      <c r="N47" s="413"/>
    </row>
    <row r="48" spans="1:14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'26'!F49</f>
        <v>260732</v>
      </c>
      <c r="F49" s="586">
        <v>260732.13</v>
      </c>
      <c r="G49" s="549">
        <f t="shared" ref="G49:G58" si="4">F49-E49</f>
        <v>0.13000000000465661</v>
      </c>
      <c r="H49" s="536">
        <f>G49+'26'!H49</f>
        <v>14833.080000000016</v>
      </c>
      <c r="I49" s="531"/>
      <c r="J49" s="629">
        <f>H49/DAY(B2)</f>
        <v>549.3733333333339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'26'!F50</f>
        <v>400400</v>
      </c>
      <c r="F50" s="586">
        <v>401372.27</v>
      </c>
      <c r="G50" s="549">
        <f t="shared" si="4"/>
        <v>972.27000000001863</v>
      </c>
      <c r="H50" s="536">
        <f>G50+'26'!H50</f>
        <v>31711.960000000021</v>
      </c>
      <c r="I50" s="531"/>
      <c r="J50" s="629">
        <f>H50/DAY(B2)</f>
        <v>1174.5170370370379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'26'!F51</f>
        <v>120051</v>
      </c>
      <c r="F51" s="586">
        <v>120050.92</v>
      </c>
      <c r="G51" s="549">
        <f t="shared" si="4"/>
        <v>-8.000000000174623E-2</v>
      </c>
      <c r="H51" s="536">
        <f>G51+'26'!H51</f>
        <v>9951.179999999993</v>
      </c>
      <c r="I51" s="531"/>
      <c r="J51" s="629">
        <f>H51/DAY(B2)</f>
        <v>368.56222222222198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'26'!F52</f>
        <v>507913</v>
      </c>
      <c r="F52" s="586">
        <v>507912.71</v>
      </c>
      <c r="G52" s="549">
        <f t="shared" si="4"/>
        <v>-0.28999999997904524</v>
      </c>
      <c r="H52" s="536">
        <f>G52+'26'!H52</f>
        <v>14104.040000000037</v>
      </c>
      <c r="I52" s="531"/>
      <c r="J52" s="629">
        <f>H52/DAY(B2)</f>
        <v>522.37185185185319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'26'!F53</f>
        <v>331855</v>
      </c>
      <c r="F53" s="586">
        <v>331854.51</v>
      </c>
      <c r="G53" s="549">
        <f t="shared" si="4"/>
        <v>-0.48999999999068677</v>
      </c>
      <c r="H53" s="536">
        <f>G53+'26'!H53</f>
        <v>27556.239999999991</v>
      </c>
      <c r="I53" s="531"/>
      <c r="J53" s="629">
        <f>H53/DAY(B2)</f>
        <v>1020.6014814814812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'26'!F54</f>
        <v>7956</v>
      </c>
      <c r="F54" s="586">
        <v>8025.47</v>
      </c>
      <c r="G54" s="549">
        <f t="shared" si="4"/>
        <v>69.470000000000255</v>
      </c>
      <c r="H54" s="536">
        <f>G54+'26'!H54</f>
        <v>1636.67</v>
      </c>
      <c r="I54" s="531"/>
      <c r="J54" s="629">
        <f>H54/DAY(B2)</f>
        <v>60.617407407407413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'26'!F55</f>
        <v>106716</v>
      </c>
      <c r="F55" s="734">
        <v>111933.89</v>
      </c>
      <c r="G55" s="733">
        <f t="shared" si="4"/>
        <v>5217.8899999999994</v>
      </c>
      <c r="H55" s="787">
        <f>G55+'26'!H55</f>
        <v>68945.91</v>
      </c>
      <c r="I55" s="788"/>
      <c r="J55" s="789">
        <f>H55/DAY(B2)</f>
        <v>2553.5522222222226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'26'!F56</f>
        <v>586023</v>
      </c>
      <c r="F56" s="734">
        <v>586043.55000000005</v>
      </c>
      <c r="G56" s="549">
        <f t="shared" si="4"/>
        <v>20.550000000046566</v>
      </c>
      <c r="H56" s="536">
        <f>G56+'26'!H56</f>
        <v>28311.640000000014</v>
      </c>
      <c r="I56" s="531"/>
      <c r="J56" s="629">
        <f>H56/DAY(B2)</f>
        <v>1048.5792592592597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'26'!F57</f>
        <v>7711</v>
      </c>
      <c r="F57" s="586">
        <v>7711.33</v>
      </c>
      <c r="G57" s="549">
        <f t="shared" si="4"/>
        <v>0.32999999999992724</v>
      </c>
      <c r="H57" s="536">
        <f>G57+'26'!H57</f>
        <v>7711.33</v>
      </c>
      <c r="I57" s="531"/>
      <c r="J57" s="629">
        <f>H57/DAY(B2)</f>
        <v>285.6048148148148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'26'!F58</f>
        <v>35454</v>
      </c>
      <c r="F58" s="734">
        <v>35673.660000000003</v>
      </c>
      <c r="G58" s="549">
        <f t="shared" si="4"/>
        <v>219.66000000000349</v>
      </c>
      <c r="H58" s="536">
        <f>G58+'26'!H58</f>
        <v>4944.1200000000063</v>
      </c>
      <c r="I58" s="531"/>
      <c r="J58" s="629">
        <f>H58/DAY(B2)</f>
        <v>183.1155555555558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6499.4400000001015</v>
      </c>
      <c r="H59" s="536">
        <f>G59+'26'!H59</f>
        <v>209706.1700000001</v>
      </c>
      <c r="I59" s="531">
        <f>G7-G60</f>
        <v>249.15499999992971</v>
      </c>
      <c r="J59" s="629">
        <f>H59/DAY(B2)</f>
        <v>7766.8951851851889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20351.84500000007</v>
      </c>
      <c r="H60" s="536">
        <f>G60+'26'!H60</f>
        <v>528449.30499999982</v>
      </c>
      <c r="I60" s="531">
        <f>G13-G60</f>
        <v>-308.30500000006941</v>
      </c>
      <c r="J60" s="629">
        <f>H60/DAY(B2)</f>
        <v>19572.196481481475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'26'!F63</f>
        <v>1678</v>
      </c>
      <c r="F63" s="590">
        <v>1692.01</v>
      </c>
      <c r="G63" s="549">
        <f t="shared" si="5"/>
        <v>14.009999999999991</v>
      </c>
      <c r="H63" s="536">
        <f>G63+'26'!H63</f>
        <v>359.48</v>
      </c>
      <c r="I63" s="591"/>
      <c r="J63" s="629">
        <f>H63/DAY(B2)</f>
        <v>13.314074074074075</v>
      </c>
      <c r="K63" s="467"/>
      <c r="L63" s="408"/>
      <c r="N63" s="413"/>
    </row>
    <row r="64" spans="1:14" ht="27.75">
      <c r="A64" s="1416" t="s">
        <v>99</v>
      </c>
      <c r="B64" s="1417"/>
      <c r="C64" s="1418"/>
      <c r="D64" s="599" t="s">
        <v>187</v>
      </c>
      <c r="E64" s="590">
        <f>'26'!F64</f>
        <v>122649</v>
      </c>
      <c r="F64" s="554">
        <v>123136.85</v>
      </c>
      <c r="G64" s="549">
        <f t="shared" si="5"/>
        <v>487.85000000000582</v>
      </c>
      <c r="H64" s="536">
        <f>G64+'26'!H64</f>
        <v>11853.39</v>
      </c>
      <c r="I64" s="556"/>
      <c r="J64" s="629">
        <f>H64/DAY(B2)</f>
        <v>439.01444444444445</v>
      </c>
      <c r="K64" s="467"/>
      <c r="L64" s="408"/>
      <c r="N64" s="413"/>
    </row>
    <row r="65" spans="1:14" ht="27.75">
      <c r="A65" s="1416" t="s">
        <v>100</v>
      </c>
      <c r="B65" s="1417"/>
      <c r="C65" s="1418"/>
      <c r="D65" s="599" t="s">
        <v>187</v>
      </c>
      <c r="E65" s="590">
        <f>'26'!F65</f>
        <v>131788</v>
      </c>
      <c r="F65" s="732">
        <v>132180.92000000001</v>
      </c>
      <c r="G65" s="549">
        <f t="shared" si="5"/>
        <v>392.92000000001281</v>
      </c>
      <c r="H65" s="536">
        <f>G65+'26'!H65</f>
        <v>10447.810000000012</v>
      </c>
      <c r="I65" s="565"/>
      <c r="J65" s="629">
        <f>H65/DAY(B2)</f>
        <v>386.95592592592635</v>
      </c>
      <c r="K65" s="467"/>
      <c r="L65" s="408"/>
      <c r="N65" s="413"/>
    </row>
    <row r="66" spans="1:14" ht="27.75">
      <c r="A66" s="1416" t="s">
        <v>101</v>
      </c>
      <c r="B66" s="1417"/>
      <c r="C66" s="1418"/>
      <c r="D66" s="599" t="s">
        <v>187</v>
      </c>
      <c r="E66" s="590">
        <f>'26'!F66</f>
        <v>24369</v>
      </c>
      <c r="F66" s="554">
        <v>24755.439999999999</v>
      </c>
      <c r="G66" s="549">
        <f t="shared" si="5"/>
        <v>386.43999999999869</v>
      </c>
      <c r="H66" s="536">
        <f>G66+'26'!H66</f>
        <v>10595.699999999999</v>
      </c>
      <c r="I66" s="556"/>
      <c r="J66" s="629">
        <f>H66/DAY(B2)</f>
        <v>392.43333333333328</v>
      </c>
      <c r="K66" s="467"/>
      <c r="L66" s="408"/>
      <c r="N66" s="413"/>
    </row>
    <row r="67" spans="1:14" ht="27.75">
      <c r="A67" s="1416" t="s">
        <v>102</v>
      </c>
      <c r="B67" s="1417"/>
      <c r="C67" s="1418"/>
      <c r="D67" s="599" t="s">
        <v>187</v>
      </c>
      <c r="E67" s="590">
        <f>'26'!F67</f>
        <v>206487</v>
      </c>
      <c r="F67" s="554">
        <v>207148.43</v>
      </c>
      <c r="G67" s="549">
        <f t="shared" si="5"/>
        <v>661.42999999999302</v>
      </c>
      <c r="H67" s="536">
        <f>G67+'26'!H67</f>
        <v>18473.899999999994</v>
      </c>
      <c r="I67" s="565"/>
      <c r="J67" s="629">
        <f>H67/DAY(B2)</f>
        <v>684.21851851851829</v>
      </c>
      <c r="K67" s="468"/>
      <c r="L67" s="408"/>
      <c r="N67" s="413"/>
    </row>
    <row r="68" spans="1:14" ht="27.75">
      <c r="A68" s="1416" t="s">
        <v>103</v>
      </c>
      <c r="B68" s="1417"/>
      <c r="C68" s="1418"/>
      <c r="D68" s="599" t="s">
        <v>187</v>
      </c>
      <c r="E68" s="590">
        <f>'26'!F68</f>
        <v>71975</v>
      </c>
      <c r="F68" s="554">
        <v>72307.600000000006</v>
      </c>
      <c r="G68" s="549">
        <f t="shared" si="5"/>
        <v>332.60000000000582</v>
      </c>
      <c r="H68" s="536">
        <f>G68+'26'!H68</f>
        <v>10007.740000000005</v>
      </c>
      <c r="I68" s="592"/>
      <c r="J68" s="629">
        <f>H68/DAY(B2)</f>
        <v>370.65703703703724</v>
      </c>
      <c r="K68" s="469"/>
      <c r="L68" s="408"/>
      <c r="N68" s="413"/>
    </row>
    <row r="69" spans="1:14" ht="27.75">
      <c r="A69" s="1416" t="s">
        <v>104</v>
      </c>
      <c r="B69" s="1417"/>
      <c r="C69" s="1418"/>
      <c r="D69" s="599" t="s">
        <v>187</v>
      </c>
      <c r="E69" s="590">
        <f>'26'!F69</f>
        <v>63792</v>
      </c>
      <c r="F69" s="554">
        <v>64110.66</v>
      </c>
      <c r="G69" s="549">
        <f t="shared" si="5"/>
        <v>318.66000000000349</v>
      </c>
      <c r="H69" s="536">
        <f>G69+'26'!H69</f>
        <v>8386.9500000000044</v>
      </c>
      <c r="I69" s="592"/>
      <c r="J69" s="629">
        <f>H69/DAY(B2)</f>
        <v>310.62777777777796</v>
      </c>
      <c r="K69" s="470"/>
      <c r="L69" s="408"/>
      <c r="N69" s="413"/>
    </row>
    <row r="70" spans="1:14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13"/>
    </row>
    <row r="72" spans="1:14" ht="27.75">
      <c r="A72" s="1416" t="s">
        <v>191</v>
      </c>
      <c r="B72" s="1417"/>
      <c r="C72" s="1418"/>
      <c r="D72" s="599" t="s">
        <v>187</v>
      </c>
      <c r="E72" s="595">
        <f>'26'!F72</f>
        <v>850432</v>
      </c>
      <c r="F72" s="735">
        <v>850511</v>
      </c>
      <c r="G72" s="549">
        <f t="shared" ref="G72:G84" si="6">F72-E72</f>
        <v>79</v>
      </c>
      <c r="H72" s="536">
        <f>G72+'26'!H72</f>
        <v>1959</v>
      </c>
      <c r="I72" s="556"/>
      <c r="J72" s="629">
        <f>H72/DAY(B2)</f>
        <v>72.555555555555557</v>
      </c>
      <c r="K72" s="470"/>
      <c r="L72" s="408"/>
      <c r="N72" s="413"/>
    </row>
    <row r="73" spans="1:14" ht="27.75">
      <c r="A73" s="1416" t="s">
        <v>192</v>
      </c>
      <c r="B73" s="1417"/>
      <c r="C73" s="1418"/>
      <c r="D73" s="599" t="s">
        <v>187</v>
      </c>
      <c r="E73" s="595">
        <f>'26'!F73</f>
        <v>885771</v>
      </c>
      <c r="F73" s="736">
        <v>885771</v>
      </c>
      <c r="G73" s="733">
        <f t="shared" si="6"/>
        <v>0</v>
      </c>
      <c r="H73" s="536">
        <f>G73+'26'!H73</f>
        <v>990</v>
      </c>
      <c r="I73" s="556"/>
      <c r="J73" s="629">
        <f>H73/DAY(B2)</f>
        <v>36.666666666666664</v>
      </c>
      <c r="K73" s="469"/>
      <c r="L73" s="408"/>
      <c r="N73" s="413"/>
    </row>
    <row r="74" spans="1:14" ht="27.75">
      <c r="A74" s="1416" t="s">
        <v>193</v>
      </c>
      <c r="B74" s="1417"/>
      <c r="C74" s="1418"/>
      <c r="D74" s="599" t="s">
        <v>187</v>
      </c>
      <c r="E74" s="595">
        <f>'26'!F74</f>
        <v>516</v>
      </c>
      <c r="F74" s="736">
        <v>537.29999999999995</v>
      </c>
      <c r="G74" s="549">
        <f t="shared" si="6"/>
        <v>21.299999999999955</v>
      </c>
      <c r="H74" s="536">
        <f>G74+'26'!H74</f>
        <v>766.4</v>
      </c>
      <c r="I74" s="556"/>
      <c r="J74" s="629">
        <f>H74/DAY(B2)</f>
        <v>28.385185185185183</v>
      </c>
      <c r="K74" s="470"/>
      <c r="L74" s="408"/>
      <c r="N74" s="413"/>
    </row>
    <row r="75" spans="1:14" ht="27.75">
      <c r="A75" s="1465" t="s">
        <v>194</v>
      </c>
      <c r="B75" s="1466"/>
      <c r="C75" s="1467"/>
      <c r="D75" s="599" t="s">
        <v>187</v>
      </c>
      <c r="E75" s="595">
        <f>'26'!F75</f>
        <v>3184</v>
      </c>
      <c r="F75" s="735">
        <v>3356.88</v>
      </c>
      <c r="G75" s="549">
        <f t="shared" si="6"/>
        <v>172.88000000000011</v>
      </c>
      <c r="H75" s="536">
        <f>G75+'26'!H75</f>
        <v>4893.2800000000007</v>
      </c>
      <c r="I75" s="556"/>
      <c r="J75" s="629">
        <f>H75/DAY(B2)</f>
        <v>181.23259259259262</v>
      </c>
      <c r="K75" s="469"/>
      <c r="L75" s="408"/>
      <c r="N75" s="413"/>
    </row>
    <row r="76" spans="1:14" ht="27.75">
      <c r="A76" s="1465" t="s">
        <v>195</v>
      </c>
      <c r="B76" s="1466"/>
      <c r="C76" s="1467"/>
      <c r="D76" s="599" t="s">
        <v>187</v>
      </c>
      <c r="E76" s="595">
        <f>'26'!F76</f>
        <v>1355</v>
      </c>
      <c r="F76" s="736">
        <v>1433.17</v>
      </c>
      <c r="G76" s="549">
        <f t="shared" si="6"/>
        <v>78.170000000000073</v>
      </c>
      <c r="H76" s="536">
        <f>G76+'26'!H76</f>
        <v>3430.3700000000003</v>
      </c>
      <c r="I76" s="581"/>
      <c r="J76" s="629">
        <f>H76/DAY(B2)</f>
        <v>127.05074074074075</v>
      </c>
      <c r="K76" s="469"/>
      <c r="L76" s="408"/>
      <c r="N76" s="413"/>
    </row>
    <row r="77" spans="1:14" ht="27.75">
      <c r="A77" s="1416" t="s">
        <v>196</v>
      </c>
      <c r="B77" s="1417"/>
      <c r="C77" s="1418"/>
      <c r="D77" s="599" t="s">
        <v>187</v>
      </c>
      <c r="E77" s="595">
        <f>'26'!F77</f>
        <v>698495</v>
      </c>
      <c r="F77" s="736">
        <v>698540</v>
      </c>
      <c r="G77" s="733">
        <f t="shared" si="6"/>
        <v>45</v>
      </c>
      <c r="H77" s="536">
        <f>G77+'26'!H77</f>
        <v>1433</v>
      </c>
      <c r="I77" s="581"/>
      <c r="J77" s="629">
        <f>H77/DAY(B2)</f>
        <v>53.074074074074076</v>
      </c>
      <c r="K77" s="469"/>
      <c r="L77" s="408"/>
      <c r="N77" s="413"/>
    </row>
    <row r="78" spans="1:14" ht="27.75">
      <c r="A78" s="1233" t="s">
        <v>197</v>
      </c>
      <c r="B78" s="1204"/>
      <c r="C78" s="1204"/>
      <c r="D78" s="599" t="s">
        <v>187</v>
      </c>
      <c r="E78" s="595">
        <f>'26'!F78</f>
        <v>652125</v>
      </c>
      <c r="F78" s="735">
        <v>652450</v>
      </c>
      <c r="G78" s="549">
        <f t="shared" si="6"/>
        <v>325</v>
      </c>
      <c r="H78" s="536">
        <f>G78+'26'!H78</f>
        <v>10497</v>
      </c>
      <c r="I78" s="581"/>
      <c r="J78" s="629">
        <f>H78/DAY(B2)</f>
        <v>388.77777777777777</v>
      </c>
      <c r="K78" s="469"/>
      <c r="L78" s="408"/>
      <c r="N78" s="413"/>
    </row>
    <row r="79" spans="1:14" ht="27.75">
      <c r="A79" s="1465" t="s">
        <v>92</v>
      </c>
      <c r="B79" s="1466"/>
      <c r="C79" s="1467"/>
      <c r="D79" s="600" t="s">
        <v>187</v>
      </c>
      <c r="E79" s="595">
        <f>'26'!F79</f>
        <v>814690</v>
      </c>
      <c r="F79" s="735">
        <v>814871</v>
      </c>
      <c r="G79" s="549">
        <f t="shared" si="6"/>
        <v>181</v>
      </c>
      <c r="H79" s="536">
        <f>G79+'26'!H79</f>
        <v>8045</v>
      </c>
      <c r="I79" s="581"/>
      <c r="J79" s="629">
        <f>H79/DAY(B2)</f>
        <v>297.96296296296299</v>
      </c>
      <c r="K79" s="469"/>
      <c r="L79" s="408"/>
      <c r="N79" s="413"/>
    </row>
    <row r="80" spans="1:14" ht="27.75">
      <c r="A80" s="1465" t="s">
        <v>198</v>
      </c>
      <c r="B80" s="1466"/>
      <c r="C80" s="1467"/>
      <c r="D80" s="600" t="s">
        <v>187</v>
      </c>
      <c r="E80" s="595">
        <f>'26'!F80</f>
        <v>493896</v>
      </c>
      <c r="F80" s="736">
        <v>494265.84</v>
      </c>
      <c r="G80" s="549">
        <f t="shared" si="6"/>
        <v>369.84000000002561</v>
      </c>
      <c r="H80" s="536">
        <f>G80+'26'!H80</f>
        <v>7684.1600000000326</v>
      </c>
      <c r="I80" s="581"/>
      <c r="J80" s="629">
        <f>H80/DAY(B2)</f>
        <v>284.59851851851971</v>
      </c>
      <c r="K80" s="469"/>
      <c r="L80" s="408"/>
      <c r="N80" s="413"/>
    </row>
    <row r="81" spans="1:15" ht="27.75">
      <c r="A81" s="1465" t="s">
        <v>199</v>
      </c>
      <c r="B81" s="1466"/>
      <c r="C81" s="1467"/>
      <c r="D81" s="600" t="s">
        <v>187</v>
      </c>
      <c r="E81" s="595">
        <f>'26'!F81</f>
        <v>625674</v>
      </c>
      <c r="F81" s="736">
        <v>625798.52</v>
      </c>
      <c r="G81" s="549">
        <f t="shared" si="6"/>
        <v>124.52000000001863</v>
      </c>
      <c r="H81" s="536">
        <f>G81+'26'!H81</f>
        <v>3023.5200000000186</v>
      </c>
      <c r="I81" s="581"/>
      <c r="J81" s="629">
        <f>H81/DAY(B2)</f>
        <v>111.98222222222292</v>
      </c>
      <c r="K81" s="469"/>
      <c r="L81" s="408"/>
      <c r="N81" s="413"/>
    </row>
    <row r="82" spans="1:15" ht="27.75">
      <c r="A82" s="1465" t="s">
        <v>93</v>
      </c>
      <c r="B82" s="1466"/>
      <c r="C82" s="1467"/>
      <c r="D82" s="561" t="s">
        <v>132</v>
      </c>
      <c r="E82" s="595">
        <f>'26'!F82</f>
        <v>106159</v>
      </c>
      <c r="F82" s="732">
        <v>106185.82</v>
      </c>
      <c r="G82" s="549">
        <f t="shared" si="6"/>
        <v>26.820000000006985</v>
      </c>
      <c r="H82" s="536">
        <f>G82+'26'!H82</f>
        <v>745.82000000000698</v>
      </c>
      <c r="I82" s="562"/>
      <c r="J82" s="629">
        <f>H82/DAY(B2)</f>
        <v>27.622962962963221</v>
      </c>
      <c r="K82" s="469"/>
      <c r="L82" s="408"/>
      <c r="N82" s="413"/>
    </row>
    <row r="83" spans="1:15" ht="27.75">
      <c r="A83" s="1465" t="s">
        <v>200</v>
      </c>
      <c r="B83" s="1466"/>
      <c r="C83" s="1467"/>
      <c r="D83" s="697" t="s">
        <v>132</v>
      </c>
      <c r="E83" s="595">
        <f>'26'!F83</f>
        <v>995362</v>
      </c>
      <c r="F83" s="697">
        <v>995838</v>
      </c>
      <c r="G83" s="549">
        <f t="shared" si="6"/>
        <v>476</v>
      </c>
      <c r="H83" s="536">
        <f>G83+'26'!H83</f>
        <v>12097</v>
      </c>
      <c r="I83" s="557"/>
      <c r="J83" s="629">
        <f>H83/DAY(B2)</f>
        <v>448.03703703703701</v>
      </c>
      <c r="K83" s="468"/>
      <c r="L83" s="408"/>
      <c r="N83" s="413"/>
    </row>
    <row r="84" spans="1:15">
      <c r="A84" s="1234" t="s">
        <v>201</v>
      </c>
      <c r="B84" s="648"/>
      <c r="C84" s="648"/>
      <c r="D84" s="554" t="s">
        <v>132</v>
      </c>
      <c r="E84" s="595">
        <f>'26'!F84</f>
        <v>429387</v>
      </c>
      <c r="F84" s="600">
        <v>430059</v>
      </c>
      <c r="G84" s="549">
        <f t="shared" si="6"/>
        <v>672</v>
      </c>
      <c r="H84" s="536">
        <f>G84+'26'!H84</f>
        <v>13986</v>
      </c>
      <c r="I84" s="557"/>
      <c r="J84" s="629">
        <f>H84/DAY(B2)</f>
        <v>518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2571.5300000000516</v>
      </c>
      <c r="H85" s="536">
        <f>G85+'26'!H85</f>
        <v>64247.180000000044</v>
      </c>
      <c r="I85" s="557"/>
      <c r="J85" s="629">
        <f>H85/DAY(B2)</f>
        <v>2379.5251851851867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'26'!F86</f>
        <v>450219</v>
      </c>
      <c r="F86" s="728">
        <v>450283.44</v>
      </c>
      <c r="G86" s="787">
        <f>F86-E86</f>
        <v>64.440000000002328</v>
      </c>
      <c r="H86" s="787">
        <f t="shared" ref="H86:H88" si="7">G86</f>
        <v>64.440000000002328</v>
      </c>
      <c r="I86" s="733"/>
      <c r="J86" s="789">
        <f>H86/DAY(B2)</f>
        <v>2.3866666666667529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'26'!F87</f>
        <v>79167.199999999997</v>
      </c>
      <c r="F87" s="728">
        <v>79194.600000000006</v>
      </c>
      <c r="G87" s="787">
        <f t="shared" ref="G87:G90" si="8">F87-E87</f>
        <v>27.400000000008731</v>
      </c>
      <c r="H87" s="787">
        <f t="shared" si="7"/>
        <v>27.400000000008731</v>
      </c>
      <c r="I87" s="733"/>
      <c r="J87" s="789">
        <f>H87/DAY(B2)</f>
        <v>1.0148148148151381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'26'!F88</f>
        <v>148201</v>
      </c>
      <c r="F88" s="728">
        <v>148233.9</v>
      </c>
      <c r="G88" s="787">
        <f t="shared" si="8"/>
        <v>32.899999999994179</v>
      </c>
      <c r="H88" s="787">
        <f t="shared" si="7"/>
        <v>32.899999999994179</v>
      </c>
      <c r="I88" s="733"/>
      <c r="J88" s="789">
        <f>H88/DAY(B2)</f>
        <v>1.218518518518303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'26'!F89</f>
        <v>61568</v>
      </c>
      <c r="F89" s="728">
        <v>61623.6</v>
      </c>
      <c r="G89" s="787">
        <f t="shared" si="8"/>
        <v>55.599999999998545</v>
      </c>
      <c r="H89" s="787">
        <f>G89</f>
        <v>55.599999999998545</v>
      </c>
      <c r="I89" s="733"/>
      <c r="J89" s="789">
        <f>H89/DAY(B2)</f>
        <v>2.0592592592592052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'26'!F90</f>
        <v>3160</v>
      </c>
      <c r="F90" s="728">
        <v>3161.9</v>
      </c>
      <c r="G90" s="787">
        <f t="shared" si="8"/>
        <v>1.9000000000000909</v>
      </c>
      <c r="H90" s="787">
        <f>G90</f>
        <v>1.9000000000000909</v>
      </c>
      <c r="I90" s="733"/>
      <c r="J90" s="789">
        <f>H90/DAY(B2)</f>
        <v>7.0370370370373733E-2</v>
      </c>
      <c r="K90" s="815"/>
      <c r="L90" s="816"/>
      <c r="N90" s="860"/>
      <c r="O90" s="413"/>
    </row>
    <row r="91" spans="1:15" s="410" customFormat="1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19" t="s">
        <v>206</v>
      </c>
      <c r="B92" s="1420"/>
      <c r="C92" s="1421"/>
      <c r="D92" s="599" t="s">
        <v>144</v>
      </c>
      <c r="E92" s="560">
        <f>'26'!F92</f>
        <v>239405</v>
      </c>
      <c r="F92" s="554">
        <v>239551</v>
      </c>
      <c r="G92" s="549">
        <f t="shared" ref="G92:G93" si="9">F92-E92</f>
        <v>146</v>
      </c>
      <c r="H92" s="536">
        <f>G92+'26'!H92</f>
        <v>2981</v>
      </c>
      <c r="I92" s="556"/>
      <c r="J92" s="629">
        <f>H92/DAY(B2)</f>
        <v>110.4074074074074</v>
      </c>
      <c r="K92" s="468"/>
      <c r="L92" s="408"/>
      <c r="N92" s="413"/>
    </row>
    <row r="93" spans="1:15" ht="27.75">
      <c r="A93" s="1419" t="s">
        <v>207</v>
      </c>
      <c r="B93" s="1420"/>
      <c r="C93" s="1421"/>
      <c r="D93" s="599" t="s">
        <v>144</v>
      </c>
      <c r="E93" s="560">
        <f>'26'!F93</f>
        <v>175308</v>
      </c>
      <c r="F93" s="561">
        <v>175460</v>
      </c>
      <c r="G93" s="549">
        <f t="shared" si="9"/>
        <v>152</v>
      </c>
      <c r="H93" s="536">
        <f>G93+'26'!H93</f>
        <v>4284</v>
      </c>
      <c r="I93" s="556"/>
      <c r="J93" s="629">
        <f>H93/DAY(B2)</f>
        <v>158.66666666666666</v>
      </c>
      <c r="K93" s="411"/>
      <c r="L93" s="408"/>
      <c r="N93" s="413"/>
    </row>
    <row r="94" spans="1:15">
      <c r="A94" s="1413" t="s">
        <v>208</v>
      </c>
      <c r="B94" s="1414"/>
      <c r="C94" s="1415"/>
      <c r="D94" s="599"/>
      <c r="E94" s="560">
        <f>'26'!F94</f>
        <v>0</v>
      </c>
      <c r="F94" s="554"/>
      <c r="G94" s="549">
        <f>G92+G93</f>
        <v>298</v>
      </c>
      <c r="H94" s="536">
        <f>G94+'26'!H94</f>
        <v>6978</v>
      </c>
      <c r="I94" s="556"/>
      <c r="J94" s="629">
        <f>H94/DAY(B2)</f>
        <v>258.44444444444446</v>
      </c>
      <c r="K94" s="411"/>
      <c r="L94" s="408"/>
      <c r="N94" s="413"/>
    </row>
    <row r="95" spans="1:15" ht="27.75">
      <c r="A95" s="1419" t="s">
        <v>209</v>
      </c>
      <c r="B95" s="1420"/>
      <c r="C95" s="1421"/>
      <c r="D95" s="599" t="s">
        <v>144</v>
      </c>
      <c r="E95" s="560">
        <f>'26'!F95</f>
        <v>407981</v>
      </c>
      <c r="F95" s="554">
        <v>408066</v>
      </c>
      <c r="G95" s="549">
        <f t="shared" ref="G95:G100" si="10">F95-E95</f>
        <v>85</v>
      </c>
      <c r="H95" s="536">
        <f>G95+'26'!H95</f>
        <v>2190</v>
      </c>
      <c r="I95" s="556"/>
      <c r="J95" s="629">
        <f>H95/DAY(B2)</f>
        <v>81.111111111111114</v>
      </c>
      <c r="K95" s="411"/>
      <c r="L95" s="408"/>
      <c r="N95" s="413"/>
    </row>
    <row r="96" spans="1:15" ht="27.75">
      <c r="A96" s="1230" t="s">
        <v>210</v>
      </c>
      <c r="B96" s="1231"/>
      <c r="C96" s="1231"/>
      <c r="D96" s="599" t="s">
        <v>144</v>
      </c>
      <c r="E96" s="560">
        <f>'26'!F96</f>
        <v>101276</v>
      </c>
      <c r="F96" s="554">
        <v>101292</v>
      </c>
      <c r="G96" s="549">
        <f t="shared" si="10"/>
        <v>16</v>
      </c>
      <c r="H96" s="536">
        <f>G96+'26'!H96</f>
        <v>758</v>
      </c>
      <c r="I96" s="556"/>
      <c r="J96" s="629">
        <f>H96/DAY(B2)</f>
        <v>28.074074074074073</v>
      </c>
      <c r="K96" s="466"/>
      <c r="L96" s="408"/>
      <c r="N96" s="413"/>
    </row>
    <row r="97" spans="1:14" ht="27.75">
      <c r="A97" s="1230" t="s">
        <v>211</v>
      </c>
      <c r="B97" s="1231"/>
      <c r="C97" s="1231"/>
      <c r="D97" s="599" t="s">
        <v>144</v>
      </c>
      <c r="E97" s="560">
        <f>'26'!F97</f>
        <v>96388</v>
      </c>
      <c r="F97" s="554">
        <v>96419</v>
      </c>
      <c r="G97" s="549">
        <f t="shared" si="10"/>
        <v>31</v>
      </c>
      <c r="H97" s="536">
        <f>G97+'26'!H97</f>
        <v>742</v>
      </c>
      <c r="I97" s="556"/>
      <c r="J97" s="629">
        <f>H97/DAY(B2)</f>
        <v>27.481481481481481</v>
      </c>
      <c r="K97" s="471"/>
      <c r="L97" s="408"/>
      <c r="N97" s="889"/>
    </row>
    <row r="98" spans="1:14" ht="27.75">
      <c r="A98" s="1230" t="s">
        <v>212</v>
      </c>
      <c r="B98" s="1231"/>
      <c r="C98" s="1231"/>
      <c r="D98" s="599" t="s">
        <v>144</v>
      </c>
      <c r="E98" s="560">
        <f>'26'!F98</f>
        <v>147477</v>
      </c>
      <c r="F98" s="554">
        <v>147539</v>
      </c>
      <c r="G98" s="549">
        <f t="shared" si="10"/>
        <v>62</v>
      </c>
      <c r="H98" s="536">
        <f>G98+'26'!H98</f>
        <v>1985</v>
      </c>
      <c r="I98" s="556"/>
      <c r="J98" s="629">
        <f>H98/DAY(B2)</f>
        <v>73.518518518518519</v>
      </c>
      <c r="K98" s="411"/>
      <c r="L98" s="408"/>
      <c r="N98" s="1115"/>
    </row>
    <row r="99" spans="1:14" ht="27.75">
      <c r="A99" s="1230" t="s">
        <v>213</v>
      </c>
      <c r="B99" s="1231"/>
      <c r="C99" s="1231"/>
      <c r="D99" s="599" t="s">
        <v>144</v>
      </c>
      <c r="E99" s="560">
        <f>'26'!F99</f>
        <v>6362</v>
      </c>
      <c r="F99" s="554">
        <v>6381</v>
      </c>
      <c r="G99" s="549">
        <f t="shared" si="10"/>
        <v>19</v>
      </c>
      <c r="H99" s="536">
        <f>G99+'26'!H99</f>
        <v>407</v>
      </c>
      <c r="I99" s="556"/>
      <c r="J99" s="629">
        <f>H99/DAY(B2)</f>
        <v>15.074074074074074</v>
      </c>
      <c r="K99" s="411"/>
      <c r="L99" s="408"/>
      <c r="N99" s="889"/>
    </row>
    <row r="100" spans="1:14" ht="27.75">
      <c r="A100" s="1230" t="s">
        <v>214</v>
      </c>
      <c r="B100" s="1231"/>
      <c r="C100" s="1231"/>
      <c r="D100" s="599" t="s">
        <v>144</v>
      </c>
      <c r="E100" s="560">
        <f>'26'!F100</f>
        <v>4477</v>
      </c>
      <c r="F100" s="554">
        <v>4511</v>
      </c>
      <c r="G100" s="549">
        <f t="shared" si="10"/>
        <v>34</v>
      </c>
      <c r="H100" s="536">
        <f>G100+'26'!H100</f>
        <v>274</v>
      </c>
      <c r="I100" s="556"/>
      <c r="J100" s="629">
        <f>H100/DAY(B2)</f>
        <v>10.148148148148149</v>
      </c>
      <c r="K100" s="411"/>
      <c r="L100" s="408"/>
      <c r="N100" s="889"/>
    </row>
    <row r="101" spans="1:14">
      <c r="A101" s="1413" t="s">
        <v>216</v>
      </c>
      <c r="B101" s="1414"/>
      <c r="C101" s="1415"/>
      <c r="D101" s="600"/>
      <c r="E101" s="600"/>
      <c r="F101" s="600"/>
      <c r="G101" s="601">
        <f>SUM(G95:G100)</f>
        <v>247</v>
      </c>
      <c r="H101" s="536">
        <f>G101+'26'!H101</f>
        <v>6356</v>
      </c>
      <c r="I101" s="602"/>
      <c r="J101" s="629">
        <f>H101/DAY(B2)</f>
        <v>235.40740740740742</v>
      </c>
      <c r="K101" s="411"/>
      <c r="L101" s="408"/>
      <c r="N101" s="889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218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24" t="s">
        <v>219</v>
      </c>
      <c r="B104" s="1425"/>
      <c r="C104" s="1229"/>
      <c r="D104" s="699" t="s">
        <v>144</v>
      </c>
      <c r="E104" s="608">
        <f>'26'!F104</f>
        <v>7128</v>
      </c>
      <c r="F104" s="739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>
      <c r="A105" s="1424" t="s">
        <v>77</v>
      </c>
      <c r="B105" s="1425"/>
      <c r="C105" s="1229"/>
      <c r="D105" s="699" t="s">
        <v>144</v>
      </c>
      <c r="E105" s="608">
        <f>'26'!F105</f>
        <v>35390</v>
      </c>
      <c r="F105" s="887">
        <v>35398</v>
      </c>
      <c r="G105" s="608">
        <f t="shared" ref="G105:G106" si="11">F105-E105</f>
        <v>8</v>
      </c>
      <c r="H105" s="609">
        <f>SUM(G105+'1'!G77)</f>
        <v>56</v>
      </c>
      <c r="I105" s="608"/>
      <c r="J105" s="635">
        <f>H105/DAY(B2)</f>
        <v>2.074074074074074</v>
      </c>
      <c r="N105" s="413"/>
    </row>
    <row r="106" spans="1:14" s="481" customFormat="1" ht="27.75">
      <c r="A106" s="1424" t="s">
        <v>78</v>
      </c>
      <c r="B106" s="1426"/>
      <c r="C106" s="1425"/>
      <c r="D106" s="699" t="s">
        <v>144</v>
      </c>
      <c r="E106" s="608">
        <f>'26'!F106</f>
        <v>19235</v>
      </c>
      <c r="F106" s="740">
        <v>19241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12.592592592592593</v>
      </c>
      <c r="N106" s="413"/>
    </row>
    <row r="107" spans="1:14" s="481" customFormat="1" ht="27.75">
      <c r="A107" s="1427" t="s">
        <v>202</v>
      </c>
      <c r="B107" s="1428"/>
      <c r="C107" s="1229"/>
      <c r="D107" s="699"/>
      <c r="E107" s="608">
        <f>'26'!F107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8.1111111111111107</v>
      </c>
      <c r="N107" s="413"/>
    </row>
    <row r="108" spans="1:14" s="481" customFormat="1" ht="27.75">
      <c r="A108" s="1429" t="s">
        <v>79</v>
      </c>
      <c r="B108" s="1430"/>
      <c r="C108" s="1229"/>
      <c r="D108" s="699" t="s">
        <v>144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424" t="s">
        <v>220</v>
      </c>
      <c r="B109" s="1425"/>
      <c r="C109" s="1229"/>
      <c r="D109" s="699" t="s">
        <v>144</v>
      </c>
      <c r="E109" s="608">
        <f>'26'!F109</f>
        <v>56210</v>
      </c>
      <c r="F109" s="887">
        <v>56292</v>
      </c>
      <c r="G109" s="608">
        <f>F109-E109</f>
        <v>82</v>
      </c>
      <c r="H109" s="609">
        <f>SUM(G109+'1'!G81)</f>
        <v>158</v>
      </c>
      <c r="I109" s="608"/>
      <c r="J109" s="635">
        <f>H109/DAY(B2)</f>
        <v>5.8518518518518521</v>
      </c>
      <c r="N109" s="413"/>
    </row>
    <row r="110" spans="1:14" s="481" customFormat="1" ht="27.75">
      <c r="A110" s="1424" t="s">
        <v>221</v>
      </c>
      <c r="B110" s="1425"/>
      <c r="C110" s="1229"/>
      <c r="D110" s="699" t="s">
        <v>144</v>
      </c>
      <c r="E110" s="608">
        <f>'26'!F110</f>
        <v>30383</v>
      </c>
      <c r="F110" s="887">
        <v>30478</v>
      </c>
      <c r="G110" s="608">
        <f t="shared" ref="G110:G111" si="12">F110-E110</f>
        <v>95</v>
      </c>
      <c r="H110" s="609">
        <f>SUM(G110+'1'!G82)</f>
        <v>140</v>
      </c>
      <c r="I110" s="608"/>
      <c r="J110" s="635">
        <f>H110/DAY(B2)</f>
        <v>5.1851851851851851</v>
      </c>
      <c r="N110" s="413"/>
    </row>
    <row r="111" spans="1:14" s="481" customFormat="1" ht="27.75">
      <c r="A111" s="1424" t="s">
        <v>222</v>
      </c>
      <c r="B111" s="1425"/>
      <c r="C111" s="1229"/>
      <c r="D111" s="699" t="s">
        <v>144</v>
      </c>
      <c r="E111" s="608">
        <f>'26'!F111</f>
        <v>3973</v>
      </c>
      <c r="F111" s="740">
        <v>3980</v>
      </c>
      <c r="G111" s="610">
        <f t="shared" si="12"/>
        <v>7</v>
      </c>
      <c r="H111" s="609">
        <f>SUM(G111+'1'!G83)</f>
        <v>440</v>
      </c>
      <c r="I111" s="608"/>
      <c r="J111" s="635">
        <f>H111/DAY(B2)</f>
        <v>16.296296296296298</v>
      </c>
      <c r="N111" s="413"/>
    </row>
    <row r="112" spans="1:14" s="481" customFormat="1" ht="27.75">
      <c r="A112" s="1427" t="s">
        <v>110</v>
      </c>
      <c r="B112" s="1428"/>
      <c r="C112" s="1229"/>
      <c r="D112" s="699"/>
      <c r="E112" s="608">
        <f>'26'!F112</f>
        <v>0</v>
      </c>
      <c r="F112" s="740"/>
      <c r="G112" s="608">
        <f>SUM(G109:G111)</f>
        <v>184</v>
      </c>
      <c r="H112" s="609">
        <f>SUM(G112+'1'!G84)</f>
        <v>705</v>
      </c>
      <c r="I112" s="608"/>
      <c r="J112" s="635">
        <f>H112/DAY(B2)</f>
        <v>26.111111111111111</v>
      </c>
      <c r="N112" s="413"/>
    </row>
    <row r="113" spans="1:14" s="481" customFormat="1" ht="27.75">
      <c r="A113" s="1429" t="s">
        <v>223</v>
      </c>
      <c r="B113" s="1430"/>
      <c r="C113" s="1229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424" t="s">
        <v>224</v>
      </c>
      <c r="B114" s="1425"/>
      <c r="C114" s="651"/>
      <c r="D114" s="699" t="s">
        <v>144</v>
      </c>
      <c r="E114" s="608">
        <f>'26'!F114</f>
        <v>10268</v>
      </c>
      <c r="F114" s="740">
        <v>10290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0.81481481481481477</v>
      </c>
      <c r="N114" s="413"/>
    </row>
    <row r="115" spans="1:14" s="481" customFormat="1" ht="27.75">
      <c r="A115" s="1424" t="s">
        <v>225</v>
      </c>
      <c r="B115" s="1425"/>
      <c r="C115" s="651"/>
      <c r="D115" s="699" t="s">
        <v>144</v>
      </c>
      <c r="E115" s="608">
        <f>'26'!F115</f>
        <v>7619</v>
      </c>
      <c r="F115" s="740">
        <v>7644</v>
      </c>
      <c r="G115" s="610">
        <f t="shared" ref="G115:G116" si="13">F115-E115</f>
        <v>25</v>
      </c>
      <c r="H115" s="609">
        <f>SUM(G115+'1'!G92)</f>
        <v>112</v>
      </c>
      <c r="I115" s="608"/>
      <c r="J115" s="635">
        <f>H115/DAY(B2)</f>
        <v>4.1481481481481479</v>
      </c>
      <c r="N115" s="413"/>
    </row>
    <row r="116" spans="1:14" s="481" customFormat="1" ht="27.75">
      <c r="A116" s="1424" t="s">
        <v>226</v>
      </c>
      <c r="B116" s="1425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>
      <c r="A117" s="1427" t="s">
        <v>202</v>
      </c>
      <c r="B117" s="1428"/>
      <c r="C117" s="651"/>
      <c r="D117" s="700"/>
      <c r="E117" s="610"/>
      <c r="F117" s="740"/>
      <c r="G117" s="610">
        <f>SUM(G114:G116)</f>
        <v>47</v>
      </c>
      <c r="H117" s="609">
        <f>SUM(G117+'1'!G95)</f>
        <v>119</v>
      </c>
      <c r="I117" s="610"/>
      <c r="J117" s="635">
        <f>H117/DAY(B2)</f>
        <v>4.4074074074074074</v>
      </c>
      <c r="N117" s="413"/>
    </row>
    <row r="118" spans="1:14" s="495" customFormat="1" ht="27.75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200</v>
      </c>
      <c r="G118" s="612">
        <f>SUM(G19+G92)</f>
        <v>200</v>
      </c>
      <c r="H118" s="609">
        <f>SUM(G118+'1'!G96)</f>
        <v>223</v>
      </c>
      <c r="I118" s="611"/>
      <c r="J118" s="636">
        <f>H118/DAY(B2)</f>
        <v>8.2592592592592595</v>
      </c>
      <c r="N118" s="413"/>
    </row>
    <row r="119" spans="1:14" s="495" customFormat="1" ht="27.75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185</v>
      </c>
      <c r="G119" s="612">
        <f>SUM(G95,G96,G97,G99,G100)</f>
        <v>185</v>
      </c>
      <c r="H119" s="609">
        <f>SUM(G119+'1'!G98)</f>
        <v>268</v>
      </c>
      <c r="I119" s="611"/>
      <c r="J119" s="636">
        <f>H119/DAY(B2)</f>
        <v>9.9259259259259256</v>
      </c>
      <c r="N119" s="413"/>
    </row>
    <row r="120" spans="1:14" s="495" customFormat="1" ht="27.75">
      <c r="A120" s="1458" t="s">
        <v>229</v>
      </c>
      <c r="B120" s="1459"/>
      <c r="C120" s="1227"/>
      <c r="D120" s="701" t="s">
        <v>144</v>
      </c>
      <c r="E120" s="610"/>
      <c r="F120" s="740">
        <f>SUM(G112)</f>
        <v>184</v>
      </c>
      <c r="G120" s="610">
        <f>SUM(G112)</f>
        <v>184</v>
      </c>
      <c r="H120" s="609">
        <f>SUM(G120+'1'!G100)</f>
        <v>190</v>
      </c>
      <c r="I120" s="611"/>
      <c r="J120" s="636">
        <f>H120/DAY(B2)</f>
        <v>7.0370370370370372</v>
      </c>
      <c r="N120" s="413"/>
    </row>
    <row r="121" spans="1:14" s="481" customFormat="1" ht="27.75">
      <c r="A121" s="1460"/>
      <c r="B121" s="1461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231</v>
      </c>
      <c r="B123" s="1231"/>
      <c r="C123" s="1231"/>
      <c r="D123" s="599" t="s">
        <v>141</v>
      </c>
      <c r="E123" s="554">
        <f>'26'!F123</f>
        <v>810481</v>
      </c>
      <c r="F123" s="554">
        <v>810733.098</v>
      </c>
      <c r="G123" s="549">
        <f t="shared" ref="G123:G127" si="14">F123-E123</f>
        <v>252.09799999999814</v>
      </c>
      <c r="H123" s="536">
        <f>G123+'26'!H123</f>
        <v>7397.6979999999749</v>
      </c>
      <c r="I123" s="602">
        <f>G123/5</f>
        <v>50.419599999999626</v>
      </c>
      <c r="J123" s="629">
        <f>H123/DAY(B2)</f>
        <v>273.98881481481391</v>
      </c>
      <c r="K123" s="411"/>
      <c r="L123" s="408"/>
      <c r="N123" s="413"/>
    </row>
    <row r="124" spans="1:14" ht="27.75">
      <c r="A124" s="1230" t="s">
        <v>232</v>
      </c>
      <c r="B124" s="1231"/>
      <c r="C124" s="1231"/>
      <c r="D124" s="599" t="s">
        <v>141</v>
      </c>
      <c r="E124" s="554">
        <f>'26'!F124</f>
        <v>73583</v>
      </c>
      <c r="F124" s="703">
        <v>73583.399999999994</v>
      </c>
      <c r="G124" s="549">
        <f t="shared" si="14"/>
        <v>0.39999999999417923</v>
      </c>
      <c r="H124" s="536">
        <f>G124+'26'!H124</f>
        <v>1.3999999999941792</v>
      </c>
      <c r="I124" s="602"/>
      <c r="J124" s="629">
        <f>H124/DAY(B2)</f>
        <v>5.1851851851636266E-2</v>
      </c>
      <c r="K124" s="411"/>
      <c r="L124" s="408"/>
      <c r="N124" s="413"/>
    </row>
    <row r="125" spans="1:14" ht="27.75">
      <c r="A125" s="1416" t="s">
        <v>233</v>
      </c>
      <c r="B125" s="1417"/>
      <c r="C125" s="1418"/>
      <c r="D125" s="599" t="s">
        <v>141</v>
      </c>
      <c r="E125" s="554">
        <f>'26'!F125</f>
        <v>139833</v>
      </c>
      <c r="F125" s="561">
        <v>139911.53</v>
      </c>
      <c r="G125" s="549">
        <f t="shared" si="14"/>
        <v>78.529999999998836</v>
      </c>
      <c r="H125" s="536">
        <f>G125+'26'!H125</f>
        <v>2063.5299999999988</v>
      </c>
      <c r="I125" s="602"/>
      <c r="J125" s="629">
        <f>H125/DAY(B2)</f>
        <v>76.427037037036996</v>
      </c>
      <c r="K125" s="411"/>
      <c r="L125" s="408"/>
      <c r="N125" s="413"/>
    </row>
    <row r="126" spans="1:14" ht="27.75">
      <c r="A126" s="686" t="s">
        <v>234</v>
      </c>
      <c r="B126" s="1231"/>
      <c r="C126" s="1231"/>
      <c r="D126" s="599" t="s">
        <v>141</v>
      </c>
      <c r="E126" s="554">
        <f>'26'!F126</f>
        <v>59240</v>
      </c>
      <c r="F126" s="703">
        <v>59265.5</v>
      </c>
      <c r="G126" s="549">
        <f t="shared" si="14"/>
        <v>25.5</v>
      </c>
      <c r="H126" s="536">
        <f>G126+'26'!H126</f>
        <v>873.80000000000291</v>
      </c>
      <c r="I126" s="602"/>
      <c r="J126" s="629">
        <f>H126/DAY(B2)</f>
        <v>32.362962962963074</v>
      </c>
      <c r="K126" s="411"/>
      <c r="L126" s="408"/>
      <c r="N126" s="413"/>
    </row>
    <row r="127" spans="1:14" ht="27.75">
      <c r="A127" s="686" t="s">
        <v>235</v>
      </c>
      <c r="B127" s="1231"/>
      <c r="C127" s="1231"/>
      <c r="D127" s="599" t="s">
        <v>141</v>
      </c>
      <c r="E127" s="554">
        <f>'26'!F127</f>
        <v>8883</v>
      </c>
      <c r="F127" s="703">
        <v>8885.4</v>
      </c>
      <c r="G127" s="549">
        <f t="shared" si="14"/>
        <v>2.3999999999996362</v>
      </c>
      <c r="H127" s="536">
        <f>G127+'26'!H127</f>
        <v>69.399999999999636</v>
      </c>
      <c r="I127" s="556"/>
      <c r="J127" s="629">
        <f>H127/DAY(B2)</f>
        <v>2.5703703703703571</v>
      </c>
      <c r="K127" s="411"/>
      <c r="L127" s="408"/>
      <c r="N127" s="413"/>
    </row>
    <row r="128" spans="1:14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602.67499999989559</v>
      </c>
      <c r="H128" s="536">
        <f>G128+'26'!H128</f>
        <v>6679.1849999997485</v>
      </c>
      <c r="I128" s="556"/>
      <c r="J128" s="629">
        <f>H128/DAY(B2)</f>
        <v>247.37722222221291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238</v>
      </c>
      <c r="B130" s="1231"/>
      <c r="C130" s="1231"/>
      <c r="D130" s="599" t="s">
        <v>239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30" t="s">
        <v>240</v>
      </c>
      <c r="B131" s="1231"/>
      <c r="C131" s="1231"/>
      <c r="D131" s="599" t="s">
        <v>239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30" t="s">
        <v>241</v>
      </c>
      <c r="B132" s="1231"/>
      <c r="C132" s="1231"/>
      <c r="D132" s="599" t="s">
        <v>239</v>
      </c>
      <c r="E132" s="560">
        <f>'26'!F132</f>
        <v>38829.480000000003</v>
      </c>
      <c r="F132" s="561">
        <v>38829.480000000003</v>
      </c>
      <c r="G132" s="549">
        <f t="shared" si="15"/>
        <v>0</v>
      </c>
      <c r="H132" s="536">
        <f>G132+'26'!H132</f>
        <v>111.08999999999651</v>
      </c>
      <c r="I132" s="556"/>
      <c r="J132" s="629">
        <f>H132/DAY(B2)</f>
        <v>4.1144444444443149</v>
      </c>
      <c r="N132" s="413"/>
    </row>
    <row r="133" spans="1:14" ht="27.75">
      <c r="A133" s="1230" t="s">
        <v>242</v>
      </c>
      <c r="B133" s="1231"/>
      <c r="C133" s="1231"/>
      <c r="D133" s="599" t="s">
        <v>239</v>
      </c>
      <c r="E133" s="560">
        <f>'26'!F133</f>
        <v>299.52</v>
      </c>
      <c r="F133" s="732">
        <v>299.52</v>
      </c>
      <c r="G133" s="549">
        <f t="shared" si="15"/>
        <v>0</v>
      </c>
      <c r="H133" s="536">
        <f>G133+'26'!H133</f>
        <v>0.51999999999998181</v>
      </c>
      <c r="I133" s="556">
        <f>G130+G131+G132+G133</f>
        <v>0</v>
      </c>
      <c r="J133" s="629">
        <f>H133/DAY(B2)</f>
        <v>1.9259259259258584E-2</v>
      </c>
      <c r="N133" s="413"/>
    </row>
    <row r="134" spans="1:14" ht="27.75">
      <c r="A134" s="1230" t="s">
        <v>243</v>
      </c>
      <c r="B134" s="1231"/>
      <c r="C134" s="1231"/>
      <c r="D134" s="599" t="s">
        <v>239</v>
      </c>
      <c r="E134" s="560">
        <f>'26'!F134</f>
        <v>40319.120000000003</v>
      </c>
      <c r="F134" s="561">
        <v>40343</v>
      </c>
      <c r="G134" s="549">
        <f t="shared" si="15"/>
        <v>23.879999999997381</v>
      </c>
      <c r="H134" s="536">
        <f>G134+'26'!H134</f>
        <v>106.4800000000032</v>
      </c>
      <c r="I134" s="556"/>
      <c r="J134" s="629">
        <f>H134/DAY(B2)</f>
        <v>3.9437037037038221</v>
      </c>
      <c r="N134" s="413"/>
    </row>
    <row r="135" spans="1:14" ht="27.75">
      <c r="A135" s="1230" t="s">
        <v>244</v>
      </c>
      <c r="B135" s="1231"/>
      <c r="C135" s="1231"/>
      <c r="D135" s="599" t="s">
        <v>239</v>
      </c>
      <c r="E135" s="560">
        <f>'26'!F135</f>
        <v>32571</v>
      </c>
      <c r="F135" s="561">
        <v>32571</v>
      </c>
      <c r="G135" s="549">
        <f t="shared" si="15"/>
        <v>0</v>
      </c>
      <c r="H135" s="536">
        <f>G135+'26'!H135</f>
        <v>29.520000000000437</v>
      </c>
      <c r="I135" s="556"/>
      <c r="J135" s="629">
        <f>H135/DAY(B2)</f>
        <v>1.0933333333333495</v>
      </c>
      <c r="N135" s="413"/>
    </row>
    <row r="136" spans="1:14" ht="27.75">
      <c r="A136" s="1230" t="s">
        <v>245</v>
      </c>
      <c r="B136" s="1231"/>
      <c r="C136" s="1231"/>
      <c r="D136" s="599" t="s">
        <v>239</v>
      </c>
      <c r="E136" s="560">
        <f>'26'!F136</f>
        <v>22200.6</v>
      </c>
      <c r="F136" s="561">
        <v>22212.54</v>
      </c>
      <c r="G136" s="549">
        <f t="shared" si="15"/>
        <v>11.940000000002328</v>
      </c>
      <c r="H136" s="536">
        <f>G136+'26'!H136</f>
        <v>210.58000000000175</v>
      </c>
      <c r="I136" s="556">
        <f>G134+G135+G136</f>
        <v>35.819999999999709</v>
      </c>
      <c r="J136" s="629">
        <f>H136/DAY(B2)</f>
        <v>7.7992592592593235</v>
      </c>
      <c r="N136" s="413"/>
    </row>
    <row r="137" spans="1:14" ht="27.75">
      <c r="A137" s="1230" t="s">
        <v>246</v>
      </c>
      <c r="B137" s="1231"/>
      <c r="C137" s="1231"/>
      <c r="D137" s="599" t="s">
        <v>239</v>
      </c>
      <c r="E137" s="560">
        <f>'26'!F137</f>
        <v>25044.31</v>
      </c>
      <c r="F137" s="732">
        <v>25044.31</v>
      </c>
      <c r="G137" s="549">
        <f t="shared" si="15"/>
        <v>0</v>
      </c>
      <c r="H137" s="536">
        <f>G137+'26'!H137</f>
        <v>15.75</v>
      </c>
      <c r="I137" s="556"/>
      <c r="J137" s="629">
        <f>H137/DAY(B2)</f>
        <v>0.58333333333333337</v>
      </c>
      <c r="N137" s="413"/>
    </row>
    <row r="138" spans="1:14" ht="27.75">
      <c r="A138" s="1230" t="s">
        <v>247</v>
      </c>
      <c r="B138" s="1231"/>
      <c r="C138" s="1231"/>
      <c r="D138" s="599" t="s">
        <v>239</v>
      </c>
      <c r="E138" s="560">
        <f>'26'!F138</f>
        <v>70137.81</v>
      </c>
      <c r="F138" s="561">
        <v>70141.899999999994</v>
      </c>
      <c r="G138" s="549">
        <f t="shared" si="15"/>
        <v>4.0899999999965075</v>
      </c>
      <c r="H138" s="536">
        <f>G138+'26'!H138</f>
        <v>26.049999999988358</v>
      </c>
      <c r="I138" s="556">
        <f>G137+G138</f>
        <v>4.0899999999965075</v>
      </c>
      <c r="J138" s="629">
        <f>H138/DAY(B2)</f>
        <v>0.96481481481438369</v>
      </c>
      <c r="N138" s="413"/>
    </row>
    <row r="139" spans="1:14" ht="27.75">
      <c r="A139" s="1230" t="s">
        <v>248</v>
      </c>
      <c r="B139" s="1231"/>
      <c r="C139" s="1231"/>
      <c r="D139" s="599" t="s">
        <v>239</v>
      </c>
      <c r="E139" s="560">
        <f>'26'!F139</f>
        <v>1408</v>
      </c>
      <c r="F139" s="561">
        <v>1415.3</v>
      </c>
      <c r="G139" s="549">
        <f t="shared" si="15"/>
        <v>7.2999999999999545</v>
      </c>
      <c r="H139" s="536">
        <f>G139+'26'!H139</f>
        <v>214.71000000000004</v>
      </c>
      <c r="I139" s="619"/>
      <c r="J139" s="629">
        <f>H139/DAY(B2)</f>
        <v>7.9522222222222236</v>
      </c>
      <c r="N139" s="413"/>
    </row>
    <row r="140" spans="1:14" ht="27.75">
      <c r="A140" s="1230" t="s">
        <v>249</v>
      </c>
      <c r="B140" s="1231"/>
      <c r="C140" s="1231"/>
      <c r="D140" s="599" t="s">
        <v>239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54" t="s">
        <v>250</v>
      </c>
      <c r="B141" s="1455"/>
      <c r="C141" s="1236"/>
      <c r="D141" s="548"/>
      <c r="E141" s="548"/>
      <c r="F141" s="548" t="s">
        <v>215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5400.0399999999627</v>
      </c>
      <c r="H142" s="536">
        <f>G142+'26'!H142</f>
        <v>137284.96999999994</v>
      </c>
      <c r="I142" s="556"/>
      <c r="J142" s="629">
        <f>H142/DAY(B2)</f>
        <v>5084.6285185185161</v>
      </c>
      <c r="K142" s="411"/>
      <c r="L142" s="408"/>
      <c r="N142" s="413"/>
    </row>
    <row r="143" spans="1:14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0.26212513955633038</v>
      </c>
      <c r="H143" s="536">
        <f>G143+'26'!H143</f>
        <v>6.7550275096507626</v>
      </c>
      <c r="I143" s="621"/>
      <c r="J143" s="629">
        <f>H143/DAY(B2)</f>
        <v>0.25018620406113934</v>
      </c>
      <c r="K143" s="411"/>
      <c r="L143" s="408"/>
      <c r="N143" s="413"/>
    </row>
    <row r="144" spans="1:14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5238.6600000000471</v>
      </c>
      <c r="H144" s="536">
        <f>G144+'26'!H144</f>
        <v>120587.65000000001</v>
      </c>
      <c r="I144" s="556"/>
      <c r="J144" s="629">
        <f>H144/DAY(B2)</f>
        <v>4466.2092592592599</v>
      </c>
      <c r="K144" s="411"/>
      <c r="L144" s="408"/>
      <c r="N144" s="413"/>
    </row>
    <row r="145" spans="1:14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0.25429153924567</v>
      </c>
      <c r="H145" s="536">
        <f>G145+'26'!H145</f>
        <v>6.0654788919292093</v>
      </c>
      <c r="I145" s="621"/>
      <c r="J145" s="629">
        <f>H145/DAY(B2)</f>
        <v>0.22464736636774849</v>
      </c>
      <c r="K145" s="411"/>
      <c r="L145" s="408"/>
      <c r="N145" s="413"/>
    </row>
    <row r="146" spans="1:14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4174.9600000000064</v>
      </c>
      <c r="H146" s="536">
        <f>G146+'26'!H146</f>
        <v>113860.68999999997</v>
      </c>
      <c r="I146" s="622"/>
      <c r="J146" s="629">
        <f>H146/DAY(B2)</f>
        <v>4217.0625925925915</v>
      </c>
      <c r="K146" s="411"/>
      <c r="L146" s="408"/>
      <c r="N146" s="413"/>
    </row>
    <row r="147" spans="1:14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0.20265812339206865</v>
      </c>
      <c r="H147" s="536">
        <f>G147+'26'!H147</f>
        <v>5.7753144185207228</v>
      </c>
      <c r="I147" s="622"/>
      <c r="J147" s="629">
        <f>H147/DAY(B2)</f>
        <v>0.21390053401928602</v>
      </c>
      <c r="N147" s="413"/>
    </row>
    <row r="148" spans="1:14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2224.4650000000183</v>
      </c>
      <c r="H148" s="536">
        <f>G148+'26'!H148</f>
        <v>55546.91500000003</v>
      </c>
      <c r="I148" s="556"/>
      <c r="J148" s="629">
        <f>H148/DAY(B2)</f>
        <v>2057.2931481481492</v>
      </c>
      <c r="K148" s="412"/>
      <c r="N148" s="413"/>
    </row>
    <row r="149" spans="1:14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0.10797849618950625</v>
      </c>
      <c r="H149" s="536">
        <f>G149+'26'!H149</f>
        <v>2.8118509506124738</v>
      </c>
      <c r="I149" s="622"/>
      <c r="J149" s="629">
        <f>H149/DAY(B2)</f>
        <v>0.10414262780046199</v>
      </c>
      <c r="N149" s="413"/>
    </row>
    <row r="150" spans="1:14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1534.6000000000349</v>
      </c>
      <c r="H150" s="536">
        <f>G150+'26'!H150</f>
        <v>52094.840000000026</v>
      </c>
      <c r="I150" s="622"/>
      <c r="J150" s="629">
        <f>H150/DAY(B2)</f>
        <v>1929.4385185185195</v>
      </c>
      <c r="N150" s="413"/>
    </row>
    <row r="151" spans="1:14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7.449152953740279E-2</v>
      </c>
      <c r="H151" s="536">
        <f>G151+'26'!H151</f>
        <v>2.621018899058587</v>
      </c>
      <c r="I151" s="556"/>
      <c r="J151" s="629">
        <f>H151/DAY(B2)</f>
        <v>9.7074774039206932E-2</v>
      </c>
      <c r="N151" s="413"/>
    </row>
    <row r="152" spans="1:14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1489.989999999998</v>
      </c>
      <c r="H152" s="536">
        <f>G152+'26'!H152</f>
        <v>40527.249999999993</v>
      </c>
      <c r="I152" s="556"/>
      <c r="J152" s="629">
        <f>H152/DAY(B2)</f>
        <v>1501.0092592592589</v>
      </c>
      <c r="N152" s="413"/>
    </row>
    <row r="153" spans="1:14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7.2326100674724433E-2</v>
      </c>
      <c r="H153" s="536">
        <f>G153+'26'!H153</f>
        <v>2.0601784035060899</v>
      </c>
      <c r="I153" s="645"/>
      <c r="J153" s="646">
        <f>H153/DAY(B2)</f>
        <v>7.630290383355888E-2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8" t="s">
        <v>263</v>
      </c>
      <c r="B160" s="869"/>
      <c r="C160" s="869"/>
      <c r="D160" s="587" t="s">
        <v>187</v>
      </c>
      <c r="E160" s="618">
        <f>'26'!F160</f>
        <v>30625</v>
      </c>
      <c r="F160" s="739">
        <v>30709.599999999999</v>
      </c>
      <c r="G160" s="549">
        <f t="shared" ref="G160:G163" si="16">F160-E160</f>
        <v>84.599999999998545</v>
      </c>
    </row>
    <row r="161" spans="1:7">
      <c r="A161" s="868" t="s">
        <v>264</v>
      </c>
      <c r="B161" s="869"/>
      <c r="C161" s="869"/>
      <c r="D161" s="587" t="s">
        <v>187</v>
      </c>
      <c r="E161" s="618">
        <f>'26'!F161</f>
        <v>54238.47</v>
      </c>
      <c r="F161" s="739">
        <v>54674.61</v>
      </c>
      <c r="G161" s="549">
        <f t="shared" si="16"/>
        <v>436.13999999999942</v>
      </c>
    </row>
    <row r="162" spans="1:7">
      <c r="A162" s="868" t="s">
        <v>265</v>
      </c>
      <c r="B162" s="869"/>
      <c r="C162" s="869"/>
      <c r="D162" s="587" t="s">
        <v>187</v>
      </c>
      <c r="E162" s="618">
        <f>'26'!F162</f>
        <v>20018</v>
      </c>
      <c r="F162" s="739">
        <v>20285.330000000002</v>
      </c>
      <c r="G162" s="549">
        <f t="shared" si="16"/>
        <v>267.33000000000175</v>
      </c>
    </row>
    <row r="163" spans="1:7">
      <c r="A163" s="868" t="s">
        <v>266</v>
      </c>
      <c r="B163" s="869"/>
      <c r="C163" s="869"/>
      <c r="D163" s="587" t="s">
        <v>187</v>
      </c>
      <c r="E163" s="618">
        <f>'26'!F163</f>
        <v>5371.89</v>
      </c>
      <c r="F163" s="739">
        <v>5399.6</v>
      </c>
      <c r="G163" s="549">
        <f t="shared" si="16"/>
        <v>27.710000000000036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:E171" si="18">E63</f>
        <v>1678</v>
      </c>
      <c r="F165" s="590">
        <f t="shared" ref="F165:F171" si="19">F63</f>
        <v>1692.01</v>
      </c>
      <c r="G165" s="549">
        <f t="shared" si="17"/>
        <v>14.009999999999991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si="18"/>
        <v>122649</v>
      </c>
      <c r="F166" s="590">
        <f t="shared" si="19"/>
        <v>123136.85</v>
      </c>
      <c r="G166" s="549">
        <f t="shared" si="17"/>
        <v>487.85000000000582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si="18"/>
        <v>131788</v>
      </c>
      <c r="F167" s="590">
        <f t="shared" si="19"/>
        <v>132180.92000000001</v>
      </c>
      <c r="G167" s="549">
        <f t="shared" si="17"/>
        <v>392.92000000001281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si="18"/>
        <v>24369</v>
      </c>
      <c r="F168" s="590">
        <f t="shared" si="19"/>
        <v>24755.439999999999</v>
      </c>
      <c r="G168" s="549">
        <f t="shared" si="17"/>
        <v>386.43999999999869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si="18"/>
        <v>206487</v>
      </c>
      <c r="F169" s="590">
        <f t="shared" si="19"/>
        <v>207148.43</v>
      </c>
      <c r="G169" s="549">
        <f t="shared" si="17"/>
        <v>661.42999999999302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si="18"/>
        <v>71975</v>
      </c>
      <c r="F170" s="590">
        <f t="shared" si="19"/>
        <v>72307.600000000006</v>
      </c>
      <c r="G170" s="549">
        <f t="shared" si="17"/>
        <v>332.60000000000582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18"/>
        <v>63792</v>
      </c>
      <c r="F171" s="590">
        <f t="shared" si="19"/>
        <v>64110.66</v>
      </c>
      <c r="G171" s="549">
        <f t="shared" si="17"/>
        <v>318.66000000000349</v>
      </c>
    </row>
    <row r="172" spans="1:7">
      <c r="G172" s="616">
        <f>SUM(G160:G171)</f>
        <v>3409.6900000000196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H11" sqref="H11:H12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89" customWidth="1"/>
    <col min="15" max="17" width="22.33203125" style="852"/>
    <col min="18" max="16384" width="22.33203125" style="407"/>
  </cols>
  <sheetData>
    <row r="1" spans="1:17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7" s="281" customFormat="1" ht="27">
      <c r="A2" s="652" t="s">
        <v>342</v>
      </c>
      <c r="B2" s="891">
        <v>43889</v>
      </c>
      <c r="C2" s="1232" t="s">
        <v>69</v>
      </c>
      <c r="D2" s="688">
        <v>0.52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1189"/>
      <c r="O2" s="852"/>
      <c r="P2" s="852"/>
      <c r="Q2" s="852"/>
    </row>
    <row r="3" spans="1:17" s="281" customFormat="1" ht="27">
      <c r="A3" s="647"/>
      <c r="B3" s="691"/>
      <c r="C3" s="1232" t="s">
        <v>120</v>
      </c>
      <c r="D3" s="689">
        <v>23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1189"/>
      <c r="O3" s="852"/>
      <c r="P3" s="852"/>
      <c r="Q3" s="852"/>
    </row>
    <row r="4" spans="1:17" s="281" customFormat="1" ht="27">
      <c r="A4" s="653"/>
      <c r="B4" s="693"/>
      <c r="C4" s="1232" t="s">
        <v>122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89"/>
      <c r="O4" s="852"/>
      <c r="P4" s="854"/>
      <c r="Q4" s="852"/>
    </row>
    <row r="5" spans="1:17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P5" s="854"/>
    </row>
    <row r="6" spans="1:17">
      <c r="A6" s="1434" t="s">
        <v>130</v>
      </c>
      <c r="B6" s="1435"/>
      <c r="C6" s="1436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131</v>
      </c>
      <c r="B7" s="758"/>
      <c r="C7" s="758"/>
      <c r="D7" s="715" t="s">
        <v>132</v>
      </c>
      <c r="E7" s="760">
        <f>'27'!F7</f>
        <v>4423259</v>
      </c>
      <c r="F7" s="536">
        <v>4445077</v>
      </c>
      <c r="G7" s="759">
        <f>F7-E7</f>
        <v>21818</v>
      </c>
      <c r="H7" s="760">
        <f>G7+'27'!H7</f>
        <v>556879</v>
      </c>
      <c r="I7" s="761">
        <f>'1'!I7</f>
        <v>12000</v>
      </c>
      <c r="J7" s="762">
        <f>H7/DAY(B2)</f>
        <v>19888.535714285714</v>
      </c>
      <c r="K7" s="626"/>
      <c r="L7" s="408"/>
      <c r="N7" s="1190">
        <f>F7-'1'!E7</f>
        <v>556879</v>
      </c>
    </row>
    <row r="8" spans="1:17" ht="27.75" thickBot="1">
      <c r="A8" s="763" t="s">
        <v>133</v>
      </c>
      <c r="B8" s="764"/>
      <c r="C8" s="765"/>
      <c r="D8" s="766" t="s">
        <v>25</v>
      </c>
      <c r="E8" s="760">
        <f>'27'!F8</f>
        <v>4451214</v>
      </c>
      <c r="F8" s="819">
        <v>4473156</v>
      </c>
      <c r="G8" s="770">
        <f>F8-E8</f>
        <v>21942</v>
      </c>
      <c r="H8" s="760">
        <f>G8+'27'!H8</f>
        <v>560305</v>
      </c>
      <c r="I8" s="767">
        <f>'1'!I8</f>
        <v>12000</v>
      </c>
      <c r="J8" s="762">
        <f>H8/DAY(B2)</f>
        <v>20010.892857142859</v>
      </c>
      <c r="K8" s="626"/>
      <c r="L8" s="464">
        <v>1375467</v>
      </c>
      <c r="M8" s="479">
        <v>1703438</v>
      </c>
      <c r="N8" s="1190">
        <f>F8-'1'!E8</f>
        <v>560305</v>
      </c>
    </row>
    <row r="9" spans="1:17">
      <c r="A9" s="768" t="s">
        <v>134</v>
      </c>
      <c r="B9" s="769"/>
      <c r="C9" s="769"/>
      <c r="D9" s="715" t="s">
        <v>132</v>
      </c>
      <c r="E9" s="760">
        <f>'27'!F9</f>
        <v>72462.47</v>
      </c>
      <c r="F9" s="820">
        <v>86909.01</v>
      </c>
      <c r="G9" s="783">
        <f t="shared" ref="G9:G12" si="0">F9-E9</f>
        <v>14446.539999999994</v>
      </c>
      <c r="H9" s="760">
        <f>G9+'27'!H9</f>
        <v>323448.25999999995</v>
      </c>
      <c r="I9" s="771">
        <f>I8-J8</f>
        <v>-8010.8928571428587</v>
      </c>
      <c r="J9" s="762">
        <f>H9/DAY(B2)</f>
        <v>11551.723571428569</v>
      </c>
      <c r="K9" s="467"/>
      <c r="L9" s="408"/>
      <c r="N9" s="1190">
        <f>F9-'1'!E9</f>
        <v>-2448219.4900000002</v>
      </c>
    </row>
    <row r="10" spans="1:17">
      <c r="A10" s="757" t="s">
        <v>135</v>
      </c>
      <c r="B10" s="758"/>
      <c r="C10" s="758"/>
      <c r="D10" s="715" t="s">
        <v>132</v>
      </c>
      <c r="E10" s="760">
        <f>'27'!F10</f>
        <v>18982.07</v>
      </c>
      <c r="F10" s="820">
        <v>25695.56</v>
      </c>
      <c r="G10" s="770">
        <f t="shared" si="0"/>
        <v>6713.4900000000016</v>
      </c>
      <c r="H10" s="760">
        <f>G10+'27'!H10</f>
        <v>214993.16000000009</v>
      </c>
      <c r="I10" s="772"/>
      <c r="J10" s="762">
        <f>H10/DAY(B2)</f>
        <v>7678.3271428571461</v>
      </c>
      <c r="K10" s="467"/>
      <c r="L10" s="408"/>
      <c r="M10" s="407">
        <f>170</f>
        <v>170</v>
      </c>
      <c r="N10" s="1190">
        <f>F10-'1'!E10</f>
        <v>-1175178.8399999999</v>
      </c>
    </row>
    <row r="11" spans="1:17">
      <c r="A11" s="757" t="s">
        <v>136</v>
      </c>
      <c r="B11" s="758"/>
      <c r="C11" s="758"/>
      <c r="D11" s="715" t="s">
        <v>132</v>
      </c>
      <c r="E11" s="760">
        <f>'27'!F11</f>
        <v>37000</v>
      </c>
      <c r="F11" s="536">
        <v>37000</v>
      </c>
      <c r="G11" s="770">
        <f t="shared" si="0"/>
        <v>0</v>
      </c>
      <c r="H11" s="760">
        <f>G11+'27'!H11</f>
        <v>1610</v>
      </c>
      <c r="I11" s="772"/>
      <c r="J11" s="762">
        <f>H11/DAY(B2)</f>
        <v>57.5</v>
      </c>
      <c r="K11" s="467"/>
      <c r="L11" s="408"/>
      <c r="N11" s="1190">
        <f>F11-'1'!E11</f>
        <v>1610</v>
      </c>
    </row>
    <row r="12" spans="1:17">
      <c r="A12" s="757" t="s">
        <v>137</v>
      </c>
      <c r="B12" s="758"/>
      <c r="C12" s="758"/>
      <c r="D12" s="715" t="s">
        <v>132</v>
      </c>
      <c r="E12" s="760">
        <f>'27'!F12</f>
        <v>40010</v>
      </c>
      <c r="F12" s="820">
        <v>40010</v>
      </c>
      <c r="G12" s="770">
        <f t="shared" si="0"/>
        <v>0</v>
      </c>
      <c r="H12" s="760">
        <f>G12+'27'!H12</f>
        <v>2380</v>
      </c>
      <c r="I12" s="772"/>
      <c r="J12" s="762">
        <f>H12/DAY(B2)</f>
        <v>85</v>
      </c>
      <c r="K12" s="467"/>
      <c r="L12" s="408"/>
      <c r="N12" s="1190">
        <f>F12-'1'!E12</f>
        <v>2380</v>
      </c>
    </row>
    <row r="13" spans="1:17">
      <c r="A13" s="773" t="s">
        <v>138</v>
      </c>
      <c r="B13" s="774"/>
      <c r="C13" s="774"/>
      <c r="D13" s="715"/>
      <c r="E13" s="760"/>
      <c r="F13" s="536"/>
      <c r="G13" s="775">
        <f>G9+G10+G11+G12</f>
        <v>21160.029999999995</v>
      </c>
      <c r="H13" s="760">
        <f>G13+'27'!H13</f>
        <v>524125.42000000004</v>
      </c>
      <c r="I13" s="776">
        <f>G7-G13</f>
        <v>657.9700000000048</v>
      </c>
      <c r="J13" s="762">
        <f>H13/DAY(B2)</f>
        <v>18718.765000000003</v>
      </c>
      <c r="K13" s="467"/>
      <c r="L13" s="408"/>
      <c r="N13" s="1190">
        <f>F13-'1'!E13</f>
        <v>0</v>
      </c>
    </row>
    <row r="14" spans="1:17">
      <c r="A14" s="1437" t="s">
        <v>139</v>
      </c>
      <c r="B14" s="1438"/>
      <c r="C14" s="1439"/>
      <c r="D14" s="548"/>
      <c r="E14" s="821"/>
      <c r="F14" s="821"/>
      <c r="G14" s="559"/>
      <c r="H14" s="548"/>
      <c r="I14" s="548"/>
      <c r="J14" s="628"/>
      <c r="K14" s="468"/>
      <c r="L14" s="408"/>
      <c r="N14" s="1190">
        <f>F14-'1'!E14</f>
        <v>0</v>
      </c>
    </row>
    <row r="15" spans="1:17">
      <c r="A15" s="746" t="s">
        <v>140</v>
      </c>
      <c r="B15" s="747"/>
      <c r="C15" s="747"/>
      <c r="D15" s="748" t="s">
        <v>141</v>
      </c>
      <c r="E15" s="839">
        <f>'27'!F15</f>
        <v>1618818.6029999999</v>
      </c>
      <c r="F15" s="822">
        <v>1619878.61</v>
      </c>
      <c r="G15" s="745">
        <f>(F15-E15)</f>
        <v>1060.0070000002161</v>
      </c>
      <c r="H15" s="1175">
        <f>G15+'27'!H15</f>
        <v>25441.460000000196</v>
      </c>
      <c r="I15" s="1176">
        <v>800</v>
      </c>
      <c r="J15" s="1177">
        <f>H15/DAY(B2)</f>
        <v>908.62357142857843</v>
      </c>
      <c r="K15" s="467"/>
      <c r="L15" s="408"/>
      <c r="N15" s="1190">
        <f>F15-'1'!E15</f>
        <v>25441.460000000196</v>
      </c>
    </row>
    <row r="16" spans="1:17">
      <c r="A16" s="754"/>
      <c r="B16" s="755"/>
      <c r="C16" s="755"/>
      <c r="D16" s="748"/>
      <c r="E16" s="839"/>
      <c r="F16" s="822"/>
      <c r="G16" s="750"/>
      <c r="H16" s="1175"/>
      <c r="I16" s="1178">
        <f>I15-J15</f>
        <v>-108.62357142857843</v>
      </c>
      <c r="J16" s="1177"/>
      <c r="K16" s="467"/>
      <c r="L16" s="408"/>
      <c r="N16" s="1190">
        <f>F16-'1'!E16</f>
        <v>0</v>
      </c>
    </row>
    <row r="17" spans="1:17">
      <c r="A17" s="1437" t="s">
        <v>142</v>
      </c>
      <c r="B17" s="1438"/>
      <c r="C17" s="1439"/>
      <c r="D17" s="548"/>
      <c r="E17" s="821"/>
      <c r="F17" s="821"/>
      <c r="G17" s="564"/>
      <c r="H17" s="548"/>
      <c r="I17" s="548"/>
      <c r="J17" s="628"/>
      <c r="K17" s="467"/>
      <c r="L17" s="408"/>
      <c r="N17" s="1190">
        <f>F17-'1'!E17</f>
        <v>0</v>
      </c>
    </row>
    <row r="18" spans="1:17" ht="27.75">
      <c r="A18" s="1472" t="s">
        <v>143</v>
      </c>
      <c r="B18" s="1473"/>
      <c r="C18" s="1474"/>
      <c r="D18" s="715" t="s">
        <v>144</v>
      </c>
      <c r="E18" s="840">
        <f>'27'!F18</f>
        <v>18</v>
      </c>
      <c r="F18" s="820">
        <v>17</v>
      </c>
      <c r="G18" s="775">
        <f>F18*10</f>
        <v>170</v>
      </c>
      <c r="H18" s="760">
        <f>G18+'27'!H18</f>
        <v>4500</v>
      </c>
      <c r="I18" s="761">
        <f>'1'!I18</f>
        <v>65</v>
      </c>
      <c r="J18" s="762">
        <f>H18/DAY(B2)</f>
        <v>160.71428571428572</v>
      </c>
      <c r="K18" s="467"/>
      <c r="L18" s="408"/>
      <c r="N18" s="1190">
        <f>F18-'1'!E18</f>
        <v>5</v>
      </c>
    </row>
    <row r="19" spans="1:17" ht="27.75">
      <c r="A19" s="1472" t="s">
        <v>71</v>
      </c>
      <c r="B19" s="1473"/>
      <c r="C19" s="1474"/>
      <c r="D19" s="715" t="s">
        <v>144</v>
      </c>
      <c r="E19" s="840">
        <f>'27'!F19</f>
        <v>134416</v>
      </c>
      <c r="F19" s="820">
        <v>134468</v>
      </c>
      <c r="G19" s="770">
        <f t="shared" ref="G19" si="1">F19-E19</f>
        <v>52</v>
      </c>
      <c r="H19" s="760">
        <f>G19+'27'!H19</f>
        <v>1420</v>
      </c>
      <c r="I19" s="777"/>
      <c r="J19" s="762">
        <f>H19/DAY(B2)</f>
        <v>50.714285714285715</v>
      </c>
      <c r="K19" s="467"/>
      <c r="L19" s="408"/>
      <c r="N19" s="1190">
        <f>F19-'1'!E19</f>
        <v>1420</v>
      </c>
    </row>
    <row r="20" spans="1:17">
      <c r="A20" s="773" t="s">
        <v>145</v>
      </c>
      <c r="B20" s="774"/>
      <c r="C20" s="774"/>
      <c r="D20" s="715"/>
      <c r="E20" s="760"/>
      <c r="F20" s="536"/>
      <c r="G20" s="778">
        <f>G18+G19</f>
        <v>222</v>
      </c>
      <c r="H20" s="760">
        <f>G20+'27'!H20</f>
        <v>5920</v>
      </c>
      <c r="I20" s="779">
        <f>I18-J20</f>
        <v>-146.42857142857142</v>
      </c>
      <c r="J20" s="762">
        <f>H20/DAY(B2)</f>
        <v>211.42857142857142</v>
      </c>
      <c r="K20" s="467"/>
      <c r="L20" s="408"/>
      <c r="N20" s="1190">
        <f>F20-'1'!E20</f>
        <v>0</v>
      </c>
    </row>
    <row r="21" spans="1:17">
      <c r="A21" s="1437" t="s">
        <v>146</v>
      </c>
      <c r="B21" s="1438"/>
      <c r="C21" s="1439"/>
      <c r="D21" s="548"/>
      <c r="E21" s="821"/>
      <c r="F21" s="821"/>
      <c r="G21" s="559"/>
      <c r="H21" s="548"/>
      <c r="I21" s="548"/>
      <c r="J21" s="628"/>
      <c r="K21" s="467"/>
      <c r="L21" s="408"/>
      <c r="N21" s="1190">
        <f>F21-'1'!E21</f>
        <v>0</v>
      </c>
    </row>
    <row r="22" spans="1:17">
      <c r="A22" s="1230" t="s">
        <v>147</v>
      </c>
      <c r="B22" s="666"/>
      <c r="C22" s="666"/>
      <c r="D22" s="599" t="s">
        <v>148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0">
        <f>F22-'1'!E22</f>
        <v>720</v>
      </c>
    </row>
    <row r="23" spans="1:17">
      <c r="A23" s="1230" t="s">
        <v>149</v>
      </c>
      <c r="B23" s="666"/>
      <c r="C23" s="666"/>
      <c r="D23" s="599" t="s">
        <v>148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0">
        <f>F23-'1'!E23</f>
        <v>-100</v>
      </c>
    </row>
    <row r="24" spans="1:17">
      <c r="A24" s="667" t="s">
        <v>150</v>
      </c>
      <c r="B24" s="668"/>
      <c r="C24" s="668"/>
      <c r="D24" s="587" t="s">
        <v>148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0">
        <f>F24-'1'!E24</f>
        <v>720</v>
      </c>
    </row>
    <row r="25" spans="1:17" s="481" customFormat="1" ht="27">
      <c r="A25" s="1442" t="s">
        <v>151</v>
      </c>
      <c r="B25" s="1443"/>
      <c r="C25" s="1444"/>
      <c r="D25" s="547"/>
      <c r="E25" s="571"/>
      <c r="F25" s="571"/>
      <c r="G25" s="570"/>
      <c r="H25" s="571"/>
      <c r="I25" s="572"/>
      <c r="J25" s="631"/>
      <c r="K25" s="404"/>
      <c r="L25" s="484"/>
      <c r="N25" s="1190">
        <f>F25-'1'!E25</f>
        <v>0</v>
      </c>
      <c r="O25" s="852"/>
      <c r="P25" s="852"/>
      <c r="Q25" s="852"/>
    </row>
    <row r="26" spans="1:17" s="481" customFormat="1" ht="27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1190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21942</v>
      </c>
      <c r="F27" s="577">
        <v>9</v>
      </c>
      <c r="G27" s="578">
        <f>E27*F27</f>
        <v>197478</v>
      </c>
      <c r="H27" s="536">
        <f>G27+'27'!H27</f>
        <v>5042745</v>
      </c>
      <c r="I27" s="579"/>
      <c r="J27" s="629">
        <f>H27/DAY(B2)</f>
        <v>180098.03571428571</v>
      </c>
      <c r="K27" s="404"/>
      <c r="L27" s="484"/>
      <c r="N27" s="1190">
        <f>F27-'1'!E27</f>
        <v>-19465</v>
      </c>
      <c r="O27" s="852"/>
      <c r="P27" s="852"/>
      <c r="Q27" s="852"/>
    </row>
    <row r="28" spans="1:17" s="481" customFormat="1" ht="27">
      <c r="A28" s="669" t="s">
        <v>154</v>
      </c>
      <c r="B28" s="670"/>
      <c r="C28" s="671"/>
      <c r="D28" s="696" t="s">
        <v>155</v>
      </c>
      <c r="E28" s="780">
        <f>G15</f>
        <v>1060.0070000002161</v>
      </c>
      <c r="F28" s="577">
        <v>43.5</v>
      </c>
      <c r="G28" s="578">
        <f>E28*F28</f>
        <v>46110.304500009399</v>
      </c>
      <c r="H28" s="536">
        <f>G28+'27'!H28</f>
        <v>1106703.5100000086</v>
      </c>
      <c r="I28" s="581"/>
      <c r="J28" s="629">
        <f>H28/DAY(B2)</f>
        <v>39525.125357143166</v>
      </c>
      <c r="K28" s="404"/>
      <c r="L28" s="484"/>
      <c r="N28" s="1190">
        <f>F28-'1'!E28</f>
        <v>-754.45000000018626</v>
      </c>
      <c r="O28" s="852"/>
      <c r="P28" s="852"/>
      <c r="Q28" s="852"/>
    </row>
    <row r="29" spans="1:17" s="481" customFormat="1" ht="27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0">
        <f>F29-'1'!E29</f>
        <v>69</v>
      </c>
      <c r="O29" s="852"/>
      <c r="P29" s="852"/>
      <c r="Q29" s="852"/>
    </row>
    <row r="30" spans="1:17" s="481" customFormat="1" ht="27">
      <c r="A30" s="669" t="s">
        <v>158</v>
      </c>
      <c r="B30" s="670"/>
      <c r="C30" s="671"/>
      <c r="D30" s="696" t="s">
        <v>159</v>
      </c>
      <c r="E30" s="780">
        <f>G19</f>
        <v>52</v>
      </c>
      <c r="F30" s="780">
        <v>134</v>
      </c>
      <c r="G30" s="578">
        <f>E30*F30</f>
        <v>6968</v>
      </c>
      <c r="H30" s="536">
        <f>G30+'27'!H30</f>
        <v>190280</v>
      </c>
      <c r="I30" s="581"/>
      <c r="J30" s="629">
        <f>H30/DAY(B2)</f>
        <v>6795.7142857142853</v>
      </c>
      <c r="K30" s="404"/>
      <c r="L30" s="484"/>
      <c r="N30" s="1190">
        <f>F30-'1'!E30</f>
        <v>83</v>
      </c>
      <c r="O30" s="852"/>
      <c r="P30" s="852"/>
      <c r="Q30" s="852"/>
    </row>
    <row r="31" spans="1:17" s="481" customFormat="1" ht="27">
      <c r="A31" s="669" t="s">
        <v>160</v>
      </c>
      <c r="B31" s="670"/>
      <c r="C31" s="671"/>
      <c r="D31" s="696" t="s">
        <v>144</v>
      </c>
      <c r="E31" s="780">
        <f>G18</f>
        <v>170</v>
      </c>
      <c r="F31" s="780">
        <v>80</v>
      </c>
      <c r="G31" s="578">
        <f>E31*F31</f>
        <v>13600</v>
      </c>
      <c r="H31" s="536">
        <f>G31+'27'!H31</f>
        <v>360000</v>
      </c>
      <c r="I31" s="581"/>
      <c r="J31" s="629"/>
      <c r="K31" s="404"/>
      <c r="L31" s="484"/>
      <c r="N31" s="1190">
        <f>F31-'1'!E31</f>
        <v>-40</v>
      </c>
      <c r="O31" s="852"/>
      <c r="P31" s="852"/>
      <c r="Q31" s="852"/>
    </row>
    <row r="32" spans="1:17" s="481" customFormat="1" ht="27">
      <c r="A32" s="672" t="s">
        <v>161</v>
      </c>
      <c r="B32" s="673"/>
      <c r="C32" s="674"/>
      <c r="D32" s="583"/>
      <c r="E32" s="844"/>
      <c r="F32" s="562"/>
      <c r="G32" s="584">
        <f>G27+G28+G29+G30+G31</f>
        <v>264156.3045000094</v>
      </c>
      <c r="H32" s="536">
        <f>G32+'27'!H32</f>
        <v>6861878.5100000091</v>
      </c>
      <c r="I32" s="585"/>
      <c r="J32" s="629">
        <f>H32/DAY(B2)</f>
        <v>245067.08964285746</v>
      </c>
      <c r="K32" s="404"/>
      <c r="L32" s="484"/>
      <c r="N32" s="1190">
        <f>F32-'1'!E32</f>
        <v>0</v>
      </c>
      <c r="O32" s="852"/>
      <c r="P32" s="852"/>
      <c r="Q32" s="852"/>
    </row>
    <row r="33" spans="1:14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1190">
        <f>F33-'1'!E33</f>
        <v>0</v>
      </c>
    </row>
    <row r="34" spans="1:14">
      <c r="A34" s="675" t="s">
        <v>163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  <c r="N34" s="1190">
        <f>F34-'1'!E34</f>
        <v>0</v>
      </c>
    </row>
    <row r="35" spans="1:14">
      <c r="A35" s="655" t="s">
        <v>164</v>
      </c>
      <c r="B35" s="656"/>
      <c r="C35" s="656"/>
      <c r="D35" s="599" t="s">
        <v>132</v>
      </c>
      <c r="E35" s="824">
        <f>'27'!F35</f>
        <v>689771.35</v>
      </c>
      <c r="F35" s="824">
        <v>693087.59</v>
      </c>
      <c r="G35" s="549">
        <f t="shared" ref="G35:G46" si="3">F35-E35</f>
        <v>3316.2399999999907</v>
      </c>
      <c r="H35" s="536">
        <f>G35+'27'!H35</f>
        <v>64059.919999999925</v>
      </c>
      <c r="I35" s="531"/>
      <c r="J35" s="629">
        <f>H35/DAY(B2)</f>
        <v>2287.8542857142829</v>
      </c>
      <c r="K35" s="467"/>
      <c r="L35" s="408"/>
      <c r="N35" s="1190">
        <f>F35-'1'!E35</f>
        <v>64059.919999999925</v>
      </c>
    </row>
    <row r="36" spans="1:14">
      <c r="A36" s="655" t="s">
        <v>165</v>
      </c>
      <c r="B36" s="656"/>
      <c r="C36" s="656"/>
      <c r="D36" s="599" t="s">
        <v>132</v>
      </c>
      <c r="E36" s="824">
        <f>'27'!F36</f>
        <v>295831.33</v>
      </c>
      <c r="F36" s="824">
        <v>296445.57</v>
      </c>
      <c r="G36" s="549">
        <f t="shared" si="3"/>
        <v>614.23999999999069</v>
      </c>
      <c r="H36" s="536">
        <f>G36+'27'!H36</f>
        <v>19954.119999999995</v>
      </c>
      <c r="I36" s="531"/>
      <c r="J36" s="629">
        <f>H36/DAY(B2)</f>
        <v>712.64714285714274</v>
      </c>
      <c r="K36" s="467"/>
      <c r="L36" s="408"/>
      <c r="N36" s="1190">
        <f>F36-'1'!E36</f>
        <v>19954.119999999995</v>
      </c>
    </row>
    <row r="37" spans="1:14">
      <c r="A37" s="655" t="s">
        <v>166</v>
      </c>
      <c r="B37" s="656"/>
      <c r="C37" s="656"/>
      <c r="D37" s="599" t="s">
        <v>132</v>
      </c>
      <c r="E37" s="824">
        <f>'27'!F37</f>
        <v>30576.07</v>
      </c>
      <c r="F37" s="824">
        <v>32062.1</v>
      </c>
      <c r="G37" s="549">
        <f t="shared" si="3"/>
        <v>1486.0299999999988</v>
      </c>
      <c r="H37" s="536">
        <f>G37+'27'!H37</f>
        <v>32062.1</v>
      </c>
      <c r="I37" s="531"/>
      <c r="J37" s="629">
        <f>H37/DAY(B2)</f>
        <v>1145.075</v>
      </c>
      <c r="K37" s="467"/>
      <c r="L37" s="408"/>
      <c r="N37" s="1190">
        <f>F37-'1'!E37</f>
        <v>-383003.9</v>
      </c>
    </row>
    <row r="38" spans="1:14">
      <c r="A38" s="655" t="s">
        <v>167</v>
      </c>
      <c r="B38" s="656"/>
      <c r="C38" s="656"/>
      <c r="D38" s="599" t="s">
        <v>132</v>
      </c>
      <c r="E38" s="824">
        <f>'27'!F38</f>
        <v>41540.754999999997</v>
      </c>
      <c r="F38" s="546">
        <v>43813.49</v>
      </c>
      <c r="G38" s="549">
        <f t="shared" si="3"/>
        <v>2272.7350000000006</v>
      </c>
      <c r="H38" s="536">
        <f>G38+'27'!H38</f>
        <v>43715.61</v>
      </c>
      <c r="I38" s="531"/>
      <c r="J38" s="629">
        <f>H38/DAY(B2)</f>
        <v>1561.2717857142857</v>
      </c>
      <c r="K38" s="467"/>
      <c r="L38" s="408"/>
      <c r="N38" s="1190">
        <f>F38-'1'!E38</f>
        <v>43715.61</v>
      </c>
    </row>
    <row r="39" spans="1:14">
      <c r="A39" s="655" t="s">
        <v>168</v>
      </c>
      <c r="B39" s="656"/>
      <c r="C39" s="656"/>
      <c r="D39" s="599" t="s">
        <v>132</v>
      </c>
      <c r="E39" s="824">
        <f>'27'!F39</f>
        <v>86304.45</v>
      </c>
      <c r="F39" s="824">
        <v>90675.39</v>
      </c>
      <c r="G39" s="549">
        <f>F39-E39</f>
        <v>4370.9400000000023</v>
      </c>
      <c r="H39" s="536">
        <f>G39+'27'!H39</f>
        <v>90675.39</v>
      </c>
      <c r="I39" s="531"/>
      <c r="J39" s="629">
        <f>H39/DAY(B2)</f>
        <v>3238.4067857142859</v>
      </c>
      <c r="K39" s="467"/>
      <c r="L39" s="408"/>
      <c r="N39" s="1190">
        <f>F39-'1'!E39</f>
        <v>-821804.61</v>
      </c>
    </row>
    <row r="40" spans="1:14">
      <c r="A40" s="676" t="s">
        <v>169</v>
      </c>
      <c r="B40" s="677"/>
      <c r="C40" s="677"/>
      <c r="D40" s="599" t="s">
        <v>132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0">
        <f>F40-'1'!E40</f>
        <v>0</v>
      </c>
    </row>
    <row r="41" spans="1:14">
      <c r="A41" s="655" t="s">
        <v>170</v>
      </c>
      <c r="B41" s="656"/>
      <c r="C41" s="656"/>
      <c r="D41" s="599" t="s">
        <v>132</v>
      </c>
      <c r="E41" s="824">
        <f>'27'!F41</f>
        <v>63882.37</v>
      </c>
      <c r="F41" s="824">
        <v>63882.37</v>
      </c>
      <c r="G41" s="549">
        <f t="shared" si="3"/>
        <v>0</v>
      </c>
      <c r="H41" s="536">
        <f>G41+'27'!H41</f>
        <v>19259.850000000006</v>
      </c>
      <c r="I41" s="531"/>
      <c r="J41" s="629">
        <f>H41/DAY(B2)</f>
        <v>687.85178571428594</v>
      </c>
      <c r="K41" s="467"/>
      <c r="L41" s="408"/>
      <c r="N41" s="1190">
        <f>F41-'1'!E41</f>
        <v>19259.850000000006</v>
      </c>
    </row>
    <row r="42" spans="1:14">
      <c r="A42" s="655" t="s">
        <v>171</v>
      </c>
      <c r="B42" s="656"/>
      <c r="C42" s="656"/>
      <c r="D42" s="599" t="s">
        <v>132</v>
      </c>
      <c r="E42" s="824">
        <f>'27'!F42</f>
        <v>59128.85</v>
      </c>
      <c r="F42" s="824">
        <v>59128.85</v>
      </c>
      <c r="G42" s="549">
        <f t="shared" si="3"/>
        <v>0</v>
      </c>
      <c r="H42" s="536">
        <f>G42+'27'!H42</f>
        <v>202.84999999999854</v>
      </c>
      <c r="I42" s="531"/>
      <c r="J42" s="629">
        <f>H42/DAY(B2)</f>
        <v>7.2446428571428054</v>
      </c>
      <c r="K42" s="467"/>
      <c r="L42" s="408"/>
      <c r="N42" s="1190">
        <f>F42-'1'!E42</f>
        <v>202.84999999999854</v>
      </c>
    </row>
    <row r="43" spans="1:14">
      <c r="A43" s="655" t="s">
        <v>172</v>
      </c>
      <c r="B43" s="656"/>
      <c r="C43" s="656"/>
      <c r="D43" s="599" t="s">
        <v>132</v>
      </c>
      <c r="E43" s="824">
        <f>'27'!F43</f>
        <v>823506.23</v>
      </c>
      <c r="F43" s="824">
        <v>825897.83</v>
      </c>
      <c r="G43" s="549">
        <f t="shared" si="3"/>
        <v>2391.5999999999767</v>
      </c>
      <c r="H43" s="536">
        <f>G43+'27'!H43</f>
        <v>58085.919999999925</v>
      </c>
      <c r="I43" s="531"/>
      <c r="J43" s="629">
        <f>H43/DAY(B2)</f>
        <v>2074.4971428571403</v>
      </c>
      <c r="K43" s="467"/>
      <c r="L43" s="408"/>
      <c r="N43" s="1190">
        <f>F43-'1'!E43</f>
        <v>58085.919999999925</v>
      </c>
    </row>
    <row r="44" spans="1:14">
      <c r="A44" s="655" t="s">
        <v>173</v>
      </c>
      <c r="B44" s="656"/>
      <c r="C44" s="656"/>
      <c r="D44" s="599" t="s">
        <v>132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0">
        <f>F44-'1'!E44</f>
        <v>0</v>
      </c>
    </row>
    <row r="45" spans="1:14">
      <c r="A45" s="655" t="s">
        <v>174</v>
      </c>
      <c r="B45" s="656"/>
      <c r="C45" s="656"/>
      <c r="D45" s="599" t="s">
        <v>132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0">
        <f>F45-'1'!E45</f>
        <v>-0.48000000000001819</v>
      </c>
    </row>
    <row r="46" spans="1:14">
      <c r="A46" s="655" t="s">
        <v>175</v>
      </c>
      <c r="B46" s="656"/>
      <c r="C46" s="656"/>
      <c r="D46" s="599" t="s">
        <v>132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0">
        <f>F46-'1'!E46</f>
        <v>-0.49000000000000909</v>
      </c>
    </row>
    <row r="47" spans="1:14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14451.78499999996</v>
      </c>
      <c r="H47" s="536">
        <f>G47+'27'!H47</f>
        <v>328014.72999999981</v>
      </c>
      <c r="I47" s="531"/>
      <c r="J47" s="629">
        <f>H47/DAY(B2)</f>
        <v>11714.811785714279</v>
      </c>
      <c r="K47" s="467"/>
      <c r="L47" s="408"/>
      <c r="N47" s="1190">
        <f>F47-'1'!E47</f>
        <v>0</v>
      </c>
    </row>
    <row r="48" spans="1:14">
      <c r="A48" s="675" t="s">
        <v>177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  <c r="N48" s="1190">
        <f>F48-'1'!E48</f>
        <v>0</v>
      </c>
    </row>
    <row r="49" spans="1:14">
      <c r="A49" s="655" t="s">
        <v>164</v>
      </c>
      <c r="B49" s="678"/>
      <c r="C49" s="678"/>
      <c r="D49" s="599" t="s">
        <v>132</v>
      </c>
      <c r="E49" s="824">
        <f>'27'!F49</f>
        <v>260732.13</v>
      </c>
      <c r="F49" s="824">
        <v>260732.13</v>
      </c>
      <c r="G49" s="549">
        <f t="shared" ref="G49:G58" si="4">F49-E49</f>
        <v>0</v>
      </c>
      <c r="H49" s="536">
        <f>G49+'27'!H49</f>
        <v>14833.080000000016</v>
      </c>
      <c r="I49" s="531"/>
      <c r="J49" s="629">
        <f>H49/DAY(B2)</f>
        <v>529.75285714285769</v>
      </c>
      <c r="K49" s="467"/>
      <c r="L49" s="408"/>
      <c r="N49" s="1190">
        <f>F49-'1'!E49</f>
        <v>14833.080000000016</v>
      </c>
    </row>
    <row r="50" spans="1:14">
      <c r="A50" s="655" t="s">
        <v>178</v>
      </c>
      <c r="B50" s="678"/>
      <c r="C50" s="678"/>
      <c r="D50" s="599" t="s">
        <v>132</v>
      </c>
      <c r="E50" s="824">
        <f>'27'!F50</f>
        <v>401372.27</v>
      </c>
      <c r="F50" s="824">
        <v>402463.03</v>
      </c>
      <c r="G50" s="549">
        <f t="shared" si="4"/>
        <v>1090.7600000000093</v>
      </c>
      <c r="H50" s="536">
        <f>G50+'27'!H50</f>
        <v>32802.72000000003</v>
      </c>
      <c r="I50" s="531"/>
      <c r="J50" s="629">
        <f>H50/DAY(B2)</f>
        <v>1171.5257142857154</v>
      </c>
      <c r="K50" s="467"/>
      <c r="L50" s="408"/>
      <c r="N50" s="1190">
        <f>F50-'1'!E50</f>
        <v>33845.72000000003</v>
      </c>
    </row>
    <row r="51" spans="1:14">
      <c r="A51" s="655" t="s">
        <v>166</v>
      </c>
      <c r="B51" s="678"/>
      <c r="C51" s="678"/>
      <c r="D51" s="599" t="s">
        <v>132</v>
      </c>
      <c r="E51" s="824">
        <f>'27'!F51</f>
        <v>120050.92</v>
      </c>
      <c r="F51" s="824">
        <v>120050.92</v>
      </c>
      <c r="G51" s="549">
        <f t="shared" si="4"/>
        <v>0</v>
      </c>
      <c r="H51" s="536">
        <f>G51+'27'!H51</f>
        <v>9951.179999999993</v>
      </c>
      <c r="I51" s="531"/>
      <c r="J51" s="629">
        <f>H51/DAY(B2)</f>
        <v>355.39928571428544</v>
      </c>
      <c r="K51" s="467"/>
      <c r="L51" s="408"/>
      <c r="N51" s="1190">
        <f>F51-'1'!E51</f>
        <v>9951.179999999993</v>
      </c>
    </row>
    <row r="52" spans="1:14">
      <c r="A52" s="655" t="s">
        <v>179</v>
      </c>
      <c r="B52" s="678"/>
      <c r="C52" s="678"/>
      <c r="D52" s="599" t="s">
        <v>132</v>
      </c>
      <c r="E52" s="824">
        <f>'27'!F52</f>
        <v>507912.71</v>
      </c>
      <c r="F52" s="824">
        <v>507912.71</v>
      </c>
      <c r="G52" s="549">
        <f t="shared" si="4"/>
        <v>0</v>
      </c>
      <c r="H52" s="536">
        <f>G52+'27'!H52</f>
        <v>14104.040000000037</v>
      </c>
      <c r="I52" s="531"/>
      <c r="J52" s="629">
        <f>H52/DAY(B2)</f>
        <v>503.71571428571559</v>
      </c>
      <c r="K52" s="467"/>
      <c r="L52" s="408"/>
      <c r="N52" s="1190">
        <f>F52-'1'!E52</f>
        <v>14104.040000000037</v>
      </c>
    </row>
    <row r="53" spans="1:14">
      <c r="A53" s="655" t="s">
        <v>168</v>
      </c>
      <c r="B53" s="678"/>
      <c r="C53" s="678"/>
      <c r="D53" s="599" t="s">
        <v>132</v>
      </c>
      <c r="E53" s="824">
        <f>'27'!F53</f>
        <v>331854.51</v>
      </c>
      <c r="F53" s="824">
        <v>331854.51</v>
      </c>
      <c r="G53" s="549">
        <f t="shared" si="4"/>
        <v>0</v>
      </c>
      <c r="H53" s="536">
        <f>G53+'27'!H53</f>
        <v>27556.239999999991</v>
      </c>
      <c r="I53" s="531"/>
      <c r="J53" s="629">
        <f>H53/DAY(B2)</f>
        <v>984.15142857142826</v>
      </c>
      <c r="K53" s="467"/>
      <c r="L53" s="408"/>
      <c r="N53" s="1190">
        <f>F53-'1'!E53</f>
        <v>27556.239999999991</v>
      </c>
    </row>
    <row r="54" spans="1:14">
      <c r="A54" s="655" t="s">
        <v>180</v>
      </c>
      <c r="B54" s="678"/>
      <c r="C54" s="678"/>
      <c r="D54" s="599" t="s">
        <v>132</v>
      </c>
      <c r="E54" s="824">
        <f>'27'!F54</f>
        <v>8025.47</v>
      </c>
      <c r="F54" s="824">
        <v>8095.63</v>
      </c>
      <c r="G54" s="549">
        <f t="shared" si="4"/>
        <v>70.159999999999854</v>
      </c>
      <c r="H54" s="536">
        <f>G54+'27'!H54</f>
        <v>1706.83</v>
      </c>
      <c r="I54" s="531"/>
      <c r="J54" s="629">
        <f>H54/DAY(B2)</f>
        <v>60.958214285714284</v>
      </c>
      <c r="K54" s="467"/>
      <c r="L54" s="408"/>
      <c r="N54" s="1190">
        <f>F54-'1'!E54</f>
        <v>1778.9899999999998</v>
      </c>
    </row>
    <row r="55" spans="1:14">
      <c r="A55" s="655" t="s">
        <v>181</v>
      </c>
      <c r="B55" s="678"/>
      <c r="C55" s="678"/>
      <c r="D55" s="599" t="s">
        <v>132</v>
      </c>
      <c r="E55" s="824">
        <f>'27'!F55</f>
        <v>111933.89</v>
      </c>
      <c r="F55" s="825">
        <v>117585.69</v>
      </c>
      <c r="G55" s="733">
        <f t="shared" si="4"/>
        <v>5651.8000000000029</v>
      </c>
      <c r="H55" s="787">
        <f>G55+'27'!H55</f>
        <v>74597.710000000006</v>
      </c>
      <c r="I55" s="788"/>
      <c r="J55" s="789">
        <f>H55/DAY(B2)</f>
        <v>2664.2039285714286</v>
      </c>
      <c r="K55" s="467"/>
      <c r="L55" s="408"/>
      <c r="N55" s="1190">
        <f>F55-'1'!E55</f>
        <v>78465.11</v>
      </c>
    </row>
    <row r="56" spans="1:14">
      <c r="A56" s="655" t="s">
        <v>182</v>
      </c>
      <c r="B56" s="678"/>
      <c r="C56" s="678"/>
      <c r="D56" s="599" t="s">
        <v>183</v>
      </c>
      <c r="E56" s="824">
        <f>'27'!F56</f>
        <v>586043.55000000005</v>
      </c>
      <c r="F56" s="825">
        <v>586051.03</v>
      </c>
      <c r="G56" s="549">
        <f t="shared" si="4"/>
        <v>7.4799999999813735</v>
      </c>
      <c r="H56" s="536">
        <f>G56+'27'!H56</f>
        <v>28319.119999999995</v>
      </c>
      <c r="I56" s="531"/>
      <c r="J56" s="629">
        <f>H56/DAY(B2)</f>
        <v>1011.3971428571427</v>
      </c>
      <c r="K56" s="466"/>
      <c r="L56" s="408"/>
      <c r="N56" s="1190">
        <f>F56-'1'!E56</f>
        <v>28319.119999999995</v>
      </c>
    </row>
    <row r="57" spans="1:14">
      <c r="A57" s="655" t="s">
        <v>172</v>
      </c>
      <c r="B57" s="678"/>
      <c r="C57" s="678"/>
      <c r="D57" s="599" t="s">
        <v>132</v>
      </c>
      <c r="E57" s="824">
        <f>'27'!F57</f>
        <v>7711.33</v>
      </c>
      <c r="F57" s="824">
        <v>7711.33</v>
      </c>
      <c r="G57" s="549">
        <f t="shared" si="4"/>
        <v>0</v>
      </c>
      <c r="H57" s="536">
        <f>G57+'27'!H57</f>
        <v>7711.33</v>
      </c>
      <c r="I57" s="531"/>
      <c r="J57" s="629">
        <f>H57/DAY(B2)</f>
        <v>275.40464285714285</v>
      </c>
      <c r="K57" s="467"/>
      <c r="L57" s="408"/>
      <c r="N57" s="1190">
        <f>F57-'1'!E57</f>
        <v>7711.33</v>
      </c>
    </row>
    <row r="58" spans="1:14">
      <c r="A58" s="655" t="s">
        <v>184</v>
      </c>
      <c r="B58" s="678"/>
      <c r="C58" s="678"/>
      <c r="D58" s="599" t="s">
        <v>132</v>
      </c>
      <c r="E58" s="824">
        <f>'27'!F58</f>
        <v>35673.660000000003</v>
      </c>
      <c r="F58" s="1323">
        <v>35868.699999999997</v>
      </c>
      <c r="G58" s="549">
        <f t="shared" si="4"/>
        <v>195.0399999999936</v>
      </c>
      <c r="H58" s="536">
        <f>G58+'27'!H58</f>
        <v>5139.16</v>
      </c>
      <c r="I58" s="531"/>
      <c r="J58" s="629">
        <f>H58/DAY(B2)</f>
        <v>183.54142857142855</v>
      </c>
      <c r="K58" s="467"/>
      <c r="L58" s="408"/>
      <c r="N58" s="1190">
        <f>F58-'1'!E58</f>
        <v>5336.7899999999972</v>
      </c>
    </row>
    <row r="59" spans="1:14">
      <c r="A59" s="662" t="s">
        <v>176</v>
      </c>
      <c r="B59" s="663"/>
      <c r="C59" s="663"/>
      <c r="D59" s="587"/>
      <c r="E59" s="546"/>
      <c r="F59" s="546"/>
      <c r="G59" s="557">
        <f>G49+G50+G51+G52+G53+G54+G55+G56+G57+G58</f>
        <v>7015.239999999987</v>
      </c>
      <c r="H59" s="536">
        <f>G59+'27'!H59</f>
        <v>216721.41000000009</v>
      </c>
      <c r="I59" s="531">
        <f>G7-G60</f>
        <v>350.97500000005311</v>
      </c>
      <c r="J59" s="629">
        <f>H59/DAY(B2)</f>
        <v>7740.0503571428608</v>
      </c>
      <c r="K59" s="467"/>
      <c r="L59" s="408"/>
      <c r="N59" s="1190">
        <f>F59-'1'!E59</f>
        <v>0</v>
      </c>
    </row>
    <row r="60" spans="1:14">
      <c r="A60" s="655"/>
      <c r="B60" s="656"/>
      <c r="C60" s="656"/>
      <c r="D60" s="587" t="s">
        <v>185</v>
      </c>
      <c r="E60" s="546"/>
      <c r="F60" s="546"/>
      <c r="G60" s="557">
        <f>G47+G59</f>
        <v>21467.024999999947</v>
      </c>
      <c r="H60" s="536">
        <f>G60+'27'!H60</f>
        <v>549916.32999999973</v>
      </c>
      <c r="I60" s="531">
        <f>G13-G60</f>
        <v>-306.99499999995169</v>
      </c>
      <c r="J60" s="629">
        <f>H60/DAY(B2)</f>
        <v>19639.868928571417</v>
      </c>
      <c r="K60" s="467"/>
      <c r="L60" s="408"/>
      <c r="N60" s="1190">
        <f>F60-'1'!E60</f>
        <v>0</v>
      </c>
    </row>
    <row r="61" spans="1:14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0">
        <f>F61-'1'!E61</f>
        <v>0</v>
      </c>
    </row>
    <row r="62" spans="1:14">
      <c r="A62" s="680" t="s">
        <v>98</v>
      </c>
      <c r="B62" s="681"/>
      <c r="C62" s="681"/>
      <c r="D62" s="587" t="s">
        <v>187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0">
        <f>F62-'1'!E62</f>
        <v>-1.9999999967694748E-3</v>
      </c>
    </row>
    <row r="63" spans="1:14">
      <c r="A63" s="680" t="s">
        <v>188</v>
      </c>
      <c r="B63" s="681"/>
      <c r="C63" s="681"/>
      <c r="D63" s="587" t="s">
        <v>187</v>
      </c>
      <c r="E63" s="590">
        <f>'27'!F63</f>
        <v>1692.01</v>
      </c>
      <c r="F63" s="590">
        <v>1707.36</v>
      </c>
      <c r="G63" s="549">
        <f t="shared" si="5"/>
        <v>15.349999999999909</v>
      </c>
      <c r="H63" s="536">
        <f>G63+'27'!H63</f>
        <v>374.82999999999993</v>
      </c>
      <c r="I63" s="591"/>
      <c r="J63" s="629">
        <f>H63/DAY(B2)</f>
        <v>13.386785714285711</v>
      </c>
      <c r="K63" s="467"/>
      <c r="L63" s="408"/>
      <c r="N63" s="1190">
        <f>F63-'1'!E63</f>
        <v>374.82999999999993</v>
      </c>
    </row>
    <row r="64" spans="1:14" ht="27.75">
      <c r="A64" s="1416" t="s">
        <v>99</v>
      </c>
      <c r="B64" s="1417"/>
      <c r="C64" s="1418"/>
      <c r="D64" s="599" t="s">
        <v>187</v>
      </c>
      <c r="E64" s="590">
        <f>'27'!F64</f>
        <v>123136.85</v>
      </c>
      <c r="F64" s="820">
        <v>123627.3</v>
      </c>
      <c r="G64" s="549">
        <f t="shared" si="5"/>
        <v>490.44999999999709</v>
      </c>
      <c r="H64" s="536">
        <f>G64+'27'!H64</f>
        <v>12343.839999999997</v>
      </c>
      <c r="I64" s="556"/>
      <c r="J64" s="629">
        <f>H64/DAY(B2)</f>
        <v>440.85142857142847</v>
      </c>
      <c r="K64" s="467"/>
      <c r="L64" s="408"/>
      <c r="N64" s="1190">
        <f>F64-'1'!E64</f>
        <v>12343.839999999997</v>
      </c>
    </row>
    <row r="65" spans="1:14" ht="27.75">
      <c r="A65" s="1416" t="s">
        <v>100</v>
      </c>
      <c r="B65" s="1417"/>
      <c r="C65" s="1418"/>
      <c r="D65" s="599" t="s">
        <v>187</v>
      </c>
      <c r="E65" s="590">
        <f>'27'!F65</f>
        <v>132180.92000000001</v>
      </c>
      <c r="F65" s="827">
        <v>132597.29999999999</v>
      </c>
      <c r="G65" s="549">
        <f t="shared" si="5"/>
        <v>416.37999999997555</v>
      </c>
      <c r="H65" s="536">
        <f>G65+'27'!H65</f>
        <v>10864.189999999988</v>
      </c>
      <c r="I65" s="565"/>
      <c r="J65" s="629">
        <f>H65/DAY(B2)</f>
        <v>388.00678571428529</v>
      </c>
      <c r="K65" s="467"/>
      <c r="L65" s="408"/>
      <c r="N65" s="1190">
        <f>F65-'1'!E65</f>
        <v>10864.189999999988</v>
      </c>
    </row>
    <row r="66" spans="1:14" ht="27.75">
      <c r="A66" s="1416" t="s">
        <v>101</v>
      </c>
      <c r="B66" s="1417"/>
      <c r="C66" s="1418"/>
      <c r="D66" s="599" t="s">
        <v>187</v>
      </c>
      <c r="E66" s="590">
        <f>'27'!F66</f>
        <v>24755.439999999999</v>
      </c>
      <c r="F66" s="820">
        <v>25159.75</v>
      </c>
      <c r="G66" s="549">
        <f t="shared" si="5"/>
        <v>404.31000000000131</v>
      </c>
      <c r="H66" s="536">
        <f>G66+'27'!H66</f>
        <v>11000.01</v>
      </c>
      <c r="I66" s="556"/>
      <c r="J66" s="629">
        <f>H66/DAY(B2)</f>
        <v>392.85750000000002</v>
      </c>
      <c r="K66" s="467"/>
      <c r="L66" s="408"/>
      <c r="N66" s="1190">
        <f>F66-'1'!E66</f>
        <v>11000.01</v>
      </c>
    </row>
    <row r="67" spans="1:14" ht="27.75">
      <c r="A67" s="1416" t="s">
        <v>102</v>
      </c>
      <c r="B67" s="1417"/>
      <c r="C67" s="1418"/>
      <c r="D67" s="599" t="s">
        <v>187</v>
      </c>
      <c r="E67" s="590">
        <f>'27'!F67</f>
        <v>207148.43</v>
      </c>
      <c r="F67" s="820">
        <v>207841.83</v>
      </c>
      <c r="G67" s="549">
        <f t="shared" si="5"/>
        <v>693.39999999999418</v>
      </c>
      <c r="H67" s="536">
        <f>G67+'27'!H67</f>
        <v>19167.299999999988</v>
      </c>
      <c r="I67" s="565"/>
      <c r="J67" s="629">
        <f>H67/DAY(B2)</f>
        <v>684.54642857142812</v>
      </c>
      <c r="K67" s="468"/>
      <c r="L67" s="408"/>
      <c r="N67" s="1190">
        <f>F67-'1'!E67</f>
        <v>19167.299999999988</v>
      </c>
    </row>
    <row r="68" spans="1:14" ht="27.75">
      <c r="A68" s="1416" t="s">
        <v>103</v>
      </c>
      <c r="B68" s="1417"/>
      <c r="C68" s="1418"/>
      <c r="D68" s="599" t="s">
        <v>187</v>
      </c>
      <c r="E68" s="590">
        <f>'27'!F68</f>
        <v>72307.600000000006</v>
      </c>
      <c r="F68" s="820">
        <v>72678.52</v>
      </c>
      <c r="G68" s="549">
        <f t="shared" si="5"/>
        <v>370.91999999999825</v>
      </c>
      <c r="H68" s="536">
        <f>G68+'27'!H68</f>
        <v>10378.660000000003</v>
      </c>
      <c r="I68" s="592"/>
      <c r="J68" s="629">
        <f>H68/DAY(B2)</f>
        <v>370.6664285714287</v>
      </c>
      <c r="K68" s="469"/>
      <c r="L68" s="408"/>
      <c r="N68" s="1190">
        <f>F68-'1'!E68</f>
        <v>9378.6600000000035</v>
      </c>
    </row>
    <row r="69" spans="1:14" ht="27.75">
      <c r="A69" s="1416" t="s">
        <v>104</v>
      </c>
      <c r="B69" s="1417"/>
      <c r="C69" s="1418"/>
      <c r="D69" s="599" t="s">
        <v>187</v>
      </c>
      <c r="E69" s="590">
        <f>'27'!F69</f>
        <v>64110.66</v>
      </c>
      <c r="F69" s="820">
        <v>64452.09</v>
      </c>
      <c r="G69" s="549">
        <f t="shared" si="5"/>
        <v>341.42999999999302</v>
      </c>
      <c r="H69" s="536">
        <f>G69+'27'!H69</f>
        <v>8728.3799999999974</v>
      </c>
      <c r="I69" s="592"/>
      <c r="J69" s="629">
        <f>H69/DAY(B2)</f>
        <v>311.72785714285703</v>
      </c>
      <c r="K69" s="470"/>
      <c r="L69" s="408"/>
      <c r="N69" s="1190">
        <f>F69-'1'!E69</f>
        <v>8728.3799999999974</v>
      </c>
    </row>
    <row r="70" spans="1:14" ht="27.75">
      <c r="A70" s="1448" t="s">
        <v>189</v>
      </c>
      <c r="B70" s="1449"/>
      <c r="C70" s="1450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0">
        <f>F70-'1'!E70</f>
        <v>0</v>
      </c>
    </row>
    <row r="71" spans="1:14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1190">
        <f>F71-'1'!E71</f>
        <v>0</v>
      </c>
    </row>
    <row r="72" spans="1:14" ht="27.75">
      <c r="A72" s="1416" t="s">
        <v>191</v>
      </c>
      <c r="B72" s="1417"/>
      <c r="C72" s="1418"/>
      <c r="D72" s="599" t="s">
        <v>187</v>
      </c>
      <c r="E72" s="845">
        <f>'27'!F72</f>
        <v>850511</v>
      </c>
      <c r="F72" s="829">
        <v>850592</v>
      </c>
      <c r="G72" s="549">
        <f t="shared" ref="G72:G84" si="6">F72-E72</f>
        <v>81</v>
      </c>
      <c r="H72" s="536">
        <f>G72+'27'!H72</f>
        <v>2040</v>
      </c>
      <c r="I72" s="556"/>
      <c r="J72" s="629">
        <f>H72/DAY(B2)</f>
        <v>72.857142857142861</v>
      </c>
      <c r="K72" s="470"/>
      <c r="L72" s="408"/>
      <c r="N72" s="1190">
        <f>F72-'1'!E72</f>
        <v>2127</v>
      </c>
    </row>
    <row r="73" spans="1:14" ht="27.75">
      <c r="A73" s="1416" t="s">
        <v>192</v>
      </c>
      <c r="B73" s="1417"/>
      <c r="C73" s="1418"/>
      <c r="D73" s="599" t="s">
        <v>187</v>
      </c>
      <c r="E73" s="845">
        <f>'27'!F73</f>
        <v>885771</v>
      </c>
      <c r="F73" s="830">
        <v>885772</v>
      </c>
      <c r="G73" s="733">
        <f t="shared" si="6"/>
        <v>1</v>
      </c>
      <c r="H73" s="536">
        <f>G73+'27'!H73</f>
        <v>991</v>
      </c>
      <c r="I73" s="556"/>
      <c r="J73" s="629">
        <f>H73/DAY(B2)</f>
        <v>35.392857142857146</v>
      </c>
      <c r="K73" s="469"/>
      <c r="L73" s="408"/>
      <c r="N73" s="1190">
        <f>F73-'1'!E73</f>
        <v>44</v>
      </c>
    </row>
    <row r="74" spans="1:14" ht="27.75">
      <c r="A74" s="1416" t="s">
        <v>193</v>
      </c>
      <c r="B74" s="1417"/>
      <c r="C74" s="1418"/>
      <c r="D74" s="599" t="s">
        <v>187</v>
      </c>
      <c r="E74" s="845">
        <f>'27'!F74</f>
        <v>537.29999999999995</v>
      </c>
      <c r="F74" s="830">
        <v>586.16999999999996</v>
      </c>
      <c r="G74" s="549">
        <f t="shared" si="6"/>
        <v>48.870000000000005</v>
      </c>
      <c r="H74" s="536">
        <f>G74+'27'!H74</f>
        <v>815.27</v>
      </c>
      <c r="I74" s="556"/>
      <c r="J74" s="629">
        <f>H74/DAY(B2)</f>
        <v>29.116785714285715</v>
      </c>
      <c r="K74" s="470"/>
      <c r="L74" s="408"/>
      <c r="N74" s="1190">
        <f>F74-'1'!E74</f>
        <v>-881782.83</v>
      </c>
    </row>
    <row r="75" spans="1:14" ht="27.75">
      <c r="A75" s="1465" t="s">
        <v>194</v>
      </c>
      <c r="B75" s="1466"/>
      <c r="C75" s="1467"/>
      <c r="D75" s="599" t="s">
        <v>187</v>
      </c>
      <c r="E75" s="845">
        <f>'27'!F75</f>
        <v>3356.88</v>
      </c>
      <c r="F75" s="830">
        <v>3519.22</v>
      </c>
      <c r="G75" s="549">
        <f t="shared" si="6"/>
        <v>162.33999999999969</v>
      </c>
      <c r="H75" s="536">
        <f>G75+'27'!H75</f>
        <v>5055.6200000000008</v>
      </c>
      <c r="I75" s="556"/>
      <c r="J75" s="629">
        <f>H75/DAY(B2)</f>
        <v>180.55785714285716</v>
      </c>
      <c r="K75" s="469"/>
      <c r="L75" s="408"/>
      <c r="N75" s="1190">
        <f>F75-'1'!E75</f>
        <v>-733999.78</v>
      </c>
    </row>
    <row r="76" spans="1:14" ht="27.75">
      <c r="A76" s="1465" t="s">
        <v>195</v>
      </c>
      <c r="B76" s="1466"/>
      <c r="C76" s="1467"/>
      <c r="D76" s="599" t="s">
        <v>187</v>
      </c>
      <c r="E76" s="845">
        <f>'27'!F76</f>
        <v>1433.17</v>
      </c>
      <c r="F76" s="830">
        <v>1514.34</v>
      </c>
      <c r="G76" s="549">
        <f t="shared" si="6"/>
        <v>81.169999999999845</v>
      </c>
      <c r="H76" s="536">
        <f>G76+'27'!H76</f>
        <v>3511.54</v>
      </c>
      <c r="I76" s="581"/>
      <c r="J76" s="629">
        <f>H76/DAY(B2)</f>
        <v>125.41214285714285</v>
      </c>
      <c r="K76" s="469"/>
      <c r="L76" s="408"/>
      <c r="N76" s="1190">
        <f>F76-'1'!E76</f>
        <v>-685499.66</v>
      </c>
    </row>
    <row r="77" spans="1:14" ht="27.75">
      <c r="A77" s="1416" t="s">
        <v>196</v>
      </c>
      <c r="B77" s="1417"/>
      <c r="C77" s="1418"/>
      <c r="D77" s="599" t="s">
        <v>187</v>
      </c>
      <c r="E77" s="845">
        <f>'27'!F77</f>
        <v>698540</v>
      </c>
      <c r="F77" s="830">
        <v>698588</v>
      </c>
      <c r="G77" s="733">
        <f t="shared" si="6"/>
        <v>48</v>
      </c>
      <c r="H77" s="536">
        <f>G77+'27'!H77</f>
        <v>1481</v>
      </c>
      <c r="I77" s="581"/>
      <c r="J77" s="629">
        <f>H77/DAY(B2)</f>
        <v>52.892857142857146</v>
      </c>
      <c r="K77" s="469"/>
      <c r="L77" s="408"/>
      <c r="N77" s="1190">
        <f>F77-'1'!E77</f>
        <v>1481</v>
      </c>
    </row>
    <row r="78" spans="1:14" ht="27.75">
      <c r="A78" s="1233" t="s">
        <v>197</v>
      </c>
      <c r="B78" s="1204"/>
      <c r="C78" s="1204"/>
      <c r="D78" s="599" t="s">
        <v>187</v>
      </c>
      <c r="E78" s="845">
        <f>'27'!F78</f>
        <v>652450</v>
      </c>
      <c r="F78" s="830">
        <v>652863</v>
      </c>
      <c r="G78" s="733">
        <f t="shared" si="6"/>
        <v>413</v>
      </c>
      <c r="H78" s="536">
        <f>G78+'27'!H78</f>
        <v>10910</v>
      </c>
      <c r="I78" s="581"/>
      <c r="J78" s="629">
        <f>H78/DAY(B2)</f>
        <v>389.64285714285717</v>
      </c>
      <c r="K78" s="469"/>
      <c r="L78" s="408"/>
      <c r="N78" s="1190">
        <f>F78-'1'!E78</f>
        <v>10910</v>
      </c>
    </row>
    <row r="79" spans="1:14" ht="27.75">
      <c r="A79" s="1465" t="s">
        <v>92</v>
      </c>
      <c r="B79" s="1466"/>
      <c r="C79" s="1467"/>
      <c r="D79" s="600" t="s">
        <v>187</v>
      </c>
      <c r="E79" s="845">
        <f>'27'!F79</f>
        <v>814871</v>
      </c>
      <c r="F79" s="831">
        <v>815109</v>
      </c>
      <c r="G79" s="549">
        <f t="shared" si="6"/>
        <v>238</v>
      </c>
      <c r="H79" s="536">
        <f>G79+'27'!H79</f>
        <v>8283</v>
      </c>
      <c r="I79" s="581"/>
      <c r="J79" s="629">
        <f>H79/DAY(B2)</f>
        <v>295.82142857142856</v>
      </c>
      <c r="K79" s="469"/>
      <c r="L79" s="408"/>
      <c r="N79" s="1190">
        <f>F79-'1'!E79</f>
        <v>5418</v>
      </c>
    </row>
    <row r="80" spans="1:14" ht="27.75">
      <c r="A80" s="1465" t="s">
        <v>198</v>
      </c>
      <c r="B80" s="1466"/>
      <c r="C80" s="1467"/>
      <c r="D80" s="600" t="s">
        <v>187</v>
      </c>
      <c r="E80" s="845">
        <f>'27'!F80</f>
        <v>494265.84</v>
      </c>
      <c r="F80" s="830">
        <v>494673.64</v>
      </c>
      <c r="G80" s="549">
        <f t="shared" si="6"/>
        <v>407.79999999998836</v>
      </c>
      <c r="H80" s="536">
        <f>G80+'27'!H80</f>
        <v>8091.960000000021</v>
      </c>
      <c r="I80" s="581"/>
      <c r="J80" s="629">
        <f>H80/DAY(B2)</f>
        <v>288.99857142857218</v>
      </c>
      <c r="K80" s="469"/>
      <c r="L80" s="408"/>
      <c r="N80" s="1190">
        <f>F80-'1'!E80</f>
        <v>9546.640000000014</v>
      </c>
    </row>
    <row r="81" spans="1:17" ht="27.75">
      <c r="A81" s="1465" t="s">
        <v>199</v>
      </c>
      <c r="B81" s="1466"/>
      <c r="C81" s="1467"/>
      <c r="D81" s="600" t="s">
        <v>187</v>
      </c>
      <c r="E81" s="845">
        <f>'27'!F81</f>
        <v>625798.52</v>
      </c>
      <c r="F81" s="830">
        <v>625943.84</v>
      </c>
      <c r="G81" s="549">
        <f t="shared" si="6"/>
        <v>145.31999999994878</v>
      </c>
      <c r="H81" s="536">
        <f>G81+'27'!H81</f>
        <v>3168.8399999999674</v>
      </c>
      <c r="I81" s="581"/>
      <c r="J81" s="629">
        <f>H81/DAY(B2)</f>
        <v>113.17285714285597</v>
      </c>
      <c r="K81" s="469"/>
      <c r="L81" s="408"/>
      <c r="N81" s="1190">
        <f>F81-'1'!E81</f>
        <v>3168.8399999999674</v>
      </c>
    </row>
    <row r="82" spans="1:17" ht="27.75">
      <c r="A82" s="1465" t="s">
        <v>93</v>
      </c>
      <c r="B82" s="1466"/>
      <c r="C82" s="1467"/>
      <c r="D82" s="561" t="s">
        <v>132</v>
      </c>
      <c r="E82" s="845">
        <f>'27'!F82</f>
        <v>106185.82</v>
      </c>
      <c r="F82" s="827">
        <v>106202.48</v>
      </c>
      <c r="G82" s="549">
        <f t="shared" si="6"/>
        <v>16.659999999988941</v>
      </c>
      <c r="H82" s="536">
        <f>G82+'27'!H82</f>
        <v>762.47999999999593</v>
      </c>
      <c r="I82" s="562"/>
      <c r="J82" s="629">
        <f>H82/DAY(B2)</f>
        <v>27.231428571428427</v>
      </c>
      <c r="K82" s="469"/>
      <c r="L82" s="408"/>
      <c r="N82" s="1190">
        <f>F82-'1'!E82</f>
        <v>762.47999999999593</v>
      </c>
    </row>
    <row r="83" spans="1:17" ht="27.75">
      <c r="A83" s="1465" t="s">
        <v>200</v>
      </c>
      <c r="B83" s="1466"/>
      <c r="C83" s="1467"/>
      <c r="D83" s="697" t="s">
        <v>132</v>
      </c>
      <c r="E83" s="845">
        <f>'27'!F83</f>
        <v>995838</v>
      </c>
      <c r="F83" s="546">
        <v>996449</v>
      </c>
      <c r="G83" s="549">
        <f t="shared" si="6"/>
        <v>611</v>
      </c>
      <c r="H83" s="536">
        <f>G83+'27'!H83</f>
        <v>12708</v>
      </c>
      <c r="I83" s="557"/>
      <c r="J83" s="629">
        <f>H83/DAY(B2)</f>
        <v>453.85714285714283</v>
      </c>
      <c r="K83" s="468"/>
      <c r="L83" s="408"/>
      <c r="N83" s="1190">
        <f>F83-'1'!E83</f>
        <v>12708</v>
      </c>
    </row>
    <row r="84" spans="1:17">
      <c r="A84" s="1234" t="s">
        <v>201</v>
      </c>
      <c r="B84" s="648"/>
      <c r="C84" s="648"/>
      <c r="D84" s="554" t="s">
        <v>132</v>
      </c>
      <c r="E84" s="845">
        <f>'27'!F84</f>
        <v>430059</v>
      </c>
      <c r="F84" s="787">
        <v>430798</v>
      </c>
      <c r="G84" s="549">
        <f t="shared" si="6"/>
        <v>739</v>
      </c>
      <c r="H84" s="536">
        <f>G84+'27'!H84</f>
        <v>14725</v>
      </c>
      <c r="I84" s="557"/>
      <c r="J84" s="629">
        <f>H84/DAY(B2)</f>
        <v>525.89285714285711</v>
      </c>
      <c r="K84" s="411"/>
      <c r="L84" s="408"/>
      <c r="N84" s="1190">
        <f>F84-'1'!E84</f>
        <v>14725</v>
      </c>
    </row>
    <row r="85" spans="1:17" s="410" customFormat="1">
      <c r="A85" s="682" t="s">
        <v>202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2993.1599999999257</v>
      </c>
      <c r="H85" s="536">
        <f>G85+'27'!H85</f>
        <v>67240.339999999967</v>
      </c>
      <c r="I85" s="557"/>
      <c r="J85" s="629">
        <f>H85/DAY(B2)</f>
        <v>2401.4407142857131</v>
      </c>
      <c r="K85" s="411"/>
      <c r="L85" s="409"/>
      <c r="N85" s="1190">
        <f>F85-'1'!E85</f>
        <v>0</v>
      </c>
      <c r="O85" s="852"/>
      <c r="P85" s="852"/>
      <c r="Q85" s="852"/>
    </row>
    <row r="86" spans="1:17" s="817" customFormat="1">
      <c r="A86" s="812" t="s">
        <v>94</v>
      </c>
      <c r="B86" s="813"/>
      <c r="C86" s="813"/>
      <c r="D86" s="814" t="s">
        <v>183</v>
      </c>
      <c r="E86" s="787">
        <f>'27'!F86</f>
        <v>450283.44</v>
      </c>
      <c r="F86" s="832">
        <v>450368.53</v>
      </c>
      <c r="G86" s="787">
        <f t="shared" ref="G86:G88" si="7">F86-E86</f>
        <v>85.090000000025611</v>
      </c>
      <c r="H86" s="787">
        <f t="shared" ref="H86:H88" si="8">G86</f>
        <v>85.090000000025611</v>
      </c>
      <c r="I86" s="733"/>
      <c r="J86" s="789">
        <f>H86/DAY(B2)</f>
        <v>3.0389285714294862</v>
      </c>
      <c r="K86" s="815"/>
      <c r="L86" s="816"/>
      <c r="N86" s="1190">
        <f>F86-'1'!E86</f>
        <v>3262.5300000000279</v>
      </c>
      <c r="O86" s="852"/>
      <c r="P86" s="852"/>
      <c r="Q86" s="853"/>
    </row>
    <row r="87" spans="1:17" s="817" customFormat="1">
      <c r="A87" s="812" t="s">
        <v>95</v>
      </c>
      <c r="B87" s="813"/>
      <c r="C87" s="813"/>
      <c r="D87" s="814" t="s">
        <v>183</v>
      </c>
      <c r="E87" s="787">
        <f>'27'!F87</f>
        <v>79194.600000000006</v>
      </c>
      <c r="F87" s="832">
        <v>79207.7</v>
      </c>
      <c r="G87" s="787">
        <f t="shared" si="7"/>
        <v>13.099999999991269</v>
      </c>
      <c r="H87" s="787">
        <f t="shared" si="8"/>
        <v>13.099999999991269</v>
      </c>
      <c r="I87" s="733"/>
      <c r="J87" s="789">
        <f>H87/DAY(B2)</f>
        <v>0.46785714285683105</v>
      </c>
      <c r="K87" s="815"/>
      <c r="L87" s="816"/>
      <c r="N87" s="1190">
        <f>F87-'1'!E87</f>
        <v>761.39999999999418</v>
      </c>
      <c r="O87" s="852"/>
      <c r="P87" s="852"/>
      <c r="Q87" s="853"/>
    </row>
    <row r="88" spans="1:17" s="817" customFormat="1">
      <c r="A88" s="812" t="s">
        <v>96</v>
      </c>
      <c r="B88" s="813"/>
      <c r="C88" s="813"/>
      <c r="D88" s="814" t="s">
        <v>183</v>
      </c>
      <c r="E88" s="787">
        <f>'27'!F88</f>
        <v>148233.9</v>
      </c>
      <c r="F88" s="832">
        <v>148264.60999999999</v>
      </c>
      <c r="G88" s="787">
        <f t="shared" si="7"/>
        <v>30.709999999991851</v>
      </c>
      <c r="H88" s="787">
        <f t="shared" si="8"/>
        <v>30.709999999991851</v>
      </c>
      <c r="I88" s="733"/>
      <c r="J88" s="789">
        <f>H88/DAY(B2)</f>
        <v>1.0967857142854232</v>
      </c>
      <c r="K88" s="815"/>
      <c r="L88" s="816"/>
      <c r="N88" s="1190">
        <f>F88-'1'!E88</f>
        <v>1762.609999999986</v>
      </c>
      <c r="O88" s="852"/>
      <c r="P88" s="852"/>
      <c r="Q88" s="853"/>
    </row>
    <row r="89" spans="1:17" s="817" customFormat="1">
      <c r="A89" s="812" t="s">
        <v>204</v>
      </c>
      <c r="B89" s="813"/>
      <c r="C89" s="813"/>
      <c r="D89" s="814" t="s">
        <v>183</v>
      </c>
      <c r="E89" s="787">
        <f>'27'!F89</f>
        <v>61623.6</v>
      </c>
      <c r="F89" s="832">
        <v>61675.1</v>
      </c>
      <c r="G89" s="787">
        <f t="shared" ref="G89:G90" si="9">F89-E89</f>
        <v>51.5</v>
      </c>
      <c r="H89" s="787">
        <f t="shared" ref="H89:H90" si="10">G89</f>
        <v>51.5</v>
      </c>
      <c r="I89" s="733"/>
      <c r="J89" s="789">
        <f>H89/DAY(B2)</f>
        <v>1.8392857142857142</v>
      </c>
      <c r="K89" s="815"/>
      <c r="L89" s="816"/>
      <c r="N89" s="1190">
        <f>F89-'1'!E89</f>
        <v>1873.0999999999985</v>
      </c>
      <c r="O89" s="413"/>
    </row>
    <row r="90" spans="1:17" s="817" customFormat="1">
      <c r="A90" s="812" t="s">
        <v>204</v>
      </c>
      <c r="B90" s="813"/>
      <c r="C90" s="813"/>
      <c r="D90" s="814" t="s">
        <v>183</v>
      </c>
      <c r="E90" s="787">
        <f>'27'!F90</f>
        <v>3161.9</v>
      </c>
      <c r="F90" s="832">
        <v>3162.9</v>
      </c>
      <c r="G90" s="787">
        <f t="shared" si="9"/>
        <v>1</v>
      </c>
      <c r="H90" s="787">
        <f t="shared" si="10"/>
        <v>1</v>
      </c>
      <c r="I90" s="733"/>
      <c r="J90" s="789">
        <f>H90/DAY(B2)</f>
        <v>3.5714285714285712E-2</v>
      </c>
      <c r="K90" s="815"/>
      <c r="L90" s="816"/>
      <c r="N90" s="1190">
        <f>F90-'1'!E90</f>
        <v>97</v>
      </c>
      <c r="O90" s="413"/>
    </row>
    <row r="91" spans="1:17" s="410" customFormat="1">
      <c r="A91" s="683" t="s">
        <v>205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1190">
        <f>F91-'1'!E91</f>
        <v>0</v>
      </c>
      <c r="O91" s="852"/>
      <c r="P91" s="852"/>
      <c r="Q91" s="852"/>
    </row>
    <row r="92" spans="1:17" ht="27.75">
      <c r="A92" s="1419" t="s">
        <v>206</v>
      </c>
      <c r="B92" s="1420"/>
      <c r="C92" s="1421"/>
      <c r="D92" s="599" t="s">
        <v>144</v>
      </c>
      <c r="E92" s="841">
        <f>'27'!F92</f>
        <v>239551</v>
      </c>
      <c r="F92" s="820">
        <v>239695</v>
      </c>
      <c r="G92" s="549">
        <f t="shared" ref="G92:G93" si="11">F92-E92</f>
        <v>144</v>
      </c>
      <c r="H92" s="536">
        <f>G92+'27'!H92</f>
        <v>3125</v>
      </c>
      <c r="I92" s="556"/>
      <c r="J92" s="629">
        <f>H92/DAY(B2)</f>
        <v>111.60714285714286</v>
      </c>
      <c r="K92" s="468"/>
      <c r="L92" s="408"/>
      <c r="N92" s="1190">
        <f>F92-'1'!E92</f>
        <v>3125</v>
      </c>
    </row>
    <row r="93" spans="1:17" ht="27.75">
      <c r="A93" s="1419" t="s">
        <v>207</v>
      </c>
      <c r="B93" s="1420"/>
      <c r="C93" s="1421"/>
      <c r="D93" s="599" t="s">
        <v>144</v>
      </c>
      <c r="E93" s="841">
        <f>'27'!F93</f>
        <v>175460</v>
      </c>
      <c r="F93" s="820">
        <v>175661</v>
      </c>
      <c r="G93" s="549">
        <f t="shared" si="11"/>
        <v>201</v>
      </c>
      <c r="H93" s="536">
        <f>G93+'27'!H93</f>
        <v>4485</v>
      </c>
      <c r="I93" s="556"/>
      <c r="J93" s="629">
        <f>H93/DAY(B2)</f>
        <v>160.17857142857142</v>
      </c>
      <c r="K93" s="411"/>
      <c r="L93" s="408"/>
      <c r="N93" s="1190">
        <f>F93-'1'!E93</f>
        <v>4485</v>
      </c>
    </row>
    <row r="94" spans="1:17">
      <c r="A94" s="1413" t="s">
        <v>208</v>
      </c>
      <c r="B94" s="1414"/>
      <c r="C94" s="1415"/>
      <c r="D94" s="599"/>
      <c r="E94" s="841">
        <f>'27'!F94</f>
        <v>0</v>
      </c>
      <c r="F94" s="820"/>
      <c r="G94" s="549">
        <f>G92+G93</f>
        <v>345</v>
      </c>
      <c r="H94" s="536">
        <f>G94+'27'!H94</f>
        <v>7323</v>
      </c>
      <c r="I94" s="556"/>
      <c r="J94" s="629">
        <f>H94/DAY(B2)</f>
        <v>261.53571428571428</v>
      </c>
      <c r="K94" s="411"/>
      <c r="L94" s="408"/>
      <c r="N94" s="1190">
        <f>F94-'1'!E94</f>
        <v>0</v>
      </c>
    </row>
    <row r="95" spans="1:17" ht="27.75">
      <c r="A95" s="1419" t="s">
        <v>209</v>
      </c>
      <c r="B95" s="1420"/>
      <c r="C95" s="1421"/>
      <c r="D95" s="599" t="s">
        <v>144</v>
      </c>
      <c r="E95" s="841">
        <f>'27'!F95</f>
        <v>408066</v>
      </c>
      <c r="F95" s="820">
        <v>408156</v>
      </c>
      <c r="G95" s="549">
        <f t="shared" ref="G95:G100" si="12">F95-E95</f>
        <v>90</v>
      </c>
      <c r="H95" s="536">
        <f>G95+'27'!H95</f>
        <v>2280</v>
      </c>
      <c r="I95" s="556"/>
      <c r="J95" s="629">
        <f>H95/DAY(B2)</f>
        <v>81.428571428571431</v>
      </c>
      <c r="K95" s="411"/>
      <c r="L95" s="408"/>
      <c r="N95" s="1190">
        <f>F95-'1'!E95</f>
        <v>2280</v>
      </c>
    </row>
    <row r="96" spans="1:17" ht="27.75">
      <c r="A96" s="1230" t="s">
        <v>210</v>
      </c>
      <c r="B96" s="1231"/>
      <c r="C96" s="1231"/>
      <c r="D96" s="599" t="s">
        <v>144</v>
      </c>
      <c r="E96" s="841">
        <f>'27'!F96</f>
        <v>101292</v>
      </c>
      <c r="F96" s="820">
        <v>101332</v>
      </c>
      <c r="G96" s="549">
        <f t="shared" si="12"/>
        <v>40</v>
      </c>
      <c r="H96" s="536">
        <f>G96+'27'!H96</f>
        <v>798</v>
      </c>
      <c r="I96" s="556"/>
      <c r="J96" s="629">
        <f>H96/DAY(B2)</f>
        <v>28.5</v>
      </c>
      <c r="K96" s="466"/>
      <c r="L96" s="408"/>
      <c r="N96" s="1190">
        <f>F96-'1'!E96</f>
        <v>798</v>
      </c>
    </row>
    <row r="97" spans="1:17" ht="27.75">
      <c r="A97" s="1230" t="s">
        <v>211</v>
      </c>
      <c r="B97" s="1231"/>
      <c r="C97" s="1231"/>
      <c r="D97" s="599" t="s">
        <v>144</v>
      </c>
      <c r="E97" s="841">
        <f>'27'!F97</f>
        <v>96419</v>
      </c>
      <c r="F97" s="820">
        <v>96449</v>
      </c>
      <c r="G97" s="549">
        <f t="shared" si="12"/>
        <v>30</v>
      </c>
      <c r="H97" s="536">
        <f>G97+'27'!H97</f>
        <v>772</v>
      </c>
      <c r="I97" s="556"/>
      <c r="J97" s="629">
        <f>H97/DAY(B2)</f>
        <v>27.571428571428573</v>
      </c>
      <c r="K97" s="471"/>
      <c r="L97" s="408"/>
      <c r="N97" s="1190">
        <f>F97-'1'!E97</f>
        <v>772</v>
      </c>
    </row>
    <row r="98" spans="1:17" ht="27.75">
      <c r="A98" s="1230" t="s">
        <v>212</v>
      </c>
      <c r="B98" s="1231"/>
      <c r="C98" s="1231"/>
      <c r="D98" s="599" t="s">
        <v>144</v>
      </c>
      <c r="E98" s="841">
        <f>'27'!F98</f>
        <v>147539</v>
      </c>
      <c r="F98" s="820">
        <v>147608</v>
      </c>
      <c r="G98" s="549">
        <f t="shared" si="12"/>
        <v>69</v>
      </c>
      <c r="H98" s="536">
        <f>G98+'27'!H98</f>
        <v>2054</v>
      </c>
      <c r="I98" s="556"/>
      <c r="J98" s="629">
        <f>H98/DAY(B2)</f>
        <v>73.357142857142861</v>
      </c>
      <c r="K98" s="411"/>
      <c r="L98" s="408"/>
      <c r="N98" s="1190">
        <f>F98-'1'!E98</f>
        <v>2054</v>
      </c>
    </row>
    <row r="99" spans="1:17" ht="27.75">
      <c r="A99" s="1230" t="s">
        <v>213</v>
      </c>
      <c r="B99" s="1231"/>
      <c r="C99" s="1231"/>
      <c r="D99" s="599" t="s">
        <v>144</v>
      </c>
      <c r="E99" s="841">
        <f>'27'!F99</f>
        <v>6381</v>
      </c>
      <c r="F99" s="820">
        <v>6408</v>
      </c>
      <c r="G99" s="549">
        <f t="shared" si="12"/>
        <v>27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190">
        <f>F99-'1'!E99</f>
        <v>434</v>
      </c>
    </row>
    <row r="100" spans="1:17" ht="27.75">
      <c r="A100" s="1230" t="s">
        <v>214</v>
      </c>
      <c r="B100" s="1231"/>
      <c r="C100" s="1231"/>
      <c r="D100" s="599" t="s">
        <v>144</v>
      </c>
      <c r="E100" s="841">
        <f>'27'!F100</f>
        <v>4511</v>
      </c>
      <c r="F100" s="820">
        <v>4543</v>
      </c>
      <c r="G100" s="549">
        <f t="shared" si="12"/>
        <v>32</v>
      </c>
      <c r="H100" s="536">
        <f>G100+'27'!H100</f>
        <v>306</v>
      </c>
      <c r="I100" s="556"/>
      <c r="J100" s="629">
        <f>H100/DAY(B2)</f>
        <v>10.928571428571429</v>
      </c>
      <c r="K100" s="411"/>
      <c r="L100" s="408"/>
      <c r="N100" s="1190">
        <f>F100-'1'!E100</f>
        <v>306</v>
      </c>
    </row>
    <row r="101" spans="1:17">
      <c r="A101" s="1413" t="s">
        <v>216</v>
      </c>
      <c r="B101" s="1414"/>
      <c r="C101" s="1415"/>
      <c r="D101" s="600"/>
      <c r="E101" s="562"/>
      <c r="F101" s="562"/>
      <c r="G101" s="601">
        <f>SUM(G95:G100)</f>
        <v>288</v>
      </c>
      <c r="H101" s="536">
        <f>G101+'27'!H101</f>
        <v>6644</v>
      </c>
      <c r="I101" s="602"/>
      <c r="J101" s="629">
        <f>H101/DAY(B2)</f>
        <v>237.28571428571428</v>
      </c>
      <c r="K101" s="411"/>
      <c r="L101" s="408"/>
      <c r="N101" s="1190">
        <f>F101-'1'!E101</f>
        <v>0</v>
      </c>
    </row>
    <row r="102" spans="1:17" s="481" customFormat="1" ht="27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0">
        <f>F102-'1'!E102</f>
        <v>0</v>
      </c>
      <c r="O102" s="852"/>
      <c r="P102" s="852"/>
      <c r="Q102" s="852"/>
    </row>
    <row r="103" spans="1:17" s="481" customFormat="1" ht="27">
      <c r="A103" s="1422" t="s">
        <v>218</v>
      </c>
      <c r="B103" s="1423"/>
      <c r="C103" s="650"/>
      <c r="D103" s="699"/>
      <c r="E103" s="609"/>
      <c r="F103" s="834"/>
      <c r="G103" s="608"/>
      <c r="H103" s="609"/>
      <c r="I103" s="608"/>
      <c r="J103" s="635"/>
      <c r="N103" s="1190">
        <f>F103-'1'!E103</f>
        <v>0</v>
      </c>
      <c r="O103" s="852"/>
      <c r="P103" s="852"/>
      <c r="Q103" s="852"/>
    </row>
    <row r="104" spans="1:17" s="481" customFormat="1" ht="27">
      <c r="A104" s="1424" t="s">
        <v>219</v>
      </c>
      <c r="B104" s="1425"/>
      <c r="C104" s="1229"/>
      <c r="D104" s="699" t="s">
        <v>144</v>
      </c>
      <c r="E104" s="609">
        <f>'27'!F104</f>
        <v>7128</v>
      </c>
      <c r="F104" s="834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0">
        <f>F104-'1'!E104</f>
        <v>118</v>
      </c>
      <c r="O104" s="852"/>
      <c r="P104" s="852"/>
      <c r="Q104" s="852"/>
    </row>
    <row r="105" spans="1:17" s="481" customFormat="1" ht="27">
      <c r="A105" s="1424" t="s">
        <v>77</v>
      </c>
      <c r="B105" s="1425"/>
      <c r="C105" s="1229"/>
      <c r="D105" s="699" t="s">
        <v>144</v>
      </c>
      <c r="E105" s="609">
        <f>'27'!F105</f>
        <v>35398</v>
      </c>
      <c r="F105" s="741">
        <v>35407</v>
      </c>
      <c r="G105" s="608">
        <f t="shared" ref="G105" si="13">F105-E105</f>
        <v>9</v>
      </c>
      <c r="H105" s="609">
        <f>SUM(G105+'1'!G77)</f>
        <v>57</v>
      </c>
      <c r="I105" s="608"/>
      <c r="J105" s="635">
        <f>H105/DAY(B2)</f>
        <v>2.0357142857142856</v>
      </c>
      <c r="N105" s="1190">
        <f>F105-'1'!E105</f>
        <v>246</v>
      </c>
      <c r="O105" s="852"/>
      <c r="P105" s="852"/>
      <c r="Q105" s="852"/>
    </row>
    <row r="106" spans="1:17" s="481" customFormat="1" ht="27">
      <c r="A106" s="1424" t="s">
        <v>78</v>
      </c>
      <c r="B106" s="1426"/>
      <c r="C106" s="1425"/>
      <c r="D106" s="699" t="s">
        <v>144</v>
      </c>
      <c r="E106" s="609">
        <f>'27'!F106</f>
        <v>19241</v>
      </c>
      <c r="F106" s="741">
        <v>19247</v>
      </c>
      <c r="G106" s="608">
        <f>F106-E106</f>
        <v>6</v>
      </c>
      <c r="H106" s="609">
        <f>SUM(G106+'1'!G78)</f>
        <v>340</v>
      </c>
      <c r="I106" s="608"/>
      <c r="J106" s="635">
        <f>H106/DAY(B2)</f>
        <v>12.142857142857142</v>
      </c>
      <c r="N106" s="1190">
        <f>F106-'1'!E106</f>
        <v>167</v>
      </c>
      <c r="O106" s="852"/>
      <c r="P106" s="852"/>
      <c r="Q106" s="852"/>
    </row>
    <row r="107" spans="1:17" s="481" customFormat="1" ht="27">
      <c r="A107" s="1427" t="s">
        <v>202</v>
      </c>
      <c r="B107" s="1428"/>
      <c r="C107" s="1229"/>
      <c r="D107" s="699"/>
      <c r="E107" s="609">
        <f>'27'!F107</f>
        <v>0</v>
      </c>
      <c r="F107" s="741"/>
      <c r="G107" s="608">
        <f>SUM(G104:G106)</f>
        <v>15</v>
      </c>
      <c r="H107" s="609">
        <f>SUM(G107+'1'!G79)</f>
        <v>220</v>
      </c>
      <c r="I107" s="608"/>
      <c r="J107" s="635">
        <f>H107/DAY(B2)</f>
        <v>7.8571428571428568</v>
      </c>
      <c r="N107" s="1190">
        <f>F107-'1'!E107</f>
        <v>0</v>
      </c>
      <c r="O107" s="852"/>
      <c r="P107" s="852"/>
      <c r="Q107" s="852"/>
    </row>
    <row r="108" spans="1:17" s="481" customFormat="1" ht="27">
      <c r="A108" s="1429" t="s">
        <v>79</v>
      </c>
      <c r="B108" s="1430"/>
      <c r="C108" s="1229"/>
      <c r="D108" s="699" t="s">
        <v>144</v>
      </c>
      <c r="E108" s="609">
        <f>'27'!F108</f>
        <v>0</v>
      </c>
      <c r="F108" s="741"/>
      <c r="G108" s="608"/>
      <c r="H108" s="609"/>
      <c r="I108" s="608"/>
      <c r="J108" s="635"/>
      <c r="N108" s="1190">
        <f>F108-'1'!E108</f>
        <v>0</v>
      </c>
      <c r="O108" s="852"/>
      <c r="P108" s="852"/>
      <c r="Q108" s="852"/>
    </row>
    <row r="109" spans="1:17" s="481" customFormat="1" ht="27">
      <c r="A109" s="1424" t="s">
        <v>220</v>
      </c>
      <c r="B109" s="1425"/>
      <c r="C109" s="1229"/>
      <c r="D109" s="699" t="s">
        <v>144</v>
      </c>
      <c r="E109" s="609">
        <f>'27'!F109</f>
        <v>56292</v>
      </c>
      <c r="F109" s="741">
        <v>56353</v>
      </c>
      <c r="G109" s="608">
        <f>F109-E109</f>
        <v>61</v>
      </c>
      <c r="H109" s="609">
        <f>SUM(G109+'1'!G81)</f>
        <v>137</v>
      </c>
      <c r="I109" s="608"/>
      <c r="J109" s="635">
        <f>H109/DAY(B2)</f>
        <v>4.8928571428571432</v>
      </c>
      <c r="N109" s="1190">
        <f>F109-'1'!E109</f>
        <v>1679</v>
      </c>
      <c r="O109" s="852"/>
      <c r="P109" s="852"/>
      <c r="Q109" s="852"/>
    </row>
    <row r="110" spans="1:17" s="481" customFormat="1" ht="27">
      <c r="A110" s="1424" t="s">
        <v>221</v>
      </c>
      <c r="B110" s="1425"/>
      <c r="C110" s="1229"/>
      <c r="D110" s="699" t="s">
        <v>144</v>
      </c>
      <c r="E110" s="609">
        <f>'27'!F110</f>
        <v>30478</v>
      </c>
      <c r="F110" s="741">
        <v>30527</v>
      </c>
      <c r="G110" s="608">
        <f t="shared" ref="G110:G111" si="14">F110-E110</f>
        <v>49</v>
      </c>
      <c r="H110" s="609">
        <f>SUM(G110+'1'!G82)</f>
        <v>94</v>
      </c>
      <c r="I110" s="608"/>
      <c r="J110" s="635">
        <f>H110/DAY(B2)</f>
        <v>3.3571428571428572</v>
      </c>
      <c r="N110" s="1190">
        <f>F110-'1'!E110</f>
        <v>1986</v>
      </c>
      <c r="O110" s="852"/>
      <c r="P110" s="852"/>
      <c r="Q110" s="852"/>
    </row>
    <row r="111" spans="1:17" s="481" customFormat="1" ht="27">
      <c r="A111" s="1424" t="s">
        <v>222</v>
      </c>
      <c r="B111" s="1425"/>
      <c r="C111" s="1229"/>
      <c r="D111" s="699" t="s">
        <v>144</v>
      </c>
      <c r="E111" s="609">
        <f>'27'!F111</f>
        <v>3980</v>
      </c>
      <c r="F111" s="741">
        <v>3980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0">
        <f>F111-'1'!E111</f>
        <v>226</v>
      </c>
      <c r="O111" s="852"/>
      <c r="P111" s="852"/>
      <c r="Q111" s="852"/>
    </row>
    <row r="112" spans="1:17" s="481" customFormat="1" ht="27">
      <c r="A112" s="1427" t="s">
        <v>110</v>
      </c>
      <c r="B112" s="1428"/>
      <c r="C112" s="1229"/>
      <c r="D112" s="699"/>
      <c r="E112" s="609">
        <f>'27'!F112</f>
        <v>0</v>
      </c>
      <c r="F112" s="741"/>
      <c r="G112" s="608">
        <f>SUM(G109:G111)</f>
        <v>110</v>
      </c>
      <c r="H112" s="609">
        <f>SUM(G112+'1'!G84)</f>
        <v>631</v>
      </c>
      <c r="I112" s="608"/>
      <c r="J112" s="635">
        <f>H112/DAY(B2)</f>
        <v>22.535714285714285</v>
      </c>
      <c r="N112" s="1190">
        <f>F112-'1'!E112</f>
        <v>0</v>
      </c>
      <c r="O112" s="852"/>
      <c r="P112" s="852"/>
      <c r="Q112" s="852"/>
    </row>
    <row r="113" spans="1:17" s="481" customFormat="1" ht="27">
      <c r="A113" s="1429" t="s">
        <v>223</v>
      </c>
      <c r="B113" s="1430"/>
      <c r="C113" s="1229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0">
        <f>F113-'1'!E113</f>
        <v>0</v>
      </c>
      <c r="O113" s="852"/>
      <c r="P113" s="852"/>
      <c r="Q113" s="852"/>
    </row>
    <row r="114" spans="1:17" s="481" customFormat="1" ht="27">
      <c r="A114" s="1424" t="s">
        <v>224</v>
      </c>
      <c r="B114" s="1425"/>
      <c r="C114" s="651"/>
      <c r="D114" s="699" t="s">
        <v>144</v>
      </c>
      <c r="E114" s="609">
        <f>'27'!F114</f>
        <v>10290</v>
      </c>
      <c r="F114" s="741">
        <v>10322</v>
      </c>
      <c r="G114" s="610">
        <f>F114-E114</f>
        <v>32</v>
      </c>
      <c r="H114" s="609">
        <f>SUM(G114+'1'!G91)</f>
        <v>32</v>
      </c>
      <c r="I114" s="608"/>
      <c r="J114" s="635">
        <f>H114/DAY(B2)</f>
        <v>1.1428571428571428</v>
      </c>
      <c r="N114" s="1190">
        <f>F114-'1'!E114</f>
        <v>521</v>
      </c>
      <c r="O114" s="852"/>
      <c r="P114" s="852"/>
      <c r="Q114" s="852"/>
    </row>
    <row r="115" spans="1:17" s="481" customFormat="1" ht="27">
      <c r="A115" s="1424" t="s">
        <v>225</v>
      </c>
      <c r="B115" s="1425"/>
      <c r="C115" s="651"/>
      <c r="D115" s="699" t="s">
        <v>144</v>
      </c>
      <c r="E115" s="609">
        <f>'27'!F115</f>
        <v>7644</v>
      </c>
      <c r="F115" s="741">
        <v>7667</v>
      </c>
      <c r="G115" s="610">
        <f t="shared" ref="G115:G116" si="15">F115-E115</f>
        <v>23</v>
      </c>
      <c r="H115" s="609">
        <f>SUM(G115+'1'!G92)</f>
        <v>110</v>
      </c>
      <c r="I115" s="608"/>
      <c r="J115" s="635">
        <f>H115/DAY(B2)</f>
        <v>3.9285714285714284</v>
      </c>
      <c r="N115" s="1190">
        <f>F115-'1'!E115</f>
        <v>240</v>
      </c>
      <c r="O115" s="852"/>
      <c r="P115" s="852"/>
      <c r="Q115" s="852"/>
    </row>
    <row r="116" spans="1:17" s="481" customFormat="1" ht="27">
      <c r="A116" s="1424" t="s">
        <v>226</v>
      </c>
      <c r="B116" s="1425"/>
      <c r="C116" s="651"/>
      <c r="D116" s="699" t="s">
        <v>144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0">
        <f>F116-'1'!E116</f>
        <v>0</v>
      </c>
      <c r="O116" s="852"/>
      <c r="P116" s="852"/>
      <c r="Q116" s="852"/>
    </row>
    <row r="117" spans="1:17" s="494" customFormat="1" ht="27">
      <c r="A117" s="1427" t="s">
        <v>202</v>
      </c>
      <c r="B117" s="1428"/>
      <c r="C117" s="651"/>
      <c r="D117" s="700"/>
      <c r="E117" s="612"/>
      <c r="F117" s="741"/>
      <c r="G117" s="610">
        <f>SUM(G114:G116)</f>
        <v>55</v>
      </c>
      <c r="H117" s="609">
        <f>SUM(G117+'1'!G95)</f>
        <v>127</v>
      </c>
      <c r="I117" s="610"/>
      <c r="J117" s="635">
        <f>H117/DAY(B2)</f>
        <v>4.5357142857142856</v>
      </c>
      <c r="N117" s="1190">
        <f>F117-'1'!E117</f>
        <v>0</v>
      </c>
      <c r="O117" s="852"/>
      <c r="P117" s="852"/>
      <c r="Q117" s="853"/>
    </row>
    <row r="118" spans="1:17" s="495" customFormat="1" ht="27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196</v>
      </c>
      <c r="G118" s="612">
        <f>SUM(G19+G92)</f>
        <v>196</v>
      </c>
      <c r="H118" s="609">
        <f>SUM(G118+'1'!G96)</f>
        <v>219</v>
      </c>
      <c r="I118" s="611"/>
      <c r="J118" s="636">
        <f>H118/DAY(B2)</f>
        <v>7.8214285714285712</v>
      </c>
      <c r="N118" s="1190">
        <f>F118-'1'!E118</f>
        <v>-369560</v>
      </c>
      <c r="O118" s="852"/>
      <c r="P118" s="852"/>
      <c r="Q118" s="853"/>
    </row>
    <row r="119" spans="1:17" s="495" customFormat="1" ht="27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219</v>
      </c>
      <c r="G119" s="612">
        <f>SUM(G95,G96,G97,G99,G100)</f>
        <v>219</v>
      </c>
      <c r="H119" s="609">
        <f>SUM(G119+'1'!G98)</f>
        <v>302</v>
      </c>
      <c r="I119" s="611"/>
      <c r="J119" s="636">
        <f>H119/DAY(B2)</f>
        <v>10.785714285714286</v>
      </c>
      <c r="N119" s="1190">
        <f>F119-'1'!E119</f>
        <v>-612211</v>
      </c>
      <c r="O119" s="852"/>
      <c r="P119" s="852"/>
      <c r="Q119" s="853"/>
    </row>
    <row r="120" spans="1:17" s="495" customFormat="1" ht="27">
      <c r="A120" s="1458" t="s">
        <v>229</v>
      </c>
      <c r="B120" s="1459"/>
      <c r="C120" s="1227"/>
      <c r="D120" s="701" t="s">
        <v>144</v>
      </c>
      <c r="E120" s="612"/>
      <c r="F120" s="741">
        <f>SUM(G112)</f>
        <v>110</v>
      </c>
      <c r="G120" s="610">
        <f>SUM(G112)</f>
        <v>110</v>
      </c>
      <c r="H120" s="609">
        <f>SUM(G120+'1'!G100)</f>
        <v>116</v>
      </c>
      <c r="I120" s="611"/>
      <c r="J120" s="636">
        <f>H120/DAY(B2)</f>
        <v>4.1428571428571432</v>
      </c>
      <c r="N120" s="1190">
        <f>F120-'1'!E120</f>
        <v>110</v>
      </c>
      <c r="O120" s="852"/>
      <c r="P120" s="852"/>
      <c r="Q120" s="853"/>
    </row>
    <row r="121" spans="1:17" s="481" customFormat="1" ht="27">
      <c r="A121" s="1460"/>
      <c r="B121" s="1461"/>
      <c r="C121" s="1228"/>
      <c r="D121" s="637"/>
      <c r="E121" s="848"/>
      <c r="F121" s="835" t="s">
        <v>215</v>
      </c>
      <c r="G121" s="637"/>
      <c r="H121" s="638"/>
      <c r="I121" s="637"/>
      <c r="J121" s="639"/>
      <c r="N121" s="1190" t="e">
        <f>F121-'1'!E121</f>
        <v>#VALUE!</v>
      </c>
      <c r="O121" s="852"/>
      <c r="P121" s="852"/>
      <c r="Q121" s="852"/>
    </row>
    <row r="122" spans="1:17">
      <c r="A122" s="1410" t="s">
        <v>230</v>
      </c>
      <c r="B122" s="1411"/>
      <c r="C122" s="1412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0">
        <f>F122-'1'!E122</f>
        <v>0</v>
      </c>
    </row>
    <row r="123" spans="1:17" ht="27.75">
      <c r="A123" s="1230" t="s">
        <v>231</v>
      </c>
      <c r="B123" s="1231"/>
      <c r="C123" s="1231"/>
      <c r="D123" s="599" t="s">
        <v>141</v>
      </c>
      <c r="E123" s="820">
        <f>'27'!F123</f>
        <v>810733.098</v>
      </c>
      <c r="F123" s="820">
        <v>811006.84</v>
      </c>
      <c r="G123" s="549">
        <f t="shared" ref="G123:G127" si="16">F123-E123</f>
        <v>273.74199999996927</v>
      </c>
      <c r="H123" s="536">
        <f>G123+'27'!H123</f>
        <v>7671.4399999999441</v>
      </c>
      <c r="I123" s="602"/>
      <c r="J123" s="629">
        <f>H123/DAY(B2)</f>
        <v>273.97999999999803</v>
      </c>
      <c r="K123" s="411"/>
      <c r="L123" s="408"/>
      <c r="N123" s="1190">
        <f>F123-'1'!E123</f>
        <v>7671.4399999999441</v>
      </c>
    </row>
    <row r="124" spans="1:17" ht="27.75">
      <c r="A124" s="1230" t="s">
        <v>232</v>
      </c>
      <c r="B124" s="1231"/>
      <c r="C124" s="1231"/>
      <c r="D124" s="599" t="s">
        <v>141</v>
      </c>
      <c r="E124" s="820">
        <f>'27'!F124</f>
        <v>73583.399999999994</v>
      </c>
      <c r="F124" s="836">
        <v>73583.399999999994</v>
      </c>
      <c r="G124" s="549">
        <f t="shared" si="16"/>
        <v>0</v>
      </c>
      <c r="H124" s="536">
        <f>G124+'27'!H124</f>
        <v>1.3999999999941792</v>
      </c>
      <c r="I124" s="602"/>
      <c r="J124" s="629">
        <f>H124/DAY(B2)</f>
        <v>4.9999999999792114E-2</v>
      </c>
      <c r="K124" s="411"/>
      <c r="L124" s="408"/>
      <c r="N124" s="1190">
        <f>F124-'1'!E124</f>
        <v>1.3999999999941792</v>
      </c>
    </row>
    <row r="125" spans="1:17" ht="27.75">
      <c r="A125" s="1416" t="s">
        <v>233</v>
      </c>
      <c r="B125" s="1417"/>
      <c r="C125" s="1418"/>
      <c r="D125" s="599" t="s">
        <v>141</v>
      </c>
      <c r="E125" s="820">
        <f>'27'!F125</f>
        <v>139911.53</v>
      </c>
      <c r="F125" s="820">
        <v>139979.34</v>
      </c>
      <c r="G125" s="549">
        <f t="shared" si="16"/>
        <v>67.809999999997672</v>
      </c>
      <c r="H125" s="536">
        <f>G125+'27'!H125</f>
        <v>2131.3399999999965</v>
      </c>
      <c r="I125" s="602"/>
      <c r="J125" s="629">
        <f>H125/DAY(B2)</f>
        <v>76.119285714285596</v>
      </c>
      <c r="K125" s="411"/>
      <c r="L125" s="408"/>
      <c r="N125" s="1190">
        <f>F125-'1'!E125</f>
        <v>2131.3399999999965</v>
      </c>
    </row>
    <row r="126" spans="1:17" ht="27.75">
      <c r="A126" s="686" t="s">
        <v>234</v>
      </c>
      <c r="B126" s="1231"/>
      <c r="C126" s="1231"/>
      <c r="D126" s="599" t="s">
        <v>141</v>
      </c>
      <c r="E126" s="820">
        <f>'27'!F126</f>
        <v>59265.5</v>
      </c>
      <c r="F126" s="836">
        <v>59306.9</v>
      </c>
      <c r="G126" s="549">
        <f t="shared" si="16"/>
        <v>41.400000000001455</v>
      </c>
      <c r="H126" s="536">
        <f>G126+'27'!H126</f>
        <v>915.20000000000437</v>
      </c>
      <c r="I126" s="602"/>
      <c r="J126" s="629">
        <f>H126/DAY(B2)</f>
        <v>32.68571428571444</v>
      </c>
      <c r="K126" s="411"/>
      <c r="L126" s="408"/>
      <c r="N126" s="1190">
        <f>F126-'1'!E126</f>
        <v>915.20000000000437</v>
      </c>
    </row>
    <row r="127" spans="1:17" ht="27.75">
      <c r="A127" s="686" t="s">
        <v>235</v>
      </c>
      <c r="B127" s="1231"/>
      <c r="C127" s="1231"/>
      <c r="D127" s="599" t="s">
        <v>141</v>
      </c>
      <c r="E127" s="820">
        <f>'27'!F127</f>
        <v>8885.4</v>
      </c>
      <c r="F127" s="836">
        <v>8887.7999999999993</v>
      </c>
      <c r="G127" s="549">
        <f t="shared" si="16"/>
        <v>2.3999999999996362</v>
      </c>
      <c r="H127" s="536">
        <f>G127+'27'!H127</f>
        <v>71.799999999999272</v>
      </c>
      <c r="I127" s="556"/>
      <c r="J127" s="629">
        <f>H127/DAY(B2)</f>
        <v>2.5642857142856883</v>
      </c>
      <c r="K127" s="411"/>
      <c r="L127" s="408"/>
      <c r="N127" s="1190">
        <f>F127-'1'!E127</f>
        <v>71.799999999999272</v>
      </c>
    </row>
    <row r="128" spans="1:17" s="281" customFormat="1" ht="27">
      <c r="A128" s="686" t="s">
        <v>236</v>
      </c>
      <c r="B128" s="1231"/>
      <c r="C128" s="1231"/>
      <c r="D128" s="599"/>
      <c r="E128" s="820"/>
      <c r="F128" s="820"/>
      <c r="G128" s="549">
        <f>G15-SUM(G123:G127)</f>
        <v>674.65500000024804</v>
      </c>
      <c r="H128" s="536"/>
      <c r="I128" s="556"/>
      <c r="J128" s="629"/>
      <c r="K128" s="391"/>
      <c r="L128" s="293"/>
      <c r="N128" s="1190">
        <f>F128-'1'!E128</f>
        <v>0</v>
      </c>
      <c r="O128" s="852"/>
      <c r="P128" s="852"/>
      <c r="Q128" s="852"/>
    </row>
    <row r="129" spans="1:12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0" t="s">
        <v>238</v>
      </c>
      <c r="B130" s="1231"/>
      <c r="C130" s="1231"/>
      <c r="D130" s="599" t="s">
        <v>239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30" t="s">
        <v>240</v>
      </c>
      <c r="B131" s="1231"/>
      <c r="C131" s="1231"/>
      <c r="D131" s="599" t="s">
        <v>239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30" t="s">
        <v>241</v>
      </c>
      <c r="B132" s="1231"/>
      <c r="C132" s="1231"/>
      <c r="D132" s="599" t="s">
        <v>239</v>
      </c>
      <c r="E132" s="850">
        <f>'27'!F132</f>
        <v>38829.480000000003</v>
      </c>
      <c r="F132" s="836">
        <v>38829</v>
      </c>
      <c r="G132" s="549">
        <f t="shared" si="17"/>
        <v>-0.48000000000320142</v>
      </c>
      <c r="H132" s="536">
        <f>G132+'27'!H132</f>
        <v>110.60999999999331</v>
      </c>
      <c r="I132" s="556"/>
      <c r="J132" s="629">
        <f>H132/DAY(B2)</f>
        <v>3.950357142856904</v>
      </c>
    </row>
    <row r="133" spans="1:12" ht="27.75">
      <c r="A133" s="1230" t="s">
        <v>242</v>
      </c>
      <c r="B133" s="1231"/>
      <c r="C133" s="1231"/>
      <c r="D133" s="599" t="s">
        <v>239</v>
      </c>
      <c r="E133" s="850">
        <f>'27'!F133</f>
        <v>299.52</v>
      </c>
      <c r="F133" s="836">
        <v>300</v>
      </c>
      <c r="G133" s="549">
        <f t="shared" si="17"/>
        <v>0.48000000000001819</v>
      </c>
      <c r="H133" s="536">
        <f>G133+'27'!H133</f>
        <v>1</v>
      </c>
      <c r="I133" s="556">
        <f>G130+G131+G132+G133</f>
        <v>-3.1832314562052488E-12</v>
      </c>
      <c r="J133" s="629">
        <f>H133/DAY(B2)</f>
        <v>3.5714285714285712E-2</v>
      </c>
    </row>
    <row r="134" spans="1:12" ht="27.75">
      <c r="A134" s="1230" t="s">
        <v>243</v>
      </c>
      <c r="B134" s="1231"/>
      <c r="C134" s="1231"/>
      <c r="D134" s="599" t="s">
        <v>239</v>
      </c>
      <c r="E134" s="850">
        <f>'27'!F134</f>
        <v>40343</v>
      </c>
      <c r="F134" s="836">
        <v>40367.14</v>
      </c>
      <c r="G134" s="549">
        <f t="shared" si="17"/>
        <v>24.139999999999418</v>
      </c>
      <c r="H134" s="536">
        <f>G134+'27'!H134</f>
        <v>130.62000000000262</v>
      </c>
      <c r="I134" s="556"/>
      <c r="J134" s="629">
        <f>H134/DAY(B2)</f>
        <v>4.6650000000000933</v>
      </c>
    </row>
    <row r="135" spans="1:12" ht="27.75">
      <c r="A135" s="1230" t="s">
        <v>244</v>
      </c>
      <c r="B135" s="1231"/>
      <c r="C135" s="1231"/>
      <c r="D135" s="599" t="s">
        <v>239</v>
      </c>
      <c r="E135" s="849">
        <f>'27'!F135</f>
        <v>32571</v>
      </c>
      <c r="F135" s="827">
        <v>32571</v>
      </c>
      <c r="G135" s="549">
        <f t="shared" si="17"/>
        <v>0</v>
      </c>
      <c r="H135" s="536">
        <f>G135+'27'!H135</f>
        <v>29.520000000000437</v>
      </c>
      <c r="I135" s="556"/>
      <c r="J135" s="629">
        <f>H135/DAY(B2)</f>
        <v>1.0542857142857298</v>
      </c>
    </row>
    <row r="136" spans="1:12" ht="27.75">
      <c r="A136" s="1230" t="s">
        <v>245</v>
      </c>
      <c r="B136" s="1231"/>
      <c r="C136" s="1231"/>
      <c r="D136" s="599" t="s">
        <v>239</v>
      </c>
      <c r="E136" s="849">
        <f>'27'!F136</f>
        <v>22212.54</v>
      </c>
      <c r="F136" s="827">
        <v>22222.21</v>
      </c>
      <c r="G136" s="549">
        <f t="shared" si="17"/>
        <v>9.6699999999982538</v>
      </c>
      <c r="H136" s="536">
        <f>G136+'27'!H136</f>
        <v>220.25</v>
      </c>
      <c r="I136" s="556">
        <f>G134+G135+G136</f>
        <v>33.809999999997672</v>
      </c>
      <c r="J136" s="629">
        <f>H136/DAY(B2)</f>
        <v>7.8660714285714288</v>
      </c>
    </row>
    <row r="137" spans="1:12" ht="27.75">
      <c r="A137" s="1230" t="s">
        <v>246</v>
      </c>
      <c r="B137" s="1231"/>
      <c r="C137" s="1231"/>
      <c r="D137" s="599" t="s">
        <v>239</v>
      </c>
      <c r="E137" s="849">
        <f>'27'!F137</f>
        <v>25044.31</v>
      </c>
      <c r="F137" s="827">
        <v>25044.31</v>
      </c>
      <c r="G137" s="549">
        <f t="shared" si="17"/>
        <v>0</v>
      </c>
      <c r="H137" s="536">
        <f>G137+'27'!H137</f>
        <v>15.75</v>
      </c>
      <c r="I137" s="556"/>
      <c r="J137" s="629">
        <f>H137/DAY(B2)</f>
        <v>0.5625</v>
      </c>
    </row>
    <row r="138" spans="1:12" ht="27.75">
      <c r="A138" s="1230" t="s">
        <v>247</v>
      </c>
      <c r="B138" s="1231"/>
      <c r="C138" s="1231"/>
      <c r="D138" s="599" t="s">
        <v>239</v>
      </c>
      <c r="E138" s="849">
        <f>'27'!F138</f>
        <v>70141.899999999994</v>
      </c>
      <c r="F138" s="827">
        <v>70147.34</v>
      </c>
      <c r="G138" s="549">
        <f t="shared" si="17"/>
        <v>5.4400000000023283</v>
      </c>
      <c r="H138" s="536">
        <f>G138+'27'!H138</f>
        <v>31.489999999990687</v>
      </c>
      <c r="I138" s="556">
        <f>G137+G138</f>
        <v>5.4400000000023283</v>
      </c>
      <c r="J138" s="629">
        <f>H138/DAY(B2)</f>
        <v>1.1246428571425244</v>
      </c>
    </row>
    <row r="139" spans="1:12" ht="27.75">
      <c r="A139" s="1230" t="s">
        <v>248</v>
      </c>
      <c r="B139" s="1231"/>
      <c r="C139" s="1231"/>
      <c r="D139" s="599" t="s">
        <v>239</v>
      </c>
      <c r="E139" s="850">
        <f>'27'!F139</f>
        <v>1415.3</v>
      </c>
      <c r="F139" s="836">
        <v>1423.14</v>
      </c>
      <c r="G139" s="549">
        <f t="shared" si="17"/>
        <v>7.8400000000001455</v>
      </c>
      <c r="H139" s="536">
        <f>G139+'27'!H139</f>
        <v>222.55000000000018</v>
      </c>
      <c r="I139" s="619"/>
      <c r="J139" s="629">
        <f>H139/DAY(B2)</f>
        <v>7.9482142857142923</v>
      </c>
    </row>
    <row r="140" spans="1:12" ht="27.75">
      <c r="A140" s="1230" t="s">
        <v>249</v>
      </c>
      <c r="B140" s="1231"/>
      <c r="C140" s="1231"/>
      <c r="D140" s="599" t="s">
        <v>239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54" t="s">
        <v>250</v>
      </c>
      <c r="B141" s="1455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19" t="s">
        <v>251</v>
      </c>
      <c r="B142" s="1420"/>
      <c r="C142" s="1421"/>
      <c r="D142" s="599" t="s">
        <v>132</v>
      </c>
      <c r="E142" s="536"/>
      <c r="F142" s="536"/>
      <c r="G142" s="536">
        <f>G35+G43+G49+G57</f>
        <v>5707.8399999999674</v>
      </c>
      <c r="H142" s="536">
        <f>G142+'27'!H142</f>
        <v>142992.80999999991</v>
      </c>
      <c r="I142" s="556"/>
      <c r="J142" s="629">
        <f>H142/DAY(B2)</f>
        <v>5106.8860714285684</v>
      </c>
      <c r="K142" s="411"/>
      <c r="L142" s="408"/>
    </row>
    <row r="143" spans="1:12" ht="27.75">
      <c r="A143" s="1419" t="s">
        <v>252</v>
      </c>
      <c r="B143" s="1420"/>
      <c r="C143" s="1421"/>
      <c r="D143" s="599" t="s">
        <v>24</v>
      </c>
      <c r="E143" s="546"/>
      <c r="F143" s="546"/>
      <c r="G143" s="620">
        <f>G142/G7</f>
        <v>0.26161151342927708</v>
      </c>
      <c r="H143" s="536">
        <f>G143+'27'!H143</f>
        <v>7.0166390230800397</v>
      </c>
      <c r="I143" s="621"/>
      <c r="J143" s="629">
        <f>H143/DAY(B2)</f>
        <v>0.25059425082428716</v>
      </c>
      <c r="K143" s="411"/>
      <c r="L143" s="408"/>
    </row>
    <row r="144" spans="1:12" ht="27.75">
      <c r="A144" s="1419" t="s">
        <v>253</v>
      </c>
      <c r="B144" s="1420"/>
      <c r="C144" s="1421"/>
      <c r="D144" s="599" t="s">
        <v>132</v>
      </c>
      <c r="E144" s="536"/>
      <c r="F144" s="536"/>
      <c r="G144" s="536">
        <f>G41+G42+G55+G56</f>
        <v>5659.2799999999843</v>
      </c>
      <c r="H144" s="536">
        <f>G144+'27'!H144</f>
        <v>126246.93</v>
      </c>
      <c r="I144" s="556"/>
      <c r="J144" s="629">
        <f>H144/DAY(B2)</f>
        <v>4508.8189285714279</v>
      </c>
      <c r="K144" s="411"/>
      <c r="L144" s="408"/>
    </row>
    <row r="145" spans="1:12" ht="27.75">
      <c r="A145" s="1419" t="s">
        <v>254</v>
      </c>
      <c r="B145" s="1420"/>
      <c r="C145" s="1421"/>
      <c r="D145" s="599" t="s">
        <v>24</v>
      </c>
      <c r="E145" s="536"/>
      <c r="F145" s="536"/>
      <c r="G145" s="620">
        <f>G144/G7</f>
        <v>0.25938582821523443</v>
      </c>
      <c r="H145" s="536">
        <f>G145+'27'!H145</f>
        <v>6.3248647201444435</v>
      </c>
      <c r="I145" s="621"/>
      <c r="J145" s="629">
        <f>H145/DAY(B2)</f>
        <v>0.22588802571944441</v>
      </c>
      <c r="K145" s="411"/>
      <c r="L145" s="408"/>
    </row>
    <row r="146" spans="1:12" ht="27.75">
      <c r="A146" s="1419" t="s">
        <v>255</v>
      </c>
      <c r="B146" s="1420"/>
      <c r="C146" s="1421"/>
      <c r="D146" s="599" t="s">
        <v>132</v>
      </c>
      <c r="E146" s="536"/>
      <c r="F146" s="536"/>
      <c r="G146" s="536">
        <f>G39+G53</f>
        <v>4370.9400000000023</v>
      </c>
      <c r="H146" s="536">
        <f>G146+'27'!H146</f>
        <v>118231.62999999998</v>
      </c>
      <c r="I146" s="622"/>
      <c r="J146" s="629">
        <f>H146/DAY(B2)</f>
        <v>4222.5582142857138</v>
      </c>
      <c r="K146" s="411"/>
      <c r="L146" s="408"/>
    </row>
    <row r="147" spans="1:12" ht="27.75">
      <c r="A147" s="1419" t="s">
        <v>256</v>
      </c>
      <c r="B147" s="1420"/>
      <c r="C147" s="1421"/>
      <c r="D147" s="599" t="s">
        <v>24</v>
      </c>
      <c r="E147" s="536"/>
      <c r="F147" s="536"/>
      <c r="G147" s="620">
        <f>G146/G7</f>
        <v>0.20033641947016237</v>
      </c>
      <c r="H147" s="536">
        <f>G147+'27'!H147</f>
        <v>5.9756508379908855</v>
      </c>
      <c r="I147" s="622"/>
      <c r="J147" s="629">
        <f>H147/DAY(B2)</f>
        <v>0.21341610135681735</v>
      </c>
    </row>
    <row r="148" spans="1:12" ht="27.75">
      <c r="A148" s="1419" t="s">
        <v>257</v>
      </c>
      <c r="B148" s="1420"/>
      <c r="C148" s="1421"/>
      <c r="D148" s="599" t="s">
        <v>183</v>
      </c>
      <c r="E148" s="536"/>
      <c r="F148" s="536"/>
      <c r="G148" s="536">
        <f>G38+G52</f>
        <v>2272.7350000000006</v>
      </c>
      <c r="H148" s="536">
        <f>G148+'27'!H148</f>
        <v>57819.650000000031</v>
      </c>
      <c r="I148" s="556"/>
      <c r="J148" s="629">
        <f>H148/DAY(B2)</f>
        <v>2064.9875000000011</v>
      </c>
      <c r="K148" s="412"/>
    </row>
    <row r="149" spans="1:12" ht="27.75">
      <c r="A149" s="1419" t="s">
        <v>258</v>
      </c>
      <c r="B149" s="1420"/>
      <c r="C149" s="1421"/>
      <c r="D149" s="599" t="s">
        <v>24</v>
      </c>
      <c r="E149" s="536"/>
      <c r="F149" s="536"/>
      <c r="G149" s="620">
        <f>G148/G7</f>
        <v>0.10416788889907419</v>
      </c>
      <c r="H149" s="536">
        <f>G149+'27'!H149</f>
        <v>2.9160188395115481</v>
      </c>
      <c r="I149" s="622"/>
      <c r="J149" s="629">
        <f>H149/DAY(B2)</f>
        <v>0.10414352998255529</v>
      </c>
    </row>
    <row r="150" spans="1:12" ht="27.75">
      <c r="A150" s="1419" t="s">
        <v>259</v>
      </c>
      <c r="B150" s="1420"/>
      <c r="C150" s="1421"/>
      <c r="D150" s="599" t="s">
        <v>183</v>
      </c>
      <c r="E150" s="536"/>
      <c r="F150" s="536"/>
      <c r="G150" s="536">
        <f>G36+G50</f>
        <v>1705</v>
      </c>
      <c r="H150" s="536">
        <f>G150+'27'!H150</f>
        <v>53799.840000000026</v>
      </c>
      <c r="I150" s="622"/>
      <c r="J150" s="629">
        <f>H150/DAY(B2)</f>
        <v>1921.422857142858</v>
      </c>
    </row>
    <row r="151" spans="1:12" ht="27.75">
      <c r="A151" s="1419" t="s">
        <v>260</v>
      </c>
      <c r="B151" s="1420"/>
      <c r="C151" s="1421"/>
      <c r="D151" s="599" t="s">
        <v>24</v>
      </c>
      <c r="E151" s="536"/>
      <c r="F151" s="536"/>
      <c r="G151" s="620">
        <f>G150/G7</f>
        <v>7.8146484554037957E-2</v>
      </c>
      <c r="H151" s="536">
        <f>G151+'27'!H151</f>
        <v>2.699165383612625</v>
      </c>
      <c r="I151" s="556"/>
      <c r="J151" s="629">
        <f>H151/DAY(B2)</f>
        <v>9.639876370045089E-2</v>
      </c>
    </row>
    <row r="152" spans="1:12" ht="27.75">
      <c r="A152" s="1419" t="s">
        <v>261</v>
      </c>
      <c r="B152" s="1420"/>
      <c r="C152" s="1421"/>
      <c r="D152" s="599" t="s">
        <v>183</v>
      </c>
      <c r="E152" s="536"/>
      <c r="F152" s="536"/>
      <c r="G152" s="536">
        <f>G37+G51</f>
        <v>1486.0299999999988</v>
      </c>
      <c r="H152" s="536">
        <f>G152+'27'!H152</f>
        <v>42013.279999999992</v>
      </c>
      <c r="I152" s="556"/>
      <c r="J152" s="629">
        <f>H152/DAY(B2)</f>
        <v>1500.4742857142853</v>
      </c>
    </row>
    <row r="153" spans="1:12" ht="28.5" thickBot="1">
      <c r="A153" s="1451" t="s">
        <v>262</v>
      </c>
      <c r="B153" s="1452"/>
      <c r="C153" s="1453"/>
      <c r="D153" s="702" t="s">
        <v>24</v>
      </c>
      <c r="E153" s="644"/>
      <c r="F153" s="644"/>
      <c r="G153" s="643">
        <f>G152/G7</f>
        <v>6.8110275918965943E-2</v>
      </c>
      <c r="H153" s="536">
        <f>G153+'27'!H153</f>
        <v>2.1282886794250557</v>
      </c>
      <c r="I153" s="645"/>
      <c r="J153" s="646">
        <f>H153/DAY(B2)</f>
        <v>7.601030997946627E-2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8" t="s">
        <v>263</v>
      </c>
      <c r="B160" s="869"/>
      <c r="C160" s="869"/>
      <c r="D160" s="587" t="s">
        <v>187</v>
      </c>
      <c r="E160" s="849">
        <f>'27'!F160</f>
        <v>30709.599999999999</v>
      </c>
      <c r="F160" s="739">
        <v>30795.64</v>
      </c>
      <c r="G160" s="549">
        <f t="shared" ref="G160:G163" si="18">F160-E160</f>
        <v>86.040000000000873</v>
      </c>
    </row>
    <row r="161" spans="1:7">
      <c r="A161" s="868" t="s">
        <v>264</v>
      </c>
      <c r="B161" s="869"/>
      <c r="C161" s="869"/>
      <c r="D161" s="587" t="s">
        <v>187</v>
      </c>
      <c r="E161" s="849">
        <f>'27'!F161</f>
        <v>54674.61</v>
      </c>
      <c r="F161" s="739">
        <v>55098.17</v>
      </c>
      <c r="G161" s="549">
        <f t="shared" si="18"/>
        <v>423.55999999999767</v>
      </c>
    </row>
    <row r="162" spans="1:7">
      <c r="A162" s="868" t="s">
        <v>265</v>
      </c>
      <c r="B162" s="869"/>
      <c r="C162" s="869"/>
      <c r="D162" s="587" t="s">
        <v>187</v>
      </c>
      <c r="E162" s="849">
        <f>'27'!F162</f>
        <v>20285.330000000002</v>
      </c>
      <c r="F162" s="739">
        <v>20562.32</v>
      </c>
      <c r="G162" s="549">
        <f t="shared" si="18"/>
        <v>276.98999999999796</v>
      </c>
    </row>
    <row r="163" spans="1:7">
      <c r="A163" s="868" t="s">
        <v>266</v>
      </c>
      <c r="B163" s="869"/>
      <c r="C163" s="869"/>
      <c r="D163" s="587" t="s">
        <v>187</v>
      </c>
      <c r="E163" s="849">
        <f>'27'!F163</f>
        <v>5399.6</v>
      </c>
      <c r="F163" s="739">
        <v>5427.51</v>
      </c>
      <c r="G163" s="549">
        <f t="shared" si="18"/>
        <v>27.909999999999854</v>
      </c>
    </row>
    <row r="164" spans="1:7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70" t="s">
        <v>188</v>
      </c>
      <c r="B165" s="681"/>
      <c r="C165" s="681"/>
      <c r="D165" s="587" t="s">
        <v>187</v>
      </c>
      <c r="E165" s="590">
        <f t="shared" ref="E165:E171" si="20">E63</f>
        <v>1692.01</v>
      </c>
      <c r="F165" s="590">
        <f t="shared" ref="F165:F171" si="21">F63</f>
        <v>1707.36</v>
      </c>
      <c r="G165" s="549">
        <f t="shared" si="19"/>
        <v>15.349999999999909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si="20"/>
        <v>123136.85</v>
      </c>
      <c r="F166" s="590">
        <f t="shared" si="21"/>
        <v>123627.3</v>
      </c>
      <c r="G166" s="549">
        <f t="shared" si="19"/>
        <v>490.44999999999709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si="20"/>
        <v>132180.92000000001</v>
      </c>
      <c r="F167" s="590">
        <f t="shared" si="21"/>
        <v>132597.29999999999</v>
      </c>
      <c r="G167" s="549">
        <f t="shared" si="19"/>
        <v>416.37999999997555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si="20"/>
        <v>24755.439999999999</v>
      </c>
      <c r="F168" s="590">
        <f t="shared" si="21"/>
        <v>25159.75</v>
      </c>
      <c r="G168" s="549">
        <f t="shared" si="19"/>
        <v>404.31000000000131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si="20"/>
        <v>207148.43</v>
      </c>
      <c r="F169" s="590">
        <f t="shared" si="21"/>
        <v>207841.83</v>
      </c>
      <c r="G169" s="549">
        <f t="shared" si="19"/>
        <v>693.39999999999418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si="20"/>
        <v>72307.600000000006</v>
      </c>
      <c r="F170" s="590">
        <f t="shared" si="21"/>
        <v>72678.52</v>
      </c>
      <c r="G170" s="549">
        <f t="shared" si="19"/>
        <v>370.91999999999825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20"/>
        <v>64110.66</v>
      </c>
      <c r="F171" s="590">
        <f t="shared" si="21"/>
        <v>64452.09</v>
      </c>
      <c r="G171" s="549">
        <f t="shared" si="19"/>
        <v>341.42999999999302</v>
      </c>
    </row>
    <row r="172" spans="1:7">
      <c r="G172" s="616">
        <f>SUM(G160:G171)</f>
        <v>3546.7469999999571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273</v>
      </c>
      <c r="B2" s="1164">
        <v>43859</v>
      </c>
      <c r="C2" s="1232" t="s">
        <v>69</v>
      </c>
      <c r="D2" s="688">
        <v>0.66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852"/>
      <c r="O2" s="852"/>
    </row>
    <row r="3" spans="1:15" s="281" customFormat="1" ht="27">
      <c r="A3" s="647"/>
      <c r="B3" s="691"/>
      <c r="C3" s="1232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2" t="s">
        <v>122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854"/>
    </row>
    <row r="6" spans="1:15">
      <c r="A6" s="1434" t="s">
        <v>130</v>
      </c>
      <c r="B6" s="1435"/>
      <c r="C6" s="1436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60">
        <f>'28'!F7</f>
        <v>4445077</v>
      </c>
      <c r="F7" s="536">
        <v>3850820</v>
      </c>
      <c r="G7" s="759">
        <f>F7-E7</f>
        <v>-594257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>
      <c r="A8" s="763" t="s">
        <v>133</v>
      </c>
      <c r="B8" s="764"/>
      <c r="C8" s="765"/>
      <c r="D8" s="766" t="s">
        <v>25</v>
      </c>
      <c r="E8" s="760">
        <f>'28'!F8</f>
        <v>4473156</v>
      </c>
      <c r="F8" s="819">
        <v>3875075</v>
      </c>
      <c r="G8" s="770">
        <f>F8-E8</f>
        <v>-598081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>
      <c r="A9" s="768" t="s">
        <v>134</v>
      </c>
      <c r="B9" s="769"/>
      <c r="C9" s="769"/>
      <c r="D9" s="715" t="s">
        <v>132</v>
      </c>
      <c r="E9" s="760">
        <f>'28'!F9</f>
        <v>86909.01</v>
      </c>
      <c r="F9" s="820">
        <v>2522775</v>
      </c>
      <c r="G9" s="783">
        <f t="shared" ref="G9:G12" si="0">F9-E9</f>
        <v>2435865.9900000002</v>
      </c>
      <c r="H9" s="760">
        <f>G9+'28'!H9</f>
        <v>2759314.25</v>
      </c>
      <c r="I9" s="771">
        <f>I7-J7</f>
        <v>13288.896551724138</v>
      </c>
      <c r="J9" s="762">
        <f>H9/DAY(B2)</f>
        <v>95148.767241379304</v>
      </c>
      <c r="K9" s="467"/>
      <c r="L9" s="408"/>
      <c r="O9" s="855"/>
    </row>
    <row r="10" spans="1:15">
      <c r="A10" s="757" t="s">
        <v>135</v>
      </c>
      <c r="B10" s="758"/>
      <c r="C10" s="758"/>
      <c r="D10" s="715" t="s">
        <v>132</v>
      </c>
      <c r="E10" s="760">
        <f>'28'!F10</f>
        <v>25695.56</v>
      </c>
      <c r="F10" s="820">
        <v>1177122</v>
      </c>
      <c r="G10" s="770">
        <f t="shared" si="0"/>
        <v>1151426.44</v>
      </c>
      <c r="H10" s="760">
        <f>G10+'28'!H10</f>
        <v>1366419.6</v>
      </c>
      <c r="I10" s="772"/>
      <c r="J10" s="762">
        <f>H10/DAY(B2)</f>
        <v>47117.917241379313</v>
      </c>
      <c r="K10" s="467"/>
      <c r="L10" s="408"/>
    </row>
    <row r="11" spans="1:15">
      <c r="A11" s="757" t="s">
        <v>136</v>
      </c>
      <c r="B11" s="758"/>
      <c r="C11" s="758"/>
      <c r="D11" s="715" t="s">
        <v>132</v>
      </c>
      <c r="E11" s="760">
        <f>'28'!F11</f>
        <v>37000</v>
      </c>
      <c r="F11" s="536">
        <v>35390</v>
      </c>
      <c r="G11" s="770">
        <f t="shared" si="0"/>
        <v>-1610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137</v>
      </c>
      <c r="B12" s="758"/>
      <c r="C12" s="758"/>
      <c r="D12" s="1185" t="s">
        <v>132</v>
      </c>
      <c r="E12" s="1179">
        <f>'28'!F12</f>
        <v>40010</v>
      </c>
      <c r="F12" s="820">
        <v>37630</v>
      </c>
      <c r="G12" s="770">
        <f t="shared" si="0"/>
        <v>-2380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138</v>
      </c>
      <c r="B13" s="774"/>
      <c r="C13" s="774"/>
      <c r="D13" s="1185"/>
      <c r="E13" s="1179"/>
      <c r="F13" s="536"/>
      <c r="G13" s="775">
        <f>G9+G10+G11+G12</f>
        <v>3583302.43</v>
      </c>
      <c r="H13" s="1179">
        <f>G13+'28'!H13</f>
        <v>4107427.85</v>
      </c>
      <c r="I13" s="1180">
        <f>G7-G13</f>
        <v>-4177559.43</v>
      </c>
      <c r="J13" s="1181">
        <f>H13/DAY(B2)</f>
        <v>141635.44310344828</v>
      </c>
      <c r="K13" s="467"/>
      <c r="L13" s="408"/>
    </row>
    <row r="14" spans="1:15">
      <c r="A14" s="1437" t="s">
        <v>139</v>
      </c>
      <c r="B14" s="1438"/>
      <c r="C14" s="1439"/>
      <c r="D14" s="1182"/>
      <c r="E14" s="1186"/>
      <c r="F14" s="821"/>
      <c r="G14" s="559"/>
      <c r="H14" s="1182"/>
      <c r="I14" s="1182"/>
      <c r="J14" s="1183"/>
      <c r="K14" s="468"/>
      <c r="L14" s="408"/>
    </row>
    <row r="15" spans="1:15">
      <c r="A15" s="746" t="s">
        <v>140</v>
      </c>
      <c r="B15" s="747"/>
      <c r="C15" s="747"/>
      <c r="D15" s="1187" t="s">
        <v>141</v>
      </c>
      <c r="E15" s="1188">
        <f>'28'!F15</f>
        <v>1619878.61</v>
      </c>
      <c r="F15" s="822">
        <v>1592900.97</v>
      </c>
      <c r="G15" s="745">
        <f>(F15-E15)</f>
        <v>-26977.64000000013</v>
      </c>
      <c r="H15" s="1175">
        <f>G15+'28'!H15</f>
        <v>-1536.1799999999348</v>
      </c>
      <c r="I15" s="1176">
        <f>'1'!I15</f>
        <v>800</v>
      </c>
      <c r="J15" s="1177">
        <f>H15/DAY(B2)</f>
        <v>-52.971724137928788</v>
      </c>
      <c r="K15" s="467"/>
      <c r="L15" s="408"/>
    </row>
    <row r="16" spans="1:15">
      <c r="A16" s="754"/>
      <c r="B16" s="755"/>
      <c r="C16" s="755"/>
      <c r="D16" s="1187"/>
      <c r="E16" s="1188"/>
      <c r="F16" s="822"/>
      <c r="G16" s="750"/>
      <c r="H16" s="1175"/>
      <c r="I16" s="1178">
        <f>I15-J15</f>
        <v>852.97172413792873</v>
      </c>
      <c r="J16" s="1177"/>
      <c r="K16" s="467"/>
      <c r="L16" s="408"/>
    </row>
    <row r="17" spans="1:15">
      <c r="A17" s="1437" t="s">
        <v>142</v>
      </c>
      <c r="B17" s="1438"/>
      <c r="C17" s="1439"/>
      <c r="D17" s="1182"/>
      <c r="E17" s="1186"/>
      <c r="F17" s="821"/>
      <c r="G17" s="564"/>
      <c r="H17" s="1182"/>
      <c r="I17" s="1182"/>
      <c r="J17" s="1183"/>
      <c r="K17" s="467"/>
      <c r="L17" s="408"/>
    </row>
    <row r="18" spans="1:15" ht="27.75">
      <c r="A18" s="1472" t="s">
        <v>143</v>
      </c>
      <c r="B18" s="1473"/>
      <c r="C18" s="1474"/>
      <c r="D18" s="715" t="s">
        <v>144</v>
      </c>
      <c r="E18" s="840">
        <f>'28'!F18</f>
        <v>17</v>
      </c>
      <c r="F18" s="820">
        <v>10</v>
      </c>
      <c r="G18" s="775">
        <f>F18*10</f>
        <v>100</v>
      </c>
      <c r="H18" s="1179">
        <f>G18+'28'!H18</f>
        <v>4600</v>
      </c>
      <c r="I18" s="1184">
        <f>'1'!I18</f>
        <v>65</v>
      </c>
      <c r="J18" s="1181">
        <f>H18/DAY(B2)</f>
        <v>158.62068965517241</v>
      </c>
      <c r="K18" s="467"/>
      <c r="L18" s="408"/>
    </row>
    <row r="19" spans="1:15" ht="27.75">
      <c r="A19" s="1472" t="s">
        <v>71</v>
      </c>
      <c r="B19" s="1473"/>
      <c r="C19" s="1474"/>
      <c r="D19" s="715" t="s">
        <v>144</v>
      </c>
      <c r="E19" s="840">
        <f>'28'!F19</f>
        <v>134468</v>
      </c>
      <c r="F19" s="820">
        <v>132943</v>
      </c>
      <c r="G19" s="770">
        <f t="shared" ref="G19" si="1">F19-E19</f>
        <v>-1525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>
      <c r="A20" s="773" t="s">
        <v>145</v>
      </c>
      <c r="B20" s="774"/>
      <c r="C20" s="774"/>
      <c r="D20" s="715"/>
      <c r="E20" s="760"/>
      <c r="F20" s="536"/>
      <c r="G20" s="778">
        <f>G18+G19</f>
        <v>-1425</v>
      </c>
      <c r="H20" s="760">
        <f>G20+'28'!H20</f>
        <v>4495</v>
      </c>
      <c r="I20" s="779">
        <f>I18-J20</f>
        <v>-90</v>
      </c>
      <c r="J20" s="762">
        <f>H20/DAY(B2)</f>
        <v>155</v>
      </c>
      <c r="K20" s="467"/>
      <c r="L20" s="408"/>
    </row>
    <row r="21" spans="1:15">
      <c r="A21" s="1437" t="s">
        <v>146</v>
      </c>
      <c r="B21" s="1438"/>
      <c r="C21" s="1439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30" t="s">
        <v>147</v>
      </c>
      <c r="B22" s="666"/>
      <c r="C22" s="666"/>
      <c r="D22" s="599" t="s">
        <v>148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30" t="s">
        <v>149</v>
      </c>
      <c r="B23" s="666"/>
      <c r="C23" s="666"/>
      <c r="D23" s="599" t="s">
        <v>148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150</v>
      </c>
      <c r="B24" s="668"/>
      <c r="C24" s="668"/>
      <c r="D24" s="587" t="s">
        <v>148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42" t="s">
        <v>151</v>
      </c>
      <c r="B25" s="1443"/>
      <c r="C25" s="1444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-598081</v>
      </c>
      <c r="F27" s="577">
        <v>9</v>
      </c>
      <c r="G27" s="578">
        <f>E27*F27</f>
        <v>-5382729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>
      <c r="A28" s="669" t="s">
        <v>154</v>
      </c>
      <c r="B28" s="670"/>
      <c r="C28" s="671"/>
      <c r="D28" s="696" t="s">
        <v>155</v>
      </c>
      <c r="E28" s="780">
        <f>G15</f>
        <v>-26977.64000000013</v>
      </c>
      <c r="F28" s="577">
        <v>43.5</v>
      </c>
      <c r="G28" s="578">
        <f>E28*F28</f>
        <v>-1173527.3400000057</v>
      </c>
      <c r="H28" s="536">
        <f>G28+'28'!H28</f>
        <v>-66823.829999997048</v>
      </c>
      <c r="I28" s="581"/>
      <c r="J28" s="629">
        <f>H28/DAY(B2)</f>
        <v>-2304.2699999998981</v>
      </c>
      <c r="K28" s="404"/>
      <c r="L28" s="484"/>
      <c r="N28" s="852"/>
      <c r="O28" s="852"/>
    </row>
    <row r="29" spans="1:15" s="481" customFormat="1" ht="27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>
      <c r="A30" s="669" t="s">
        <v>158</v>
      </c>
      <c r="B30" s="670"/>
      <c r="C30" s="671"/>
      <c r="D30" s="696" t="s">
        <v>159</v>
      </c>
      <c r="E30" s="780">
        <f>G19</f>
        <v>-1525</v>
      </c>
      <c r="F30" s="780">
        <v>134</v>
      </c>
      <c r="G30" s="578">
        <f>E30*F30</f>
        <v>-204350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>
      <c r="A31" s="669" t="s">
        <v>160</v>
      </c>
      <c r="B31" s="670"/>
      <c r="C31" s="671"/>
      <c r="D31" s="696" t="s">
        <v>144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368000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161</v>
      </c>
      <c r="B32" s="673"/>
      <c r="C32" s="674"/>
      <c r="D32" s="583"/>
      <c r="E32" s="844"/>
      <c r="F32" s="562"/>
      <c r="G32" s="584">
        <f>G27+G28+G29+G30+G31</f>
        <v>-6752606.3400000054</v>
      </c>
      <c r="H32" s="536">
        <f>G32+'28'!H32</f>
        <v>109272.17000000365</v>
      </c>
      <c r="I32" s="585"/>
      <c r="J32" s="629">
        <f>H32/DAY(B2)</f>
        <v>3768.0058620690916</v>
      </c>
      <c r="K32" s="404"/>
      <c r="L32" s="484"/>
      <c r="N32" s="852"/>
      <c r="O32" s="852"/>
    </row>
    <row r="33" spans="1:15" ht="25.5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</row>
    <row r="34" spans="1:15">
      <c r="A34" s="675" t="s">
        <v>163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164</v>
      </c>
      <c r="B35" s="656"/>
      <c r="C35" s="656"/>
      <c r="D35" s="599" t="s">
        <v>132</v>
      </c>
      <c r="E35" s="824">
        <f>'28'!F35</f>
        <v>693087.59</v>
      </c>
      <c r="F35" s="824">
        <v>629028</v>
      </c>
      <c r="G35" s="549">
        <f t="shared" ref="G35:G46" si="3">F35-E35</f>
        <v>-64059.589999999967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>
      <c r="A36" s="655" t="s">
        <v>165</v>
      </c>
      <c r="B36" s="656"/>
      <c r="C36" s="656"/>
      <c r="D36" s="599" t="s">
        <v>132</v>
      </c>
      <c r="E36" s="824">
        <f>'28'!F36</f>
        <v>296445.57</v>
      </c>
      <c r="F36" s="824">
        <v>275372.73</v>
      </c>
      <c r="G36" s="549">
        <f t="shared" si="3"/>
        <v>-21072.840000000026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>
      <c r="A37" s="1191" t="s">
        <v>166</v>
      </c>
      <c r="B37" s="1195"/>
      <c r="C37" s="1195"/>
      <c r="D37" s="704" t="s">
        <v>132</v>
      </c>
      <c r="E37" s="825">
        <f>'28'!F37</f>
        <v>32062.1</v>
      </c>
      <c r="F37" s="825">
        <v>415066</v>
      </c>
      <c r="G37" s="733">
        <f t="shared" si="3"/>
        <v>383003.9</v>
      </c>
      <c r="H37" s="787">
        <f>G37+'28'!H37</f>
        <v>415066</v>
      </c>
      <c r="I37" s="788"/>
      <c r="J37" s="789">
        <f>H37/DAY(B2)</f>
        <v>14312.620689655172</v>
      </c>
      <c r="K37" s="1193"/>
      <c r="L37" s="1194"/>
      <c r="N37" s="853"/>
      <c r="O37" s="853"/>
    </row>
    <row r="38" spans="1:15" s="480" customFormat="1">
      <c r="A38" s="1191" t="s">
        <v>167</v>
      </c>
      <c r="B38" s="1195"/>
      <c r="C38" s="1195"/>
      <c r="D38" s="704" t="s">
        <v>132</v>
      </c>
      <c r="E38" s="825">
        <f>'28'!F38</f>
        <v>43813.49</v>
      </c>
      <c r="F38" s="1196">
        <v>150714</v>
      </c>
      <c r="G38" s="733">
        <f t="shared" si="3"/>
        <v>106900.51000000001</v>
      </c>
      <c r="H38" s="787">
        <f>G38+'28'!H38</f>
        <v>150616.12</v>
      </c>
      <c r="I38" s="788"/>
      <c r="J38" s="789">
        <f>H38/DAY(B2)</f>
        <v>5193.6593103448276</v>
      </c>
      <c r="K38" s="1193"/>
      <c r="L38" s="1194"/>
      <c r="N38" s="853"/>
      <c r="O38" s="853"/>
    </row>
    <row r="39" spans="1:15" s="480" customFormat="1">
      <c r="A39" s="1191" t="s">
        <v>168</v>
      </c>
      <c r="B39" s="1195"/>
      <c r="C39" s="1195"/>
      <c r="D39" s="704" t="s">
        <v>132</v>
      </c>
      <c r="E39" s="825">
        <f>'28'!F39</f>
        <v>90675.39</v>
      </c>
      <c r="F39" s="825">
        <v>912480</v>
      </c>
      <c r="G39" s="733">
        <f t="shared" si="3"/>
        <v>821804.61</v>
      </c>
      <c r="H39" s="787">
        <f>G39+'28'!H39</f>
        <v>912480</v>
      </c>
      <c r="I39" s="788"/>
      <c r="J39" s="789">
        <f>H39/DAY(B2)</f>
        <v>31464.827586206895</v>
      </c>
      <c r="K39" s="1193"/>
      <c r="L39" s="1194"/>
      <c r="N39" s="853"/>
      <c r="O39" s="853"/>
    </row>
    <row r="40" spans="1:15" s="480" customFormat="1">
      <c r="A40" s="1197" t="s">
        <v>169</v>
      </c>
      <c r="B40" s="1198"/>
      <c r="C40" s="1198"/>
      <c r="D40" s="704" t="s">
        <v>132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199"/>
      <c r="L40" s="1194"/>
      <c r="N40" s="853"/>
      <c r="O40" s="853"/>
    </row>
    <row r="41" spans="1:15" s="480" customFormat="1">
      <c r="A41" s="1191" t="s">
        <v>170</v>
      </c>
      <c r="B41" s="1195"/>
      <c r="C41" s="1195"/>
      <c r="D41" s="704" t="s">
        <v>132</v>
      </c>
      <c r="E41" s="825">
        <f>'28'!F41</f>
        <v>63882.37</v>
      </c>
      <c r="F41" s="825">
        <v>37220</v>
      </c>
      <c r="G41" s="733">
        <f>F41-E41</f>
        <v>-26662.370000000003</v>
      </c>
      <c r="H41" s="787">
        <f>G41+'28'!H41</f>
        <v>-7402.5199999999968</v>
      </c>
      <c r="I41" s="788"/>
      <c r="J41" s="789">
        <f>H41/DAY(B2)</f>
        <v>-255.25931034482747</v>
      </c>
      <c r="K41" s="1193"/>
      <c r="L41" s="1194"/>
      <c r="N41" s="853"/>
      <c r="O41" s="853"/>
    </row>
    <row r="42" spans="1:15">
      <c r="A42" s="655" t="s">
        <v>171</v>
      </c>
      <c r="B42" s="656"/>
      <c r="C42" s="656"/>
      <c r="D42" s="599" t="s">
        <v>132</v>
      </c>
      <c r="E42" s="824">
        <f>'28'!F42</f>
        <v>59128.85</v>
      </c>
      <c r="F42" s="824">
        <v>58926</v>
      </c>
      <c r="G42" s="549">
        <f t="shared" si="3"/>
        <v>-202.84999999999854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>
      <c r="A43" s="655" t="s">
        <v>172</v>
      </c>
      <c r="B43" s="656"/>
      <c r="C43" s="656"/>
      <c r="D43" s="599" t="s">
        <v>132</v>
      </c>
      <c r="E43" s="824">
        <f>'28'!F43</f>
        <v>825897.83</v>
      </c>
      <c r="F43" s="824">
        <v>763162.63</v>
      </c>
      <c r="G43" s="549">
        <f t="shared" si="3"/>
        <v>-62735.199999999953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>
      <c r="A44" s="655" t="s">
        <v>173</v>
      </c>
      <c r="B44" s="656"/>
      <c r="C44" s="656"/>
      <c r="D44" s="599" t="s">
        <v>132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174</v>
      </c>
      <c r="B45" s="656"/>
      <c r="C45" s="656"/>
      <c r="D45" s="599" t="s">
        <v>132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175</v>
      </c>
      <c r="B46" s="656"/>
      <c r="C46" s="656"/>
      <c r="D46" s="599" t="s">
        <v>132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1136977.1399999999</v>
      </c>
      <c r="H47" s="536">
        <f>G47+'28'!H47</f>
        <v>1464991.8699999996</v>
      </c>
      <c r="I47" s="531"/>
      <c r="J47" s="629">
        <f>H47/DAY(B2)</f>
        <v>50516.961034482745</v>
      </c>
      <c r="K47" s="467"/>
      <c r="L47" s="408"/>
    </row>
    <row r="48" spans="1:15">
      <c r="A48" s="675" t="s">
        <v>177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1" t="s">
        <v>164</v>
      </c>
      <c r="B49" s="1192"/>
      <c r="C49" s="1192"/>
      <c r="D49" s="704" t="s">
        <v>132</v>
      </c>
      <c r="E49" s="825">
        <f>'28'!F49</f>
        <v>260732.13</v>
      </c>
      <c r="F49" s="825">
        <v>239985.55</v>
      </c>
      <c r="G49" s="733">
        <f t="shared" ref="G49:G58" si="4">F49-E49</f>
        <v>-20746.580000000016</v>
      </c>
      <c r="H49" s="787">
        <f>G49+'28'!H49</f>
        <v>-5913.5</v>
      </c>
      <c r="I49" s="788"/>
      <c r="J49" s="789">
        <f>H49/DAY(B2)</f>
        <v>-203.91379310344828</v>
      </c>
      <c r="K49" s="1193"/>
      <c r="L49" s="1194"/>
      <c r="N49" s="853"/>
      <c r="O49" s="853"/>
    </row>
    <row r="50" spans="1:15" s="480" customFormat="1">
      <c r="A50" s="1191" t="s">
        <v>178</v>
      </c>
      <c r="B50" s="1192" t="s">
        <v>282</v>
      </c>
      <c r="C50" s="1192"/>
      <c r="D50" s="704" t="s">
        <v>132</v>
      </c>
      <c r="E50" s="825">
        <f>'28'!F50</f>
        <v>402463.03</v>
      </c>
      <c r="F50" s="825">
        <v>366480.97</v>
      </c>
      <c r="G50" s="733">
        <f t="shared" si="4"/>
        <v>-35982.060000000056</v>
      </c>
      <c r="H50" s="787">
        <f>G50+'28'!H50</f>
        <v>-3179.3400000000256</v>
      </c>
      <c r="I50" s="788"/>
      <c r="J50" s="789">
        <f>H50/DAY(B2)</f>
        <v>-109.63241379310433</v>
      </c>
      <c r="K50" s="1193"/>
      <c r="L50" s="1194"/>
      <c r="N50" s="853"/>
      <c r="O50" s="853"/>
    </row>
    <row r="51" spans="1:15" s="480" customFormat="1">
      <c r="A51" s="1191" t="s">
        <v>166</v>
      </c>
      <c r="B51" s="1192"/>
      <c r="C51" s="1192"/>
      <c r="D51" s="704" t="s">
        <v>132</v>
      </c>
      <c r="E51" s="825">
        <f>'28'!F51</f>
        <v>120050.92</v>
      </c>
      <c r="F51" s="825">
        <v>107035</v>
      </c>
      <c r="G51" s="733">
        <f t="shared" si="4"/>
        <v>-13015.919999999998</v>
      </c>
      <c r="H51" s="787">
        <f>G51+'28'!H51</f>
        <v>-3064.7400000000052</v>
      </c>
      <c r="I51" s="788"/>
      <c r="J51" s="789">
        <f>H51/DAY(B2)</f>
        <v>-105.6806896551726</v>
      </c>
      <c r="K51" s="1193"/>
      <c r="L51" s="1194"/>
      <c r="N51" s="853"/>
      <c r="O51" s="853"/>
    </row>
    <row r="52" spans="1:15" s="480" customFormat="1">
      <c r="A52" s="1191" t="s">
        <v>179</v>
      </c>
      <c r="B52" s="1192"/>
      <c r="C52" s="1192"/>
      <c r="D52" s="704" t="s">
        <v>132</v>
      </c>
      <c r="E52" s="825">
        <f>'28'!F52</f>
        <v>507912.71</v>
      </c>
      <c r="F52" s="825">
        <v>489802</v>
      </c>
      <c r="G52" s="733">
        <f t="shared" si="4"/>
        <v>-18110.710000000021</v>
      </c>
      <c r="H52" s="787">
        <f>G52+'28'!H52</f>
        <v>-4006.6699999999837</v>
      </c>
      <c r="I52" s="788"/>
      <c r="J52" s="789">
        <f>H52/DAY(B2)</f>
        <v>-138.16103448275805</v>
      </c>
      <c r="K52" s="1193"/>
      <c r="L52" s="1194"/>
      <c r="N52" s="853"/>
      <c r="O52" s="853"/>
    </row>
    <row r="53" spans="1:15" s="480" customFormat="1">
      <c r="A53" s="1191" t="s">
        <v>168</v>
      </c>
      <c r="B53" s="1192"/>
      <c r="C53" s="1192"/>
      <c r="D53" s="704" t="s">
        <v>132</v>
      </c>
      <c r="E53" s="825">
        <f>'28'!F53</f>
        <v>331854.51</v>
      </c>
      <c r="F53" s="825">
        <v>295932.96999999997</v>
      </c>
      <c r="G53" s="733">
        <f t="shared" si="4"/>
        <v>-35921.540000000037</v>
      </c>
      <c r="H53" s="787">
        <f>G53+'28'!H53</f>
        <v>-8365.3000000000466</v>
      </c>
      <c r="I53" s="788"/>
      <c r="J53" s="789">
        <f>H53/DAY(B2)</f>
        <v>-288.45862068965675</v>
      </c>
      <c r="K53" s="1193"/>
      <c r="L53" s="1194"/>
      <c r="N53" s="853"/>
      <c r="O53" s="853"/>
    </row>
    <row r="54" spans="1:15">
      <c r="A54" s="655" t="s">
        <v>180</v>
      </c>
      <c r="B54" s="678"/>
      <c r="C54" s="678"/>
      <c r="D54" s="599" t="s">
        <v>132</v>
      </c>
      <c r="E54" s="825">
        <f>'28'!F54</f>
        <v>8095.63</v>
      </c>
      <c r="F54" s="824">
        <v>6228.8</v>
      </c>
      <c r="G54" s="549">
        <f t="shared" si="4"/>
        <v>-1866.83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>
      <c r="A55" s="655" t="s">
        <v>181</v>
      </c>
      <c r="B55" s="678"/>
      <c r="C55" s="678"/>
      <c r="D55" s="599" t="s">
        <v>132</v>
      </c>
      <c r="E55" s="825">
        <f>'28'!F55</f>
        <v>117585.69</v>
      </c>
      <c r="F55" s="825">
        <v>39121</v>
      </c>
      <c r="G55" s="733">
        <f t="shared" si="4"/>
        <v>-78464.69</v>
      </c>
      <c r="H55" s="787">
        <f>G55+'28'!H55</f>
        <v>-3866.9799999999959</v>
      </c>
      <c r="I55" s="788"/>
      <c r="J55" s="789">
        <f>H55/DAY(B2)</f>
        <v>-133.34413793103434</v>
      </c>
      <c r="K55" s="467"/>
      <c r="L55" s="408"/>
    </row>
    <row r="56" spans="1:15">
      <c r="A56" s="655" t="s">
        <v>182</v>
      </c>
      <c r="B56" s="678"/>
      <c r="C56" s="678"/>
      <c r="D56" s="599" t="s">
        <v>183</v>
      </c>
      <c r="E56" s="825">
        <f>'28'!F56</f>
        <v>586051.03</v>
      </c>
      <c r="F56" s="825">
        <v>557730</v>
      </c>
      <c r="G56" s="549">
        <f t="shared" si="4"/>
        <v>-28321.030000000028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>
      <c r="A57" s="655" t="s">
        <v>172</v>
      </c>
      <c r="B57" s="678"/>
      <c r="C57" s="678"/>
      <c r="D57" s="599" t="s">
        <v>132</v>
      </c>
      <c r="E57" s="825">
        <f>'28'!F57</f>
        <v>7711.33</v>
      </c>
      <c r="F57" s="824">
        <v>0</v>
      </c>
      <c r="G57" s="549">
        <f t="shared" si="4"/>
        <v>-7711.33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184</v>
      </c>
      <c r="B58" s="678"/>
      <c r="C58" s="678"/>
      <c r="D58" s="599" t="s">
        <v>132</v>
      </c>
      <c r="E58" s="825">
        <f>'28'!F58</f>
        <v>35868.699999999997</v>
      </c>
      <c r="F58" s="825">
        <v>30214.39</v>
      </c>
      <c r="G58" s="549">
        <f t="shared" si="4"/>
        <v>-5654.3099999999977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-245795.00000000015</v>
      </c>
      <c r="H59" s="536">
        <f>G59+'28'!H59</f>
        <v>-29073.590000000055</v>
      </c>
      <c r="I59" s="531">
        <f>G7-G60</f>
        <v>-1485439.1399999997</v>
      </c>
      <c r="J59" s="629">
        <f>H59/DAY(B2)</f>
        <v>-1002.5375862068985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185</v>
      </c>
      <c r="E60" s="546"/>
      <c r="F60" s="546"/>
      <c r="G60" s="557">
        <f>G47+G59</f>
        <v>891182.13999999978</v>
      </c>
      <c r="H60" s="536">
        <f>G60+'28'!H60</f>
        <v>1441098.4699999995</v>
      </c>
      <c r="I60" s="531">
        <f>G13-G60</f>
        <v>2692120.2900000005</v>
      </c>
      <c r="J60" s="629">
        <f>H60/DAY(B2)</f>
        <v>49693.050689655152</v>
      </c>
      <c r="K60" s="467"/>
      <c r="L60" s="408"/>
    </row>
    <row r="61" spans="1:15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98</v>
      </c>
      <c r="B62" s="681"/>
      <c r="C62" s="681"/>
      <c r="D62" s="587" t="s">
        <v>187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>
      <c r="A63" s="680" t="s">
        <v>188</v>
      </c>
      <c r="B63" s="681"/>
      <c r="C63" s="681"/>
      <c r="D63" s="587" t="s">
        <v>187</v>
      </c>
      <c r="E63" s="590">
        <f>'28'!F63</f>
        <v>1707.36</v>
      </c>
      <c r="F63" s="590">
        <v>1305.8900000000001</v>
      </c>
      <c r="G63" s="549">
        <f t="shared" si="5"/>
        <v>-401.4699999999998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>
      <c r="A64" s="1416" t="s">
        <v>99</v>
      </c>
      <c r="B64" s="1417"/>
      <c r="C64" s="1418"/>
      <c r="D64" s="599" t="s">
        <v>187</v>
      </c>
      <c r="E64" s="590">
        <f>'28'!F64</f>
        <v>123627.3</v>
      </c>
      <c r="F64" s="820">
        <v>110461.4</v>
      </c>
      <c r="G64" s="549">
        <f t="shared" si="5"/>
        <v>-13165.900000000009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>
      <c r="A65" s="1416" t="s">
        <v>100</v>
      </c>
      <c r="B65" s="1417"/>
      <c r="C65" s="1418"/>
      <c r="D65" s="599" t="s">
        <v>187</v>
      </c>
      <c r="E65" s="590">
        <f>'28'!F65</f>
        <v>132597.29999999999</v>
      </c>
      <c r="F65" s="827">
        <v>120948.65</v>
      </c>
      <c r="G65" s="549">
        <f t="shared" si="5"/>
        <v>-11648.649999999994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>
      <c r="A66" s="1416" t="s">
        <v>101</v>
      </c>
      <c r="B66" s="1417"/>
      <c r="C66" s="1418"/>
      <c r="D66" s="599" t="s">
        <v>187</v>
      </c>
      <c r="E66" s="590">
        <f>'28'!F66</f>
        <v>25159.75</v>
      </c>
      <c r="F66" s="820">
        <v>13320.84</v>
      </c>
      <c r="G66" s="549">
        <f t="shared" si="5"/>
        <v>-11838.91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>
      <c r="A67" s="1416" t="s">
        <v>102</v>
      </c>
      <c r="B67" s="1417"/>
      <c r="C67" s="1418"/>
      <c r="D67" s="599" t="s">
        <v>187</v>
      </c>
      <c r="E67" s="590">
        <f>'28'!F67</f>
        <v>207841.83</v>
      </c>
      <c r="F67" s="820">
        <v>187269.37</v>
      </c>
      <c r="G67" s="549">
        <f t="shared" si="5"/>
        <v>-20572.459999999992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>
      <c r="A68" s="1416" t="s">
        <v>103</v>
      </c>
      <c r="B68" s="1417"/>
      <c r="C68" s="1418"/>
      <c r="D68" s="599" t="s">
        <v>187</v>
      </c>
      <c r="E68" s="590">
        <f>'28'!F68</f>
        <v>72678.52</v>
      </c>
      <c r="F68" s="820">
        <v>62687.79</v>
      </c>
      <c r="G68" s="549">
        <f t="shared" si="5"/>
        <v>-9990.7300000000032</v>
      </c>
      <c r="H68" s="536">
        <f>G68+'28'!H68</f>
        <v>387.93000000000029</v>
      </c>
      <c r="I68" s="592"/>
      <c r="J68" s="629">
        <f>H68/DAY(B2)</f>
        <v>13.376896551724148</v>
      </c>
      <c r="K68" s="469"/>
      <c r="L68" s="408"/>
    </row>
    <row r="69" spans="1:12" ht="27.75">
      <c r="A69" s="1416" t="s">
        <v>104</v>
      </c>
      <c r="B69" s="1417"/>
      <c r="C69" s="1418"/>
      <c r="D69" s="599" t="s">
        <v>187</v>
      </c>
      <c r="E69" s="590">
        <f>'28'!F69</f>
        <v>64452.09</v>
      </c>
      <c r="F69" s="820">
        <v>55093</v>
      </c>
      <c r="G69" s="549">
        <f t="shared" si="5"/>
        <v>-9359.0899999999965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>
      <c r="A70" s="1448" t="s">
        <v>189</v>
      </c>
      <c r="B70" s="1449"/>
      <c r="C70" s="1450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</row>
    <row r="72" spans="1:12" ht="27.75">
      <c r="A72" s="1416" t="s">
        <v>191</v>
      </c>
      <c r="B72" s="1417"/>
      <c r="C72" s="1418"/>
      <c r="D72" s="599" t="s">
        <v>187</v>
      </c>
      <c r="E72" s="845">
        <f>'28'!F72</f>
        <v>850592</v>
      </c>
      <c r="F72" s="829">
        <v>848280</v>
      </c>
      <c r="G72" s="549">
        <f t="shared" ref="G72:G84" si="6">F72-E72</f>
        <v>-2312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>
      <c r="A73" s="1416" t="s">
        <v>192</v>
      </c>
      <c r="B73" s="1417"/>
      <c r="C73" s="1418"/>
      <c r="D73" s="599" t="s">
        <v>187</v>
      </c>
      <c r="E73" s="845">
        <f>'28'!F73</f>
        <v>885772</v>
      </c>
      <c r="F73" s="830">
        <v>885728</v>
      </c>
      <c r="G73" s="733">
        <f>F73-E73</f>
        <v>-44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416" t="s">
        <v>193</v>
      </c>
      <c r="B74" s="1417"/>
      <c r="C74" s="1418"/>
      <c r="D74" s="599" t="s">
        <v>187</v>
      </c>
      <c r="E74" s="845">
        <f>'28'!F74</f>
        <v>586.16999999999996</v>
      </c>
      <c r="F74" s="830">
        <v>882303</v>
      </c>
      <c r="G74" s="549">
        <f t="shared" si="6"/>
        <v>881716.83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>
      <c r="A75" s="1465" t="s">
        <v>194</v>
      </c>
      <c r="B75" s="1466"/>
      <c r="C75" s="1467"/>
      <c r="D75" s="599" t="s">
        <v>187</v>
      </c>
      <c r="E75" s="845">
        <f>'28'!F75</f>
        <v>3519.22</v>
      </c>
      <c r="F75" s="830">
        <v>737120</v>
      </c>
      <c r="G75" s="549">
        <f t="shared" si="6"/>
        <v>733600.78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>
      <c r="A76" s="1465" t="s">
        <v>195</v>
      </c>
      <c r="B76" s="1466"/>
      <c r="C76" s="1467"/>
      <c r="D76" s="599" t="s">
        <v>187</v>
      </c>
      <c r="E76" s="845">
        <f>'28'!F76</f>
        <v>1514.34</v>
      </c>
      <c r="F76" s="830">
        <v>686870</v>
      </c>
      <c r="G76" s="549">
        <f t="shared" si="6"/>
        <v>685355.66</v>
      </c>
      <c r="H76" s="536">
        <f>G76+'28'!H76</f>
        <v>688867.20000000007</v>
      </c>
      <c r="I76" s="581"/>
      <c r="J76" s="629">
        <f>H76/DAY(B2)</f>
        <v>23754.041379310347</v>
      </c>
      <c r="K76" s="469"/>
      <c r="L76" s="408"/>
    </row>
    <row r="77" spans="1:12" ht="27.75">
      <c r="A77" s="1416" t="s">
        <v>196</v>
      </c>
      <c r="B77" s="1417"/>
      <c r="C77" s="1418"/>
      <c r="D77" s="599" t="s">
        <v>187</v>
      </c>
      <c r="E77" s="845">
        <f>'28'!F77</f>
        <v>698588</v>
      </c>
      <c r="F77" s="830">
        <v>697002</v>
      </c>
      <c r="G77" s="733">
        <f t="shared" si="6"/>
        <v>-1586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>
      <c r="A78" s="1233" t="s">
        <v>197</v>
      </c>
      <c r="B78" s="1204"/>
      <c r="C78" s="1204"/>
      <c r="D78" s="599" t="s">
        <v>187</v>
      </c>
      <c r="E78" s="845">
        <f>'28'!F78</f>
        <v>652863</v>
      </c>
      <c r="F78" s="830">
        <v>641105</v>
      </c>
      <c r="G78" s="733">
        <f t="shared" si="6"/>
        <v>-11758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>
      <c r="A79" s="1465" t="s">
        <v>92</v>
      </c>
      <c r="B79" s="1466"/>
      <c r="C79" s="1467"/>
      <c r="D79" s="600" t="s">
        <v>187</v>
      </c>
      <c r="E79" s="845">
        <f>'28'!F79</f>
        <v>815109</v>
      </c>
      <c r="F79" s="831">
        <v>809323</v>
      </c>
      <c r="G79" s="549">
        <f t="shared" si="6"/>
        <v>-5786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>
      <c r="A80" s="1465" t="s">
        <v>198</v>
      </c>
      <c r="B80" s="1466"/>
      <c r="C80" s="1467"/>
      <c r="D80" s="600" t="s">
        <v>187</v>
      </c>
      <c r="E80" s="845">
        <f>'28'!F80</f>
        <v>494673.64</v>
      </c>
      <c r="F80" s="830">
        <v>484503</v>
      </c>
      <c r="G80" s="549">
        <f t="shared" si="6"/>
        <v>-10170.640000000014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>
      <c r="A81" s="1465" t="s">
        <v>199</v>
      </c>
      <c r="B81" s="1466"/>
      <c r="C81" s="1467"/>
      <c r="D81" s="600" t="s">
        <v>187</v>
      </c>
      <c r="E81" s="845">
        <f>'28'!F81</f>
        <v>625943.84</v>
      </c>
      <c r="F81" s="830">
        <v>622568</v>
      </c>
      <c r="G81" s="549">
        <f t="shared" si="6"/>
        <v>-3375.8399999999674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>
      <c r="A82" s="1465" t="s">
        <v>93</v>
      </c>
      <c r="B82" s="1466"/>
      <c r="C82" s="1467"/>
      <c r="D82" s="561" t="s">
        <v>132</v>
      </c>
      <c r="E82" s="845">
        <f>'28'!F82</f>
        <v>106202.48</v>
      </c>
      <c r="F82" s="827">
        <v>105339.54</v>
      </c>
      <c r="G82" s="549">
        <f t="shared" si="6"/>
        <v>-862.94000000000233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>
      <c r="A83" s="1465" t="s">
        <v>200</v>
      </c>
      <c r="B83" s="1466"/>
      <c r="C83" s="1467"/>
      <c r="D83" s="697" t="s">
        <v>132</v>
      </c>
      <c r="E83" s="845">
        <f>'28'!F83</f>
        <v>996449</v>
      </c>
      <c r="F83" s="546">
        <v>982952</v>
      </c>
      <c r="G83" s="549">
        <f t="shared" si="6"/>
        <v>-13497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>
      <c r="A84" s="1234" t="s">
        <v>201</v>
      </c>
      <c r="B84" s="648"/>
      <c r="C84" s="648"/>
      <c r="D84" s="554" t="s">
        <v>132</v>
      </c>
      <c r="E84" s="845">
        <f>'28'!F84</f>
        <v>430798</v>
      </c>
      <c r="F84" s="787">
        <v>415080</v>
      </c>
      <c r="G84" s="549">
        <f t="shared" si="6"/>
        <v>-15718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>
      <c r="A85" s="682" t="s">
        <v>202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2235562.85</v>
      </c>
      <c r="H85" s="536">
        <f>G85+'28'!H85</f>
        <v>2302803.19</v>
      </c>
      <c r="I85" s="557"/>
      <c r="J85" s="629">
        <f>H85/DAY(B2)</f>
        <v>79407.006551724131</v>
      </c>
      <c r="K85" s="411"/>
      <c r="L85" s="409"/>
      <c r="N85" s="852"/>
      <c r="O85" s="852"/>
    </row>
    <row r="86" spans="1:15" s="817" customFormat="1">
      <c r="A86" s="812" t="s">
        <v>94</v>
      </c>
      <c r="B86" s="813"/>
      <c r="C86" s="813"/>
      <c r="D86" s="814" t="s">
        <v>183</v>
      </c>
      <c r="E86" s="787">
        <f>'28'!F86</f>
        <v>450368.53</v>
      </c>
      <c r="F86" s="832">
        <v>446888</v>
      </c>
      <c r="G86" s="787">
        <f t="shared" ref="G86:G90" si="7">F86-E86</f>
        <v>-3480.5300000000279</v>
      </c>
      <c r="H86" s="787">
        <f t="shared" ref="H86:H88" si="8">G86</f>
        <v>-3480.5300000000279</v>
      </c>
      <c r="I86" s="733"/>
      <c r="J86" s="789">
        <f>H86/DAY(B2)</f>
        <v>-120.01827586206993</v>
      </c>
      <c r="K86" s="815"/>
      <c r="L86" s="816"/>
      <c r="N86" s="853"/>
      <c r="O86" s="853"/>
    </row>
    <row r="87" spans="1:15" s="817" customFormat="1">
      <c r="A87" s="812" t="s">
        <v>95</v>
      </c>
      <c r="B87" s="813"/>
      <c r="C87" s="813"/>
      <c r="D87" s="814" t="s">
        <v>183</v>
      </c>
      <c r="E87" s="787">
        <f>'28'!F87</f>
        <v>79207.7</v>
      </c>
      <c r="F87" s="832">
        <v>78411</v>
      </c>
      <c r="G87" s="787">
        <f t="shared" si="7"/>
        <v>-796.69999999999709</v>
      </c>
      <c r="H87" s="787">
        <f t="shared" si="8"/>
        <v>-796.69999999999709</v>
      </c>
      <c r="I87" s="733"/>
      <c r="J87" s="789">
        <f>H87/DAY(B2)</f>
        <v>-27.47241379310335</v>
      </c>
      <c r="K87" s="815"/>
      <c r="L87" s="816"/>
      <c r="N87" s="853"/>
      <c r="O87" s="853"/>
    </row>
    <row r="88" spans="1:15" s="817" customFormat="1">
      <c r="A88" s="812" t="s">
        <v>96</v>
      </c>
      <c r="B88" s="813"/>
      <c r="C88" s="813"/>
      <c r="D88" s="814" t="s">
        <v>183</v>
      </c>
      <c r="E88" s="787">
        <f>'28'!F88</f>
        <v>148264.60999999999</v>
      </c>
      <c r="F88" s="832">
        <v>146382.95000000001</v>
      </c>
      <c r="G88" s="787">
        <f t="shared" si="7"/>
        <v>-1881.6599999999744</v>
      </c>
      <c r="H88" s="787">
        <f t="shared" si="8"/>
        <v>-1881.6599999999744</v>
      </c>
      <c r="I88" s="733"/>
      <c r="J88" s="789">
        <f>H88/DAY(B2)</f>
        <v>-64.884827586206015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204</v>
      </c>
      <c r="B89" s="813"/>
      <c r="C89" s="813"/>
      <c r="D89" s="814" t="s">
        <v>183</v>
      </c>
      <c r="E89" s="787">
        <f>'28'!F89</f>
        <v>61675.1</v>
      </c>
      <c r="F89" s="728">
        <v>59670.8</v>
      </c>
      <c r="G89" s="787">
        <f t="shared" si="7"/>
        <v>-2004.2999999999956</v>
      </c>
      <c r="H89" s="787">
        <f>G89</f>
        <v>-2004.2999999999956</v>
      </c>
      <c r="I89" s="733"/>
      <c r="J89" s="789">
        <f>H89/DAY(B2)</f>
        <v>-69.113793103448131</v>
      </c>
      <c r="K89" s="815"/>
      <c r="L89" s="816"/>
    </row>
    <row r="90" spans="1:15" s="817" customFormat="1">
      <c r="A90" s="812" t="s">
        <v>204</v>
      </c>
      <c r="B90" s="813"/>
      <c r="C90" s="813"/>
      <c r="D90" s="814" t="s">
        <v>183</v>
      </c>
      <c r="E90" s="787">
        <f>'28'!F90</f>
        <v>3162.9</v>
      </c>
      <c r="F90" s="728">
        <v>3061.9</v>
      </c>
      <c r="G90" s="787">
        <f t="shared" si="7"/>
        <v>-101</v>
      </c>
      <c r="H90" s="787">
        <f>G90</f>
        <v>-101</v>
      </c>
      <c r="I90" s="733"/>
      <c r="J90" s="789">
        <f>H90/DAY(B2)</f>
        <v>-3.4827586206896552</v>
      </c>
      <c r="K90" s="815"/>
      <c r="L90" s="816"/>
    </row>
    <row r="91" spans="1:15" s="410" customFormat="1">
      <c r="A91" s="683" t="s">
        <v>205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419" t="s">
        <v>206</v>
      </c>
      <c r="B92" s="1420"/>
      <c r="C92" s="1421"/>
      <c r="D92" s="599" t="s">
        <v>144</v>
      </c>
      <c r="E92" s="841">
        <f>'28'!F92</f>
        <v>239695</v>
      </c>
      <c r="F92" s="820">
        <v>236405</v>
      </c>
      <c r="G92" s="549">
        <f t="shared" ref="G92:G93" si="9">F92-E92</f>
        <v>-3290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>
      <c r="A93" s="1419" t="s">
        <v>207</v>
      </c>
      <c r="B93" s="1420"/>
      <c r="C93" s="1421"/>
      <c r="D93" s="599" t="s">
        <v>144</v>
      </c>
      <c r="E93" s="841">
        <f>'28'!F93</f>
        <v>175661</v>
      </c>
      <c r="F93" s="820">
        <v>170864</v>
      </c>
      <c r="G93" s="549">
        <f t="shared" si="9"/>
        <v>-4797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>
      <c r="A94" s="1413" t="s">
        <v>208</v>
      </c>
      <c r="B94" s="1414"/>
      <c r="C94" s="1415"/>
      <c r="D94" s="599"/>
      <c r="E94" s="841"/>
      <c r="F94" s="820"/>
      <c r="G94" s="549">
        <f>G92+G93</f>
        <v>-8087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>
      <c r="A95" s="1419" t="s">
        <v>209</v>
      </c>
      <c r="B95" s="1420"/>
      <c r="C95" s="1421"/>
      <c r="D95" s="599" t="s">
        <v>144</v>
      </c>
      <c r="E95" s="841">
        <f>'28'!F95</f>
        <v>408156</v>
      </c>
      <c r="F95" s="820">
        <v>405753</v>
      </c>
      <c r="G95" s="549">
        <f t="shared" ref="G95:G100" si="10">F95-E95</f>
        <v>-2403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>
      <c r="A96" s="1230" t="s">
        <v>210</v>
      </c>
      <c r="B96" s="1231"/>
      <c r="C96" s="1231"/>
      <c r="D96" s="599" t="s">
        <v>144</v>
      </c>
      <c r="E96" s="841">
        <f>'28'!F96</f>
        <v>101332</v>
      </c>
      <c r="F96" s="820">
        <v>100470</v>
      </c>
      <c r="G96" s="549">
        <f t="shared" si="10"/>
        <v>-862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>
      <c r="A97" s="1230" t="s">
        <v>211</v>
      </c>
      <c r="B97" s="1231"/>
      <c r="C97" s="1231"/>
      <c r="D97" s="599" t="s">
        <v>144</v>
      </c>
      <c r="E97" s="841">
        <f>'28'!F97</f>
        <v>96449</v>
      </c>
      <c r="F97" s="820">
        <v>95625</v>
      </c>
      <c r="G97" s="549">
        <f t="shared" si="10"/>
        <v>-824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>
      <c r="A98" s="1230" t="s">
        <v>212</v>
      </c>
      <c r="B98" s="1231"/>
      <c r="C98" s="1231"/>
      <c r="D98" s="599" t="s">
        <v>144</v>
      </c>
      <c r="E98" s="841">
        <f>'28'!F98</f>
        <v>147608</v>
      </c>
      <c r="F98" s="820">
        <v>145422</v>
      </c>
      <c r="G98" s="549">
        <f t="shared" si="10"/>
        <v>-2186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>
      <c r="A99" s="1230" t="s">
        <v>213</v>
      </c>
      <c r="B99" s="1231"/>
      <c r="C99" s="1231"/>
      <c r="D99" s="599" t="s">
        <v>144</v>
      </c>
      <c r="E99" s="841">
        <f>'28'!F99</f>
        <v>6408</v>
      </c>
      <c r="F99" s="820">
        <v>5946</v>
      </c>
      <c r="G99" s="549">
        <f t="shared" si="10"/>
        <v>-462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>
      <c r="A100" s="1230" t="s">
        <v>214</v>
      </c>
      <c r="B100" s="1231"/>
      <c r="C100" s="1231"/>
      <c r="D100" s="599" t="s">
        <v>144</v>
      </c>
      <c r="E100" s="841">
        <f>'28'!F100</f>
        <v>4543</v>
      </c>
      <c r="F100" s="820">
        <v>4225</v>
      </c>
      <c r="G100" s="549">
        <f t="shared" si="10"/>
        <v>-318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>
      <c r="A101" s="1413" t="s">
        <v>216</v>
      </c>
      <c r="B101" s="1414"/>
      <c r="C101" s="1415"/>
      <c r="D101" s="600"/>
      <c r="E101" s="562"/>
      <c r="F101" s="562"/>
      <c r="G101" s="601">
        <f>SUM(G95:G100)</f>
        <v>-7055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422" t="s">
        <v>218</v>
      </c>
      <c r="B103" s="1423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424" t="s">
        <v>219</v>
      </c>
      <c r="B104" s="1425"/>
      <c r="C104" s="1229"/>
      <c r="D104" s="699" t="s">
        <v>144</v>
      </c>
      <c r="E104" s="609">
        <f>'28'!F104</f>
        <v>7128</v>
      </c>
      <c r="F104" s="834">
        <v>7010</v>
      </c>
      <c r="G104" s="608">
        <f>F104-E104</f>
        <v>-118</v>
      </c>
      <c r="H104" s="609">
        <f>SUM(G104+'1'!G76)</f>
        <v>-44</v>
      </c>
      <c r="I104" s="608"/>
      <c r="J104" s="635">
        <f>H104/DAY(B2)</f>
        <v>-1.5172413793103448</v>
      </c>
      <c r="N104" s="852"/>
      <c r="O104" s="852"/>
    </row>
    <row r="105" spans="1:15" s="481" customFormat="1" ht="27">
      <c r="A105" s="1424" t="s">
        <v>77</v>
      </c>
      <c r="B105" s="1425"/>
      <c r="C105" s="1229"/>
      <c r="D105" s="699" t="s">
        <v>144</v>
      </c>
      <c r="E105" s="609">
        <f>'28'!F105</f>
        <v>35407</v>
      </c>
      <c r="F105" s="741">
        <v>35146</v>
      </c>
      <c r="G105" s="608">
        <f t="shared" ref="G105:G106" si="11">F105-E105</f>
        <v>-261</v>
      </c>
      <c r="H105" s="609">
        <f>SUM(G105+'1'!G77)</f>
        <v>-213</v>
      </c>
      <c r="I105" s="608"/>
      <c r="J105" s="635">
        <f>H105/DAY(B2)</f>
        <v>-7.3448275862068968</v>
      </c>
      <c r="N105" s="852"/>
      <c r="O105" s="852"/>
    </row>
    <row r="106" spans="1:15" s="481" customFormat="1" ht="27">
      <c r="A106" s="1424" t="s">
        <v>78</v>
      </c>
      <c r="B106" s="1426"/>
      <c r="C106" s="1425"/>
      <c r="D106" s="699" t="s">
        <v>144</v>
      </c>
      <c r="E106" s="609">
        <f>'28'!F106</f>
        <v>19247</v>
      </c>
      <c r="F106" s="741">
        <v>19070</v>
      </c>
      <c r="G106" s="608">
        <f t="shared" si="11"/>
        <v>-177</v>
      </c>
      <c r="H106" s="609">
        <f>SUM(G106+'1'!G78)</f>
        <v>157</v>
      </c>
      <c r="I106" s="608"/>
      <c r="J106" s="635">
        <f>H106/DAY(B2)</f>
        <v>5.4137931034482758</v>
      </c>
      <c r="N106" s="852"/>
      <c r="O106" s="852"/>
    </row>
    <row r="107" spans="1:15" s="481" customFormat="1" ht="27">
      <c r="A107" s="1427" t="s">
        <v>202</v>
      </c>
      <c r="B107" s="1428"/>
      <c r="C107" s="1229"/>
      <c r="D107" s="699"/>
      <c r="E107" s="609">
        <f>'28'!F107</f>
        <v>0</v>
      </c>
      <c r="F107" s="741"/>
      <c r="G107" s="608">
        <f>SUM(G104:G106)</f>
        <v>-556</v>
      </c>
      <c r="H107" s="609">
        <f>SUM(G107+'1'!G79)</f>
        <v>-351</v>
      </c>
      <c r="I107" s="608"/>
      <c r="J107" s="635">
        <f>H107/DAY(B2)</f>
        <v>-12.103448275862069</v>
      </c>
      <c r="N107" s="852"/>
      <c r="O107" s="852"/>
    </row>
    <row r="108" spans="1:15" s="481" customFormat="1" ht="27">
      <c r="A108" s="1429" t="s">
        <v>79</v>
      </c>
      <c r="B108" s="1430"/>
      <c r="C108" s="1229"/>
      <c r="D108" s="699" t="s">
        <v>144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424" t="s">
        <v>220</v>
      </c>
      <c r="B109" s="1425"/>
      <c r="C109" s="1229"/>
      <c r="D109" s="699" t="s">
        <v>144</v>
      </c>
      <c r="E109" s="609">
        <f>'28'!F109</f>
        <v>56353</v>
      </c>
      <c r="F109" s="741">
        <v>54545</v>
      </c>
      <c r="G109" s="608">
        <f>F109-E109</f>
        <v>-1808</v>
      </c>
      <c r="H109" s="609">
        <f>SUM(G109+'1'!G81)</f>
        <v>-1732</v>
      </c>
      <c r="I109" s="608"/>
      <c r="J109" s="635">
        <f>H109/DAY(B2)</f>
        <v>-59.724137931034484</v>
      </c>
      <c r="N109" s="852"/>
      <c r="O109" s="852"/>
    </row>
    <row r="110" spans="1:15" s="481" customFormat="1" ht="27">
      <c r="A110" s="1424" t="s">
        <v>221</v>
      </c>
      <c r="B110" s="1425"/>
      <c r="C110" s="1229"/>
      <c r="D110" s="699" t="s">
        <v>144</v>
      </c>
      <c r="E110" s="609">
        <f>'28'!F110</f>
        <v>30527</v>
      </c>
      <c r="F110" s="741">
        <v>28383</v>
      </c>
      <c r="G110" s="608">
        <f t="shared" ref="G110:G111" si="12">F110-E110</f>
        <v>-2144</v>
      </c>
      <c r="H110" s="609">
        <f>SUM(G110+'1'!G82)</f>
        <v>-2099</v>
      </c>
      <c r="I110" s="608"/>
      <c r="J110" s="635">
        <f>H110/DAY(B2)</f>
        <v>-72.379310344827587</v>
      </c>
      <c r="N110" s="852"/>
      <c r="O110" s="852"/>
    </row>
    <row r="111" spans="1:15" s="481" customFormat="1" ht="27">
      <c r="A111" s="1424" t="s">
        <v>222</v>
      </c>
      <c r="B111" s="1425"/>
      <c r="C111" s="1229"/>
      <c r="D111" s="699" t="s">
        <v>144</v>
      </c>
      <c r="E111" s="609">
        <f>'28'!F111</f>
        <v>3980</v>
      </c>
      <c r="F111" s="741">
        <v>3726</v>
      </c>
      <c r="G111" s="610">
        <f t="shared" si="12"/>
        <v>-254</v>
      </c>
      <c r="H111" s="609">
        <f>SUM(G111+'1'!G83)</f>
        <v>179</v>
      </c>
      <c r="I111" s="608"/>
      <c r="J111" s="635">
        <f>H111/DAY(B2)</f>
        <v>6.1724137931034484</v>
      </c>
      <c r="N111" s="852"/>
      <c r="O111" s="852"/>
    </row>
    <row r="112" spans="1:15" s="481" customFormat="1" ht="27">
      <c r="A112" s="1427" t="s">
        <v>110</v>
      </c>
      <c r="B112" s="1428"/>
      <c r="C112" s="1229"/>
      <c r="D112" s="699"/>
      <c r="E112" s="609">
        <f>'28'!F112</f>
        <v>0</v>
      </c>
      <c r="F112" s="741"/>
      <c r="G112" s="608">
        <f>SUM(G109:G111)</f>
        <v>-4206</v>
      </c>
      <c r="H112" s="609">
        <f>SUM(G112+'1'!G84)</f>
        <v>-3685</v>
      </c>
      <c r="I112" s="608"/>
      <c r="J112" s="635">
        <f>H112/DAY(B2)</f>
        <v>-127.06896551724138</v>
      </c>
      <c r="N112" s="852"/>
      <c r="O112" s="852"/>
    </row>
    <row r="113" spans="1:15" s="481" customFormat="1" ht="27">
      <c r="A113" s="1429" t="s">
        <v>223</v>
      </c>
      <c r="B113" s="1430"/>
      <c r="C113" s="1229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424" t="s">
        <v>224</v>
      </c>
      <c r="B114" s="1425"/>
      <c r="C114" s="651"/>
      <c r="D114" s="699" t="s">
        <v>144</v>
      </c>
      <c r="E114" s="609">
        <f>'28'!F114</f>
        <v>10322</v>
      </c>
      <c r="F114" s="741">
        <v>9768</v>
      </c>
      <c r="G114" s="610">
        <f>F114-E114</f>
        <v>-554</v>
      </c>
      <c r="H114" s="609">
        <f>SUM(G114+'1'!G91)</f>
        <v>-554</v>
      </c>
      <c r="I114" s="608"/>
      <c r="J114" s="635">
        <f>H114/DAY(B2)</f>
        <v>-19.103448275862068</v>
      </c>
      <c r="N114" s="852"/>
      <c r="O114" s="852"/>
    </row>
    <row r="115" spans="1:15" s="481" customFormat="1" ht="27">
      <c r="A115" s="1424" t="s">
        <v>225</v>
      </c>
      <c r="B115" s="1425"/>
      <c r="C115" s="651"/>
      <c r="D115" s="699" t="s">
        <v>144</v>
      </c>
      <c r="E115" s="609">
        <f>'28'!F115</f>
        <v>7667</v>
      </c>
      <c r="F115" s="741">
        <v>7415</v>
      </c>
      <c r="G115" s="610">
        <f t="shared" ref="G115:G116" si="13">F115-E115</f>
        <v>-252</v>
      </c>
      <c r="H115" s="609">
        <f>SUM(G115+'1'!G92)</f>
        <v>-165</v>
      </c>
      <c r="I115" s="608"/>
      <c r="J115" s="635">
        <f>H115/DAY(B2)</f>
        <v>-5.6896551724137927</v>
      </c>
      <c r="N115" s="852"/>
      <c r="O115" s="852"/>
    </row>
    <row r="116" spans="1:15" s="481" customFormat="1" ht="27">
      <c r="A116" s="1424" t="s">
        <v>226</v>
      </c>
      <c r="B116" s="1425"/>
      <c r="C116" s="651"/>
      <c r="D116" s="699" t="s">
        <v>144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>
      <c r="A117" s="1427" t="s">
        <v>202</v>
      </c>
      <c r="B117" s="1428"/>
      <c r="C117" s="651"/>
      <c r="D117" s="700"/>
      <c r="E117" s="612"/>
      <c r="F117" s="741"/>
      <c r="G117" s="610">
        <f>SUM(G114:G116)</f>
        <v>-806</v>
      </c>
      <c r="H117" s="609">
        <f>SUM(G117+'1'!G95)</f>
        <v>-734</v>
      </c>
      <c r="I117" s="610"/>
      <c r="J117" s="635">
        <f>H117/DAY(B2)</f>
        <v>-25.310344827586206</v>
      </c>
      <c r="N117" s="852"/>
      <c r="O117" s="853"/>
    </row>
    <row r="118" spans="1:15" s="495" customFormat="1" ht="27">
      <c r="A118" s="1458" t="s">
        <v>227</v>
      </c>
      <c r="B118" s="1459"/>
      <c r="C118" s="1227"/>
      <c r="D118" s="701" t="s">
        <v>144</v>
      </c>
      <c r="E118" s="612"/>
      <c r="F118" s="741">
        <f>SUM(G19+G92)</f>
        <v>-4815</v>
      </c>
      <c r="G118" s="612">
        <f>SUM(G19+G92)</f>
        <v>-4815</v>
      </c>
      <c r="H118" s="609">
        <f>SUM(G118+'1'!G96)</f>
        <v>-4792</v>
      </c>
      <c r="I118" s="611"/>
      <c r="J118" s="636">
        <f>H118/DAY(B2)</f>
        <v>-165.24137931034483</v>
      </c>
      <c r="N118" s="852"/>
      <c r="O118" s="853"/>
    </row>
    <row r="119" spans="1:15" s="495" customFormat="1" ht="27">
      <c r="A119" s="1458" t="s">
        <v>228</v>
      </c>
      <c r="B119" s="1459"/>
      <c r="C119" s="1227"/>
      <c r="D119" s="701" t="s">
        <v>144</v>
      </c>
      <c r="E119" s="612"/>
      <c r="F119" s="741">
        <f>SUM(G95,G96,G97,G99,G100)</f>
        <v>-4869</v>
      </c>
      <c r="G119" s="612">
        <f>SUM(G95,G96,G97,G99,G100)</f>
        <v>-4869</v>
      </c>
      <c r="H119" s="609">
        <f>SUM(G119+'1'!G98)</f>
        <v>-4786</v>
      </c>
      <c r="I119" s="611"/>
      <c r="J119" s="636">
        <f>H119/DAY(B2)</f>
        <v>-165.0344827586207</v>
      </c>
      <c r="N119" s="852"/>
      <c r="O119" s="853"/>
    </row>
    <row r="120" spans="1:15" s="495" customFormat="1" ht="27">
      <c r="A120" s="1458" t="s">
        <v>229</v>
      </c>
      <c r="B120" s="1459"/>
      <c r="C120" s="1227"/>
      <c r="D120" s="701" t="s">
        <v>144</v>
      </c>
      <c r="E120" s="612"/>
      <c r="F120" s="741">
        <f>SUM(G112)</f>
        <v>-4206</v>
      </c>
      <c r="G120" s="610">
        <f>SUM(G112)</f>
        <v>-4206</v>
      </c>
      <c r="H120" s="609">
        <f>SUM(G120+'1'!G100)</f>
        <v>-4200</v>
      </c>
      <c r="I120" s="611"/>
      <c r="J120" s="636">
        <f>H120/DAY(B2)</f>
        <v>-144.82758620689654</v>
      </c>
      <c r="N120" s="852"/>
      <c r="O120" s="853"/>
    </row>
    <row r="121" spans="1:15" s="481" customFormat="1" ht="27">
      <c r="A121" s="1460"/>
      <c r="B121" s="1461"/>
      <c r="C121" s="1228"/>
      <c r="D121" s="637"/>
      <c r="E121" s="848"/>
      <c r="F121" s="835" t="s">
        <v>215</v>
      </c>
      <c r="G121" s="637"/>
      <c r="H121" s="638"/>
      <c r="I121" s="637"/>
      <c r="J121" s="639"/>
      <c r="N121" s="852"/>
      <c r="O121" s="852"/>
    </row>
    <row r="122" spans="1:15">
      <c r="A122" s="1410" t="s">
        <v>230</v>
      </c>
      <c r="B122" s="1411"/>
      <c r="C122" s="1412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30" t="s">
        <v>231</v>
      </c>
      <c r="B123" s="1231"/>
      <c r="C123" s="1231"/>
      <c r="D123" s="599" t="s">
        <v>141</v>
      </c>
      <c r="E123" s="820">
        <f>'28'!F123</f>
        <v>811006.84</v>
      </c>
      <c r="F123" s="820">
        <v>802782.99</v>
      </c>
      <c r="G123" s="549">
        <f t="shared" ref="G123:G127" si="14">F123-E123</f>
        <v>-8223.8499999999767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>
      <c r="A124" s="1230" t="s">
        <v>232</v>
      </c>
      <c r="B124" s="1231"/>
      <c r="C124" s="1231"/>
      <c r="D124" s="599" t="s">
        <v>141</v>
      </c>
      <c r="E124" s="820">
        <f>'28'!F124</f>
        <v>73583.399999999994</v>
      </c>
      <c r="F124" s="836">
        <v>73582</v>
      </c>
      <c r="G124" s="549">
        <f t="shared" si="14"/>
        <v>-1.3999999999941792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>
      <c r="A125" s="1416" t="s">
        <v>233</v>
      </c>
      <c r="B125" s="1417"/>
      <c r="C125" s="1418"/>
      <c r="D125" s="599" t="s">
        <v>141</v>
      </c>
      <c r="E125" s="820">
        <f>'28'!F125</f>
        <v>139979.34</v>
      </c>
      <c r="F125" s="820">
        <v>137739.76999999999</v>
      </c>
      <c r="G125" s="549">
        <f t="shared" si="14"/>
        <v>-2239.570000000007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>
      <c r="A126" s="686" t="s">
        <v>234</v>
      </c>
      <c r="B126" s="1231"/>
      <c r="C126" s="1231"/>
      <c r="D126" s="599" t="s">
        <v>141</v>
      </c>
      <c r="E126" s="820">
        <f>'28'!F126</f>
        <v>59306.9</v>
      </c>
      <c r="F126" s="836">
        <v>58320</v>
      </c>
      <c r="G126" s="549">
        <f t="shared" si="14"/>
        <v>-986.90000000000146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>
      <c r="A127" s="686" t="s">
        <v>235</v>
      </c>
      <c r="B127" s="1231"/>
      <c r="C127" s="1231"/>
      <c r="D127" s="599" t="s">
        <v>141</v>
      </c>
      <c r="E127" s="820">
        <f>'28'!F127</f>
        <v>8887.7999999999993</v>
      </c>
      <c r="F127" s="836">
        <v>8807</v>
      </c>
      <c r="G127" s="549">
        <f t="shared" si="14"/>
        <v>-80.799999999999272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>
      <c r="A128" s="686" t="s">
        <v>236</v>
      </c>
      <c r="B128" s="1231"/>
      <c r="C128" s="1231"/>
      <c r="D128" s="599"/>
      <c r="E128" s="820"/>
      <c r="F128" s="820"/>
      <c r="G128" s="549">
        <f>G15-SUM(G123:G127)</f>
        <v>-15445.120000000152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0" t="s">
        <v>238</v>
      </c>
      <c r="B130" s="1231"/>
      <c r="C130" s="1231"/>
      <c r="D130" s="599" t="s">
        <v>239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30" t="s">
        <v>240</v>
      </c>
      <c r="B131" s="1231"/>
      <c r="C131" s="1231"/>
      <c r="D131" s="599" t="s">
        <v>239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30" t="s">
        <v>241</v>
      </c>
      <c r="B132" s="1231"/>
      <c r="C132" s="1231"/>
      <c r="D132" s="599" t="s">
        <v>239</v>
      </c>
      <c r="E132" s="850">
        <f>'28'!F132</f>
        <v>38829</v>
      </c>
      <c r="F132" s="836">
        <v>39056.54</v>
      </c>
      <c r="G132" s="549">
        <f t="shared" si="15"/>
        <v>227.54000000000087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>
      <c r="A133" s="1230" t="s">
        <v>242</v>
      </c>
      <c r="B133" s="1231"/>
      <c r="C133" s="1231"/>
      <c r="D133" s="599" t="s">
        <v>239</v>
      </c>
      <c r="E133" s="850">
        <f>'28'!F133</f>
        <v>300</v>
      </c>
      <c r="F133" s="836">
        <v>299</v>
      </c>
      <c r="G133" s="549">
        <f t="shared" si="15"/>
        <v>-1</v>
      </c>
      <c r="H133" s="536">
        <f>G133+'28'!H133</f>
        <v>0</v>
      </c>
      <c r="I133" s="556">
        <f>G130+G131+G132+G133</f>
        <v>226.54000000000087</v>
      </c>
      <c r="J133" s="629">
        <f>H133/DAY(B2)</f>
        <v>0</v>
      </c>
    </row>
    <row r="134" spans="1:12" ht="27.75">
      <c r="A134" s="1230" t="s">
        <v>243</v>
      </c>
      <c r="B134" s="1231"/>
      <c r="C134" s="1231"/>
      <c r="D134" s="599" t="s">
        <v>239</v>
      </c>
      <c r="E134" s="850">
        <f>'28'!F134</f>
        <v>40367.14</v>
      </c>
      <c r="F134" s="836">
        <v>39951</v>
      </c>
      <c r="G134" s="549">
        <f t="shared" si="15"/>
        <v>-416.13999999999942</v>
      </c>
      <c r="H134" s="536">
        <f>G134+'28'!H134</f>
        <v>-285.5199999999968</v>
      </c>
      <c r="I134" s="556"/>
      <c r="J134" s="629">
        <f>H134/DAY(B2)</f>
        <v>-9.8455172413792003</v>
      </c>
    </row>
    <row r="135" spans="1:12" ht="27.75">
      <c r="A135" s="1230" t="s">
        <v>244</v>
      </c>
      <c r="B135" s="1231"/>
      <c r="C135" s="1231"/>
      <c r="D135" s="599" t="s">
        <v>239</v>
      </c>
      <c r="E135" s="846">
        <f>'28'!F135</f>
        <v>32571</v>
      </c>
      <c r="F135" s="823">
        <v>32423</v>
      </c>
      <c r="G135" s="549">
        <f t="shared" si="15"/>
        <v>-148</v>
      </c>
      <c r="H135" s="536">
        <f>G135+'28'!H135</f>
        <v>-118.47999999999956</v>
      </c>
      <c r="I135" s="556"/>
      <c r="J135" s="629">
        <f>H135/DAY(B2)</f>
        <v>-4.0855172413792955</v>
      </c>
    </row>
    <row r="136" spans="1:12" ht="27.75">
      <c r="A136" s="1230" t="s">
        <v>245</v>
      </c>
      <c r="B136" s="1231"/>
      <c r="C136" s="1231"/>
      <c r="D136" s="599" t="s">
        <v>239</v>
      </c>
      <c r="E136" s="849">
        <f>'28'!F136</f>
        <v>22222.21</v>
      </c>
      <c r="F136" s="827">
        <v>21988.73</v>
      </c>
      <c r="G136" s="549">
        <f t="shared" si="15"/>
        <v>-233.47999999999956</v>
      </c>
      <c r="H136" s="536">
        <f>G136+'28'!H136</f>
        <v>-13.229999999999563</v>
      </c>
      <c r="I136" s="556">
        <f>G134+G135+G136</f>
        <v>-797.61999999999898</v>
      </c>
      <c r="J136" s="629">
        <f>H136/DAY(B2)</f>
        <v>-0.4562068965517091</v>
      </c>
    </row>
    <row r="137" spans="1:12" ht="27.75">
      <c r="A137" s="1230" t="s">
        <v>246</v>
      </c>
      <c r="B137" s="1231"/>
      <c r="C137" s="1231"/>
      <c r="D137" s="599" t="s">
        <v>239</v>
      </c>
      <c r="E137" s="849">
        <f>'28'!F137</f>
        <v>25044.31</v>
      </c>
      <c r="F137" s="827">
        <v>25019.94</v>
      </c>
      <c r="G137" s="549">
        <f t="shared" si="15"/>
        <v>-24.370000000002619</v>
      </c>
      <c r="H137" s="536">
        <f>G137+'28'!H137</f>
        <v>-8.6200000000026193</v>
      </c>
      <c r="I137" s="556"/>
      <c r="J137" s="629">
        <f>H137/DAY(B2)</f>
        <v>-0.29724137931043515</v>
      </c>
    </row>
    <row r="138" spans="1:12" ht="27.75">
      <c r="A138" s="1230" t="s">
        <v>247</v>
      </c>
      <c r="B138" s="1231"/>
      <c r="C138" s="1231"/>
      <c r="D138" s="599" t="s">
        <v>239</v>
      </c>
      <c r="E138" s="849">
        <f>'28'!F138</f>
        <v>70147.34</v>
      </c>
      <c r="F138" s="827">
        <v>70059.78</v>
      </c>
      <c r="G138" s="549">
        <f t="shared" si="15"/>
        <v>-87.559999999997672</v>
      </c>
      <c r="H138" s="536">
        <f>G138+'28'!H138</f>
        <v>-56.070000000006985</v>
      </c>
      <c r="I138" s="556">
        <f>G137+G138</f>
        <v>-111.93000000000029</v>
      </c>
      <c r="J138" s="629">
        <f>H138/DAY(B2)</f>
        <v>-1.9334482758623097</v>
      </c>
    </row>
    <row r="139" spans="1:12" ht="27.75">
      <c r="A139" s="1230" t="s">
        <v>248</v>
      </c>
      <c r="B139" s="1231"/>
      <c r="C139" s="1231"/>
      <c r="D139" s="599" t="s">
        <v>239</v>
      </c>
      <c r="E139" s="850">
        <f>'28'!F139</f>
        <v>1423.14</v>
      </c>
      <c r="F139" s="836">
        <v>1184.42</v>
      </c>
      <c r="G139" s="549">
        <f t="shared" si="15"/>
        <v>-238.72000000000003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>
      <c r="A140" s="1230" t="s">
        <v>249</v>
      </c>
      <c r="B140" s="1231"/>
      <c r="C140" s="1231"/>
      <c r="D140" s="599" t="s">
        <v>239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54" t="s">
        <v>250</v>
      </c>
      <c r="B141" s="1455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19" t="s">
        <v>251</v>
      </c>
      <c r="B142" s="1420"/>
      <c r="C142" s="1421"/>
      <c r="D142" s="599" t="s">
        <v>132</v>
      </c>
      <c r="E142" s="536"/>
      <c r="F142" s="536"/>
      <c r="G142" s="536">
        <f>G35+G43+G49+G57</f>
        <v>-155252.69999999992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>
      <c r="A143" s="1419" t="s">
        <v>252</v>
      </c>
      <c r="B143" s="1420"/>
      <c r="C143" s="1421"/>
      <c r="D143" s="599" t="s">
        <v>24</v>
      </c>
      <c r="E143" s="546"/>
      <c r="F143" s="546"/>
      <c r="G143" s="620">
        <f>G142/G7</f>
        <v>0.26125514718379411</v>
      </c>
      <c r="H143" s="536">
        <f>G143+'28'!H143</f>
        <v>7.277894170263834</v>
      </c>
      <c r="I143" s="621"/>
      <c r="J143" s="629">
        <f>H143/DAY(B2)</f>
        <v>0.2509618679401322</v>
      </c>
      <c r="K143" s="411"/>
      <c r="L143" s="408"/>
    </row>
    <row r="144" spans="1:12" ht="27.75">
      <c r="A144" s="1419" t="s">
        <v>253</v>
      </c>
      <c r="B144" s="1420"/>
      <c r="C144" s="1421"/>
      <c r="D144" s="599" t="s">
        <v>132</v>
      </c>
      <c r="E144" s="536"/>
      <c r="F144" s="536"/>
      <c r="G144" s="536">
        <f>G41+G42+G55+G56</f>
        <v>-133650.94000000003</v>
      </c>
      <c r="H144" s="536">
        <f>G144+'28'!H144</f>
        <v>-7404.0100000000384</v>
      </c>
      <c r="I144" s="556"/>
      <c r="J144" s="629">
        <f>H144/DAY(B2)</f>
        <v>-255.31068965517375</v>
      </c>
      <c r="K144" s="411"/>
      <c r="L144" s="408"/>
    </row>
    <row r="145" spans="1:12" ht="27.75">
      <c r="A145" s="1419" t="s">
        <v>254</v>
      </c>
      <c r="B145" s="1420"/>
      <c r="C145" s="1421"/>
      <c r="D145" s="599" t="s">
        <v>24</v>
      </c>
      <c r="E145" s="536"/>
      <c r="F145" s="536"/>
      <c r="G145" s="620">
        <f>G144/G7</f>
        <v>0.22490427542292313</v>
      </c>
      <c r="H145" s="536">
        <f>G145+'28'!H145</f>
        <v>6.5497689955673666</v>
      </c>
      <c r="I145" s="621"/>
      <c r="J145" s="629">
        <f>H145/DAY(B2)</f>
        <v>0.22585410329542643</v>
      </c>
      <c r="K145" s="411"/>
      <c r="L145" s="408"/>
    </row>
    <row r="146" spans="1:12" ht="27.75">
      <c r="A146" s="1419" t="s">
        <v>255</v>
      </c>
      <c r="B146" s="1420"/>
      <c r="C146" s="1421"/>
      <c r="D146" s="599" t="s">
        <v>132</v>
      </c>
      <c r="E146" s="536"/>
      <c r="F146" s="536"/>
      <c r="G146" s="536">
        <f>G39+G53</f>
        <v>785883.07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>
      <c r="A147" s="1419" t="s">
        <v>256</v>
      </c>
      <c r="B147" s="1420"/>
      <c r="C147" s="1421"/>
      <c r="D147" s="599" t="s">
        <v>24</v>
      </c>
      <c r="E147" s="536"/>
      <c r="F147" s="536"/>
      <c r="G147" s="620">
        <f>G146/G7</f>
        <v>-1.3224632945005275</v>
      </c>
      <c r="H147" s="536">
        <f>G147+'28'!H147</f>
        <v>4.6531875434903576</v>
      </c>
      <c r="I147" s="622"/>
      <c r="J147" s="629">
        <f>H147/DAY(B2)</f>
        <v>0.16045474287897785</v>
      </c>
    </row>
    <row r="148" spans="1:12" ht="27.75">
      <c r="A148" s="1419" t="s">
        <v>257</v>
      </c>
      <c r="B148" s="1420"/>
      <c r="C148" s="1421"/>
      <c r="D148" s="599" t="s">
        <v>183</v>
      </c>
      <c r="E148" s="536"/>
      <c r="F148" s="536"/>
      <c r="G148" s="536">
        <f>G38+G52</f>
        <v>88789.799999999988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>
      <c r="A149" s="1419" t="s">
        <v>258</v>
      </c>
      <c r="B149" s="1420"/>
      <c r="C149" s="1421"/>
      <c r="D149" s="599" t="s">
        <v>24</v>
      </c>
      <c r="E149" s="536"/>
      <c r="F149" s="536"/>
      <c r="G149" s="620">
        <f>G148/G7</f>
        <v>-0.14941313270184448</v>
      </c>
      <c r="H149" s="536">
        <f>G149+'28'!H149</f>
        <v>2.7666057068097034</v>
      </c>
      <c r="I149" s="622"/>
      <c r="J149" s="629">
        <f>H149/DAY(B2)</f>
        <v>9.5400196786541491E-2</v>
      </c>
    </row>
    <row r="150" spans="1:12" ht="27.75">
      <c r="A150" s="1419" t="s">
        <v>259</v>
      </c>
      <c r="B150" s="1420"/>
      <c r="C150" s="1421"/>
      <c r="D150" s="599" t="s">
        <v>183</v>
      </c>
      <c r="E150" s="536"/>
      <c r="F150" s="536"/>
      <c r="G150" s="536">
        <f>G36+G50</f>
        <v>-57054.900000000081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>
      <c r="A151" s="1419" t="s">
        <v>260</v>
      </c>
      <c r="B151" s="1420"/>
      <c r="C151" s="1421"/>
      <c r="D151" s="599" t="s">
        <v>24</v>
      </c>
      <c r="E151" s="536"/>
      <c r="F151" s="536"/>
      <c r="G151" s="620">
        <f>G150/G7</f>
        <v>9.6010480314072999E-2</v>
      </c>
      <c r="H151" s="536">
        <f>G151+'28'!H151</f>
        <v>2.7951758639266981</v>
      </c>
      <c r="I151" s="556"/>
      <c r="J151" s="629">
        <f>H151/DAY(B2)</f>
        <v>9.6385374618162004E-2</v>
      </c>
    </row>
    <row r="152" spans="1:12" ht="27.75">
      <c r="A152" s="1419" t="s">
        <v>261</v>
      </c>
      <c r="B152" s="1420"/>
      <c r="C152" s="1421"/>
      <c r="D152" s="599" t="s">
        <v>183</v>
      </c>
      <c r="E152" s="536"/>
      <c r="F152" s="536"/>
      <c r="G152" s="536">
        <f>G37+G51</f>
        <v>369987.98000000004</v>
      </c>
      <c r="H152" s="536">
        <f>G152+'28'!H152</f>
        <v>412001.26</v>
      </c>
      <c r="I152" s="556"/>
      <c r="J152" s="629">
        <f>H152/DAY(B2)</f>
        <v>14206.94</v>
      </c>
    </row>
    <row r="153" spans="1:12" ht="28.5" thickBot="1">
      <c r="A153" s="1451" t="s">
        <v>262</v>
      </c>
      <c r="B153" s="1452"/>
      <c r="C153" s="1453"/>
      <c r="D153" s="702" t="s">
        <v>24</v>
      </c>
      <c r="E153" s="644"/>
      <c r="F153" s="644"/>
      <c r="G153" s="643">
        <f>G152/G7</f>
        <v>-0.62260601053079734</v>
      </c>
      <c r="H153" s="536">
        <f>G153+'28'!H153</f>
        <v>1.5056826688942584</v>
      </c>
      <c r="I153" s="645"/>
      <c r="J153" s="646">
        <f>H153/DAY(B2)</f>
        <v>5.1920092030836494E-2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8" t="s">
        <v>263</v>
      </c>
      <c r="B160" s="879"/>
      <c r="C160" s="879"/>
      <c r="D160" s="697" t="s">
        <v>187</v>
      </c>
      <c r="E160" s="846">
        <f>'28'!F160</f>
        <v>30795.64</v>
      </c>
      <c r="F160" s="887">
        <v>28266.89</v>
      </c>
      <c r="G160" s="549">
        <f t="shared" ref="G160:G163" si="16">F160-E160</f>
        <v>-2528.75</v>
      </c>
    </row>
    <row r="161" spans="1:7">
      <c r="A161" s="878" t="s">
        <v>264</v>
      </c>
      <c r="B161" s="879"/>
      <c r="C161" s="879"/>
      <c r="D161" s="697" t="s">
        <v>187</v>
      </c>
      <c r="E161" s="846">
        <f>'28'!F161</f>
        <v>55098.17</v>
      </c>
      <c r="F161" s="887">
        <v>41680.800000000003</v>
      </c>
      <c r="G161" s="549">
        <f t="shared" si="16"/>
        <v>-13417.369999999995</v>
      </c>
    </row>
    <row r="162" spans="1:7">
      <c r="A162" s="878" t="s">
        <v>265</v>
      </c>
      <c r="B162" s="879"/>
      <c r="C162" s="879"/>
      <c r="D162" s="697" t="s">
        <v>187</v>
      </c>
      <c r="E162" s="846">
        <f>'28'!F162</f>
        <v>20562.32</v>
      </c>
      <c r="F162" s="887">
        <v>12319</v>
      </c>
      <c r="G162" s="549">
        <f t="shared" si="16"/>
        <v>-8243.32</v>
      </c>
    </row>
    <row r="163" spans="1:7">
      <c r="A163" s="878" t="s">
        <v>266</v>
      </c>
      <c r="B163" s="879"/>
      <c r="C163" s="879"/>
      <c r="D163" s="697" t="s">
        <v>187</v>
      </c>
      <c r="E163" s="846">
        <f>'28'!F163</f>
        <v>5427.51</v>
      </c>
      <c r="F163" s="887">
        <v>4960.6400000000003</v>
      </c>
      <c r="G163" s="549">
        <f t="shared" si="16"/>
        <v>-466.86999999999989</v>
      </c>
    </row>
    <row r="164" spans="1:7">
      <c r="A164" s="880" t="s">
        <v>98</v>
      </c>
      <c r="B164" s="881"/>
      <c r="C164" s="881"/>
      <c r="D164" s="697" t="s">
        <v>187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80" t="s">
        <v>188</v>
      </c>
      <c r="B165" s="881"/>
      <c r="C165" s="881"/>
      <c r="D165" s="697" t="s">
        <v>187</v>
      </c>
      <c r="E165" s="590">
        <f t="shared" ref="E165:E171" si="18">E63</f>
        <v>1707.36</v>
      </c>
      <c r="F165" s="590">
        <f t="shared" ref="F165:F171" si="19">F63</f>
        <v>1305.8900000000001</v>
      </c>
      <c r="G165" s="549">
        <f t="shared" si="17"/>
        <v>-401.4699999999998</v>
      </c>
    </row>
    <row r="166" spans="1:7" ht="27.75">
      <c r="A166" s="1478" t="s">
        <v>99</v>
      </c>
      <c r="B166" s="1478"/>
      <c r="C166" s="1478"/>
      <c r="D166" s="600" t="s">
        <v>187</v>
      </c>
      <c r="E166" s="590">
        <f t="shared" si="18"/>
        <v>123627.3</v>
      </c>
      <c r="F166" s="590">
        <f t="shared" si="19"/>
        <v>110461.4</v>
      </c>
      <c r="G166" s="549">
        <f t="shared" si="17"/>
        <v>-13165.900000000009</v>
      </c>
    </row>
    <row r="167" spans="1:7" ht="27.75">
      <c r="A167" s="1478" t="s">
        <v>100</v>
      </c>
      <c r="B167" s="1478"/>
      <c r="C167" s="1478"/>
      <c r="D167" s="600" t="s">
        <v>187</v>
      </c>
      <c r="E167" s="590">
        <f t="shared" si="18"/>
        <v>132597.29999999999</v>
      </c>
      <c r="F167" s="590">
        <f t="shared" si="19"/>
        <v>120948.65</v>
      </c>
      <c r="G167" s="549">
        <f t="shared" si="17"/>
        <v>-11648.649999999994</v>
      </c>
    </row>
    <row r="168" spans="1:7" ht="27.75">
      <c r="A168" s="1478" t="s">
        <v>101</v>
      </c>
      <c r="B168" s="1478"/>
      <c r="C168" s="1478"/>
      <c r="D168" s="600" t="s">
        <v>187</v>
      </c>
      <c r="E168" s="590">
        <f t="shared" si="18"/>
        <v>25159.75</v>
      </c>
      <c r="F168" s="590">
        <f t="shared" si="19"/>
        <v>13320.84</v>
      </c>
      <c r="G168" s="549">
        <f t="shared" si="17"/>
        <v>-11838.91</v>
      </c>
    </row>
    <row r="169" spans="1:7" ht="27.75">
      <c r="A169" s="1478" t="s">
        <v>102</v>
      </c>
      <c r="B169" s="1478"/>
      <c r="C169" s="1478"/>
      <c r="D169" s="600" t="s">
        <v>187</v>
      </c>
      <c r="E169" s="590">
        <f t="shared" si="18"/>
        <v>207841.83</v>
      </c>
      <c r="F169" s="590">
        <f t="shared" si="19"/>
        <v>187269.37</v>
      </c>
      <c r="G169" s="549">
        <f t="shared" si="17"/>
        <v>-20572.459999999992</v>
      </c>
    </row>
    <row r="170" spans="1:7" ht="27.75">
      <c r="A170" s="1478" t="s">
        <v>103</v>
      </c>
      <c r="B170" s="1478"/>
      <c r="C170" s="1478"/>
      <c r="D170" s="600" t="s">
        <v>187</v>
      </c>
      <c r="E170" s="590">
        <f t="shared" si="18"/>
        <v>72678.52</v>
      </c>
      <c r="F170" s="590">
        <f t="shared" si="19"/>
        <v>62687.79</v>
      </c>
      <c r="G170" s="549">
        <f t="shared" si="17"/>
        <v>-9990.7300000000032</v>
      </c>
    </row>
    <row r="171" spans="1:7" ht="27.75">
      <c r="A171" s="1478" t="s">
        <v>104</v>
      </c>
      <c r="B171" s="1478"/>
      <c r="C171" s="1478"/>
      <c r="D171" s="600" t="s">
        <v>187</v>
      </c>
      <c r="E171" s="590">
        <f t="shared" si="18"/>
        <v>64452.09</v>
      </c>
      <c r="F171" s="590">
        <f t="shared" si="19"/>
        <v>55093</v>
      </c>
      <c r="G171" s="549">
        <f t="shared" si="17"/>
        <v>-9359.0899999999965</v>
      </c>
    </row>
    <row r="172" spans="1:7">
      <c r="A172" s="882"/>
      <c r="B172" s="883"/>
      <c r="C172" s="883"/>
      <c r="D172" s="884"/>
      <c r="E172" s="886"/>
      <c r="F172" s="1116"/>
      <c r="G172" s="886">
        <f>SUM(G160:G171)</f>
        <v>-101633.527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308</v>
      </c>
      <c r="B2" s="1200">
        <v>43860</v>
      </c>
      <c r="C2" s="1232" t="s">
        <v>69</v>
      </c>
      <c r="D2" s="688">
        <v>0.83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O2" s="293"/>
    </row>
    <row r="3" spans="1:15" s="281" customFormat="1" ht="27">
      <c r="A3" s="647"/>
      <c r="B3" s="691"/>
      <c r="C3" s="1232" t="s">
        <v>120</v>
      </c>
      <c r="D3" s="689">
        <v>24</v>
      </c>
      <c r="E3" s="1620" t="s">
        <v>121</v>
      </c>
      <c r="F3" s="1620"/>
      <c r="G3" s="538"/>
      <c r="H3" s="539"/>
      <c r="I3" s="539"/>
      <c r="J3" s="692"/>
      <c r="K3" s="402"/>
      <c r="L3" s="293"/>
      <c r="O3" s="1108"/>
    </row>
    <row r="4" spans="1:15" s="281" customFormat="1" ht="27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>
      <c r="A6" s="1621" t="s">
        <v>130</v>
      </c>
      <c r="B6" s="1622"/>
      <c r="C6" s="1622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>
      <c r="A7" s="655" t="s">
        <v>131</v>
      </c>
      <c r="B7" s="656"/>
      <c r="C7" s="656"/>
      <c r="D7" s="599" t="s">
        <v>132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>
      <c r="A8" s="657" t="s">
        <v>133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>
      <c r="A9" s="660" t="s">
        <v>134</v>
      </c>
      <c r="B9" s="661"/>
      <c r="C9" s="661"/>
      <c r="D9" s="599" t="s">
        <v>132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2765735.25</v>
      </c>
      <c r="I9" s="555">
        <f>I7-J7</f>
        <v>12615.366666666667</v>
      </c>
      <c r="J9" s="629">
        <f>H9/DAY(B2)</f>
        <v>92191.175000000003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>
      <c r="A10" s="655" t="s">
        <v>135</v>
      </c>
      <c r="B10" s="656"/>
      <c r="C10" s="656"/>
      <c r="D10" s="599" t="s">
        <v>132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1378270.5</v>
      </c>
      <c r="I10" s="556"/>
      <c r="J10" s="629">
        <f>H10/DAY(B2)</f>
        <v>45942.35</v>
      </c>
      <c r="K10" s="467"/>
      <c r="L10" s="408"/>
      <c r="N10" s="479">
        <f>F10-'1'!E10</f>
        <v>-11901.5</v>
      </c>
      <c r="O10" s="889"/>
    </row>
    <row r="11" spans="1:15" ht="21.95" customHeight="1">
      <c r="A11" s="655" t="s">
        <v>136</v>
      </c>
      <c r="B11" s="656"/>
      <c r="C11" s="656"/>
      <c r="D11" s="599" t="s">
        <v>132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>
      <c r="A12" s="655" t="s">
        <v>137</v>
      </c>
      <c r="B12" s="656"/>
      <c r="C12" s="656"/>
      <c r="D12" s="599" t="s">
        <v>132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>
      <c r="A13" s="662" t="s">
        <v>138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4125699.75</v>
      </c>
      <c r="I13" s="558">
        <f>G7-G13</f>
        <v>645.10000000009313</v>
      </c>
      <c r="J13" s="629">
        <f>H13/DAY(B2)</f>
        <v>137523.32500000001</v>
      </c>
      <c r="K13" s="467"/>
      <c r="L13" s="408"/>
      <c r="N13" s="479">
        <f>F13-'1'!E13</f>
        <v>0</v>
      </c>
      <c r="O13" s="889"/>
    </row>
    <row r="14" spans="1:15" ht="29.25">
      <c r="A14" s="1614" t="s">
        <v>139</v>
      </c>
      <c r="B14" s="1615"/>
      <c r="C14" s="1615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>
      <c r="A15" s="1230" t="s">
        <v>140</v>
      </c>
      <c r="B15" s="666"/>
      <c r="C15" s="666"/>
      <c r="D15" s="599" t="s">
        <v>141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>
      <c r="A17" s="1614" t="s">
        <v>142</v>
      </c>
      <c r="B17" s="1615"/>
      <c r="C17" s="1615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>
      <c r="A18" s="1596" t="s">
        <v>143</v>
      </c>
      <c r="B18" s="1597"/>
      <c r="C18" s="1597"/>
      <c r="D18" s="599" t="s">
        <v>144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4720</v>
      </c>
      <c r="I18" s="550">
        <f>'1'!I18</f>
        <v>65</v>
      </c>
      <c r="J18" s="629">
        <f>H18/DAY(B2)</f>
        <v>157.33333333333334</v>
      </c>
      <c r="K18" s="467"/>
      <c r="L18" s="408"/>
      <c r="N18" s="479">
        <f>F18-'1'!E18</f>
        <v>0</v>
      </c>
      <c r="O18" s="889"/>
    </row>
    <row r="19" spans="1:15" ht="27.75">
      <c r="A19" s="1596" t="s">
        <v>71</v>
      </c>
      <c r="B19" s="1597"/>
      <c r="C19" s="1597"/>
      <c r="D19" s="599" t="s">
        <v>144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>
      <c r="A20" s="662" t="s">
        <v>145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4666</v>
      </c>
      <c r="I20" s="568">
        <f>I18-J20</f>
        <v>-90.533333333333331</v>
      </c>
      <c r="J20" s="629">
        <f>H20/DAY(B2)</f>
        <v>155.53333333333333</v>
      </c>
      <c r="K20" s="467"/>
      <c r="L20" s="408"/>
      <c r="N20" s="479">
        <f>F20-'1'!E20</f>
        <v>0</v>
      </c>
      <c r="O20" s="889"/>
    </row>
    <row r="21" spans="1:15" ht="29.25">
      <c r="A21" s="1614" t="s">
        <v>146</v>
      </c>
      <c r="B21" s="1615"/>
      <c r="C21" s="1615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>
      <c r="A22" s="1230" t="s">
        <v>147</v>
      </c>
      <c r="B22" s="666"/>
      <c r="C22" s="666"/>
      <c r="D22" s="599" t="s">
        <v>148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>
      <c r="A23" s="1230" t="s">
        <v>149</v>
      </c>
      <c r="B23" s="666"/>
      <c r="C23" s="666"/>
      <c r="D23" s="599" t="s">
        <v>148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>
      <c r="A24" s="667" t="s">
        <v>150</v>
      </c>
      <c r="B24" s="668"/>
      <c r="C24" s="668"/>
      <c r="D24" s="587" t="s">
        <v>148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-37776.269999996643</v>
      </c>
      <c r="I28" s="581"/>
      <c r="J28" s="629">
        <f>H28/DAY(B2)</f>
        <v>-1259.2089999998882</v>
      </c>
      <c r="K28" s="404"/>
      <c r="L28" s="484"/>
      <c r="N28" s="479"/>
      <c r="O28" s="889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377600</v>
      </c>
      <c r="I31" s="581"/>
      <c r="J31" s="629"/>
      <c r="K31" s="404"/>
      <c r="L31" s="484"/>
      <c r="N31" s="479"/>
      <c r="O31" s="889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326860.73000000406</v>
      </c>
      <c r="I32" s="585"/>
      <c r="J32" s="629">
        <f>H32/DAY(B2)</f>
        <v>10895.357666666801</v>
      </c>
      <c r="K32" s="404"/>
      <c r="L32" s="484"/>
      <c r="N32" s="479"/>
      <c r="O32" s="889"/>
    </row>
    <row r="33" spans="1:15" ht="25.5">
      <c r="A33" s="1616" t="s">
        <v>162</v>
      </c>
      <c r="B33" s="1617"/>
      <c r="C33" s="1617"/>
      <c r="D33" s="1617"/>
      <c r="E33" s="1617"/>
      <c r="F33" s="1617"/>
      <c r="G33" s="1617"/>
      <c r="H33" s="1617"/>
      <c r="I33" s="1617"/>
      <c r="J33" s="1618"/>
      <c r="K33" s="467"/>
      <c r="L33" s="408"/>
      <c r="N33" s="479"/>
      <c r="O33" s="889"/>
    </row>
    <row r="34" spans="1:15" ht="21.95" customHeight="1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>
      <c r="A35" s="655" t="s">
        <v>164</v>
      </c>
      <c r="B35" s="656"/>
      <c r="C35" s="656"/>
      <c r="D35" s="599" t="s">
        <v>132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>
      <c r="A36" s="655" t="s">
        <v>165</v>
      </c>
      <c r="B36" s="656"/>
      <c r="C36" s="656"/>
      <c r="D36" s="599" t="s">
        <v>132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>
      <c r="A37" s="655" t="s">
        <v>166</v>
      </c>
      <c r="B37" s="656"/>
      <c r="C37" s="656"/>
      <c r="D37" s="599" t="s">
        <v>132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>
      <c r="A38" s="655" t="s">
        <v>167</v>
      </c>
      <c r="B38" s="656"/>
      <c r="C38" s="656"/>
      <c r="D38" s="599" t="s">
        <v>132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>
      <c r="A39" s="655" t="s">
        <v>168</v>
      </c>
      <c r="B39" s="656"/>
      <c r="C39" s="656"/>
      <c r="D39" s="599" t="s">
        <v>132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>
      <c r="A40" s="676" t="s">
        <v>169</v>
      </c>
      <c r="B40" s="677"/>
      <c r="C40" s="677"/>
      <c r="D40" s="599" t="s">
        <v>132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>
      <c r="A41" s="655" t="s">
        <v>170</v>
      </c>
      <c r="B41" s="656"/>
      <c r="C41" s="656"/>
      <c r="D41" s="599" t="s">
        <v>132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-3633.5699999999997</v>
      </c>
      <c r="I41" s="531"/>
      <c r="J41" s="629">
        <f>H41/DAY(B2)</f>
        <v>-121.11899999999999</v>
      </c>
      <c r="K41" s="467"/>
      <c r="L41" s="408"/>
      <c r="N41" s="479">
        <f>F41-'1'!E41</f>
        <v>-3633.5699999999997</v>
      </c>
      <c r="O41" s="889"/>
    </row>
    <row r="42" spans="1:15" ht="21.95" customHeight="1">
      <c r="A42" s="655" t="s">
        <v>171</v>
      </c>
      <c r="B42" s="656"/>
      <c r="C42" s="656"/>
      <c r="D42" s="599" t="s">
        <v>132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>
      <c r="A43" s="655" t="s">
        <v>172</v>
      </c>
      <c r="B43" s="656"/>
      <c r="C43" s="656"/>
      <c r="D43" s="599" t="s">
        <v>132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>
      <c r="A44" s="655" t="s">
        <v>173</v>
      </c>
      <c r="B44" s="656"/>
      <c r="C44" s="656"/>
      <c r="D44" s="599" t="s">
        <v>132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>
      <c r="A45" s="655" t="s">
        <v>174</v>
      </c>
      <c r="B45" s="656"/>
      <c r="C45" s="656"/>
      <c r="D45" s="599" t="s">
        <v>132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>
      <c r="A46" s="655" t="s">
        <v>175</v>
      </c>
      <c r="B46" s="656"/>
      <c r="C46" s="656"/>
      <c r="D46" s="599" t="s">
        <v>132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1471684.8999999997</v>
      </c>
      <c r="I47" s="531"/>
      <c r="J47" s="629">
        <f>H47/DAY(B2)</f>
        <v>49056.163333333323</v>
      </c>
      <c r="K47" s="467"/>
      <c r="L47" s="408"/>
      <c r="N47" s="479">
        <f>F47-'1'!E47</f>
        <v>0</v>
      </c>
      <c r="O47" s="889"/>
    </row>
    <row r="48" spans="1:15" ht="29.2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>
      <c r="A49" s="655" t="s">
        <v>164</v>
      </c>
      <c r="B49" s="678"/>
      <c r="C49" s="678"/>
      <c r="D49" s="599" t="s">
        <v>132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>
      <c r="A50" s="655" t="s">
        <v>178</v>
      </c>
      <c r="B50" s="678"/>
      <c r="C50" s="678"/>
      <c r="D50" s="599" t="s">
        <v>132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>
      <c r="A51" s="655" t="s">
        <v>166</v>
      </c>
      <c r="B51" s="678"/>
      <c r="C51" s="678"/>
      <c r="D51" s="599" t="s">
        <v>132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>
      <c r="A52" s="655" t="s">
        <v>179</v>
      </c>
      <c r="B52" s="678"/>
      <c r="C52" s="678"/>
      <c r="D52" s="599" t="s">
        <v>132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>
      <c r="A53" s="655" t="s">
        <v>168</v>
      </c>
      <c r="B53" s="678"/>
      <c r="C53" s="678"/>
      <c r="D53" s="599" t="s">
        <v>132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>
      <c r="A54" s="655" t="s">
        <v>180</v>
      </c>
      <c r="B54" s="678"/>
      <c r="C54" s="678"/>
      <c r="D54" s="599" t="s">
        <v>132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>
      <c r="A55" s="655" t="s">
        <v>181</v>
      </c>
      <c r="B55" s="678"/>
      <c r="C55" s="678"/>
      <c r="D55" s="599" t="s">
        <v>132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-3866.9799999999959</v>
      </c>
      <c r="I55" s="531"/>
      <c r="J55" s="629">
        <f>H55/DAY(B2)</f>
        <v>-128.8993333333332</v>
      </c>
      <c r="K55" s="467"/>
      <c r="L55" s="408"/>
      <c r="O55" s="889"/>
    </row>
    <row r="56" spans="1:15" ht="29.25">
      <c r="A56" s="655" t="s">
        <v>182</v>
      </c>
      <c r="B56" s="678"/>
      <c r="C56" s="678"/>
      <c r="D56" s="599" t="s">
        <v>183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>
      <c r="A57" s="655" t="s">
        <v>172</v>
      </c>
      <c r="B57" s="678"/>
      <c r="C57" s="678"/>
      <c r="D57" s="599" t="s">
        <v>132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>
      <c r="A58" s="655" t="s">
        <v>184</v>
      </c>
      <c r="B58" s="678"/>
      <c r="C58" s="678"/>
      <c r="D58" s="599" t="s">
        <v>132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-17158.99000000002</v>
      </c>
      <c r="I59" s="531">
        <f>G7-G60</f>
        <v>309.36999999995169</v>
      </c>
      <c r="J59" s="629">
        <f>H59/DAY(B2)</f>
        <v>-571.96633333333398</v>
      </c>
      <c r="K59" s="467"/>
      <c r="L59" s="408"/>
      <c r="O59" s="889"/>
    </row>
    <row r="60" spans="1:15" ht="29.25">
      <c r="A60" s="655"/>
      <c r="B60" s="656"/>
      <c r="C60" s="656"/>
      <c r="D60" s="587" t="s">
        <v>185</v>
      </c>
      <c r="E60" s="587"/>
      <c r="F60" s="587"/>
      <c r="G60" s="557">
        <f>G47+G59</f>
        <v>18607.630000000048</v>
      </c>
      <c r="H60" s="536">
        <f>G60+'29'!H60</f>
        <v>1459706.0999999996</v>
      </c>
      <c r="I60" s="531">
        <f>G13-G60</f>
        <v>-335.73000000014144</v>
      </c>
      <c r="J60" s="629">
        <f>H60/DAY(B2)</f>
        <v>48656.869999999988</v>
      </c>
      <c r="K60" s="467"/>
      <c r="L60" s="408"/>
      <c r="O60" s="889"/>
    </row>
    <row r="61" spans="1:15" ht="29.2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>
      <c r="A62" s="680" t="s">
        <v>98</v>
      </c>
      <c r="B62" s="681"/>
      <c r="C62" s="681"/>
      <c r="D62" s="587" t="s">
        <v>187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>
      <c r="A63" s="680" t="s">
        <v>188</v>
      </c>
      <c r="B63" s="681"/>
      <c r="C63" s="681"/>
      <c r="D63" s="587" t="s">
        <v>187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>
      <c r="A64" s="1602" t="s">
        <v>99</v>
      </c>
      <c r="B64" s="1468"/>
      <c r="C64" s="1468"/>
      <c r="D64" s="599" t="s">
        <v>187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>
      <c r="A65" s="1602" t="s">
        <v>100</v>
      </c>
      <c r="B65" s="1468"/>
      <c r="C65" s="1468"/>
      <c r="D65" s="599" t="s">
        <v>187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>
      <c r="A66" s="1602" t="s">
        <v>101</v>
      </c>
      <c r="B66" s="1468"/>
      <c r="C66" s="1468"/>
      <c r="D66" s="599" t="s">
        <v>187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>
      <c r="A67" s="1602" t="s">
        <v>102</v>
      </c>
      <c r="B67" s="1468"/>
      <c r="C67" s="1468"/>
      <c r="D67" s="599" t="s">
        <v>187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>
      <c r="A68" s="1602" t="s">
        <v>103</v>
      </c>
      <c r="B68" s="1468"/>
      <c r="C68" s="1468"/>
      <c r="D68" s="599" t="s">
        <v>187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703.13999999999942</v>
      </c>
      <c r="I68" s="592"/>
      <c r="J68" s="629">
        <f>H68/DAY(B2)</f>
        <v>23.437999999999981</v>
      </c>
      <c r="K68" s="469"/>
      <c r="L68" s="408"/>
      <c r="O68" s="889"/>
    </row>
    <row r="69" spans="1:15" ht="27.75">
      <c r="A69" s="1602" t="s">
        <v>104</v>
      </c>
      <c r="B69" s="1468"/>
      <c r="C69" s="1468"/>
      <c r="D69" s="599" t="s">
        <v>187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>
      <c r="A70" s="1619" t="s">
        <v>189</v>
      </c>
      <c r="B70" s="1478"/>
      <c r="C70" s="1478"/>
      <c r="D70" s="599" t="s">
        <v>187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>
      <c r="A71" s="1611" t="s">
        <v>190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469"/>
      <c r="L71" s="408"/>
      <c r="O71" s="889"/>
    </row>
    <row r="72" spans="1:15" ht="27.75">
      <c r="A72" s="1602" t="s">
        <v>191</v>
      </c>
      <c r="B72" s="1468"/>
      <c r="C72" s="1468"/>
      <c r="D72" s="599" t="s">
        <v>187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>
      <c r="A73" s="1602" t="s">
        <v>192</v>
      </c>
      <c r="B73" s="1468"/>
      <c r="C73" s="1468"/>
      <c r="D73" s="599" t="s">
        <v>187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>
      <c r="A74" s="1602" t="s">
        <v>193</v>
      </c>
      <c r="B74" s="1468"/>
      <c r="C74" s="1468"/>
      <c r="D74" s="599" t="s">
        <v>187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>
      <c r="A75" s="1609" t="s">
        <v>194</v>
      </c>
      <c r="B75" s="1610"/>
      <c r="C75" s="1610"/>
      <c r="D75" s="599" t="s">
        <v>187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>
      <c r="A76" s="1609" t="s">
        <v>195</v>
      </c>
      <c r="B76" s="1610"/>
      <c r="C76" s="1610"/>
      <c r="D76" s="599" t="s">
        <v>187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688937.20000000007</v>
      </c>
      <c r="I76" s="581"/>
      <c r="J76" s="629">
        <f>H76/DAY(B2)</f>
        <v>22964.573333333337</v>
      </c>
      <c r="K76" s="469"/>
      <c r="L76" s="408"/>
      <c r="O76" s="889"/>
    </row>
    <row r="77" spans="1:15" ht="27.75">
      <c r="A77" s="1602" t="s">
        <v>196</v>
      </c>
      <c r="B77" s="1468"/>
      <c r="C77" s="1468"/>
      <c r="D77" s="599" t="s">
        <v>187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>
      <c r="A78" s="1233" t="s">
        <v>197</v>
      </c>
      <c r="B78" s="1204"/>
      <c r="C78" s="1204"/>
      <c r="D78" s="599" t="s">
        <v>187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>
      <c r="A79" s="1609" t="s">
        <v>92</v>
      </c>
      <c r="B79" s="1610"/>
      <c r="C79" s="1610"/>
      <c r="D79" s="600" t="s">
        <v>187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>
      <c r="A80" s="1609" t="s">
        <v>198</v>
      </c>
      <c r="B80" s="1610"/>
      <c r="C80" s="1610"/>
      <c r="D80" s="600" t="s">
        <v>187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>
      <c r="A81" s="1609" t="s">
        <v>199</v>
      </c>
      <c r="B81" s="1610"/>
      <c r="C81" s="1610"/>
      <c r="D81" s="600" t="s">
        <v>187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>
      <c r="A82" s="1609" t="s">
        <v>93</v>
      </c>
      <c r="B82" s="1610"/>
      <c r="C82" s="1610"/>
      <c r="D82" s="561" t="s">
        <v>132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>
      <c r="A83" s="1609" t="s">
        <v>200</v>
      </c>
      <c r="B83" s="1610"/>
      <c r="C83" s="1610"/>
      <c r="D83" s="697" t="s">
        <v>132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>
      <c r="A84" s="1234" t="s">
        <v>201</v>
      </c>
      <c r="B84" s="648"/>
      <c r="C84" s="648"/>
      <c r="D84" s="554" t="s">
        <v>132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>
      <c r="A85" s="682" t="s">
        <v>202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2305068.08</v>
      </c>
      <c r="I85" s="557"/>
      <c r="J85" s="629">
        <f>H85/DAY(B2)</f>
        <v>76835.602666666673</v>
      </c>
      <c r="K85" s="411"/>
      <c r="L85" s="409"/>
      <c r="O85" s="889"/>
    </row>
    <row r="86" spans="1:15" s="817" customFormat="1" ht="29.25">
      <c r="A86" s="812" t="s">
        <v>94</v>
      </c>
      <c r="B86" s="813"/>
      <c r="C86" s="813"/>
      <c r="D86" s="814" t="s">
        <v>183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>
      <c r="A87" s="812" t="s">
        <v>95</v>
      </c>
      <c r="B87" s="813"/>
      <c r="C87" s="813"/>
      <c r="D87" s="814" t="s">
        <v>183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>
      <c r="A88" s="812" t="s">
        <v>96</v>
      </c>
      <c r="B88" s="813"/>
      <c r="C88" s="813"/>
      <c r="D88" s="814" t="s">
        <v>183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>
      <c r="A89" s="812" t="s">
        <v>204</v>
      </c>
      <c r="B89" s="813"/>
      <c r="C89" s="813"/>
      <c r="D89" s="814" t="s">
        <v>183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>
      <c r="A90" s="812" t="s">
        <v>204</v>
      </c>
      <c r="B90" s="813"/>
      <c r="C90" s="813"/>
      <c r="D90" s="814" t="s">
        <v>183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>
      <c r="A92" s="1596" t="s">
        <v>206</v>
      </c>
      <c r="B92" s="1597"/>
      <c r="C92" s="1597"/>
      <c r="D92" s="599" t="s">
        <v>144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>
      <c r="A93" s="1596" t="s">
        <v>207</v>
      </c>
      <c r="B93" s="1597"/>
      <c r="C93" s="1597"/>
      <c r="D93" s="599" t="s">
        <v>144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>
      <c r="A94" s="1598" t="s">
        <v>208</v>
      </c>
      <c r="B94" s="1599"/>
      <c r="C94" s="1599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>
      <c r="A95" s="1596" t="s">
        <v>209</v>
      </c>
      <c r="B95" s="1597"/>
      <c r="C95" s="1597"/>
      <c r="D95" s="599" t="s">
        <v>144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>
      <c r="A96" s="1230" t="s">
        <v>210</v>
      </c>
      <c r="B96" s="1231"/>
      <c r="C96" s="1231"/>
      <c r="D96" s="599" t="s">
        <v>144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>
      <c r="A97" s="1230" t="s">
        <v>211</v>
      </c>
      <c r="B97" s="1231"/>
      <c r="C97" s="1231"/>
      <c r="D97" s="599" t="s">
        <v>144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>
      <c r="A98" s="1230" t="s">
        <v>212</v>
      </c>
      <c r="B98" s="1231"/>
      <c r="C98" s="1231"/>
      <c r="D98" s="599" t="s">
        <v>144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>
      <c r="A99" s="1230" t="s">
        <v>213</v>
      </c>
      <c r="B99" s="1231"/>
      <c r="C99" s="1231"/>
      <c r="D99" s="599" t="s">
        <v>144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>
      <c r="A100" s="1230" t="s">
        <v>214</v>
      </c>
      <c r="B100" s="1231"/>
      <c r="C100" s="1231"/>
      <c r="D100" s="599" t="s">
        <v>144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>
      <c r="A101" s="1598" t="s">
        <v>216</v>
      </c>
      <c r="B101" s="1599"/>
      <c r="C101" s="1599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>
      <c r="A102" s="684" t="s">
        <v>217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>
      <c r="A103" s="1605" t="s">
        <v>218</v>
      </c>
      <c r="B103" s="1606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>
      <c r="A104" s="1607" t="s">
        <v>219</v>
      </c>
      <c r="B104" s="1608"/>
      <c r="C104" s="1228"/>
      <c r="D104" s="699" t="s">
        <v>144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>
      <c r="A105" s="1607" t="s">
        <v>77</v>
      </c>
      <c r="B105" s="1608"/>
      <c r="C105" s="1228"/>
      <c r="D105" s="699" t="s">
        <v>144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>
      <c r="A106" s="1607" t="s">
        <v>78</v>
      </c>
      <c r="B106" s="1608"/>
      <c r="C106" s="1608"/>
      <c r="D106" s="699" t="s">
        <v>144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>
      <c r="A107" s="1623" t="s">
        <v>202</v>
      </c>
      <c r="B107" s="1624"/>
      <c r="C107" s="1228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>
      <c r="A108" s="1625" t="s">
        <v>79</v>
      </c>
      <c r="B108" s="1626"/>
      <c r="C108" s="1228"/>
      <c r="D108" s="699" t="s">
        <v>144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>
      <c r="A109" s="1607" t="s">
        <v>220</v>
      </c>
      <c r="B109" s="1608"/>
      <c r="C109" s="1228"/>
      <c r="D109" s="699" t="s">
        <v>144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>
      <c r="A110" s="1607" t="s">
        <v>221</v>
      </c>
      <c r="B110" s="1608"/>
      <c r="C110" s="1228"/>
      <c r="D110" s="699" t="s">
        <v>144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>
      <c r="A111" s="1607" t="s">
        <v>222</v>
      </c>
      <c r="B111" s="1608"/>
      <c r="C111" s="1228"/>
      <c r="D111" s="699" t="s">
        <v>144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>
      <c r="A112" s="1627" t="s">
        <v>110</v>
      </c>
      <c r="B112" s="1628"/>
      <c r="C112" s="1228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>
      <c r="A113" s="1625" t="s">
        <v>223</v>
      </c>
      <c r="B113" s="1626"/>
      <c r="C113" s="1228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>
      <c r="A114" s="1607" t="s">
        <v>224</v>
      </c>
      <c r="B114" s="1608"/>
      <c r="C114" s="651"/>
      <c r="D114" s="699" t="s">
        <v>144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>
      <c r="A115" s="1607" t="s">
        <v>225</v>
      </c>
      <c r="B115" s="1608"/>
      <c r="C115" s="651"/>
      <c r="D115" s="699" t="s">
        <v>144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>
      <c r="A116" s="1607" t="s">
        <v>226</v>
      </c>
      <c r="B116" s="1608"/>
      <c r="C116" s="651"/>
      <c r="D116" s="699" t="s">
        <v>144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>
      <c r="A117" s="1623" t="s">
        <v>202</v>
      </c>
      <c r="B117" s="1624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>
      <c r="A118" s="1629" t="s">
        <v>227</v>
      </c>
      <c r="B118" s="1630"/>
      <c r="C118" s="1227"/>
      <c r="D118" s="701" t="s">
        <v>144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>
      <c r="A119" s="1629" t="s">
        <v>228</v>
      </c>
      <c r="B119" s="1630"/>
      <c r="C119" s="1227"/>
      <c r="D119" s="701" t="s">
        <v>144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>
      <c r="A120" s="1629" t="s">
        <v>229</v>
      </c>
      <c r="B120" s="1630"/>
      <c r="C120" s="1227"/>
      <c r="D120" s="701" t="s">
        <v>144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>
      <c r="A121" s="1631"/>
      <c r="B121" s="1632"/>
      <c r="C121" s="1228"/>
      <c r="D121" s="637"/>
      <c r="E121" s="637"/>
      <c r="F121" s="637" t="s">
        <v>215</v>
      </c>
      <c r="G121" s="637"/>
      <c r="H121" s="638"/>
      <c r="I121" s="637"/>
      <c r="J121" s="639"/>
      <c r="O121" s="889"/>
    </row>
    <row r="122" spans="1:15" ht="29.25">
      <c r="A122" s="1600" t="s">
        <v>230</v>
      </c>
      <c r="B122" s="1601"/>
      <c r="C122" s="1601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>
      <c r="A123" s="1230" t="s">
        <v>231</v>
      </c>
      <c r="B123" s="1231"/>
      <c r="C123" s="1231"/>
      <c r="D123" s="599" t="s">
        <v>141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>
      <c r="A124" s="1230" t="s">
        <v>232</v>
      </c>
      <c r="B124" s="1231"/>
      <c r="C124" s="1231"/>
      <c r="D124" s="599" t="s">
        <v>141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>
      <c r="A125" s="1602" t="s">
        <v>233</v>
      </c>
      <c r="B125" s="1468"/>
      <c r="C125" s="1468"/>
      <c r="D125" s="599" t="s">
        <v>141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>
      <c r="A126" s="686" t="s">
        <v>234</v>
      </c>
      <c r="B126" s="1231"/>
      <c r="C126" s="1231"/>
      <c r="D126" s="599" t="s">
        <v>141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>
      <c r="A127" s="686" t="s">
        <v>235</v>
      </c>
      <c r="B127" s="1231"/>
      <c r="C127" s="1231"/>
      <c r="D127" s="599" t="s">
        <v>141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>
      <c r="A128" s="686" t="s">
        <v>236</v>
      </c>
      <c r="B128" s="1231"/>
      <c r="C128" s="1231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>
      <c r="A130" s="1230" t="s">
        <v>238</v>
      </c>
      <c r="B130" s="1231"/>
      <c r="C130" s="1231"/>
      <c r="D130" s="599" t="s">
        <v>239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>
      <c r="A131" s="1230" t="s">
        <v>240</v>
      </c>
      <c r="B131" s="1231"/>
      <c r="C131" s="1231"/>
      <c r="D131" s="599" t="s">
        <v>239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>
      <c r="A132" s="1230" t="s">
        <v>241</v>
      </c>
      <c r="B132" s="1231"/>
      <c r="C132" s="1231"/>
      <c r="D132" s="599" t="s">
        <v>239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>
      <c r="A133" s="1230" t="s">
        <v>242</v>
      </c>
      <c r="B133" s="1231"/>
      <c r="C133" s="1231"/>
      <c r="D133" s="599" t="s">
        <v>239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>
      <c r="A134" s="1230" t="s">
        <v>243</v>
      </c>
      <c r="B134" s="1231"/>
      <c r="C134" s="1231"/>
      <c r="D134" s="599" t="s">
        <v>239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-285.5199999999968</v>
      </c>
      <c r="I134" s="556"/>
      <c r="J134" s="629">
        <f>H134/DAY(B2)</f>
        <v>-9.5173333333332266</v>
      </c>
      <c r="O134" s="889"/>
    </row>
    <row r="135" spans="1:15" ht="27.75">
      <c r="A135" s="1230" t="s">
        <v>244</v>
      </c>
      <c r="B135" s="1231"/>
      <c r="C135" s="1231"/>
      <c r="D135" s="599" t="s">
        <v>239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-118.47999999999956</v>
      </c>
      <c r="I135" s="556"/>
      <c r="J135" s="629">
        <f>H135/DAY(B2)</f>
        <v>-3.9493333333333189</v>
      </c>
      <c r="O135" s="889"/>
    </row>
    <row r="136" spans="1:15" ht="27.75">
      <c r="A136" s="1230" t="s">
        <v>245</v>
      </c>
      <c r="B136" s="1231"/>
      <c r="C136" s="1231"/>
      <c r="D136" s="599" t="s">
        <v>239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>
      <c r="A137" s="1230" t="s">
        <v>246</v>
      </c>
      <c r="B137" s="1231"/>
      <c r="C137" s="1231"/>
      <c r="D137" s="599" t="s">
        <v>239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-8.6200000000026193</v>
      </c>
      <c r="I137" s="556"/>
      <c r="J137" s="629">
        <f>H137/DAY(B2)</f>
        <v>-0.28733333333342065</v>
      </c>
      <c r="O137" s="889"/>
    </row>
    <row r="138" spans="1:15" ht="27.75">
      <c r="A138" s="1230" t="s">
        <v>247</v>
      </c>
      <c r="B138" s="1231"/>
      <c r="C138" s="1231"/>
      <c r="D138" s="599" t="s">
        <v>239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-51.960000000006403</v>
      </c>
      <c r="I138" s="556">
        <f>G137+G138</f>
        <v>4.1100000000005821</v>
      </c>
      <c r="J138" s="629">
        <f>H138/DAY(B2)</f>
        <v>-1.7320000000002134</v>
      </c>
      <c r="O138" s="889"/>
    </row>
    <row r="139" spans="1:15" ht="27.75">
      <c r="A139" s="1230" t="s">
        <v>248</v>
      </c>
      <c r="B139" s="1231"/>
      <c r="C139" s="1231"/>
      <c r="D139" s="599" t="s">
        <v>239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>
      <c r="A140" s="1230" t="s">
        <v>249</v>
      </c>
      <c r="B140" s="1231"/>
      <c r="C140" s="1231"/>
      <c r="D140" s="599" t="s">
        <v>239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>
      <c r="A141" s="1603" t="s">
        <v>250</v>
      </c>
      <c r="B141" s="1604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>
      <c r="A142" s="1596" t="s">
        <v>251</v>
      </c>
      <c r="B142" s="1597"/>
      <c r="C142" s="1597"/>
      <c r="D142" s="599" t="s">
        <v>132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>
      <c r="A143" s="1596" t="s">
        <v>252</v>
      </c>
      <c r="B143" s="1597"/>
      <c r="C143" s="1597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7.5584291388106442</v>
      </c>
      <c r="I143" s="621"/>
      <c r="J143" s="629">
        <f>H143/DAY(B2)</f>
        <v>0.2519476379603548</v>
      </c>
      <c r="K143" s="411"/>
      <c r="L143" s="408"/>
      <c r="O143" s="889"/>
    </row>
    <row r="144" spans="1:15" ht="21.95" customHeight="1">
      <c r="A144" s="1596" t="s">
        <v>253</v>
      </c>
      <c r="B144" s="1597"/>
      <c r="C144" s="1597"/>
      <c r="D144" s="599" t="s">
        <v>132</v>
      </c>
      <c r="E144" s="531"/>
      <c r="F144" s="531"/>
      <c r="G144" s="536">
        <f>G41+G42+G55+G56</f>
        <v>3768.9499999999971</v>
      </c>
      <c r="H144" s="536">
        <f>G144+'29'!H144</f>
        <v>-3635.0600000000413</v>
      </c>
      <c r="I144" s="556"/>
      <c r="J144" s="629">
        <f>H144/DAY(B2)</f>
        <v>-121.16866666666805</v>
      </c>
      <c r="K144" s="411"/>
      <c r="L144" s="408"/>
      <c r="O144" s="889"/>
    </row>
    <row r="145" spans="1:15" ht="21.95" customHeight="1">
      <c r="A145" s="1596" t="s">
        <v>254</v>
      </c>
      <c r="B145" s="1597"/>
      <c r="C145" s="1597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6.7490051323755287</v>
      </c>
      <c r="I145" s="621"/>
      <c r="J145" s="629">
        <f>H145/DAY(B2)</f>
        <v>0.22496683774585097</v>
      </c>
      <c r="K145" s="411"/>
      <c r="L145" s="408"/>
      <c r="O145" s="889"/>
    </row>
    <row r="146" spans="1:15" ht="21.95" customHeight="1">
      <c r="A146" s="1596" t="s">
        <v>255</v>
      </c>
      <c r="B146" s="1597"/>
      <c r="C146" s="1597"/>
      <c r="D146" s="599" t="s">
        <v>132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>
      <c r="A147" s="1596" t="s">
        <v>256</v>
      </c>
      <c r="B147" s="1597"/>
      <c r="C147" s="1597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4.8730442861028243</v>
      </c>
      <c r="I147" s="622"/>
      <c r="J147" s="629">
        <f>H147/DAY(B2)</f>
        <v>0.16243480953676082</v>
      </c>
      <c r="O147" s="889"/>
    </row>
    <row r="148" spans="1:15" ht="21.95" customHeight="1">
      <c r="A148" s="1596" t="s">
        <v>257</v>
      </c>
      <c r="B148" s="1597"/>
      <c r="C148" s="1597"/>
      <c r="D148" s="599" t="s">
        <v>183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>
      <c r="A149" s="1596" t="s">
        <v>258</v>
      </c>
      <c r="B149" s="1597"/>
      <c r="C149" s="1597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2.8721673709213476</v>
      </c>
      <c r="I149" s="622"/>
      <c r="J149" s="629">
        <f>H149/DAY(B2)</f>
        <v>9.5738912364044915E-2</v>
      </c>
      <c r="O149" s="889"/>
    </row>
    <row r="150" spans="1:15" ht="21.95" customHeight="1">
      <c r="A150" s="1596" t="s">
        <v>259</v>
      </c>
      <c r="B150" s="1597"/>
      <c r="C150" s="1597"/>
      <c r="D150" s="599" t="s">
        <v>183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>
      <c r="A151" s="1596" t="s">
        <v>260</v>
      </c>
      <c r="B151" s="1597"/>
      <c r="C151" s="1597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2.8851071426706874</v>
      </c>
      <c r="I151" s="556"/>
      <c r="J151" s="629">
        <f>H151/DAY(B2)</f>
        <v>9.6170238089022905E-2</v>
      </c>
      <c r="O151" s="889"/>
    </row>
    <row r="152" spans="1:15" ht="27.75">
      <c r="A152" s="1596" t="s">
        <v>261</v>
      </c>
      <c r="B152" s="1597"/>
      <c r="C152" s="1597"/>
      <c r="D152" s="599" t="s">
        <v>183</v>
      </c>
      <c r="E152" s="531"/>
      <c r="F152" s="531"/>
      <c r="G152" s="536">
        <f>G37+G51</f>
        <v>1515.8600000000006</v>
      </c>
      <c r="H152" s="536">
        <f>G152+'29'!H152</f>
        <v>413517.12</v>
      </c>
      <c r="I152" s="556"/>
      <c r="J152" s="629">
        <f>H152/DAY(B2)</f>
        <v>13783.904</v>
      </c>
      <c r="O152" s="889"/>
    </row>
    <row r="153" spans="1:15" ht="28.5" thickBot="1">
      <c r="A153" s="1594" t="s">
        <v>262</v>
      </c>
      <c r="B153" s="1595"/>
      <c r="C153" s="1595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1.5858148251558222</v>
      </c>
      <c r="I153" s="645"/>
      <c r="J153" s="646">
        <f>H153/DAY(B2)</f>
        <v>5.2860494171860742E-2</v>
      </c>
      <c r="O153" s="889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8" t="s">
        <v>263</v>
      </c>
      <c r="B160" s="869"/>
      <c r="C160" s="869"/>
      <c r="D160" s="587" t="s">
        <v>187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8" t="s">
        <v>264</v>
      </c>
      <c r="B161" s="869"/>
      <c r="C161" s="869"/>
      <c r="D161" s="587" t="s">
        <v>187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8" t="s">
        <v>265</v>
      </c>
      <c r="B162" s="869"/>
      <c r="C162" s="869"/>
      <c r="D162" s="587" t="s">
        <v>187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8" t="s">
        <v>266</v>
      </c>
      <c r="B163" s="869"/>
      <c r="C163" s="869"/>
      <c r="D163" s="587" t="s">
        <v>187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70" t="s">
        <v>188</v>
      </c>
      <c r="B165" s="681"/>
      <c r="C165" s="681"/>
      <c r="D165" s="587" t="s">
        <v>187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468" t="s">
        <v>99</v>
      </c>
      <c r="B166" s="1468"/>
      <c r="C166" s="1468"/>
      <c r="D166" s="599" t="s">
        <v>187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468" t="s">
        <v>100</v>
      </c>
      <c r="B167" s="1468"/>
      <c r="C167" s="1468"/>
      <c r="D167" s="599" t="s">
        <v>187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468" t="s">
        <v>101</v>
      </c>
      <c r="B168" s="1468"/>
      <c r="C168" s="1468"/>
      <c r="D168" s="599" t="s">
        <v>187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468" t="s">
        <v>102</v>
      </c>
      <c r="B169" s="1468"/>
      <c r="C169" s="1468"/>
      <c r="D169" s="599" t="s">
        <v>187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468" t="s">
        <v>103</v>
      </c>
      <c r="B170" s="1468"/>
      <c r="C170" s="1468"/>
      <c r="D170" s="599" t="s">
        <v>187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468" t="s">
        <v>104</v>
      </c>
      <c r="B171" s="1468"/>
      <c r="C171" s="1468"/>
      <c r="D171" s="599" t="s">
        <v>187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31" t="s">
        <v>117</v>
      </c>
      <c r="B1" s="1432"/>
      <c r="C1" s="1432"/>
      <c r="D1" s="1432"/>
      <c r="E1" s="1432"/>
      <c r="F1" s="1432"/>
      <c r="G1" s="1432"/>
      <c r="H1" s="1432"/>
      <c r="I1" s="1432"/>
      <c r="J1" s="1433"/>
    </row>
    <row r="2" spans="1:15" s="281" customFormat="1" ht="27">
      <c r="A2" s="652" t="s">
        <v>268</v>
      </c>
      <c r="B2" s="1200">
        <v>44227</v>
      </c>
      <c r="C2" s="1232" t="s">
        <v>69</v>
      </c>
      <c r="D2" s="688">
        <v>0.59599999999999997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2" t="s">
        <v>120</v>
      </c>
      <c r="D3" s="689">
        <v>24</v>
      </c>
      <c r="E3" s="1440" t="s">
        <v>121</v>
      </c>
      <c r="F3" s="1441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>
      <c r="A6" s="1434" t="s">
        <v>130</v>
      </c>
      <c r="B6" s="1435"/>
      <c r="C6" s="1436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131</v>
      </c>
      <c r="B7" s="656"/>
      <c r="C7" s="656"/>
      <c r="D7" s="599" t="s">
        <v>132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>
      <c r="A8" s="657" t="s">
        <v>133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>
      <c r="A9" s="660" t="s">
        <v>134</v>
      </c>
      <c r="B9" s="661"/>
      <c r="C9" s="661"/>
      <c r="D9" s="599" t="s">
        <v>132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2771667.75</v>
      </c>
      <c r="I9" s="555">
        <f>I7-J7</f>
        <v>12000</v>
      </c>
      <c r="J9" s="629">
        <f>H9/DAY(B2)</f>
        <v>89408.637096774197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>
      <c r="A10" s="655" t="s">
        <v>135</v>
      </c>
      <c r="B10" s="656"/>
      <c r="C10" s="656"/>
      <c r="D10" s="599" t="s">
        <v>132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1390172</v>
      </c>
      <c r="I10" s="556"/>
      <c r="J10" s="629">
        <f>H10/DAY(B2)</f>
        <v>44844.258064516129</v>
      </c>
      <c r="K10" s="467"/>
      <c r="L10" s="408"/>
      <c r="N10" s="479">
        <f>F10-'1'!E10</f>
        <v>0</v>
      </c>
      <c r="O10" s="413"/>
    </row>
    <row r="11" spans="1:15" ht="21.95" customHeight="1">
      <c r="A11" s="655" t="s">
        <v>136</v>
      </c>
      <c r="B11" s="656"/>
      <c r="C11" s="656"/>
      <c r="D11" s="599" t="s">
        <v>132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137</v>
      </c>
      <c r="B12" s="656"/>
      <c r="C12" s="656"/>
      <c r="D12" s="599" t="s">
        <v>132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138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4143533.75</v>
      </c>
      <c r="I13" s="558">
        <f>G7-G13</f>
        <v>627</v>
      </c>
      <c r="J13" s="629">
        <f>H13/DAY(B2)</f>
        <v>133662.37903225806</v>
      </c>
      <c r="K13" s="467"/>
      <c r="L13" s="408"/>
      <c r="N13" s="479">
        <f>F13-'1'!E13</f>
        <v>0</v>
      </c>
      <c r="O13" s="413"/>
    </row>
    <row r="14" spans="1:15" ht="29.25">
      <c r="A14" s="1437" t="s">
        <v>139</v>
      </c>
      <c r="B14" s="1438"/>
      <c r="C14" s="1439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30" t="s">
        <v>140</v>
      </c>
      <c r="B15" s="666"/>
      <c r="C15" s="666"/>
      <c r="D15" s="599" t="s">
        <v>141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>
      <c r="A17" s="1437" t="s">
        <v>142</v>
      </c>
      <c r="B17" s="1438"/>
      <c r="C17" s="1439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419" t="s">
        <v>143</v>
      </c>
      <c r="B18" s="1420"/>
      <c r="C18" s="1421"/>
      <c r="D18" s="599" t="s">
        <v>144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4840</v>
      </c>
      <c r="I18" s="550">
        <f>'1'!I18</f>
        <v>65</v>
      </c>
      <c r="J18" s="629">
        <f>H18/DAY(B2)</f>
        <v>156.12903225806451</v>
      </c>
      <c r="K18" s="467"/>
      <c r="L18" s="408"/>
      <c r="N18" s="479">
        <f>F18-'1'!E18</f>
        <v>0</v>
      </c>
      <c r="O18" s="413"/>
    </row>
    <row r="19" spans="1:15" ht="27.75">
      <c r="A19" s="1419" t="s">
        <v>71</v>
      </c>
      <c r="B19" s="1420"/>
      <c r="C19" s="1421"/>
      <c r="D19" s="599" t="s">
        <v>144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>
      <c r="A20" s="662" t="s">
        <v>145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4840</v>
      </c>
      <c r="I20" s="568">
        <f>I18-J20</f>
        <v>-91.129032258064512</v>
      </c>
      <c r="J20" s="629">
        <f>H20/DAY(B2)</f>
        <v>156.12903225806451</v>
      </c>
      <c r="K20" s="467"/>
      <c r="L20" s="408"/>
      <c r="N20" s="479">
        <f>F20-'1'!E20</f>
        <v>0</v>
      </c>
      <c r="O20" s="413"/>
    </row>
    <row r="21" spans="1:15" ht="29.25">
      <c r="A21" s="1437" t="s">
        <v>146</v>
      </c>
      <c r="B21" s="1438"/>
      <c r="C21" s="1439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30" t="s">
        <v>147</v>
      </c>
      <c r="B22" s="666"/>
      <c r="C22" s="666"/>
      <c r="D22" s="599" t="s">
        <v>148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30" t="s">
        <v>149</v>
      </c>
      <c r="B23" s="666"/>
      <c r="C23" s="666"/>
      <c r="D23" s="599" t="s">
        <v>148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150</v>
      </c>
      <c r="B24" s="668"/>
      <c r="C24" s="668"/>
      <c r="D24" s="587" t="s">
        <v>148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42" t="s">
        <v>151</v>
      </c>
      <c r="B25" s="1443"/>
      <c r="C25" s="1444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1.1641532182693481E-10</v>
      </c>
      <c r="I28" s="581"/>
      <c r="J28" s="629">
        <f>H28/DAY(B2)</f>
        <v>3.7553329621591875E-12</v>
      </c>
      <c r="K28" s="404"/>
      <c r="L28" s="484"/>
      <c r="N28" s="479">
        <f>F28-'1'!E28</f>
        <v>-754.45000000018626</v>
      </c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387200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549350.00000000081</v>
      </c>
      <c r="I32" s="585"/>
      <c r="J32" s="629">
        <f>H32/DAY(B2)</f>
        <v>17720.96774193551</v>
      </c>
      <c r="K32" s="404"/>
      <c r="L32" s="484"/>
      <c r="N32" s="479">
        <f>F32-'1'!E32</f>
        <v>0</v>
      </c>
      <c r="O32" s="413"/>
    </row>
    <row r="33" spans="1:15" ht="25.5" customHeight="1">
      <c r="A33" s="1445" t="s">
        <v>162</v>
      </c>
      <c r="B33" s="1446"/>
      <c r="C33" s="1446"/>
      <c r="D33" s="1446"/>
      <c r="E33" s="1446"/>
      <c r="F33" s="1446"/>
      <c r="G33" s="1446"/>
      <c r="H33" s="1446"/>
      <c r="I33" s="1446"/>
      <c r="J33" s="1447"/>
      <c r="K33" s="467"/>
      <c r="L33" s="408"/>
      <c r="N33" s="479">
        <f>F33-'1'!E33</f>
        <v>0</v>
      </c>
      <c r="O33" s="413"/>
    </row>
    <row r="34" spans="1:15" ht="29.2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164</v>
      </c>
      <c r="B35" s="656"/>
      <c r="C35" s="656"/>
      <c r="D35" s="599" t="s">
        <v>132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>
      <c r="A36" s="655" t="s">
        <v>165</v>
      </c>
      <c r="B36" s="656"/>
      <c r="C36" s="656"/>
      <c r="D36" s="599" t="s">
        <v>132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>
      <c r="A37" s="655" t="s">
        <v>166</v>
      </c>
      <c r="B37" s="656"/>
      <c r="C37" s="656"/>
      <c r="D37" s="599" t="s">
        <v>132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>
      <c r="A38" s="655" t="s">
        <v>167</v>
      </c>
      <c r="B38" s="656"/>
      <c r="C38" s="656"/>
      <c r="D38" s="599" t="s">
        <v>132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>
      <c r="A39" s="655" t="s">
        <v>168</v>
      </c>
      <c r="B39" s="656"/>
      <c r="C39" s="656"/>
      <c r="D39" s="599" t="s">
        <v>132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>
      <c r="A40" s="676" t="s">
        <v>169</v>
      </c>
      <c r="B40" s="677"/>
      <c r="C40" s="677"/>
      <c r="D40" s="599" t="s">
        <v>132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170</v>
      </c>
      <c r="B41" s="656"/>
      <c r="C41" s="656"/>
      <c r="D41" s="599" t="s">
        <v>132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0</v>
      </c>
      <c r="I41" s="531"/>
      <c r="J41" s="629">
        <f>H41/DAY(B2)</f>
        <v>0</v>
      </c>
      <c r="K41" s="467"/>
      <c r="L41" s="408"/>
      <c r="N41" s="479">
        <f>H41-'1'!E41</f>
        <v>-44622.52</v>
      </c>
      <c r="O41" s="413"/>
    </row>
    <row r="42" spans="1:15" ht="29.25">
      <c r="A42" s="655" t="s">
        <v>171</v>
      </c>
      <c r="B42" s="656"/>
      <c r="C42" s="656"/>
      <c r="D42" s="599" t="s">
        <v>132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>
      <c r="A43" s="655" t="s">
        <v>172</v>
      </c>
      <c r="B43" s="656"/>
      <c r="C43" s="656"/>
      <c r="D43" s="599" t="s">
        <v>132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>
      <c r="A44" s="655" t="s">
        <v>173</v>
      </c>
      <c r="B44" s="656"/>
      <c r="C44" s="656"/>
      <c r="D44" s="599" t="s">
        <v>132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174</v>
      </c>
      <c r="B45" s="656"/>
      <c r="C45" s="656"/>
      <c r="D45" s="599" t="s">
        <v>132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175</v>
      </c>
      <c r="B46" s="656"/>
      <c r="C46" s="656"/>
      <c r="D46" s="599" t="s">
        <v>132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1478259.9399999997</v>
      </c>
      <c r="I47" s="531"/>
      <c r="J47" s="629">
        <f>H47/DAY(B2)</f>
        <v>47685.804516129021</v>
      </c>
      <c r="K47" s="467"/>
      <c r="L47" s="408"/>
      <c r="N47" s="479">
        <f>H47-'1'!E47</f>
        <v>1478259.9399999997</v>
      </c>
      <c r="O47" s="413"/>
    </row>
    <row r="48" spans="1:15" ht="29.2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164</v>
      </c>
      <c r="B49" s="678"/>
      <c r="C49" s="678"/>
      <c r="D49" s="599" t="s">
        <v>132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>
      <c r="A50" s="655" t="s">
        <v>178</v>
      </c>
      <c r="B50" s="678"/>
      <c r="C50" s="678"/>
      <c r="D50" s="599" t="s">
        <v>132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>
      <c r="A51" s="655" t="s">
        <v>166</v>
      </c>
      <c r="B51" s="678"/>
      <c r="C51" s="678"/>
      <c r="D51" s="599" t="s">
        <v>132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>
      <c r="A52" s="655" t="s">
        <v>179</v>
      </c>
      <c r="B52" s="678"/>
      <c r="C52" s="678"/>
      <c r="D52" s="599" t="s">
        <v>132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>
      <c r="A53" s="655" t="s">
        <v>168</v>
      </c>
      <c r="B53" s="678"/>
      <c r="C53" s="678"/>
      <c r="D53" s="599" t="s">
        <v>132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>
      <c r="A54" s="655" t="s">
        <v>180</v>
      </c>
      <c r="B54" s="678"/>
      <c r="C54" s="678"/>
      <c r="D54" s="599" t="s">
        <v>132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>
      <c r="A55" s="655" t="s">
        <v>181</v>
      </c>
      <c r="B55" s="678"/>
      <c r="C55" s="678"/>
      <c r="D55" s="599" t="s">
        <v>132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-3867.3999999999942</v>
      </c>
      <c r="I55" s="531"/>
      <c r="J55" s="629">
        <f>H55/DAY(B2)</f>
        <v>-124.75483870967723</v>
      </c>
      <c r="K55" s="467"/>
      <c r="L55" s="408"/>
      <c r="N55" s="479">
        <f>H55-'1'!E55</f>
        <v>-42987.979999999996</v>
      </c>
      <c r="O55" s="413"/>
    </row>
    <row r="56" spans="1:15" ht="29.25">
      <c r="A56" s="655" t="s">
        <v>182</v>
      </c>
      <c r="B56" s="678"/>
      <c r="C56" s="678"/>
      <c r="D56" s="599" t="s">
        <v>183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>
      <c r="A57" s="655" t="s">
        <v>172</v>
      </c>
      <c r="B57" s="678"/>
      <c r="C57" s="678"/>
      <c r="D57" s="599" t="s">
        <v>132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184</v>
      </c>
      <c r="B58" s="678"/>
      <c r="C58" s="678"/>
      <c r="D58" s="599" t="s">
        <v>132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-5180.1899999999569</v>
      </c>
      <c r="I59" s="531">
        <f>G7-G60</f>
        <v>-92.840000000145665</v>
      </c>
      <c r="J59" s="629">
        <f>H59/DAY(B2)</f>
        <v>-167.10290322580505</v>
      </c>
      <c r="K59" s="467"/>
      <c r="L59" s="408"/>
      <c r="N59" s="479">
        <f>H59-'1'!E59</f>
        <v>-5180.1899999999569</v>
      </c>
      <c r="O59" s="413"/>
    </row>
    <row r="60" spans="1:15" ht="29.25">
      <c r="A60" s="655"/>
      <c r="B60" s="656"/>
      <c r="C60" s="656"/>
      <c r="D60" s="587" t="s">
        <v>185</v>
      </c>
      <c r="E60" s="587"/>
      <c r="F60" s="587"/>
      <c r="G60" s="557">
        <f>G47+G59</f>
        <v>18553.840000000146</v>
      </c>
      <c r="H60" s="536">
        <f>G60+'30'!H60</f>
        <v>1478259.9399999997</v>
      </c>
      <c r="I60" s="531">
        <f>G13-G60</f>
        <v>-719.84000000014566</v>
      </c>
      <c r="J60" s="629">
        <f>H60/DAY(B2)</f>
        <v>47685.804516129021</v>
      </c>
      <c r="K60" s="467"/>
      <c r="L60" s="408"/>
      <c r="N60" s="479">
        <f>H60-'1'!E60</f>
        <v>1478259.9399999997</v>
      </c>
      <c r="O60" s="413"/>
    </row>
    <row r="61" spans="1:15" ht="29.2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98</v>
      </c>
      <c r="B62" s="681"/>
      <c r="C62" s="681"/>
      <c r="D62" s="587" t="s">
        <v>187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>
      <c r="A63" s="680" t="s">
        <v>188</v>
      </c>
      <c r="B63" s="681"/>
      <c r="C63" s="681"/>
      <c r="D63" s="587" t="s">
        <v>187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>
      <c r="A64" s="1416" t="s">
        <v>99</v>
      </c>
      <c r="B64" s="1417"/>
      <c r="C64" s="1418"/>
      <c r="D64" s="599" t="s">
        <v>187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>
      <c r="A65" s="1416" t="s">
        <v>100</v>
      </c>
      <c r="B65" s="1417"/>
      <c r="C65" s="1418"/>
      <c r="D65" s="599" t="s">
        <v>187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>
      <c r="A66" s="1416" t="s">
        <v>101</v>
      </c>
      <c r="B66" s="1417"/>
      <c r="C66" s="1418"/>
      <c r="D66" s="599" t="s">
        <v>187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>
      <c r="A67" s="1416" t="s">
        <v>102</v>
      </c>
      <c r="B67" s="1417"/>
      <c r="C67" s="1418"/>
      <c r="D67" s="599" t="s">
        <v>187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>
      <c r="A68" s="1416" t="s">
        <v>103</v>
      </c>
      <c r="B68" s="1417"/>
      <c r="C68" s="1418"/>
      <c r="D68" s="599" t="s">
        <v>187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1000</v>
      </c>
      <c r="I68" s="592"/>
      <c r="J68" s="629">
        <f>H68/DAY(B2)</f>
        <v>32.258064516129032</v>
      </c>
      <c r="K68" s="469"/>
      <c r="L68" s="408"/>
      <c r="N68" s="479">
        <f>H68-'1'!E68</f>
        <v>-62299.86</v>
      </c>
      <c r="O68" s="413"/>
    </row>
    <row r="69" spans="1:15" ht="27.75">
      <c r="A69" s="1416" t="s">
        <v>104</v>
      </c>
      <c r="B69" s="1417"/>
      <c r="C69" s="1418"/>
      <c r="D69" s="599" t="s">
        <v>187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>
      <c r="A70" s="1448" t="s">
        <v>189</v>
      </c>
      <c r="B70" s="1449"/>
      <c r="C70" s="1450"/>
      <c r="D70" s="599" t="s">
        <v>187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462" t="s">
        <v>190</v>
      </c>
      <c r="B71" s="1463"/>
      <c r="C71" s="1463"/>
      <c r="D71" s="1463"/>
      <c r="E71" s="1463"/>
      <c r="F71" s="1463"/>
      <c r="G71" s="1463"/>
      <c r="H71" s="1463"/>
      <c r="I71" s="1463"/>
      <c r="J71" s="1464"/>
      <c r="K71" s="469"/>
      <c r="L71" s="408"/>
      <c r="N71" s="479">
        <f>H71-'1'!E71</f>
        <v>0</v>
      </c>
      <c r="O71" s="413"/>
    </row>
    <row r="72" spans="1:15" ht="27.75">
      <c r="A72" s="1416" t="s">
        <v>191</v>
      </c>
      <c r="B72" s="1417"/>
      <c r="C72" s="1418"/>
      <c r="D72" s="599" t="s">
        <v>187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>
      <c r="A73" s="1416" t="s">
        <v>192</v>
      </c>
      <c r="B73" s="1417"/>
      <c r="C73" s="1418"/>
      <c r="D73" s="599" t="s">
        <v>187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>
      <c r="A74" s="1416" t="s">
        <v>193</v>
      </c>
      <c r="B74" s="1417"/>
      <c r="C74" s="1418"/>
      <c r="D74" s="599" t="s">
        <v>187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>
      <c r="A75" s="1465" t="s">
        <v>194</v>
      </c>
      <c r="B75" s="1466"/>
      <c r="C75" s="1467"/>
      <c r="D75" s="599" t="s">
        <v>187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>
      <c r="A76" s="1465" t="s">
        <v>195</v>
      </c>
      <c r="B76" s="1466"/>
      <c r="C76" s="1467"/>
      <c r="D76" s="599" t="s">
        <v>187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689011.20000000007</v>
      </c>
      <c r="I76" s="581"/>
      <c r="J76" s="629">
        <f>H76/DAY(B2)</f>
        <v>22226.167741935486</v>
      </c>
      <c r="K76" s="469"/>
      <c r="L76" s="408"/>
      <c r="N76" s="479">
        <f>H76-'1'!E76</f>
        <v>1997.2000000000698</v>
      </c>
      <c r="O76" s="413"/>
    </row>
    <row r="77" spans="1:15" ht="27.75">
      <c r="A77" s="1416" t="s">
        <v>196</v>
      </c>
      <c r="B77" s="1417"/>
      <c r="C77" s="1418"/>
      <c r="D77" s="599" t="s">
        <v>187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>
      <c r="A78" s="1233" t="s">
        <v>197</v>
      </c>
      <c r="B78" s="1204"/>
      <c r="C78" s="1204"/>
      <c r="D78" s="599" t="s">
        <v>187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>
      <c r="A79" s="1465" t="s">
        <v>92</v>
      </c>
      <c r="B79" s="1466"/>
      <c r="C79" s="1467"/>
      <c r="D79" s="600" t="s">
        <v>187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>
      <c r="A80" s="1465" t="s">
        <v>198</v>
      </c>
      <c r="B80" s="1466"/>
      <c r="C80" s="1467"/>
      <c r="D80" s="600" t="s">
        <v>187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>
      <c r="A81" s="1465" t="s">
        <v>199</v>
      </c>
      <c r="B81" s="1466"/>
      <c r="C81" s="1467"/>
      <c r="D81" s="600" t="s">
        <v>187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>
      <c r="A82" s="1465" t="s">
        <v>93</v>
      </c>
      <c r="B82" s="1466"/>
      <c r="C82" s="1467"/>
      <c r="D82" s="561" t="s">
        <v>132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>
      <c r="A83" s="1465" t="s">
        <v>200</v>
      </c>
      <c r="B83" s="1466"/>
      <c r="C83" s="1467"/>
      <c r="D83" s="697" t="s">
        <v>132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>
      <c r="A84" s="1234" t="s">
        <v>201</v>
      </c>
      <c r="B84" s="648"/>
      <c r="C84" s="648"/>
      <c r="D84" s="554" t="s">
        <v>132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2307631.65</v>
      </c>
      <c r="I85" s="557"/>
      <c r="J85" s="629">
        <f>H85/DAY(B2)</f>
        <v>74439.730645161282</v>
      </c>
      <c r="K85" s="411"/>
      <c r="L85" s="409"/>
      <c r="N85" s="479">
        <f>H85-'1'!E85</f>
        <v>2307631.65</v>
      </c>
      <c r="O85" s="413"/>
    </row>
    <row r="86" spans="1:15" s="817" customFormat="1" ht="29.25">
      <c r="A86" s="812" t="s">
        <v>94</v>
      </c>
      <c r="B86" s="813"/>
      <c r="C86" s="813"/>
      <c r="D86" s="814" t="s">
        <v>183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>
      <c r="A87" s="812" t="s">
        <v>95</v>
      </c>
      <c r="B87" s="813"/>
      <c r="C87" s="813"/>
      <c r="D87" s="814" t="s">
        <v>183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>
      <c r="A88" s="812" t="s">
        <v>96</v>
      </c>
      <c r="B88" s="813"/>
      <c r="C88" s="813"/>
      <c r="D88" s="814" t="s">
        <v>183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>
      <c r="A89" s="812" t="s">
        <v>204</v>
      </c>
      <c r="B89" s="813"/>
      <c r="C89" s="813"/>
      <c r="D89" s="814" t="s">
        <v>183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>
      <c r="A90" s="812" t="s">
        <v>204</v>
      </c>
      <c r="B90" s="813"/>
      <c r="C90" s="813"/>
      <c r="D90" s="814" t="s">
        <v>183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419" t="s">
        <v>206</v>
      </c>
      <c r="B92" s="1420"/>
      <c r="C92" s="1421"/>
      <c r="D92" s="599" t="s">
        <v>144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>
      <c r="A93" s="1419" t="s">
        <v>207</v>
      </c>
      <c r="B93" s="1420"/>
      <c r="C93" s="1421"/>
      <c r="D93" s="599" t="s">
        <v>144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>
      <c r="A94" s="1413" t="s">
        <v>208</v>
      </c>
      <c r="B94" s="1414"/>
      <c r="C94" s="1415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>
      <c r="A95" s="1419" t="s">
        <v>209</v>
      </c>
      <c r="B95" s="1420"/>
      <c r="C95" s="1421"/>
      <c r="D95" s="599" t="s">
        <v>144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>
      <c r="A96" s="1230" t="s">
        <v>210</v>
      </c>
      <c r="B96" s="1231"/>
      <c r="C96" s="1231"/>
      <c r="D96" s="599" t="s">
        <v>144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>
      <c r="A97" s="1230" t="s">
        <v>211</v>
      </c>
      <c r="B97" s="1231"/>
      <c r="C97" s="1231"/>
      <c r="D97" s="599" t="s">
        <v>144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>
      <c r="A98" s="1230" t="s">
        <v>212</v>
      </c>
      <c r="B98" s="1231"/>
      <c r="C98" s="1231"/>
      <c r="D98" s="599" t="s">
        <v>144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>
      <c r="A99" s="1230" t="s">
        <v>213</v>
      </c>
      <c r="B99" s="1231"/>
      <c r="C99" s="1231"/>
      <c r="D99" s="599" t="s">
        <v>144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>
      <c r="A100" s="1230" t="s">
        <v>214</v>
      </c>
      <c r="B100" s="1231"/>
      <c r="C100" s="1231"/>
      <c r="D100" s="599" t="s">
        <v>144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>
      <c r="A101" s="1413" t="s">
        <v>216</v>
      </c>
      <c r="B101" s="1414"/>
      <c r="C101" s="1415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22" t="s">
        <v>218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424" t="s">
        <v>219</v>
      </c>
      <c r="B104" s="1425"/>
      <c r="C104" s="1228"/>
      <c r="D104" s="699" t="s">
        <v>144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>
      <c r="A105" s="1424" t="s">
        <v>77</v>
      </c>
      <c r="B105" s="1425"/>
      <c r="C105" s="1228"/>
      <c r="D105" s="699" t="s">
        <v>144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>
      <c r="A106" s="1424" t="s">
        <v>78</v>
      </c>
      <c r="B106" s="1426"/>
      <c r="C106" s="1425"/>
      <c r="D106" s="699" t="s">
        <v>144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>
      <c r="A107" s="1427" t="s">
        <v>202</v>
      </c>
      <c r="B107" s="1428"/>
      <c r="C107" s="1228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>
      <c r="A108" s="1429" t="s">
        <v>79</v>
      </c>
      <c r="B108" s="1430"/>
      <c r="C108" s="1228"/>
      <c r="D108" s="699" t="s">
        <v>144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424" t="s">
        <v>220</v>
      </c>
      <c r="B109" s="1425"/>
      <c r="C109" s="1228"/>
      <c r="D109" s="699" t="s">
        <v>144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>
      <c r="A110" s="1424" t="s">
        <v>221</v>
      </c>
      <c r="B110" s="1425"/>
      <c r="C110" s="1228"/>
      <c r="D110" s="699" t="s">
        <v>144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>
      <c r="A111" s="1424" t="s">
        <v>222</v>
      </c>
      <c r="B111" s="1425"/>
      <c r="C111" s="1228"/>
      <c r="D111" s="699" t="s">
        <v>144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>
      <c r="A112" s="1456" t="s">
        <v>110</v>
      </c>
      <c r="B112" s="1457"/>
      <c r="C112" s="1228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>
      <c r="A113" s="1429" t="s">
        <v>223</v>
      </c>
      <c r="B113" s="1430"/>
      <c r="C113" s="1228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424" t="s">
        <v>224</v>
      </c>
      <c r="B114" s="1425"/>
      <c r="C114" s="651"/>
      <c r="D114" s="699" t="s">
        <v>144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>
      <c r="A115" s="1424" t="s">
        <v>225</v>
      </c>
      <c r="B115" s="1425"/>
      <c r="C115" s="651"/>
      <c r="D115" s="699" t="s">
        <v>144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>
      <c r="A116" s="1424" t="s">
        <v>226</v>
      </c>
      <c r="B116" s="1425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>
      <c r="A117" s="1427" t="s">
        <v>202</v>
      </c>
      <c r="B117" s="1428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>
      <c r="A118" s="1458" t="s">
        <v>227</v>
      </c>
      <c r="B118" s="1459"/>
      <c r="C118" s="1227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>
      <c r="A119" s="1458" t="s">
        <v>228</v>
      </c>
      <c r="B119" s="1459"/>
      <c r="C119" s="1227"/>
      <c r="D119" s="701" t="s">
        <v>144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>
      <c r="A120" s="1458" t="s">
        <v>229</v>
      </c>
      <c r="B120" s="1459"/>
      <c r="C120" s="1227"/>
      <c r="D120" s="701" t="s">
        <v>144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>
      <c r="A121" s="1460"/>
      <c r="B121" s="1461"/>
      <c r="C121" s="1228"/>
      <c r="D121" s="637"/>
      <c r="E121" s="637" t="s">
        <v>215</v>
      </c>
      <c r="F121" s="637" t="s">
        <v>215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10" t="s">
        <v>230</v>
      </c>
      <c r="B122" s="1411"/>
      <c r="C122" s="1412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30" t="s">
        <v>231</v>
      </c>
      <c r="B123" s="1231"/>
      <c r="C123" s="1231"/>
      <c r="D123" s="599" t="s">
        <v>141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>
      <c r="A124" s="1230" t="s">
        <v>232</v>
      </c>
      <c r="B124" s="1231"/>
      <c r="C124" s="1231"/>
      <c r="D124" s="599" t="s">
        <v>141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>
      <c r="A125" s="1416" t="s">
        <v>233</v>
      </c>
      <c r="B125" s="1417"/>
      <c r="C125" s="1418"/>
      <c r="D125" s="599" t="s">
        <v>141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>
      <c r="A126" s="686" t="s">
        <v>234</v>
      </c>
      <c r="B126" s="1231"/>
      <c r="C126" s="1231"/>
      <c r="D126" s="599" t="s">
        <v>141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>
      <c r="A127" s="686" t="s">
        <v>235</v>
      </c>
      <c r="B127" s="1231"/>
      <c r="C127" s="1231"/>
      <c r="D127" s="599" t="s">
        <v>141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238</v>
      </c>
      <c r="B130" s="1231"/>
      <c r="C130" s="1231"/>
      <c r="D130" s="599" t="s">
        <v>239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30" t="s">
        <v>240</v>
      </c>
      <c r="B131" s="1231"/>
      <c r="C131" s="1231"/>
      <c r="D131" s="599" t="s">
        <v>239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30" t="s">
        <v>241</v>
      </c>
      <c r="B132" s="1231"/>
      <c r="C132" s="1231"/>
      <c r="D132" s="599" t="s">
        <v>239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>
      <c r="A133" s="1230" t="s">
        <v>242</v>
      </c>
      <c r="B133" s="1231"/>
      <c r="C133" s="1231"/>
      <c r="D133" s="599" t="s">
        <v>239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30" t="s">
        <v>243</v>
      </c>
      <c r="B134" s="1231"/>
      <c r="C134" s="1231"/>
      <c r="D134" s="599" t="s">
        <v>239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-285.5199999999968</v>
      </c>
      <c r="I134" s="556"/>
      <c r="J134" s="629">
        <f>H134/DAY(B2)</f>
        <v>-9.2103225806450588</v>
      </c>
      <c r="O134" s="413"/>
    </row>
    <row r="135" spans="1:15" ht="27.75">
      <c r="A135" s="1230" t="s">
        <v>244</v>
      </c>
      <c r="B135" s="1231"/>
      <c r="C135" s="1231"/>
      <c r="D135" s="599" t="s">
        <v>239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-118.47999999999956</v>
      </c>
      <c r="I135" s="556"/>
      <c r="J135" s="629">
        <f>H135/DAY(B2)</f>
        <v>-3.8219354838709538</v>
      </c>
      <c r="O135" s="413"/>
    </row>
    <row r="136" spans="1:15" ht="27.75">
      <c r="A136" s="1230" t="s">
        <v>245</v>
      </c>
      <c r="B136" s="1231"/>
      <c r="C136" s="1231"/>
      <c r="D136" s="599" t="s">
        <v>239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>
      <c r="A137" s="1230" t="s">
        <v>246</v>
      </c>
      <c r="B137" s="1231"/>
      <c r="C137" s="1231"/>
      <c r="D137" s="599" t="s">
        <v>239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-8.6200000000026193</v>
      </c>
      <c r="I137" s="556"/>
      <c r="J137" s="629">
        <f>H137/DAY(B2)</f>
        <v>-0.27806451612911676</v>
      </c>
      <c r="O137" s="413"/>
    </row>
    <row r="138" spans="1:15" ht="27.75">
      <c r="A138" s="1230" t="s">
        <v>247</v>
      </c>
      <c r="B138" s="1231"/>
      <c r="C138" s="1231"/>
      <c r="D138" s="599" t="s">
        <v>239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-51.960000000006403</v>
      </c>
      <c r="I138" s="556">
        <f>G137+G138</f>
        <v>0</v>
      </c>
      <c r="J138" s="629">
        <f>H138/DAY(B2)</f>
        <v>-1.6761290322582711</v>
      </c>
      <c r="O138" s="413"/>
    </row>
    <row r="139" spans="1:15" ht="27.75">
      <c r="A139" s="1230" t="s">
        <v>248</v>
      </c>
      <c r="B139" s="1231"/>
      <c r="C139" s="1231"/>
      <c r="D139" s="599" t="s">
        <v>239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>
      <c r="A140" s="1230" t="s">
        <v>249</v>
      </c>
      <c r="B140" s="1231"/>
      <c r="C140" s="1231"/>
      <c r="D140" s="599" t="s">
        <v>239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54" t="s">
        <v>250</v>
      </c>
      <c r="B141" s="1455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19" t="s">
        <v>251</v>
      </c>
      <c r="B142" s="1420"/>
      <c r="C142" s="1421"/>
      <c r="D142" s="599" t="s">
        <v>132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>
      <c r="A143" s="1419" t="s">
        <v>252</v>
      </c>
      <c r="B143" s="1420"/>
      <c r="C143" s="1421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7.8431141504568203</v>
      </c>
      <c r="I143" s="621"/>
      <c r="J143" s="629">
        <f>H143/DAY(B2)</f>
        <v>0.25300368227280068</v>
      </c>
      <c r="K143" s="411"/>
      <c r="L143" s="408"/>
      <c r="O143" s="413"/>
    </row>
    <row r="144" spans="1:15" ht="27.75">
      <c r="A144" s="1419" t="s">
        <v>253</v>
      </c>
      <c r="B144" s="1420"/>
      <c r="C144" s="1421"/>
      <c r="D144" s="599" t="s">
        <v>132</v>
      </c>
      <c r="E144" s="531"/>
      <c r="F144" s="531"/>
      <c r="G144" s="536">
        <f>G41+G42+G55+G56</f>
        <v>3635.0600000000341</v>
      </c>
      <c r="H144" s="536">
        <f>G144+'30'!H144</f>
        <v>-7.2759576141834259E-12</v>
      </c>
      <c r="I144" s="556"/>
      <c r="J144" s="629">
        <f>H144/DAY(B2)</f>
        <v>-2.3470831013494922E-13</v>
      </c>
      <c r="K144" s="411"/>
      <c r="L144" s="408"/>
      <c r="O144" s="413"/>
    </row>
    <row r="145" spans="1:15" ht="27.75">
      <c r="A145" s="1419" t="s">
        <v>254</v>
      </c>
      <c r="B145" s="1420"/>
      <c r="C145" s="1421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6.9459099587663005</v>
      </c>
      <c r="I145" s="621"/>
      <c r="J145" s="629">
        <f>H145/DAY(B2)</f>
        <v>0.22406161157310647</v>
      </c>
      <c r="K145" s="411"/>
      <c r="L145" s="408"/>
      <c r="O145" s="413"/>
    </row>
    <row r="146" spans="1:15" ht="27.75">
      <c r="A146" s="1419" t="s">
        <v>255</v>
      </c>
      <c r="B146" s="1420"/>
      <c r="C146" s="1421"/>
      <c r="D146" s="599" t="s">
        <v>132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>
      <c r="A147" s="1419" t="s">
        <v>256</v>
      </c>
      <c r="B147" s="1420"/>
      <c r="C147" s="1421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5.1008905566190483</v>
      </c>
      <c r="I147" s="622"/>
      <c r="J147" s="629">
        <f>H147/DAY(B2)</f>
        <v>0.16454485666513058</v>
      </c>
      <c r="O147" s="413"/>
    </row>
    <row r="148" spans="1:15" ht="27.75">
      <c r="A148" s="1419" t="s">
        <v>257</v>
      </c>
      <c r="B148" s="1420"/>
      <c r="C148" s="1421"/>
      <c r="D148" s="599" t="s">
        <v>183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>
      <c r="A149" s="1419" t="s">
        <v>258</v>
      </c>
      <c r="B149" s="1420"/>
      <c r="C149" s="1421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2.9863345341302749</v>
      </c>
      <c r="I149" s="622"/>
      <c r="J149" s="629">
        <f>H149/DAY(B2)</f>
        <v>9.6333372068718545E-2</v>
      </c>
      <c r="O149" s="413"/>
    </row>
    <row r="150" spans="1:15" ht="27.75">
      <c r="A150" s="1419" t="s">
        <v>259</v>
      </c>
      <c r="B150" s="1420"/>
      <c r="C150" s="1421"/>
      <c r="D150" s="599" t="s">
        <v>183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>
      <c r="A151" s="1419" t="s">
        <v>260</v>
      </c>
      <c r="B151" s="1420"/>
      <c r="C151" s="1421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2.9692753892445465</v>
      </c>
      <c r="I151" s="556"/>
      <c r="J151" s="629">
        <f>H151/DAY(B2)</f>
        <v>9.5783077072404729E-2</v>
      </c>
      <c r="O151" s="413"/>
    </row>
    <row r="152" spans="1:15" ht="27.75">
      <c r="A152" s="1419" t="s">
        <v>261</v>
      </c>
      <c r="B152" s="1420"/>
      <c r="C152" s="1421"/>
      <c r="D152" s="599" t="s">
        <v>183</v>
      </c>
      <c r="E152" s="531"/>
      <c r="F152" s="531"/>
      <c r="G152" s="536">
        <f>G37+G51</f>
        <v>1548.8800000000047</v>
      </c>
      <c r="H152" s="536">
        <f>G152+'30'!H152</f>
        <v>415066</v>
      </c>
      <c r="I152" s="556"/>
      <c r="J152" s="629">
        <f>H152/DAY(B2)</f>
        <v>13389.225806451614</v>
      </c>
      <c r="O152" s="413"/>
    </row>
    <row r="153" spans="1:15" ht="28.5" thickBot="1">
      <c r="A153" s="1451" t="s">
        <v>262</v>
      </c>
      <c r="B153" s="1452"/>
      <c r="C153" s="1453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1.6697149389091401</v>
      </c>
      <c r="I153" s="645"/>
      <c r="J153" s="646">
        <f>H153/DAY(B2)</f>
        <v>5.3861772222875491E-2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8" t="s">
        <v>263</v>
      </c>
      <c r="B160" s="869"/>
      <c r="C160" s="869"/>
      <c r="D160" s="587" t="s">
        <v>187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8" t="s">
        <v>264</v>
      </c>
      <c r="B161" s="869"/>
      <c r="C161" s="869"/>
      <c r="D161" s="587" t="s">
        <v>187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8" t="s">
        <v>265</v>
      </c>
      <c r="B162" s="869"/>
      <c r="C162" s="869"/>
      <c r="D162" s="587" t="s">
        <v>187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8" t="s">
        <v>266</v>
      </c>
      <c r="B163" s="869"/>
      <c r="C163" s="869"/>
      <c r="D163" s="587" t="s">
        <v>187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70" t="s">
        <v>188</v>
      </c>
      <c r="B165" s="681"/>
      <c r="C165" s="681"/>
      <c r="D165" s="587" t="s">
        <v>187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468" t="s">
        <v>99</v>
      </c>
      <c r="B166" s="1468"/>
      <c r="C166" s="1468"/>
      <c r="D166" s="599" t="s">
        <v>187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468" t="s">
        <v>100</v>
      </c>
      <c r="B167" s="1468"/>
      <c r="C167" s="1468"/>
      <c r="D167" s="599" t="s">
        <v>187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468" t="s">
        <v>101</v>
      </c>
      <c r="B168" s="1468"/>
      <c r="C168" s="1468"/>
      <c r="D168" s="599" t="s">
        <v>187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468" t="s">
        <v>102</v>
      </c>
      <c r="B169" s="1468"/>
      <c r="C169" s="1468"/>
      <c r="D169" s="599" t="s">
        <v>187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468" t="s">
        <v>103</v>
      </c>
      <c r="B170" s="1468"/>
      <c r="C170" s="1468"/>
      <c r="D170" s="599" t="s">
        <v>187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468" t="s">
        <v>104</v>
      </c>
      <c r="B171" s="1468"/>
      <c r="C171" s="1468"/>
      <c r="D171" s="599" t="s">
        <v>187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92"/>
      <c r="B1" s="1392"/>
      <c r="C1" s="1392"/>
      <c r="D1" s="1392"/>
      <c r="E1" s="1392"/>
      <c r="F1" s="1392"/>
      <c r="G1" s="1392"/>
      <c r="H1" s="1392"/>
      <c r="I1" s="1392"/>
      <c r="J1" s="1392"/>
      <c r="K1" s="1392"/>
      <c r="L1" s="1392"/>
      <c r="M1" s="1392"/>
      <c r="N1" s="1392"/>
      <c r="O1" s="1392"/>
    </row>
    <row r="2" spans="1:15" ht="28.5" customHeight="1">
      <c r="A2" s="1" t="s">
        <v>0</v>
      </c>
      <c r="B2" s="1" t="s">
        <v>0</v>
      </c>
      <c r="C2" s="1202" t="s">
        <v>1</v>
      </c>
      <c r="D2" s="4" t="s">
        <v>4</v>
      </c>
      <c r="E2" s="1394" t="s">
        <v>7</v>
      </c>
      <c r="F2" s="1394"/>
      <c r="G2" s="1394"/>
      <c r="H2" s="1400" t="s">
        <v>15</v>
      </c>
      <c r="I2" s="1400"/>
      <c r="J2" s="1400"/>
      <c r="K2" s="1202" t="s">
        <v>16</v>
      </c>
      <c r="L2" s="1400" t="s">
        <v>17</v>
      </c>
      <c r="M2" s="1400"/>
      <c r="N2" s="1400"/>
      <c r="O2" s="1202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33" t="s">
        <v>117</v>
      </c>
      <c r="B1" s="1633"/>
      <c r="C1" s="1633"/>
      <c r="D1" s="1633"/>
      <c r="E1" s="1633"/>
      <c r="F1" s="1633"/>
      <c r="G1" s="1633"/>
      <c r="H1" s="1633"/>
      <c r="I1" s="1633"/>
      <c r="J1" s="1633"/>
    </row>
    <row r="2" spans="1:12" ht="23.25" customHeight="1">
      <c r="A2" s="214" t="s">
        <v>284</v>
      </c>
      <c r="B2" s="195">
        <v>42328</v>
      </c>
      <c r="C2" s="1634" t="s">
        <v>285</v>
      </c>
      <c r="D2" s="1635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224" t="s">
        <v>286</v>
      </c>
      <c r="B3" s="189"/>
      <c r="C3" s="189"/>
      <c r="D3" s="1225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50" t="s">
        <v>130</v>
      </c>
      <c r="B6" s="1651"/>
      <c r="C6" s="165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47" t="s">
        <v>139</v>
      </c>
      <c r="B14" s="1648"/>
      <c r="C14" s="1649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47" t="s">
        <v>142</v>
      </c>
      <c r="B17" s="1648"/>
      <c r="C17" s="1649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53" t="s">
        <v>143</v>
      </c>
      <c r="B18" s="1654"/>
      <c r="C18" s="1655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53" t="s">
        <v>71</v>
      </c>
      <c r="B19" s="1654"/>
      <c r="C19" s="1655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47" t="s">
        <v>146</v>
      </c>
      <c r="B21" s="1648"/>
      <c r="C21" s="1649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1" t="s">
        <v>147</v>
      </c>
      <c r="B22" s="1222"/>
      <c r="C22" s="1223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1" t="s">
        <v>149</v>
      </c>
      <c r="B23" s="1222"/>
      <c r="C23" s="1223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56" t="s">
        <v>151</v>
      </c>
      <c r="B25" s="1657"/>
      <c r="C25" s="1658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36" t="s">
        <v>162</v>
      </c>
      <c r="B32" s="1637"/>
      <c r="C32" s="1637"/>
      <c r="D32" s="1637"/>
      <c r="E32" s="1637"/>
      <c r="F32" s="1637"/>
      <c r="G32" s="1637"/>
      <c r="H32" s="1637"/>
      <c r="I32" s="1637"/>
      <c r="J32" s="1638"/>
      <c r="K32" s="59"/>
      <c r="L32" s="117"/>
    </row>
    <row r="33" spans="1:12" ht="18.75" customHeight="1">
      <c r="A33" s="1237" t="s">
        <v>163</v>
      </c>
      <c r="B33" s="1238"/>
      <c r="C33" s="1239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7" t="s">
        <v>177</v>
      </c>
      <c r="B47" s="1238"/>
      <c r="C47" s="1239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41" t="s">
        <v>99</v>
      </c>
      <c r="B63" s="1642"/>
      <c r="C63" s="1643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41" t="s">
        <v>100</v>
      </c>
      <c r="B64" s="1642"/>
      <c r="C64" s="1643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41" t="s">
        <v>101</v>
      </c>
      <c r="B65" s="1642"/>
      <c r="C65" s="1643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41" t="s">
        <v>102</v>
      </c>
      <c r="B66" s="1642"/>
      <c r="C66" s="1643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41" t="s">
        <v>103</v>
      </c>
      <c r="B67" s="1642"/>
      <c r="C67" s="1643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41" t="s">
        <v>104</v>
      </c>
      <c r="B68" s="1642"/>
      <c r="C68" s="1643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41" t="s">
        <v>191</v>
      </c>
      <c r="B70" s="1642"/>
      <c r="C70" s="1643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41" t="s">
        <v>192</v>
      </c>
      <c r="B71" s="1642"/>
      <c r="C71" s="1643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41" t="s">
        <v>193</v>
      </c>
      <c r="B72" s="1642"/>
      <c r="C72" s="1643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44" t="s">
        <v>194</v>
      </c>
      <c r="B73" s="1645"/>
      <c r="C73" s="1646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44" t="s">
        <v>195</v>
      </c>
      <c r="B74" s="1645"/>
      <c r="C74" s="1646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41" t="s">
        <v>196</v>
      </c>
      <c r="B75" s="1642"/>
      <c r="C75" s="1643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59" t="s">
        <v>92</v>
      </c>
      <c r="B76" s="1660"/>
      <c r="C76" s="1661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59" t="s">
        <v>198</v>
      </c>
      <c r="B77" s="1660"/>
      <c r="C77" s="1661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59" t="s">
        <v>199</v>
      </c>
      <c r="B78" s="1660"/>
      <c r="C78" s="1661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62" t="s">
        <v>93</v>
      </c>
      <c r="B79" s="1660"/>
      <c r="C79" s="1661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62" t="s">
        <v>200</v>
      </c>
      <c r="B80" s="1660"/>
      <c r="C80" s="1661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62" t="s">
        <v>291</v>
      </c>
      <c r="B81" s="1660"/>
      <c r="C81" s="1661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53" t="s">
        <v>207</v>
      </c>
      <c r="B84" s="1654"/>
      <c r="C84" s="1655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53" t="s">
        <v>209</v>
      </c>
      <c r="B85" s="1654"/>
      <c r="C85" s="1655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53" t="s">
        <v>210</v>
      </c>
      <c r="B86" s="1654"/>
      <c r="C86" s="1655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53" t="s">
        <v>211</v>
      </c>
      <c r="B87" s="1654"/>
      <c r="C87" s="1655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53" t="s">
        <v>212</v>
      </c>
      <c r="B88" s="1654"/>
      <c r="C88" s="1655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53" t="s">
        <v>213</v>
      </c>
      <c r="B89" s="1654"/>
      <c r="C89" s="1655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53" t="s">
        <v>214</v>
      </c>
      <c r="B90" s="1654"/>
      <c r="C90" s="1655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53" t="s">
        <v>219</v>
      </c>
      <c r="B91" s="1654"/>
      <c r="C91" s="1655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53" t="s">
        <v>77</v>
      </c>
      <c r="B92" s="1654"/>
      <c r="C92" s="1655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53" t="s">
        <v>78</v>
      </c>
      <c r="B93" s="1654"/>
      <c r="C93" s="1655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53" t="s">
        <v>206</v>
      </c>
      <c r="B94" s="1654"/>
      <c r="C94" s="1655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63" t="s">
        <v>230</v>
      </c>
      <c r="B95" s="1664"/>
      <c r="C95" s="166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222"/>
      <c r="C97" s="1223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39" t="s">
        <v>250</v>
      </c>
      <c r="B98" s="1640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53" t="s">
        <v>251</v>
      </c>
      <c r="B99" s="1654"/>
      <c r="C99" s="1655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53" t="s">
        <v>252</v>
      </c>
      <c r="B100" s="1654"/>
      <c r="C100" s="165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53" t="s">
        <v>253</v>
      </c>
      <c r="B101" s="1654"/>
      <c r="C101" s="1655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53" t="s">
        <v>254</v>
      </c>
      <c r="B102" s="1654"/>
      <c r="C102" s="165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53" t="s">
        <v>255</v>
      </c>
      <c r="B103" s="1654"/>
      <c r="C103" s="1655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53" t="s">
        <v>256</v>
      </c>
      <c r="B104" s="1654"/>
      <c r="C104" s="165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53" t="s">
        <v>257</v>
      </c>
      <c r="B105" s="1654"/>
      <c r="C105" s="1655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53" t="s">
        <v>258</v>
      </c>
      <c r="B106" s="1654"/>
      <c r="C106" s="165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53" t="s">
        <v>259</v>
      </c>
      <c r="B107" s="1654"/>
      <c r="C107" s="1655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53" t="s">
        <v>260</v>
      </c>
      <c r="B108" s="1654"/>
      <c r="C108" s="165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53" t="s">
        <v>261</v>
      </c>
      <c r="B109" s="1654"/>
      <c r="C109" s="1655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53" t="s">
        <v>262</v>
      </c>
      <c r="B110" s="1654"/>
      <c r="C110" s="165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33" t="s">
        <v>117</v>
      </c>
      <c r="B1" s="1633"/>
      <c r="C1" s="1633"/>
      <c r="D1" s="1633"/>
      <c r="E1" s="1633"/>
      <c r="F1" s="1633"/>
      <c r="G1" s="1633"/>
      <c r="H1" s="1633"/>
      <c r="I1" s="1633"/>
      <c r="J1" s="1633"/>
    </row>
    <row r="2" spans="1:12" ht="23.25" customHeight="1">
      <c r="A2" s="282" t="s">
        <v>292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220" t="s">
        <v>120</v>
      </c>
      <c r="D3" s="418">
        <v>32</v>
      </c>
      <c r="E3" s="1492" t="s">
        <v>121</v>
      </c>
      <c r="F3" s="1493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122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486" t="s">
        <v>130</v>
      </c>
      <c r="B6" s="1487"/>
      <c r="C6" s="1488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131</v>
      </c>
      <c r="B7" s="309"/>
      <c r="C7" s="310"/>
      <c r="D7" s="311" t="s">
        <v>132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134</v>
      </c>
      <c r="B9" s="323"/>
      <c r="C9" s="324"/>
      <c r="D9" s="268" t="s">
        <v>132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2524853.9500000002</v>
      </c>
      <c r="I9" s="278">
        <f>I7-J7</f>
        <v>21077.53666666667</v>
      </c>
      <c r="J9" s="58">
        <f>H9/DAY(B2)</f>
        <v>84161.79833333334</v>
      </c>
      <c r="K9" s="59"/>
      <c r="L9" s="117"/>
    </row>
    <row r="10" spans="1:12" ht="23.25" customHeight="1">
      <c r="A10" s="327" t="s">
        <v>135</v>
      </c>
      <c r="B10" s="328"/>
      <c r="C10" s="329"/>
      <c r="D10" s="268" t="s">
        <v>132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1415357</v>
      </c>
      <c r="I10" s="69"/>
      <c r="J10" s="58">
        <f>H10/DAY(B2)</f>
        <v>47178.566666666666</v>
      </c>
      <c r="K10" s="59"/>
      <c r="L10" s="117"/>
    </row>
    <row r="11" spans="1:12" ht="23.25" customHeight="1">
      <c r="A11" s="327" t="s">
        <v>136</v>
      </c>
      <c r="B11" s="328"/>
      <c r="C11" s="329"/>
      <c r="D11" s="268" t="s">
        <v>132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137</v>
      </c>
      <c r="B12" s="328"/>
      <c r="C12" s="329"/>
      <c r="D12" s="268" t="s">
        <v>132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138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3920374.95</v>
      </c>
      <c r="I13" s="400">
        <f>G7-G13</f>
        <v>-47895.200000000186</v>
      </c>
      <c r="J13" s="314">
        <f>H13/DAY(B2)</f>
        <v>130679.16500000001</v>
      </c>
      <c r="K13" s="59"/>
      <c r="L13" s="117"/>
    </row>
    <row r="14" spans="1:12" ht="23.25" customHeight="1">
      <c r="A14" s="1489" t="s">
        <v>139</v>
      </c>
      <c r="B14" s="1490"/>
      <c r="C14" s="1491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140</v>
      </c>
      <c r="B15" s="332"/>
      <c r="C15" s="333"/>
      <c r="D15" s="311" t="s">
        <v>141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>
      <c r="A17" s="1489" t="s">
        <v>142</v>
      </c>
      <c r="B17" s="1490"/>
      <c r="C17" s="1491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94" t="s">
        <v>143</v>
      </c>
      <c r="B18" s="1495"/>
      <c r="C18" s="1496"/>
      <c r="D18" s="268" t="s">
        <v>144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4840</v>
      </c>
      <c r="I18" s="158">
        <f>'1'!I18</f>
        <v>65</v>
      </c>
      <c r="J18" s="58">
        <f>H18/DAY(B2)</f>
        <v>161.33333333333334</v>
      </c>
      <c r="K18" s="59"/>
      <c r="L18" s="117"/>
    </row>
    <row r="19" spans="1:12" ht="23.25" customHeight="1">
      <c r="A19" s="1494" t="s">
        <v>71</v>
      </c>
      <c r="B19" s="1495"/>
      <c r="C19" s="1496"/>
      <c r="D19" s="268" t="s">
        <v>144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>
      <c r="A20" s="437" t="s">
        <v>145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-28430</v>
      </c>
      <c r="I20" s="127">
        <f>J20-I18</f>
        <v>-1012.6666666666666</v>
      </c>
      <c r="J20" s="58">
        <f>H20/DAY(B2)</f>
        <v>-947.66666666666663</v>
      </c>
      <c r="K20" s="59"/>
      <c r="L20" s="117"/>
    </row>
    <row r="21" spans="1:12" ht="23.25" customHeight="1">
      <c r="A21" s="1489" t="s">
        <v>146</v>
      </c>
      <c r="B21" s="1490"/>
      <c r="C21" s="1491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2" t="s">
        <v>147</v>
      </c>
      <c r="B22" s="1213"/>
      <c r="C22" s="1214"/>
      <c r="D22" s="268" t="s">
        <v>148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2" t="s">
        <v>149</v>
      </c>
      <c r="B23" s="1213"/>
      <c r="C23" s="1214"/>
      <c r="D23" s="268" t="s">
        <v>148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150</v>
      </c>
      <c r="B24" s="441"/>
      <c r="C24" s="442"/>
      <c r="D24" s="269" t="s">
        <v>148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500" t="s">
        <v>151</v>
      </c>
      <c r="B25" s="1501"/>
      <c r="C25" s="1502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152</v>
      </c>
      <c r="B26" s="346"/>
      <c r="C26" s="347"/>
      <c r="D26" s="348" t="s">
        <v>153</v>
      </c>
      <c r="E26" s="349" t="s">
        <v>293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132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154</v>
      </c>
      <c r="B28" s="346"/>
      <c r="C28" s="347"/>
      <c r="D28" s="352" t="s">
        <v>155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159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161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36" t="s">
        <v>162</v>
      </c>
      <c r="B32" s="1637"/>
      <c r="C32" s="1637"/>
      <c r="D32" s="1637"/>
      <c r="E32" s="1637"/>
      <c r="F32" s="1637"/>
      <c r="G32" s="1637"/>
      <c r="H32" s="1637"/>
      <c r="I32" s="1637"/>
      <c r="J32" s="1638"/>
      <c r="K32" s="59"/>
      <c r="L32" s="117"/>
    </row>
    <row r="33" spans="1:12" ht="23.25" customHeight="1">
      <c r="A33" s="1207" t="s">
        <v>163</v>
      </c>
      <c r="B33" s="1208"/>
      <c r="C33" s="1209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164</v>
      </c>
      <c r="B34" s="328"/>
      <c r="C34" s="329"/>
      <c r="D34" s="268" t="s">
        <v>132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>
      <c r="A35" s="327" t="s">
        <v>165</v>
      </c>
      <c r="B35" s="328"/>
      <c r="C35" s="329"/>
      <c r="D35" s="268" t="s">
        <v>132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>
      <c r="A36" s="327" t="s">
        <v>166</v>
      </c>
      <c r="B36" s="328"/>
      <c r="C36" s="329"/>
      <c r="D36" s="268" t="s">
        <v>132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>
      <c r="A37" s="327" t="s">
        <v>167</v>
      </c>
      <c r="B37" s="328"/>
      <c r="C37" s="329"/>
      <c r="D37" s="268" t="s">
        <v>132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>
      <c r="A38" s="327" t="s">
        <v>168</v>
      </c>
      <c r="B38" s="328"/>
      <c r="C38" s="329"/>
      <c r="D38" s="268" t="s">
        <v>132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>
      <c r="A39" s="362" t="s">
        <v>169</v>
      </c>
      <c r="B39" s="363"/>
      <c r="C39" s="364"/>
      <c r="D39" s="268" t="s">
        <v>132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170</v>
      </c>
      <c r="B40" s="328"/>
      <c r="C40" s="329"/>
      <c r="D40" s="268" t="s">
        <v>132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1093393.98</v>
      </c>
      <c r="I40" s="56"/>
      <c r="J40" s="58">
        <f>H40/DAY(B2)</f>
        <v>36446.466</v>
      </c>
      <c r="K40" s="59"/>
      <c r="L40" s="117"/>
    </row>
    <row r="41" spans="1:12" ht="23.25" customHeight="1">
      <c r="A41" s="327" t="s">
        <v>171</v>
      </c>
      <c r="B41" s="328"/>
      <c r="C41" s="329"/>
      <c r="D41" s="268" t="s">
        <v>132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>
      <c r="A42" s="327" t="s">
        <v>172</v>
      </c>
      <c r="B42" s="328"/>
      <c r="C42" s="329"/>
      <c r="D42" s="268" t="s">
        <v>132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>
      <c r="A43" s="327" t="s">
        <v>173</v>
      </c>
      <c r="B43" s="328"/>
      <c r="C43" s="329"/>
      <c r="D43" s="268" t="s">
        <v>132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174</v>
      </c>
      <c r="B44" s="328"/>
      <c r="C44" s="329"/>
      <c r="D44" s="268" t="s">
        <v>132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175</v>
      </c>
      <c r="B45" s="328"/>
      <c r="C45" s="329"/>
      <c r="D45" s="268" t="s">
        <v>132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176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6354392.9299999978</v>
      </c>
      <c r="I46" s="56"/>
      <c r="J46" s="58">
        <f>H46/DAY(B2)</f>
        <v>211813.09766666658</v>
      </c>
      <c r="K46" s="59"/>
      <c r="L46" s="117"/>
    </row>
    <row r="47" spans="1:12" ht="23.25" customHeight="1">
      <c r="A47" s="1207" t="s">
        <v>177</v>
      </c>
      <c r="B47" s="1208"/>
      <c r="C47" s="1209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164</v>
      </c>
      <c r="B48" s="366"/>
      <c r="C48" s="367"/>
      <c r="D48" s="268" t="s">
        <v>132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>
      <c r="A49" s="327" t="s">
        <v>178</v>
      </c>
      <c r="B49" s="366"/>
      <c r="C49" s="367"/>
      <c r="D49" s="268" t="s">
        <v>132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>
      <c r="A50" s="327" t="s">
        <v>166</v>
      </c>
      <c r="B50" s="366"/>
      <c r="C50" s="367"/>
      <c r="D50" s="268" t="s">
        <v>132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>
      <c r="A51" s="327" t="s">
        <v>179</v>
      </c>
      <c r="B51" s="366"/>
      <c r="C51" s="367"/>
      <c r="D51" s="268" t="s">
        <v>132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>
      <c r="A52" s="327" t="s">
        <v>168</v>
      </c>
      <c r="B52" s="366"/>
      <c r="C52" s="367"/>
      <c r="D52" s="268" t="s">
        <v>132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>
      <c r="A53" s="327" t="s">
        <v>180</v>
      </c>
      <c r="B53" s="366"/>
      <c r="C53" s="367"/>
      <c r="D53" s="268" t="s">
        <v>132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>
      <c r="A54" s="327" t="s">
        <v>181</v>
      </c>
      <c r="B54" s="366"/>
      <c r="C54" s="367"/>
      <c r="D54" s="268" t="s">
        <v>132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>
      <c r="A55" s="327" t="s">
        <v>182</v>
      </c>
      <c r="B55" s="366"/>
      <c r="C55" s="367"/>
      <c r="D55" s="268" t="s">
        <v>183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>
      <c r="A56" s="327" t="s">
        <v>172</v>
      </c>
      <c r="B56" s="366"/>
      <c r="C56" s="367"/>
      <c r="D56" s="268" t="s">
        <v>132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184</v>
      </c>
      <c r="B57" s="366"/>
      <c r="C57" s="367"/>
      <c r="D57" s="268" t="s">
        <v>132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>
      <c r="A58" s="437" t="s">
        <v>176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>
      <c r="A59" s="368"/>
      <c r="B59" s="368"/>
      <c r="C59" s="368"/>
      <c r="D59" s="269" t="s">
        <v>185</v>
      </c>
      <c r="E59" s="269"/>
      <c r="F59" s="269"/>
      <c r="G59" s="279">
        <f>G46+G58</f>
        <v>7684410.0499999989</v>
      </c>
      <c r="H59" s="57">
        <f>G59+'29'!H60</f>
        <v>9125508.5199999977</v>
      </c>
      <c r="I59" s="56">
        <f>G13-G59</f>
        <v>-7871462.9499999993</v>
      </c>
      <c r="J59" s="58">
        <f>H59/DAY(B2)</f>
        <v>304183.61733333324</v>
      </c>
      <c r="K59" s="59"/>
      <c r="L59" s="117"/>
    </row>
    <row r="60" spans="1:12" ht="23.25" customHeight="1">
      <c r="A60" s="429" t="s">
        <v>186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98</v>
      </c>
      <c r="B61" s="370"/>
      <c r="C61" s="371"/>
      <c r="D61" s="269" t="s">
        <v>187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>
      <c r="A62" s="369" t="s">
        <v>188</v>
      </c>
      <c r="B62" s="370"/>
      <c r="C62" s="371"/>
      <c r="D62" s="269" t="s">
        <v>187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>
      <c r="A63" s="1503" t="s">
        <v>99</v>
      </c>
      <c r="B63" s="1504"/>
      <c r="C63" s="1505"/>
      <c r="D63" s="268" t="s">
        <v>187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>
      <c r="A64" s="1503" t="s">
        <v>100</v>
      </c>
      <c r="B64" s="1504"/>
      <c r="C64" s="1505"/>
      <c r="D64" s="268" t="s">
        <v>187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>
      <c r="A65" s="1503" t="s">
        <v>101</v>
      </c>
      <c r="B65" s="1504"/>
      <c r="C65" s="1505"/>
      <c r="D65" s="268" t="s">
        <v>187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>
      <c r="A66" s="1503" t="s">
        <v>102</v>
      </c>
      <c r="B66" s="1504"/>
      <c r="C66" s="1505"/>
      <c r="D66" s="268" t="s">
        <v>187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>
      <c r="A67" s="1503" t="s">
        <v>103</v>
      </c>
      <c r="B67" s="1504"/>
      <c r="C67" s="1505"/>
      <c r="D67" s="268" t="s">
        <v>187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-62299.86</v>
      </c>
      <c r="I67" s="105"/>
      <c r="J67" s="58">
        <f>H67/DAY(B2)</f>
        <v>-2076.6619999999998</v>
      </c>
      <c r="K67" s="83"/>
      <c r="L67" s="117"/>
    </row>
    <row r="68" spans="1:12" ht="23.25" customHeight="1">
      <c r="A68" s="1503" t="s">
        <v>104</v>
      </c>
      <c r="B68" s="1504"/>
      <c r="C68" s="1505"/>
      <c r="D68" s="268" t="s">
        <v>187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>
      <c r="A69" s="1512" t="s">
        <v>189</v>
      </c>
      <c r="B69" s="1513"/>
      <c r="C69" s="1514"/>
      <c r="D69" s="268" t="s">
        <v>187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509" t="s">
        <v>190</v>
      </c>
      <c r="B70" s="1510"/>
      <c r="C70" s="1510"/>
      <c r="D70" s="1510"/>
      <c r="E70" s="1510"/>
      <c r="F70" s="1510"/>
      <c r="G70" s="1510"/>
      <c r="H70" s="1510"/>
      <c r="I70" s="1510"/>
      <c r="J70" s="1511"/>
      <c r="K70" s="83"/>
      <c r="L70" s="117"/>
    </row>
    <row r="71" spans="1:12" ht="23.25" customHeight="1">
      <c r="A71" s="1503" t="s">
        <v>191</v>
      </c>
      <c r="B71" s="1504"/>
      <c r="C71" s="1505"/>
      <c r="D71" s="268" t="s">
        <v>187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>
      <c r="A72" s="1503" t="s">
        <v>192</v>
      </c>
      <c r="B72" s="1504"/>
      <c r="C72" s="1505"/>
      <c r="D72" s="268" t="s">
        <v>187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503" t="s">
        <v>193</v>
      </c>
      <c r="B73" s="1504"/>
      <c r="C73" s="1505"/>
      <c r="D73" s="268" t="s">
        <v>187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>
      <c r="A74" s="1506" t="s">
        <v>194</v>
      </c>
      <c r="B74" s="1507"/>
      <c r="C74" s="1508"/>
      <c r="D74" s="268" t="s">
        <v>187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>
      <c r="A75" s="1506" t="s">
        <v>195</v>
      </c>
      <c r="B75" s="1507"/>
      <c r="C75" s="1508"/>
      <c r="D75" s="268" t="s">
        <v>187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617600.20000000007</v>
      </c>
      <c r="I75" s="112"/>
      <c r="J75" s="58">
        <f>H75/DAY(B2)</f>
        <v>20586.673333333336</v>
      </c>
      <c r="K75" s="83"/>
      <c r="L75" s="117"/>
    </row>
    <row r="76" spans="1:12" ht="23.25" customHeight="1">
      <c r="A76" s="1503" t="s">
        <v>196</v>
      </c>
      <c r="B76" s="1504"/>
      <c r="C76" s="1505"/>
      <c r="D76" s="268" t="s">
        <v>187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>
      <c r="A77" s="1215" t="s">
        <v>197</v>
      </c>
      <c r="B77" s="1216"/>
      <c r="C77" s="1217"/>
      <c r="D77" s="268" t="s">
        <v>187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>
      <c r="A78" s="1515" t="s">
        <v>92</v>
      </c>
      <c r="B78" s="1516"/>
      <c r="C78" s="1517"/>
      <c r="D78" s="376" t="s">
        <v>187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>
      <c r="A79" s="1515" t="s">
        <v>198</v>
      </c>
      <c r="B79" s="1516"/>
      <c r="C79" s="1517"/>
      <c r="D79" s="376" t="s">
        <v>187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>
      <c r="A80" s="1515" t="s">
        <v>199</v>
      </c>
      <c r="B80" s="1516"/>
      <c r="C80" s="1517"/>
      <c r="D80" s="376" t="s">
        <v>187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>
      <c r="A81" s="1521" t="s">
        <v>93</v>
      </c>
      <c r="B81" s="1516"/>
      <c r="C81" s="1517"/>
      <c r="D81" s="377" t="s">
        <v>132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>
      <c r="A82" s="1521" t="s">
        <v>200</v>
      </c>
      <c r="B82" s="1516"/>
      <c r="C82" s="1517"/>
      <c r="D82" s="273" t="s">
        <v>132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>
      <c r="A83" s="1218" t="s">
        <v>201</v>
      </c>
      <c r="B83" s="1218"/>
      <c r="C83" s="1219"/>
      <c r="D83" s="379" t="s">
        <v>132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>
      <c r="A84" s="446" t="s">
        <v>202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1559536.5699999998</v>
      </c>
      <c r="I84" s="68"/>
      <c r="J84" s="58">
        <f>H84/DAY(B2)</f>
        <v>51984.552333333326</v>
      </c>
      <c r="K84" s="88"/>
      <c r="L84" s="44"/>
    </row>
    <row r="85" spans="1:12" s="38" customFormat="1" ht="23.25" customHeight="1">
      <c r="A85" s="1210" t="s">
        <v>205</v>
      </c>
      <c r="B85" s="435"/>
      <c r="C85" s="1211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94" t="s">
        <v>206</v>
      </c>
      <c r="B86" s="1495"/>
      <c r="C86" s="1496"/>
      <c r="D86" s="268" t="s">
        <v>144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>
      <c r="A87" s="1494" t="s">
        <v>207</v>
      </c>
      <c r="B87" s="1495"/>
      <c r="C87" s="1496"/>
      <c r="D87" s="268" t="s">
        <v>144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>
      <c r="A88" s="1518" t="s">
        <v>208</v>
      </c>
      <c r="B88" s="1519"/>
      <c r="C88" s="1520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>
      <c r="A89" s="1494" t="s">
        <v>209</v>
      </c>
      <c r="B89" s="1495"/>
      <c r="C89" s="1496"/>
      <c r="D89" s="268" t="s">
        <v>144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>
      <c r="A90" s="1212" t="s">
        <v>210</v>
      </c>
      <c r="B90" s="1213"/>
      <c r="C90" s="1214"/>
      <c r="D90" s="268" t="s">
        <v>144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>
      <c r="A91" s="1212" t="s">
        <v>211</v>
      </c>
      <c r="B91" s="1213"/>
      <c r="C91" s="1214"/>
      <c r="D91" s="268" t="s">
        <v>144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>
      <c r="A92" s="1212" t="s">
        <v>212</v>
      </c>
      <c r="B92" s="1213"/>
      <c r="C92" s="1214"/>
      <c r="D92" s="268" t="s">
        <v>144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>
      <c r="A93" s="1212" t="s">
        <v>213</v>
      </c>
      <c r="B93" s="1213"/>
      <c r="C93" s="1214"/>
      <c r="D93" s="268" t="s">
        <v>144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>
      <c r="A94" s="1212" t="s">
        <v>214</v>
      </c>
      <c r="B94" s="1213"/>
      <c r="C94" s="1214"/>
      <c r="D94" s="268" t="s">
        <v>144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>
      <c r="A95" s="1518" t="s">
        <v>216</v>
      </c>
      <c r="B95" s="1519"/>
      <c r="C95" s="1520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>
      <c r="A96" s="1522" t="s">
        <v>230</v>
      </c>
      <c r="B96" s="1523"/>
      <c r="C96" s="1524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231</v>
      </c>
      <c r="B97" s="386"/>
      <c r="C97" s="387"/>
      <c r="D97" s="319" t="s">
        <v>141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>
      <c r="A98" s="385" t="s">
        <v>232</v>
      </c>
      <c r="B98" s="386"/>
      <c r="C98" s="387"/>
      <c r="D98" s="319" t="s">
        <v>141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>
      <c r="A99" s="1503" t="s">
        <v>233</v>
      </c>
      <c r="B99" s="1504"/>
      <c r="C99" s="1505"/>
      <c r="D99" s="268" t="s">
        <v>141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>
      <c r="A100" s="416" t="s">
        <v>234</v>
      </c>
      <c r="B100" s="1213"/>
      <c r="C100" s="1214"/>
      <c r="D100" s="268" t="s">
        <v>141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>
      <c r="A101" s="416" t="s">
        <v>235</v>
      </c>
      <c r="B101" s="1213"/>
      <c r="C101" s="1214"/>
      <c r="D101" s="268" t="s">
        <v>141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>
      <c r="A102" s="1525" t="s">
        <v>250</v>
      </c>
      <c r="B102" s="1526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94" t="s">
        <v>251</v>
      </c>
      <c r="B103" s="1495"/>
      <c r="C103" s="1496"/>
      <c r="D103" s="268" t="s">
        <v>132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>
      <c r="A104" s="1494" t="s">
        <v>252</v>
      </c>
      <c r="B104" s="1495"/>
      <c r="C104" s="1496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4.5480256163151127</v>
      </c>
      <c r="I104" s="84"/>
      <c r="J104" s="58">
        <f>H104/DAY(B2)</f>
        <v>0.15160085387717043</v>
      </c>
      <c r="K104" s="111"/>
      <c r="L104" s="117"/>
    </row>
    <row r="105" spans="1:12" ht="23.25" customHeight="1">
      <c r="A105" s="1494" t="s">
        <v>253</v>
      </c>
      <c r="B105" s="1495"/>
      <c r="C105" s="1496"/>
      <c r="D105" s="268" t="s">
        <v>132</v>
      </c>
      <c r="E105" s="265"/>
      <c r="F105" s="265"/>
      <c r="G105" s="277">
        <f>G40+G41+G54+G55</f>
        <v>2773280.8899999997</v>
      </c>
      <c r="H105" s="57">
        <f>G105+'29'!H144</f>
        <v>2765876.8799999994</v>
      </c>
      <c r="I105" s="69"/>
      <c r="J105" s="58">
        <f>H105/DAY(B2)</f>
        <v>92195.895999999979</v>
      </c>
      <c r="K105" s="111"/>
      <c r="L105" s="117"/>
    </row>
    <row r="106" spans="1:12" ht="23.25" customHeight="1">
      <c r="A106" s="1494" t="s">
        <v>254</v>
      </c>
      <c r="B106" s="1495"/>
      <c r="C106" s="1496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-5.2540331632923918</v>
      </c>
      <c r="I106" s="84"/>
      <c r="J106" s="58">
        <f>H106/DAY(B2)</f>
        <v>-0.17513443877641305</v>
      </c>
      <c r="K106" s="111"/>
      <c r="L106" s="117"/>
    </row>
    <row r="107" spans="1:12" ht="23.25" customHeight="1">
      <c r="A107" s="1494" t="s">
        <v>255</v>
      </c>
      <c r="B107" s="1495"/>
      <c r="C107" s="1496"/>
      <c r="D107" s="268" t="s">
        <v>132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>
      <c r="A108" s="1494" t="s">
        <v>256</v>
      </c>
      <c r="B108" s="1495"/>
      <c r="C108" s="1496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-2.944902077153519</v>
      </c>
      <c r="I108" s="86"/>
      <c r="J108" s="58">
        <f>H108/DAY(B2)</f>
        <v>-9.8163402571783964E-2</v>
      </c>
    </row>
    <row r="109" spans="1:12" ht="23.25" customHeight="1">
      <c r="A109" s="1494" t="s">
        <v>257</v>
      </c>
      <c r="B109" s="1495"/>
      <c r="C109" s="1496"/>
      <c r="D109" s="268" t="s">
        <v>183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>
      <c r="A110" s="1494" t="s">
        <v>258</v>
      </c>
      <c r="B110" s="1495"/>
      <c r="C110" s="1496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-2.6773657490139424</v>
      </c>
      <c r="I110" s="86"/>
      <c r="J110" s="58">
        <f>H110/DAY(B2)</f>
        <v>-8.9245524967131409E-2</v>
      </c>
    </row>
    <row r="111" spans="1:12" ht="23.25" customHeight="1">
      <c r="A111" s="1494" t="s">
        <v>259</v>
      </c>
      <c r="B111" s="1495"/>
      <c r="C111" s="1496"/>
      <c r="D111" s="268" t="s">
        <v>183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>
      <c r="A112" s="1494" t="s">
        <v>260</v>
      </c>
      <c r="B112" s="1495"/>
      <c r="C112" s="1496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-0.44095381747953466</v>
      </c>
      <c r="I112" s="69"/>
      <c r="J112" s="58">
        <f>H112/DAY(B2)</f>
        <v>-1.4698460582651155E-2</v>
      </c>
    </row>
    <row r="113" spans="1:10" ht="23.25" customHeight="1">
      <c r="A113" s="1494" t="s">
        <v>261</v>
      </c>
      <c r="B113" s="1495"/>
      <c r="C113" s="1496"/>
      <c r="D113" s="268" t="s">
        <v>183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>
      <c r="A114" s="1494" t="s">
        <v>262</v>
      </c>
      <c r="B114" s="1495"/>
      <c r="C114" s="1496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-0.29348038030681955</v>
      </c>
      <c r="I114" s="69"/>
      <c r="J114" s="58">
        <f>H114/DAY(B2)</f>
        <v>-9.7826793435606511E-3</v>
      </c>
    </row>
    <row r="115" spans="1:10" ht="23.25" customHeight="1">
      <c r="A115" s="422" t="s">
        <v>237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238</v>
      </c>
      <c r="B116" s="475"/>
      <c r="C116" s="475"/>
      <c r="D116" s="268" t="s">
        <v>239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240</v>
      </c>
      <c r="B117" s="475"/>
      <c r="C117" s="475"/>
      <c r="D117" s="268" t="s">
        <v>239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241</v>
      </c>
      <c r="B118" s="475"/>
      <c r="C118" s="475"/>
      <c r="D118" s="268" t="s">
        <v>239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>
      <c r="A119" s="475" t="s">
        <v>242</v>
      </c>
      <c r="B119" s="475"/>
      <c r="C119" s="475"/>
      <c r="D119" s="268" t="s">
        <v>239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243</v>
      </c>
      <c r="B120" s="475"/>
      <c r="C120" s="475"/>
      <c r="D120" s="268" t="s">
        <v>239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-9741.2699999999968</v>
      </c>
      <c r="I120" s="69"/>
      <c r="J120" s="58">
        <f>H120/DAY(B2)</f>
        <v>-324.70899999999989</v>
      </c>
    </row>
    <row r="121" spans="1:10" ht="23.25" customHeight="1">
      <c r="A121" s="475" t="s">
        <v>244</v>
      </c>
      <c r="B121" s="475"/>
      <c r="C121" s="475"/>
      <c r="D121" s="268" t="s">
        <v>239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-6858.2200000000012</v>
      </c>
      <c r="I121" s="69"/>
      <c r="J121" s="58">
        <f>H121/DAY(B2)</f>
        <v>-228.60733333333337</v>
      </c>
    </row>
    <row r="122" spans="1:10" ht="23.25" customHeight="1">
      <c r="A122" s="475" t="s">
        <v>245</v>
      </c>
      <c r="B122" s="475"/>
      <c r="C122" s="475"/>
      <c r="D122" s="268" t="s">
        <v>239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>
      <c r="A123" s="475" t="s">
        <v>246</v>
      </c>
      <c r="B123" s="475"/>
      <c r="C123" s="475"/>
      <c r="D123" s="268" t="s">
        <v>239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-2673.84</v>
      </c>
      <c r="I123" s="69"/>
      <c r="J123" s="58">
        <f>H123/DAY(B2)</f>
        <v>-89.128</v>
      </c>
    </row>
    <row r="124" spans="1:10" ht="23.25" customHeight="1">
      <c r="A124" s="475" t="s">
        <v>247</v>
      </c>
      <c r="B124" s="475"/>
      <c r="C124" s="475"/>
      <c r="D124" s="268" t="s">
        <v>239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-5326.4800000000032</v>
      </c>
      <c r="I124" s="69">
        <f>G123+G124</f>
        <v>-7935.6299999999937</v>
      </c>
      <c r="J124" s="58">
        <f>H124/DAY(B2)</f>
        <v>-177.54933333333344</v>
      </c>
    </row>
    <row r="125" spans="1:10" ht="23.25" customHeight="1">
      <c r="A125" s="475" t="s">
        <v>248</v>
      </c>
      <c r="B125" s="475"/>
      <c r="C125" s="475"/>
      <c r="D125" s="268" t="s">
        <v>239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>
      <c r="A126" s="475" t="s">
        <v>249</v>
      </c>
      <c r="B126" s="475"/>
      <c r="C126" s="475"/>
      <c r="D126" s="268" t="s">
        <v>239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19381</v>
      </c>
      <c r="B4" s="213"/>
    </row>
    <row r="5" spans="1:9">
      <c r="A5" s="213">
        <f>'3'!G7</f>
        <v>19375</v>
      </c>
    </row>
    <row r="6" spans="1:9">
      <c r="A6" s="213">
        <f>'4'!G7</f>
        <v>18251</v>
      </c>
    </row>
    <row r="7" spans="1:9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2021-03-04T02:58:01Z</dcterms:modified>
</cp:coreProperties>
</file>