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BA53ACA8-5511-49C4-98C8-2D493F524BC4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<sst xmlns="http://schemas.openxmlformats.org/spreadsheetml/2006/main" count="203" uniqueCount="130">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</sst>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-507940</c:v>
                </c:pt>
                <c:pt idx="1">
                  <c:v>-2844100</c:v>
                </c:pt>
                <c:pt idx="2">
                  <c:v>-275829.99999999994</c:v>
                </c:pt>
                <c:pt idx="3">
                  <c:v>-1055430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-59589</c:v>
                </c:pt>
                <c:pt idx="1">
                  <c:v>0.29724202261651195</c:v>
                </c:pt>
                <c:pt idx="2" formatCode="_(* #,##0.00_);_(* \(#,##0.00\);_(* &quot;-&quot;??_);_(@_)">
                  <c:v>-231386</c:v>
                </c:pt>
                <c:pt idx="3">
                  <c:v>1.1542003162520638</c:v>
                </c:pt>
                <c:pt idx="4" formatCode="0.00">
                  <c:v>-28987</c:v>
                </c:pt>
                <c:pt idx="5">
                  <c:v>0.14459303746639199</c:v>
                </c:pt>
                <c:pt idx="6" formatCode="0.00">
                  <c:v>-40609</c:v>
                </c:pt>
                <c:pt idx="7">
                  <c:v>0.20256593157183261</c:v>
                </c:pt>
                <c:pt idx="8" formatCode="0.00">
                  <c:v>-7315</c:v>
                </c:pt>
                <c:pt idx="9">
                  <c:v>3.6488704214532632E-2</c:v>
                </c:pt>
                <c:pt idx="10" formatCode="0.00">
                  <c:v>-1204</c:v>
                </c:pt>
                <c:pt idx="11">
                  <c:v>6.005796291769964E-3</c:v>
                </c:pt>
                <c:pt idx="12" formatCode="0.00">
                  <c:v>-8180</c:v>
                </c:pt>
                <c:pt idx="13">
                  <c:v>4.0803499723154737E-2</c:v>
                </c:pt>
                <c:pt idx="14" formatCode="_(* #,##0.00_);_(* \(#,##0.00\);_(* &quot;-&quot;??_);_(@_)">
                  <c:v>-26469</c:v>
                </c:pt>
                <c:pt idx="15">
                  <c:v>0.13203274256383651</c:v>
                </c:pt>
                <c:pt idx="16" formatCode="0.00">
                  <c:v>-1900</c:v>
                </c:pt>
                <c:pt idx="17">
                  <c:v>9.477585510268215E-3</c:v>
                </c:pt>
                <c:pt idx="18" formatCode="0.00">
                  <c:v>-7315</c:v>
                </c:pt>
                <c:pt idx="19">
                  <c:v>3.6488704214532632E-2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-200473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-412954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30848"/>
        <c:axId val="214432384"/>
      </c:barChart>
      <c:catAx>
        <c:axId val="214430848"/>
        <c:scaling>
          <c:orientation val="minMax"/>
        </c:scaling>
        <c:delete val="1"/>
        <c:axPos val="b"/>
        <c:majorTickMark val="none"/>
        <c:minorTickMark val="none"/>
        <c:tickLblPos val="nextTo"/>
        <c:crossAx val="214432384"/>
        <c:crosses val="autoZero"/>
        <c:auto val="1"/>
        <c:lblAlgn val="ctr"/>
        <c:lblOffset val="100"/>
        <c:noMultiLvlLbl val="0"/>
      </c:catAx>
      <c:valAx>
        <c:axId val="21443238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443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G2" sqref="G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</v>
      </c>
      <c r="D2" s="119">
        <v>2022</v>
      </c>
      <c r="E2" s="104">
        <v>27150.000000000091</v>
      </c>
      <c r="F2" s="120">
        <v>0.18</v>
      </c>
      <c r="G2" s="104">
        <v>4468.4799999999996</v>
      </c>
      <c r="H2" s="117">
        <v>0.63500000000000001</v>
      </c>
      <c r="I2" s="63"/>
      <c r="J2" s="73">
        <v>1.8</v>
      </c>
      <c r="K2" s="101"/>
      <c r="L2" s="73">
        <v>0.9</v>
      </c>
      <c r="M2" s="69">
        <v>83</v>
      </c>
      <c r="N2" s="69">
        <v>224</v>
      </c>
      <c r="O2" s="69">
        <v>627</v>
      </c>
    </row>
    <row r="3" spans="1:15" ht="15" x14ac:dyDescent="0.25">
      <c r="A3" s="44" t="s">
        <v>9</v>
      </c>
      <c r="B3" s="45">
        <f>B2+1</f>
        <v>2</v>
      </c>
      <c r="C3" s="46">
        <v>1</v>
      </c>
      <c r="D3" s="119">
        <v>2022</v>
      </c>
      <c r="E3" s="104"/>
      <c r="F3" s="120">
        <v>0.18</v>
      </c>
      <c r="G3" s="104"/>
      <c r="H3" s="117">
        <v>0.63500000000000001</v>
      </c>
      <c r="I3" s="63"/>
      <c r="J3" s="73">
        <v>1.8</v>
      </c>
      <c r="K3" s="101"/>
      <c r="L3" s="73">
        <v>0.9</v>
      </c>
      <c r="M3" s="69"/>
      <c r="N3" s="69"/>
      <c r="O3" s="69"/>
    </row>
    <row r="4" spans="1:15" ht="15" x14ac:dyDescent="0.25">
      <c r="A4" s="44" t="s">
        <v>9</v>
      </c>
      <c r="B4" s="45">
        <f t="shared" ref="B4:B32" si="0">B3+1</f>
        <v>3</v>
      </c>
      <c r="C4" s="46">
        <v>1</v>
      </c>
      <c r="D4" s="119">
        <v>2022</v>
      </c>
      <c r="E4" s="104"/>
      <c r="F4" s="120">
        <v>0.18</v>
      </c>
      <c r="G4" s="104"/>
      <c r="H4" s="117">
        <v>0.63500000000000001</v>
      </c>
      <c r="I4" s="63"/>
      <c r="J4" s="73">
        <v>1.8</v>
      </c>
      <c r="K4" s="101"/>
      <c r="L4" s="73">
        <v>0.9</v>
      </c>
      <c r="M4" s="69"/>
      <c r="N4" s="69"/>
      <c r="O4" s="69"/>
    </row>
    <row r="5" spans="1:15" ht="15" x14ac:dyDescent="0.25">
      <c r="A5" s="44" t="s">
        <v>9</v>
      </c>
      <c r="B5" s="45">
        <f t="shared" si="0"/>
        <v>4</v>
      </c>
      <c r="C5" s="46">
        <v>1</v>
      </c>
      <c r="D5" s="119">
        <v>2022</v>
      </c>
      <c r="E5" s="104"/>
      <c r="F5" s="120">
        <v>0.18</v>
      </c>
      <c r="G5" s="104"/>
      <c r="H5" s="117">
        <v>0.63500000000000001</v>
      </c>
      <c r="I5" s="63"/>
      <c r="J5" s="73">
        <v>1.8</v>
      </c>
      <c r="K5" s="101"/>
      <c r="L5" s="73">
        <v>0.9</v>
      </c>
      <c r="M5" s="69"/>
      <c r="N5" s="69"/>
      <c r="O5" s="69"/>
    </row>
    <row r="6" spans="1:15" ht="15" x14ac:dyDescent="0.25">
      <c r="A6" s="44" t="s">
        <v>9</v>
      </c>
      <c r="B6" s="45">
        <f t="shared" si="0"/>
        <v>5</v>
      </c>
      <c r="C6" s="46">
        <v>1</v>
      </c>
      <c r="D6" s="119">
        <v>2022</v>
      </c>
      <c r="E6" s="104"/>
      <c r="F6" s="120">
        <v>0.18</v>
      </c>
      <c r="G6" s="104"/>
      <c r="H6" s="117">
        <v>0.63500000000000001</v>
      </c>
      <c r="I6" s="63"/>
      <c r="J6" s="73">
        <v>1.8</v>
      </c>
      <c r="K6" s="101"/>
      <c r="L6" s="73">
        <v>0.9</v>
      </c>
      <c r="M6" s="69"/>
      <c r="N6" s="69"/>
      <c r="O6" s="69"/>
    </row>
    <row r="7" spans="1:15" ht="15" x14ac:dyDescent="0.25">
      <c r="A7" s="44" t="s">
        <v>9</v>
      </c>
      <c r="B7" s="45">
        <f t="shared" si="0"/>
        <v>6</v>
      </c>
      <c r="C7" s="46">
        <v>1</v>
      </c>
      <c r="D7" s="119">
        <v>2022</v>
      </c>
      <c r="E7" s="104"/>
      <c r="F7" s="120">
        <v>0.18</v>
      </c>
      <c r="G7" s="104"/>
      <c r="H7" s="117">
        <v>0.63500000000000001</v>
      </c>
      <c r="I7" s="63"/>
      <c r="J7" s="73">
        <v>1.8</v>
      </c>
      <c r="K7" s="101"/>
      <c r="L7" s="73">
        <v>0.9</v>
      </c>
      <c r="M7" s="69"/>
      <c r="N7" s="69"/>
      <c r="O7" s="69"/>
    </row>
    <row r="8" spans="1:15" ht="15" x14ac:dyDescent="0.25">
      <c r="A8" s="44" t="s">
        <v>9</v>
      </c>
      <c r="B8" s="45">
        <f t="shared" si="0"/>
        <v>7</v>
      </c>
      <c r="C8" s="46">
        <v>1</v>
      </c>
      <c r="D8" s="119">
        <v>2022</v>
      </c>
      <c r="E8" s="104"/>
      <c r="F8" s="120">
        <v>0.18</v>
      </c>
      <c r="G8" s="104"/>
      <c r="H8" s="117">
        <v>0.63500000000000001</v>
      </c>
      <c r="I8" s="63"/>
      <c r="J8" s="73">
        <v>1.8</v>
      </c>
      <c r="K8" s="101"/>
      <c r="L8" s="73">
        <v>0.9</v>
      </c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1</v>
      </c>
      <c r="D9" s="119">
        <v>2022</v>
      </c>
      <c r="E9" s="104"/>
      <c r="F9" s="120">
        <v>0.18</v>
      </c>
      <c r="G9" s="104"/>
      <c r="H9" s="117">
        <v>0.63500000000000001</v>
      </c>
      <c r="I9" s="63"/>
      <c r="J9" s="73">
        <v>1.8</v>
      </c>
      <c r="K9" s="101"/>
      <c r="L9" s="73">
        <v>0.9</v>
      </c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1</v>
      </c>
      <c r="D10" s="119">
        <v>2022</v>
      </c>
      <c r="E10" s="104"/>
      <c r="F10" s="120">
        <v>0.18</v>
      </c>
      <c r="G10" s="104"/>
      <c r="H10" s="117">
        <v>0.63500000000000001</v>
      </c>
      <c r="I10" s="63"/>
      <c r="J10" s="73">
        <v>1.8</v>
      </c>
      <c r="K10" s="101"/>
      <c r="L10" s="73">
        <v>0.9</v>
      </c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1</v>
      </c>
      <c r="D11" s="119">
        <v>2022</v>
      </c>
      <c r="E11" s="104"/>
      <c r="F11" s="120">
        <v>0.18</v>
      </c>
      <c r="G11" s="104"/>
      <c r="H11" s="117">
        <v>0.63500000000000001</v>
      </c>
      <c r="I11" s="63"/>
      <c r="J11" s="73">
        <v>1.8</v>
      </c>
      <c r="K11" s="101"/>
      <c r="L11" s="73">
        <v>0.9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</v>
      </c>
      <c r="D12" s="119">
        <v>2022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</v>
      </c>
      <c r="D13" s="119">
        <v>2022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</v>
      </c>
      <c r="D14" s="119">
        <v>2022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</v>
      </c>
      <c r="D15" s="119">
        <v>2022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</v>
      </c>
      <c r="D16" s="119">
        <v>2022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</v>
      </c>
      <c r="D17" s="119">
        <v>2022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</v>
      </c>
      <c r="D18" s="119">
        <v>2022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</v>
      </c>
      <c r="D19" s="119">
        <v>2022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</v>
      </c>
      <c r="D20" s="119">
        <v>2022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</v>
      </c>
      <c r="D21" s="119">
        <v>2022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</v>
      </c>
      <c r="D22" s="119">
        <v>2022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</v>
      </c>
      <c r="D23" s="119">
        <v>2022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</v>
      </c>
      <c r="D24" s="119">
        <v>2022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</v>
      </c>
      <c r="D25" s="119">
        <v>2022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</v>
      </c>
      <c r="D26" s="119">
        <v>2022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</v>
      </c>
      <c r="D27" s="119">
        <v>2022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</v>
      </c>
      <c r="D28" s="119">
        <v>2022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</v>
      </c>
      <c r="D29" s="119">
        <v>2022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</v>
      </c>
      <c r="D30" s="119">
        <v>2022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</v>
      </c>
      <c r="D31" s="119">
        <v>2022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</v>
      </c>
      <c r="D32" s="119">
        <v>2022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27150.000000000091</v>
      </c>
      <c r="F33" s="97">
        <v>0</v>
      </c>
      <c r="G33" s="118">
        <f>SUM(G2:G32)</f>
        <v>4468.4799999999996</v>
      </c>
      <c r="H33" s="95">
        <v>0</v>
      </c>
      <c r="I33" s="96">
        <f>SUM(I2:I32)</f>
        <v>0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83</v>
      </c>
      <c r="N33" s="99">
        <f t="shared" si="1"/>
        <v>224</v>
      </c>
      <c r="O33" s="99">
        <f t="shared" si="1"/>
        <v>627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44562</v>
      </c>
      <c r="B4" s="106">
        <v>1.2072000000000001</v>
      </c>
      <c r="C4" s="107">
        <v>275.83</v>
      </c>
      <c r="D4" s="107">
        <v>7887161.9199999999</v>
      </c>
      <c r="E4" s="107">
        <v>8710078.8900000006</v>
      </c>
      <c r="F4" s="107">
        <v>2.8441000000000001</v>
      </c>
      <c r="G4" s="107">
        <v>902.93</v>
      </c>
      <c r="H4" s="107">
        <v>755.89</v>
      </c>
      <c r="I4" s="107">
        <v>287.3</v>
      </c>
      <c r="J4" s="107">
        <v>381.99</v>
      </c>
      <c r="K4" s="107">
        <v>399.63</v>
      </c>
      <c r="L4" s="107">
        <v>273.81</v>
      </c>
      <c r="M4" s="107">
        <v>657.85</v>
      </c>
      <c r="N4" s="107">
        <v>611.64</v>
      </c>
      <c r="O4" s="107">
        <v>189.69</v>
      </c>
      <c r="P4" s="107">
        <v>798.26</v>
      </c>
      <c r="Q4" s="107">
        <v>588</v>
      </c>
      <c r="R4" s="107">
        <v>190.15</v>
      </c>
      <c r="S4" s="107">
        <v>138.71</v>
      </c>
      <c r="T4" s="107">
        <v>507.94</v>
      </c>
      <c r="V4" s="103">
        <v>83</v>
      </c>
      <c r="W4" s="103">
        <v>224</v>
      </c>
      <c r="X4" s="103">
        <v>627</v>
      </c>
      <c r="Y4" s="17"/>
    </row>
    <row r="5" spans="1:25" ht="21" customHeight="1" x14ac:dyDescent="0.25">
      <c r="A5" s="8">
        <v>44563</v>
      </c>
      <c r="B5" s="108">
        <v>1.2083999999999999</v>
      </c>
      <c r="C5" s="109">
        <v>276.11</v>
      </c>
      <c r="D5" s="109">
        <v>7889359.0099999998</v>
      </c>
      <c r="E5" s="109">
        <v>8712983.0700000003</v>
      </c>
      <c r="F5" s="109">
        <v>2.8468</v>
      </c>
      <c r="G5" s="109">
        <v>903.84</v>
      </c>
      <c r="H5" s="109">
        <v>757.15</v>
      </c>
      <c r="I5" s="109">
        <v>287.61</v>
      </c>
      <c r="J5" s="109">
        <v>382.75</v>
      </c>
      <c r="K5" s="109">
        <v>400.18</v>
      </c>
      <c r="L5" s="109">
        <v>274.13</v>
      </c>
      <c r="M5" s="109">
        <v>658.62</v>
      </c>
      <c r="N5" s="109">
        <v>612.41</v>
      </c>
      <c r="O5" s="109">
        <v>189.95</v>
      </c>
      <c r="P5" s="109">
        <v>799.34</v>
      </c>
      <c r="Q5" s="109">
        <v>588.79</v>
      </c>
      <c r="R5" s="109">
        <v>190.15</v>
      </c>
      <c r="S5" s="109">
        <v>138.87</v>
      </c>
      <c r="T5" s="109">
        <v>508.62</v>
      </c>
      <c r="V5" s="103"/>
      <c r="W5" s="103"/>
      <c r="X5" s="103"/>
      <c r="Y5" s="17"/>
    </row>
    <row r="6" spans="1:25" ht="21" customHeight="1" x14ac:dyDescent="0.25">
      <c r="A6" s="8">
        <v>44564</v>
      </c>
      <c r="B6" s="108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V6" s="103"/>
      <c r="W6" s="103"/>
      <c r="X6" s="103"/>
      <c r="Y6" s="17"/>
    </row>
    <row r="7" spans="1:25" ht="21" customHeight="1" x14ac:dyDescent="0.25">
      <c r="A7" s="8">
        <v>44565</v>
      </c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V7" s="103"/>
      <c r="W7" s="103"/>
      <c r="X7" s="103"/>
      <c r="Y7" s="17"/>
    </row>
    <row r="8" spans="1:25" ht="21" customHeight="1" x14ac:dyDescent="0.25">
      <c r="A8" s="8">
        <v>44566</v>
      </c>
      <c r="B8" s="108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V8" s="103"/>
      <c r="W8" s="103"/>
      <c r="X8" s="103"/>
      <c r="Y8" s="17"/>
    </row>
    <row r="9" spans="1:25" ht="21" customHeight="1" x14ac:dyDescent="0.25">
      <c r="A9" s="8">
        <v>44567</v>
      </c>
      <c r="B9" s="110"/>
      <c r="C9" s="111"/>
      <c r="D9" s="110"/>
      <c r="E9" s="112"/>
      <c r="F9" s="111"/>
      <c r="G9" s="110"/>
      <c r="H9" s="112"/>
      <c r="I9" s="112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V9" s="103"/>
      <c r="W9" s="103"/>
      <c r="X9" s="103"/>
      <c r="Y9" s="17"/>
    </row>
    <row r="10" spans="1:25" ht="21" customHeight="1" x14ac:dyDescent="0.25">
      <c r="A10" s="8">
        <v>44568</v>
      </c>
      <c r="B10" s="106"/>
      <c r="C10" s="107"/>
      <c r="D10" s="107"/>
      <c r="E10" s="107"/>
      <c r="F10" s="107"/>
      <c r="G10" s="107"/>
      <c r="H10" s="107"/>
      <c r="I10" s="107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V10" s="103"/>
      <c r="W10" s="103"/>
      <c r="X10" s="103"/>
      <c r="Y10" s="17"/>
    </row>
    <row r="11" spans="1:25" ht="21" customHeight="1" x14ac:dyDescent="0.25">
      <c r="A11" s="8">
        <v>44569</v>
      </c>
      <c r="B11" s="108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V11" s="103"/>
      <c r="W11" s="103"/>
      <c r="X11" s="103"/>
      <c r="Y11" s="17"/>
    </row>
    <row r="12" spans="1:25" ht="21" customHeight="1" x14ac:dyDescent="0.25">
      <c r="A12" s="8">
        <v>44570</v>
      </c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V12" s="103"/>
      <c r="W12" s="103"/>
      <c r="X12" s="103"/>
      <c r="Y12" s="17"/>
    </row>
    <row r="13" spans="1:25" ht="21" customHeight="1" x14ac:dyDescent="0.25">
      <c r="A13" s="8">
        <v>44571</v>
      </c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V13" s="103"/>
      <c r="W13" s="103"/>
      <c r="X13" s="103"/>
      <c r="Y13" s="17"/>
    </row>
    <row r="14" spans="1:25" ht="21" customHeight="1" x14ac:dyDescent="0.25">
      <c r="A14" s="8">
        <v>44572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44573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44574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44575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44576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44577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44578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44579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44580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44581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44582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44583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44584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44585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44586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44587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44588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44589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44590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44591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83</v>
      </c>
      <c r="W35" s="75">
        <f>SUM(W4:W34)</f>
        <v>224</v>
      </c>
      <c r="X35" s="75">
        <f>SUM(X4:X34)</f>
        <v>627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11" sqref="V1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44562</v>
      </c>
      <c r="B4" s="26">
        <f>TOTAL!E2</f>
        <v>27150.000000000091</v>
      </c>
      <c r="C4" s="4">
        <f>('Kwh Reading'!T5-'Kwh Reading'!T4)*1000</f>
        <v>680.00000000000682</v>
      </c>
      <c r="D4" s="2">
        <f>('Kwh Reading'!F5-'Kwh Reading'!F4)*1000000</f>
        <v>2699.9999999999245</v>
      </c>
      <c r="E4" s="2">
        <f>('Kwh Reading'!C5-'Kwh Reading'!C4)*1000</f>
        <v>280.00000000002956</v>
      </c>
      <c r="F4" s="2">
        <f>('Kwh Reading'!J5-'Kwh Reading'!J4)*1000</f>
        <v>759.99999999999091</v>
      </c>
      <c r="G4" s="2">
        <f>('Kwh Reading'!K5-'Kwh Reading'!K4)*1000</f>
        <v>550.00000000001137</v>
      </c>
      <c r="H4" s="2">
        <f>('Kwh Reading'!L5-'Kwh Reading'!L4)*1000</f>
        <v>319.99999999999318</v>
      </c>
      <c r="I4" s="2">
        <f>('Kwh Reading'!R5-'Kwh Reading'!R4)*1000</f>
        <v>0</v>
      </c>
      <c r="J4" s="2">
        <f>('Kwh Reading'!S5-'Kwh Reading'!S4)*1000</f>
        <v>159.99999999999659</v>
      </c>
      <c r="K4" s="2">
        <f>('Kwh Reading'!I5-'Kwh Reading'!I4)*1000</f>
        <v>310.00000000000227</v>
      </c>
      <c r="L4" s="2">
        <f>('Kwh Reading'!B5-'Kwh Reading'!B4)*1000000</f>
        <v>1199.9999999998679</v>
      </c>
      <c r="M4" s="2">
        <f>('Kwh Reading'!M5-'Kwh Reading'!M4)*1000</f>
        <v>769.99999999998181</v>
      </c>
      <c r="N4" s="2">
        <f>('Kwh Reading'!H5-'Kwh Reading'!H4)*1000</f>
        <v>1259.9999999999909</v>
      </c>
      <c r="O4" s="2">
        <f>('Kwh Reading'!P5-'Kwh Reading'!P4)*1000</f>
        <v>1080.0000000000409</v>
      </c>
      <c r="P4" s="2">
        <f>('Kwh Reading'!G5-'Kwh Reading'!G4)*1000</f>
        <v>910.00000000008185</v>
      </c>
      <c r="Q4" s="2">
        <f>('Kwh Reading'!Q5-'Kwh Reading'!Q4)*1000</f>
        <v>789.99999999996362</v>
      </c>
      <c r="R4" s="2">
        <f>('Kwh Reading'!N5-'Kwh Reading'!N4)*1000</f>
        <v>769.99999999998181</v>
      </c>
      <c r="S4" s="2">
        <f>'Kwh Reading'!E5-'Kwh Reading'!E4</f>
        <v>2904.179999999702</v>
      </c>
      <c r="T4" s="2">
        <f>'Kwh Reading'!D5-'Kwh Reading'!D4</f>
        <v>2197.089999999851</v>
      </c>
      <c r="U4" s="27">
        <f>('Kwh Reading'!O5-'Kwh Reading'!O4)*1000</f>
        <v>259.99999999999091</v>
      </c>
      <c r="V4" s="16">
        <f>B4-(SUM(C4:U4))</f>
        <v>9248.7300000006835</v>
      </c>
    </row>
    <row r="5" spans="1:22" x14ac:dyDescent="0.25">
      <c r="A5" s="3">
        <f>'Kwh Reading'!A5</f>
        <v>44563</v>
      </c>
      <c r="B5" s="26">
        <f>TOTAL!E3</f>
        <v>0</v>
      </c>
      <c r="C5" s="4">
        <f>('Kwh Reading'!T6-'Kwh Reading'!T5)*1000</f>
        <v>-508620</v>
      </c>
      <c r="D5" s="2">
        <f>('Kwh Reading'!F6-'Kwh Reading'!F5)*1000000</f>
        <v>-2846800</v>
      </c>
      <c r="E5" s="2">
        <f>('Kwh Reading'!C6-'Kwh Reading'!C5)*1000</f>
        <v>-276110</v>
      </c>
      <c r="F5" s="2">
        <f>('Kwh Reading'!J6-'Kwh Reading'!J5)*1000</f>
        <v>-382750</v>
      </c>
      <c r="G5" s="2">
        <f>('Kwh Reading'!K6-'Kwh Reading'!K5)*1000</f>
        <v>-400180</v>
      </c>
      <c r="H5" s="2">
        <f>('Kwh Reading'!L6-'Kwh Reading'!L5)*1000</f>
        <v>-274130</v>
      </c>
      <c r="I5" s="2">
        <f>('Kwh Reading'!R6-'Kwh Reading'!R5)*1000</f>
        <v>-190150</v>
      </c>
      <c r="J5" s="2">
        <f>('Kwh Reading'!S6-'Kwh Reading'!S5)*1000</f>
        <v>-138870</v>
      </c>
      <c r="K5" s="2">
        <f>('Kwh Reading'!I6-'Kwh Reading'!I5)*1000</f>
        <v>-287610</v>
      </c>
      <c r="L5" s="2">
        <f>('Kwh Reading'!B6-'Kwh Reading'!B5)*1000000</f>
        <v>-1208400</v>
      </c>
      <c r="M5" s="2">
        <f>('Kwh Reading'!M6-'Kwh Reading'!M5)*1000</f>
        <v>-658620</v>
      </c>
      <c r="N5" s="2">
        <f>('Kwh Reading'!H6-'Kwh Reading'!H5)*1000</f>
        <v>-757150</v>
      </c>
      <c r="O5" s="2">
        <f>('Kwh Reading'!P6-'Kwh Reading'!P5)*1000</f>
        <v>-799340</v>
      </c>
      <c r="P5" s="2">
        <f>('Kwh Reading'!G6-'Kwh Reading'!G5)*1000</f>
        <v>-903840</v>
      </c>
      <c r="Q5" s="2">
        <f>('Kwh Reading'!Q6-'Kwh Reading'!Q5)*1000</f>
        <v>-588790</v>
      </c>
      <c r="R5" s="2">
        <f>('Kwh Reading'!N6-'Kwh Reading'!N5)*1000</f>
        <v>-612410</v>
      </c>
      <c r="S5" s="2">
        <f>'Kwh Reading'!E6-'Kwh Reading'!E5</f>
        <v>-8712983.0700000003</v>
      </c>
      <c r="T5" s="2">
        <f>'Kwh Reading'!D6-'Kwh Reading'!D5</f>
        <v>-7889359.0099999998</v>
      </c>
      <c r="U5" s="27">
        <f>('Kwh Reading'!O6-'Kwh Reading'!O5)*1000</f>
        <v>-189950</v>
      </c>
      <c r="V5" s="16">
        <f t="shared" ref="V5:V11" si="0">B5-(SUM(C5:U5))</f>
        <v>27626062.079999998</v>
      </c>
    </row>
    <row r="6" spans="1:22" x14ac:dyDescent="0.25">
      <c r="A6" s="3">
        <f>'Kwh Reading'!A6</f>
        <v>44564</v>
      </c>
      <c r="B6" s="26">
        <f>TOTAL!E4</f>
        <v>0</v>
      </c>
      <c r="C6" s="4">
        <f>('Kwh Reading'!T7-'Kwh Reading'!T6)*1000</f>
        <v>0</v>
      </c>
      <c r="D6" s="2">
        <f>('Kwh Reading'!F7-'Kwh Reading'!F6)*1000000</f>
        <v>0</v>
      </c>
      <c r="E6" s="2">
        <f>('Kwh Reading'!C7-'Kwh Reading'!C6)*1000</f>
        <v>0</v>
      </c>
      <c r="F6" s="2">
        <f>('Kwh Reading'!J7-'Kwh Reading'!J6)*1000</f>
        <v>0</v>
      </c>
      <c r="G6" s="2">
        <f>('Kwh Reading'!K7-'Kwh Reading'!K6)*1000</f>
        <v>0</v>
      </c>
      <c r="H6" s="2">
        <f>('Kwh Reading'!L7-'Kwh Reading'!L6)*1000</f>
        <v>0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0</v>
      </c>
      <c r="L6" s="2">
        <f>('Kwh Reading'!B7-'Kwh Reading'!B6)*1000000</f>
        <v>0</v>
      </c>
      <c r="M6" s="2">
        <f>('Kwh Reading'!M7-'Kwh Reading'!M6)*1000</f>
        <v>0</v>
      </c>
      <c r="N6" s="2">
        <f>('Kwh Reading'!H7-'Kwh Reading'!H6)*1000</f>
        <v>0</v>
      </c>
      <c r="O6" s="2">
        <f>('Kwh Reading'!P7-'Kwh Reading'!P6)*1000</f>
        <v>0</v>
      </c>
      <c r="P6" s="2">
        <f>('Kwh Reading'!G7-'Kwh Reading'!G6)*1000</f>
        <v>0</v>
      </c>
      <c r="Q6" s="2">
        <f>('Kwh Reading'!Q7-'Kwh Reading'!Q6)*1000</f>
        <v>0</v>
      </c>
      <c r="R6" s="2">
        <f>('Kwh Reading'!N7-'Kwh Reading'!N6)*1000</f>
        <v>0</v>
      </c>
      <c r="S6" s="2">
        <f>'Kwh Reading'!E7-'Kwh Reading'!E6</f>
        <v>0</v>
      </c>
      <c r="T6" s="2">
        <f>'Kwh Reading'!D7-'Kwh Reading'!D6</f>
        <v>0</v>
      </c>
      <c r="U6" s="27">
        <f>('Kwh Reading'!O7-'Kwh Reading'!O6)*1000</f>
        <v>0</v>
      </c>
      <c r="V6" s="16">
        <f t="shared" si="0"/>
        <v>0</v>
      </c>
    </row>
    <row r="7" spans="1:22" x14ac:dyDescent="0.25">
      <c r="A7" s="3">
        <f>'Kwh Reading'!A7</f>
        <v>44565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44566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44567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44568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3">
        <f>'Kwh Reading'!E11-'Kwh Reading'!E10</f>
        <v>0</v>
      </c>
      <c r="T10" s="33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44569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44570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44571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44572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44573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44574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44575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44576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44577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44578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44579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44580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44581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44582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44583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44584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44585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44586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44587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44588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44589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44590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44591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44592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27150.000000000091</v>
      </c>
      <c r="C35" s="72">
        <f t="shared" ref="C35" si="2">SUM(C4:C34)</f>
        <v>-507940</v>
      </c>
      <c r="D35" s="72">
        <f t="shared" ref="D35" si="3">SUM(D4:D34)</f>
        <v>-2844100</v>
      </c>
      <c r="E35" s="72">
        <f t="shared" ref="E35" si="4">SUM(E4:E34)</f>
        <v>-275829.99999999994</v>
      </c>
      <c r="F35" s="72">
        <f t="shared" ref="F35" si="5">SUM(F4:F34)</f>
        <v>-381990</v>
      </c>
      <c r="G35" s="72">
        <f t="shared" ref="G35:U35" si="6">SUM(G4:G34)</f>
        <v>-399630</v>
      </c>
      <c r="H35" s="72">
        <f t="shared" si="6"/>
        <v>-273810</v>
      </c>
      <c r="I35" s="72">
        <f t="shared" si="6"/>
        <v>-190150</v>
      </c>
      <c r="J35" s="72">
        <f t="shared" si="6"/>
        <v>-138710</v>
      </c>
      <c r="K35" s="72">
        <f t="shared" si="6"/>
        <v>-287300</v>
      </c>
      <c r="L35" s="72">
        <f t="shared" si="6"/>
        <v>-1207200.0000000002</v>
      </c>
      <c r="M35" s="72">
        <f t="shared" si="6"/>
        <v>-657850</v>
      </c>
      <c r="N35" s="72">
        <f t="shared" si="6"/>
        <v>-755890</v>
      </c>
      <c r="O35" s="72">
        <f t="shared" si="6"/>
        <v>-798260</v>
      </c>
      <c r="P35" s="72">
        <f t="shared" si="6"/>
        <v>-902929.99999999988</v>
      </c>
      <c r="Q35" s="72">
        <f t="shared" si="6"/>
        <v>-588000</v>
      </c>
      <c r="R35" s="72">
        <f t="shared" si="6"/>
        <v>-611640</v>
      </c>
      <c r="S35" s="72">
        <f t="shared" si="6"/>
        <v>-8710078.8900000006</v>
      </c>
      <c r="T35" s="72">
        <f t="shared" si="6"/>
        <v>-7887161.9199999999</v>
      </c>
      <c r="U35" s="72">
        <f t="shared" si="6"/>
        <v>-189690</v>
      </c>
      <c r="V35" s="72">
        <f>SUM(V4:V34)</f>
        <v>27635310.809999999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44562</v>
      </c>
      <c r="B3" s="80">
        <f>TOTAL!E2</f>
        <v>27150.000000000091</v>
      </c>
      <c r="C3" s="1">
        <f>'Kwh Consumption'!C4</f>
        <v>680.00000000000682</v>
      </c>
      <c r="D3" s="1">
        <f>'Kwh Consumption'!D4</f>
        <v>2699.9999999999245</v>
      </c>
      <c r="E3" s="1">
        <f>'Kwh Consumption'!E4</f>
        <v>280.00000000002956</v>
      </c>
      <c r="F3" s="1">
        <f>('Kwh Consumption'!F4+'Kwh Consumption'!G4+'Kwh Consumption'!H4)</f>
        <v>1629.9999999999955</v>
      </c>
      <c r="G3" s="16">
        <f>('Kwh Consumption'!I4+'Kwh Consumption'!J4)</f>
        <v>159.99999999999659</v>
      </c>
      <c r="H3" s="1">
        <f>('Kwh Consumption'!K4+'Kwh Consumption'!L4)</f>
        <v>1509.9999999998702</v>
      </c>
      <c r="I3" s="1">
        <f>('Kwh Consumption'!M4+'Kwh Consumption'!N4+'Kwh Consumption'!O4+'Kwh Consumption'!P4+'Kwh Consumption'!Q4+'Kwh Consumption'!R4)</f>
        <v>5580.0000000000409</v>
      </c>
      <c r="J3" s="1">
        <f>('Kwh Consumption'!S4+'Kwh Consumption'!T4)</f>
        <v>5101.269999999553</v>
      </c>
      <c r="K3" s="1">
        <f>'Kwh Consumption'!U4</f>
        <v>259.99999999999091</v>
      </c>
      <c r="L3" s="31">
        <f t="shared" ref="L3:L33" si="0">B3-C3-D3-E3-F3-G3-H3-I3-J3-K3</f>
        <v>9248.7300000006853</v>
      </c>
    </row>
    <row r="4" spans="1:12" x14ac:dyDescent="0.25">
      <c r="A4" s="14">
        <f>'Kwh Reading'!A5</f>
        <v>44563</v>
      </c>
      <c r="B4" s="80">
        <f>TOTAL!E3</f>
        <v>0</v>
      </c>
      <c r="C4" s="1">
        <f>'Kwh Consumption'!C5</f>
        <v>-508620</v>
      </c>
      <c r="D4" s="1">
        <f>'Kwh Consumption'!D5</f>
        <v>-2846800</v>
      </c>
      <c r="E4" s="1">
        <f>'Kwh Consumption'!E5</f>
        <v>-276110</v>
      </c>
      <c r="F4" s="1">
        <f>('Kwh Consumption'!F5+'Kwh Consumption'!G5+'Kwh Consumption'!H5)</f>
        <v>-1057060</v>
      </c>
      <c r="G4" s="16">
        <f>('Kwh Consumption'!I5+'Kwh Consumption'!J5)</f>
        <v>-329020</v>
      </c>
      <c r="H4" s="1">
        <f>('Kwh Consumption'!K5+'Kwh Consumption'!L5)</f>
        <v>-1496010</v>
      </c>
      <c r="I4" s="1">
        <f>('Kwh Consumption'!M5+'Kwh Consumption'!N5+'Kwh Consumption'!O5+'Kwh Consumption'!P5+'Kwh Consumption'!Q5+'Kwh Consumption'!R5)</f>
        <v>-4320150</v>
      </c>
      <c r="J4" s="1">
        <f>('Kwh Consumption'!S5+'Kwh Consumption'!T5)</f>
        <v>-16602342.08</v>
      </c>
      <c r="K4" s="1">
        <f>'Kwh Consumption'!U5</f>
        <v>-189950</v>
      </c>
      <c r="L4" s="31">
        <f t="shared" si="0"/>
        <v>27626062.079999998</v>
      </c>
    </row>
    <row r="5" spans="1:12" x14ac:dyDescent="0.25">
      <c r="A5" s="14">
        <f>'Kwh Reading'!A6</f>
        <v>44564</v>
      </c>
      <c r="B5" s="80">
        <f>TOTAL!E4</f>
        <v>0</v>
      </c>
      <c r="C5" s="1">
        <f>'Kwh Consumption'!C6</f>
        <v>0</v>
      </c>
      <c r="D5" s="1">
        <f>'Kwh Consumption'!D6</f>
        <v>0</v>
      </c>
      <c r="E5" s="1">
        <f>'Kwh Consumption'!E6</f>
        <v>0</v>
      </c>
      <c r="F5" s="1">
        <f>('Kwh Consumption'!F6+'Kwh Consumption'!G6+'Kwh Consumption'!H6)</f>
        <v>0</v>
      </c>
      <c r="G5" s="16">
        <f>('Kwh Consumption'!I6+'Kwh Consumption'!J6)</f>
        <v>0</v>
      </c>
      <c r="H5" s="1">
        <f>('Kwh Consumption'!K6+'Kwh Consumption'!L6)</f>
        <v>0</v>
      </c>
      <c r="I5" s="1">
        <f>('Kwh Consumption'!M6+'Kwh Consumption'!N6+'Kwh Consumption'!O6+'Kwh Consumption'!P6+'Kwh Consumption'!Q6+'Kwh Consumption'!R6)</f>
        <v>0</v>
      </c>
      <c r="J5" s="1">
        <f>('Kwh Consumption'!S6+'Kwh Consumption'!T6)</f>
        <v>0</v>
      </c>
      <c r="K5" s="1">
        <f>'Kwh Consumption'!U6</f>
        <v>0</v>
      </c>
      <c r="L5" s="31">
        <f t="shared" si="0"/>
        <v>0</v>
      </c>
    </row>
    <row r="6" spans="1:12" x14ac:dyDescent="0.25">
      <c r="A6" s="14">
        <f>'Kwh Reading'!A7</f>
        <v>44565</v>
      </c>
      <c r="B6" s="80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1">
        <f t="shared" si="0"/>
        <v>0</v>
      </c>
    </row>
    <row r="7" spans="1:12" x14ac:dyDescent="0.25">
      <c r="A7" s="14">
        <f>'Kwh Reading'!A8</f>
        <v>44566</v>
      </c>
      <c r="B7" s="80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1">
        <f t="shared" si="0"/>
        <v>0</v>
      </c>
    </row>
    <row r="8" spans="1:12" x14ac:dyDescent="0.25">
      <c r="A8" s="14">
        <f>'Kwh Reading'!A9</f>
        <v>44567</v>
      </c>
      <c r="B8" s="80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1">
        <f t="shared" si="0"/>
        <v>0</v>
      </c>
    </row>
    <row r="9" spans="1:12" x14ac:dyDescent="0.25">
      <c r="A9" s="14">
        <f>'Kwh Reading'!A10</f>
        <v>44568</v>
      </c>
      <c r="B9" s="80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1">
        <f t="shared" si="0"/>
        <v>0</v>
      </c>
    </row>
    <row r="10" spans="1:12" x14ac:dyDescent="0.25">
      <c r="A10" s="14">
        <f>'Kwh Reading'!A11</f>
        <v>44569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44570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44571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44572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44573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44574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44575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44576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44577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44578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44579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44580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44581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44582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44583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44584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44585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44586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44587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44588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44589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44590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44591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44592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27150.000000000091</v>
      </c>
      <c r="C34" s="72">
        <f>SUM(C3:C33)</f>
        <v>-507940</v>
      </c>
      <c r="D34" s="72">
        <f t="shared" ref="D34:L34" si="1">SUM(D3:D33)</f>
        <v>-2844100</v>
      </c>
      <c r="E34" s="72">
        <f t="shared" si="1"/>
        <v>-275829.99999999994</v>
      </c>
      <c r="F34" s="72">
        <f t="shared" si="1"/>
        <v>-1055430</v>
      </c>
      <c r="G34" s="72">
        <f t="shared" si="1"/>
        <v>-328860</v>
      </c>
      <c r="H34" s="72">
        <f t="shared" si="1"/>
        <v>-1494500.0000000002</v>
      </c>
      <c r="I34" s="72">
        <f t="shared" si="1"/>
        <v>-4314570</v>
      </c>
      <c r="J34" s="72">
        <f t="shared" si="1"/>
        <v>-16597240.810000001</v>
      </c>
      <c r="K34" s="72">
        <f t="shared" si="1"/>
        <v>-189690</v>
      </c>
      <c r="L34" s="72">
        <f t="shared" si="1"/>
        <v>27635310.809999999</v>
      </c>
      <c r="M34" s="81">
        <f>C34+D34+E34+F34+G34+H34+I34+J34+K34+L34</f>
        <v>27149.999999996275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-91429.2</v>
      </c>
      <c r="D36" s="72">
        <f>D34*B36</f>
        <v>-511938</v>
      </c>
      <c r="E36" s="72">
        <f>E34*B36</f>
        <v>-49649.399999999987</v>
      </c>
      <c r="F36" s="72">
        <f>F34*B36</f>
        <v>-189977.4</v>
      </c>
      <c r="G36" s="72">
        <f>G34*B36</f>
        <v>-59194.799999999996</v>
      </c>
      <c r="H36" s="72">
        <f>H34*B36</f>
        <v>-269010.00000000006</v>
      </c>
      <c r="I36" s="72">
        <f>I34*B36</f>
        <v>-776622.6</v>
      </c>
      <c r="J36" s="72">
        <f>J34*B36</f>
        <v>-2987503.3457999998</v>
      </c>
      <c r="K36" s="72">
        <f>K34*B36</f>
        <v>-34144.199999999997</v>
      </c>
      <c r="L36" s="72">
        <f>L34*B36</f>
        <v>4974355.9457999999</v>
      </c>
      <c r="M36" s="81">
        <f>C36+D36+E36+F36+G36+H36+I36+J36+K36+L36</f>
        <v>4887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44562</v>
      </c>
      <c r="B3" s="11">
        <f>TOTAL!F2</f>
        <v>0.18</v>
      </c>
      <c r="C3" s="11">
        <f>'Kwh Consumption'!B4*' Kwh area wise $ '!B3</f>
        <v>4887.0000000000164</v>
      </c>
      <c r="D3" s="1">
        <f>'Kwh Consumption'!C4*' Kwh area wise $ '!B3</f>
        <v>122.40000000000123</v>
      </c>
      <c r="E3" s="1">
        <f>'Kwh Consumption'!D4*' Kwh area wise $ '!B3</f>
        <v>485.99999999998641</v>
      </c>
      <c r="F3" s="1">
        <f>'Kwh Consumption'!E4*' Kwh area wise $ '!B3</f>
        <v>50.400000000005321</v>
      </c>
      <c r="G3" s="1">
        <f>('Kwh Consumption'!F4+'Kwh Consumption'!G4+'Kwh Consumption'!H4)*' Kwh area wise $ '!B3</f>
        <v>293.39999999999918</v>
      </c>
      <c r="H3" s="16">
        <f>('Kwh Consumption'!I4+'Kwh Consumption'!J4)*' Kwh area wise $ '!B3</f>
        <v>28.799999999999386</v>
      </c>
      <c r="I3" s="1">
        <f>('Kwh Consumption'!K4+'Kwh Consumption'!L4)*' Kwh area wise $ '!B3</f>
        <v>271.79999999997665</v>
      </c>
      <c r="J3" s="1">
        <f>('Kwh Consumption'!M4+'Kwh Consumption'!N4+'Kwh Consumption'!O4+'Kwh Consumption'!P4+'Kwh Consumption'!Q4+'Kwh Consumption'!R4)*' Kwh area wise $ '!B3</f>
        <v>1004.4000000000074</v>
      </c>
      <c r="K3" s="1">
        <f>('Kwh Consumption'!S4+'Kwh Consumption'!T4)*' Kwh area wise $ '!B3</f>
        <v>918.22859999991954</v>
      </c>
      <c r="L3" s="1">
        <f>'Kwh Consumption'!U4*' Kwh area wise $ '!B3</f>
        <v>46.799999999998363</v>
      </c>
      <c r="M3" s="1">
        <f>'Kwh Consumption'!V4*' Kwh area wise $ '!B3</f>
        <v>1664.7714000001229</v>
      </c>
    </row>
    <row r="4" spans="1:13" x14ac:dyDescent="0.25">
      <c r="A4" s="14">
        <f>'Kwh Reading'!A5</f>
        <v>44563</v>
      </c>
      <c r="B4" s="11">
        <f>TOTAL!F3</f>
        <v>0.18</v>
      </c>
      <c r="C4" s="11">
        <f>'Kwh Consumption'!B5*' Kwh area wise $ '!B4</f>
        <v>0</v>
      </c>
      <c r="D4" s="1">
        <f>'Kwh Consumption'!C5*' Kwh area wise $ '!B4</f>
        <v>-91551.599999999991</v>
      </c>
      <c r="E4" s="1">
        <f>'Kwh Consumption'!D5*' Kwh area wise $ '!B4</f>
        <v>-512424</v>
      </c>
      <c r="F4" s="1">
        <f>'Kwh Consumption'!E5*' Kwh area wise $ '!B4</f>
        <v>-49699.799999999996</v>
      </c>
      <c r="G4" s="1">
        <f>('Kwh Consumption'!F5+'Kwh Consumption'!G5+'Kwh Consumption'!H5)*' Kwh area wise $ '!B4</f>
        <v>-190270.8</v>
      </c>
      <c r="H4" s="16">
        <f>('Kwh Consumption'!I5+'Kwh Consumption'!J5)*' Kwh area wise $ '!B4</f>
        <v>-59223.6</v>
      </c>
      <c r="I4" s="1">
        <f>('Kwh Consumption'!K5+'Kwh Consumption'!L5)*' Kwh area wise $ '!B4</f>
        <v>-269281.8</v>
      </c>
      <c r="J4" s="1">
        <f>('Kwh Consumption'!M5+'Kwh Consumption'!N5+'Kwh Consumption'!O5+'Kwh Consumption'!P5+'Kwh Consumption'!Q5+'Kwh Consumption'!R5)*' Kwh area wise $ '!B4</f>
        <v>-777627</v>
      </c>
      <c r="K4" s="1">
        <f>('Kwh Consumption'!S5+'Kwh Consumption'!T5)*' Kwh area wise $ '!B4</f>
        <v>-2988421.5743999998</v>
      </c>
      <c r="L4" s="1">
        <f>'Kwh Consumption'!U5*' Kwh area wise $ '!B4</f>
        <v>-34191</v>
      </c>
      <c r="M4" s="1">
        <f>'Kwh Consumption'!V5*' Kwh area wise $ '!B4</f>
        <v>4972691.1743999999</v>
      </c>
    </row>
    <row r="5" spans="1:13" x14ac:dyDescent="0.25">
      <c r="A5" s="14">
        <f>'Kwh Reading'!A6</f>
        <v>44564</v>
      </c>
      <c r="B5" s="11">
        <f>TOTAL!F4</f>
        <v>0.18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44565</v>
      </c>
      <c r="B6" s="11">
        <f>TOTAL!F5</f>
        <v>0.18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44566</v>
      </c>
      <c r="B7" s="11">
        <f>TOTAL!F6</f>
        <v>0.18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44567</v>
      </c>
      <c r="B8" s="11">
        <f>TOTAL!F7</f>
        <v>0.18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44568</v>
      </c>
      <c r="B9" s="11">
        <f>TOTAL!F8</f>
        <v>0.18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44569</v>
      </c>
      <c r="B10" s="11">
        <f>TOTAL!F9</f>
        <v>0.18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44570</v>
      </c>
      <c r="B11" s="11">
        <f>TOTAL!F10</f>
        <v>0.18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44571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44572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44573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44574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44575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44576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44577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44578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44579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44580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44581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44582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44583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44584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44585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44586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44587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44588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44589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44590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44591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44592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4887.0000000000164</v>
      </c>
      <c r="D34" s="72">
        <f t="shared" si="0"/>
        <v>-91429.2</v>
      </c>
      <c r="E34" s="72">
        <f t="shared" si="0"/>
        <v>-511938</v>
      </c>
      <c r="F34" s="72">
        <f t="shared" si="0"/>
        <v>-49649.399999999987</v>
      </c>
      <c r="G34" s="72">
        <f t="shared" si="0"/>
        <v>-189977.4</v>
      </c>
      <c r="H34" s="72">
        <f t="shared" si="0"/>
        <v>-59194.799999999996</v>
      </c>
      <c r="I34" s="72">
        <f t="shared" si="0"/>
        <v>-269010</v>
      </c>
      <c r="J34" s="72">
        <f t="shared" si="0"/>
        <v>-776622.6</v>
      </c>
      <c r="K34" s="72">
        <f t="shared" si="0"/>
        <v>-2987503.3457999998</v>
      </c>
      <c r="L34" s="72">
        <f t="shared" si="0"/>
        <v>-34144.200000000004</v>
      </c>
      <c r="M34" s="72">
        <f>SUM(M3:M33)</f>
        <v>4974355.9457999999</v>
      </c>
      <c r="N34" s="81">
        <f>D34+E34+F34+G34+H34+I34+J34+K34+L34+M34</f>
        <v>4887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H8" sqref="H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44562</v>
      </c>
      <c r="B3" s="32">
        <v>200473</v>
      </c>
      <c r="C3" s="32"/>
      <c r="D3" s="32">
        <v>239905</v>
      </c>
      <c r="E3" s="32">
        <v>259379</v>
      </c>
      <c r="F3" s="32">
        <v>67063</v>
      </c>
      <c r="G3" s="32">
        <v>115504</v>
      </c>
      <c r="H3" s="32">
        <v>59589</v>
      </c>
      <c r="I3" s="32">
        <v>69596</v>
      </c>
      <c r="J3" s="32">
        <v>2194</v>
      </c>
      <c r="K3" s="54">
        <v>1024</v>
      </c>
      <c r="L3" s="104">
        <v>18356</v>
      </c>
      <c r="M3" s="104">
        <v>26469</v>
      </c>
      <c r="N3" s="104">
        <v>8180</v>
      </c>
      <c r="O3" s="104">
        <v>1900</v>
      </c>
      <c r="P3" s="104">
        <v>28987</v>
      </c>
      <c r="Q3" s="104">
        <v>1204</v>
      </c>
      <c r="R3" s="104">
        <v>7315</v>
      </c>
    </row>
    <row r="4" spans="1:21" x14ac:dyDescent="0.25">
      <c r="A4" s="52">
        <v>44563</v>
      </c>
      <c r="B4" s="32">
        <v>200641</v>
      </c>
      <c r="C4" s="32"/>
      <c r="D4" s="32">
        <v>240074</v>
      </c>
      <c r="E4" s="32">
        <v>259467</v>
      </c>
      <c r="F4" s="32">
        <v>67063</v>
      </c>
      <c r="G4" s="32">
        <v>115541</v>
      </c>
      <c r="H4" s="32">
        <v>59608</v>
      </c>
      <c r="I4" s="32">
        <v>69709</v>
      </c>
      <c r="J4" s="54">
        <v>21952</v>
      </c>
      <c r="K4" s="54">
        <v>1024</v>
      </c>
      <c r="L4" s="104">
        <v>18362</v>
      </c>
      <c r="M4" s="104">
        <v>26430</v>
      </c>
      <c r="N4" s="104">
        <v>8186</v>
      </c>
      <c r="O4" s="104">
        <v>1901</v>
      </c>
      <c r="P4" s="104">
        <v>29042</v>
      </c>
      <c r="Q4" s="104">
        <v>1207</v>
      </c>
      <c r="R4" s="104">
        <v>7328</v>
      </c>
    </row>
    <row r="5" spans="1:21" x14ac:dyDescent="0.25">
      <c r="A5" s="52">
        <v>44564</v>
      </c>
      <c r="B5" s="32"/>
      <c r="C5" s="32"/>
      <c r="D5" s="32"/>
      <c r="E5" s="32"/>
      <c r="F5" s="32"/>
      <c r="G5" s="32"/>
      <c r="H5" s="32"/>
      <c r="I5" s="32"/>
      <c r="J5" s="53"/>
      <c r="K5" s="32"/>
      <c r="L5" s="104"/>
      <c r="M5" s="104"/>
      <c r="N5" s="104"/>
      <c r="O5" s="104"/>
      <c r="P5" s="104"/>
      <c r="Q5" s="104"/>
      <c r="R5" s="104"/>
    </row>
    <row r="6" spans="1:21" x14ac:dyDescent="0.25">
      <c r="A6" s="52">
        <v>44565</v>
      </c>
      <c r="B6" s="32"/>
      <c r="C6" s="32"/>
      <c r="D6" s="32"/>
      <c r="E6" s="32"/>
      <c r="F6" s="32"/>
      <c r="G6" s="32"/>
      <c r="H6" s="32"/>
      <c r="I6" s="32"/>
      <c r="J6" s="54"/>
      <c r="K6" s="54"/>
      <c r="L6" s="104"/>
      <c r="M6" s="104"/>
      <c r="N6" s="104"/>
      <c r="O6" s="104"/>
      <c r="P6" s="104"/>
      <c r="Q6" s="104"/>
      <c r="R6" s="104"/>
    </row>
    <row r="7" spans="1:21" x14ac:dyDescent="0.25">
      <c r="A7" s="52">
        <v>44566</v>
      </c>
      <c r="B7" s="54"/>
      <c r="C7" s="32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</row>
    <row r="8" spans="1:21" x14ac:dyDescent="0.25">
      <c r="A8" s="52">
        <v>44567</v>
      </c>
      <c r="B8" s="32"/>
      <c r="C8" s="5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21" x14ac:dyDescent="0.25">
      <c r="A9" s="52">
        <v>44568</v>
      </c>
      <c r="B9" s="54"/>
      <c r="C9" s="32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</row>
    <row r="10" spans="1:21" x14ac:dyDescent="0.25">
      <c r="A10" s="52">
        <v>44569</v>
      </c>
      <c r="B10" s="32"/>
      <c r="C10" s="5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21" x14ac:dyDescent="0.25">
      <c r="A11" s="52">
        <v>44570</v>
      </c>
      <c r="B11" s="54"/>
      <c r="C11" s="32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1:21" x14ac:dyDescent="0.25">
      <c r="A12" s="52">
        <v>44571</v>
      </c>
      <c r="B12" s="32"/>
      <c r="C12" s="5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1:21" x14ac:dyDescent="0.25">
      <c r="A13" s="52">
        <v>44572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44573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44574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44575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44576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44577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44578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44579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44580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44581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44582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44583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44584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44585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44586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44587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44588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44589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44590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44591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44592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44593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A25" sqref="A25:XFD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44562</v>
      </c>
      <c r="B4" s="63">
        <f>TOTAL!I2</f>
        <v>0</v>
      </c>
      <c r="C4" s="64">
        <f>('Water Reading'!B4-'Water Reading'!B3)+('Water Reading'!C4-'Water Reading'!C3)</f>
        <v>168</v>
      </c>
      <c r="D4" s="65" t="e">
        <f>C4/B4</f>
        <v>#DIV/0!</v>
      </c>
      <c r="E4" s="84">
        <f>'Water Reading'!H4-'Water Reading'!H3</f>
        <v>19</v>
      </c>
      <c r="F4" s="85">
        <f>E4/C4</f>
        <v>0.1130952380952381</v>
      </c>
      <c r="G4" s="89">
        <f>('Water Reading'!D4-'Water Reading'!D3)-('Water Reading'!R4-'Water Reading'!R3)-('Water Reading'!Q4-'Water Reading'!Q3)</f>
        <v>153</v>
      </c>
      <c r="H4" s="85">
        <f>G4/C4</f>
        <v>0.9107142857142857</v>
      </c>
      <c r="I4" s="86">
        <f>'Water Reading'!P4-'Water Reading'!P3</f>
        <v>55</v>
      </c>
      <c r="J4" s="66">
        <f>I4/C4</f>
        <v>0.32738095238095238</v>
      </c>
      <c r="K4" s="87">
        <f>('Water Reading'!I4-'Water Reading'!I3)-('Water Reading'!P4-'Water Reading'!P3)</f>
        <v>58</v>
      </c>
      <c r="L4" s="66">
        <f>K4/C4</f>
        <v>0.34523809523809523</v>
      </c>
      <c r="M4" s="86">
        <f>'Water Reading'!R4-'Water Reading'!R3</f>
        <v>13</v>
      </c>
      <c r="N4" s="88">
        <f>M4/C4</f>
        <v>7.7380952380952384E-2</v>
      </c>
      <c r="O4" s="86">
        <f>'Water Reading'!Q4-'Water Reading'!Q3</f>
        <v>3</v>
      </c>
      <c r="P4" s="93">
        <f>O4/C4</f>
        <v>1.7857142857142856E-2</v>
      </c>
      <c r="Q4" s="87">
        <f>'Water Reading'!N4-'Water Reading'!N3</f>
        <v>6</v>
      </c>
      <c r="R4" s="94">
        <f>Q4/C4</f>
        <v>3.5714285714285712E-2</v>
      </c>
      <c r="S4" s="86">
        <f>'Water Reading'!M4-'Water Reading'!M3</f>
        <v>-39</v>
      </c>
      <c r="T4" s="94">
        <f>S4/C4</f>
        <v>-0.23214285714285715</v>
      </c>
      <c r="U4" s="86">
        <f>'Water Reading'!O4-'Water Reading'!O3</f>
        <v>1</v>
      </c>
      <c r="V4" s="94">
        <f>U4/C4</f>
        <v>5.9523809523809521E-3</v>
      </c>
      <c r="W4" s="86">
        <f>'Water Reading'!R4-'Water Reading'!R3</f>
        <v>13</v>
      </c>
      <c r="X4" s="94">
        <f>W4/C4</f>
        <v>7.7380952380952384E-2</v>
      </c>
      <c r="Y4" s="64">
        <f t="shared" ref="Y4:Y34" si="0">E4+I4+K4+M4+O4+G4+Q4+S4+U4+W4</f>
        <v>282</v>
      </c>
      <c r="Z4" s="65" t="e">
        <f t="shared" ref="Z4:Z35" si="1">Y4/B4</f>
        <v>#DIV/0!</v>
      </c>
    </row>
    <row r="5" spans="1:26" x14ac:dyDescent="0.25">
      <c r="A5" s="8">
        <f>'Water Reading'!A4</f>
        <v>44563</v>
      </c>
      <c r="B5" s="63">
        <f>TOTAL!I3</f>
        <v>0</v>
      </c>
      <c r="C5" s="64">
        <f>('Water Reading'!B5-'Water Reading'!B4)+('Water Reading'!C5-'Water Reading'!C4)</f>
        <v>-200641</v>
      </c>
      <c r="D5" s="65" t="e">
        <f t="shared" ref="D5:D34" si="2">C5/B5</f>
        <v>#DIV/0!</v>
      </c>
      <c r="E5" s="84">
        <f>'Water Reading'!H5-'Water Reading'!H4</f>
        <v>-59608</v>
      </c>
      <c r="F5" s="85">
        <f t="shared" ref="F5:F34" si="3">E5/C5</f>
        <v>0.29708783349365286</v>
      </c>
      <c r="G5" s="89">
        <f>('Water Reading'!D5-'Water Reading'!D4)-('Water Reading'!R5-'Water Reading'!R4)-('Water Reading'!Q5-'Water Reading'!Q4)</f>
        <v>-231539</v>
      </c>
      <c r="H5" s="85">
        <f t="shared" ref="H5:H34" si="4">G5/C5</f>
        <v>1.1539964414052961</v>
      </c>
      <c r="I5" s="86">
        <f>'Water Reading'!P5-'Water Reading'!P4</f>
        <v>-29042</v>
      </c>
      <c r="J5" s="66">
        <f t="shared" ref="J5:J34" si="5">I5/C5</f>
        <v>0.14474608878544265</v>
      </c>
      <c r="K5" s="87">
        <f>('Water Reading'!I5-'Water Reading'!I4)-('Water Reading'!P5-'Water Reading'!P4)</f>
        <v>-40667</v>
      </c>
      <c r="L5" s="66">
        <f t="shared" ref="L5:L34" si="6">K5/C5</f>
        <v>0.20268539331442725</v>
      </c>
      <c r="M5" s="86">
        <f>'Water Reading'!R5-'Water Reading'!R4</f>
        <v>-7328</v>
      </c>
      <c r="N5" s="88">
        <f t="shared" ref="N5:N34" si="7">M5/C5</f>
        <v>3.6522943964593477E-2</v>
      </c>
      <c r="O5" s="86">
        <f>'Water Reading'!Q5-'Water Reading'!Q4</f>
        <v>-1207</v>
      </c>
      <c r="P5" s="93">
        <f t="shared" ref="P5:P34" si="8">O5/C5</f>
        <v>6.0157196186223158E-3</v>
      </c>
      <c r="Q5" s="87">
        <f>'Water Reading'!N5-'Water Reading'!N4</f>
        <v>-8186</v>
      </c>
      <c r="R5" s="94">
        <f t="shared" ref="R5:R34" si="9">Q5/C5</f>
        <v>4.0799238440797247E-2</v>
      </c>
      <c r="S5" s="86">
        <f>'Water Reading'!M5-'Water Reading'!M4</f>
        <v>-26430</v>
      </c>
      <c r="T5" s="94">
        <f t="shared" ref="T5:T34" si="10">S5/C5</f>
        <v>0.13172781236138179</v>
      </c>
      <c r="U5" s="86">
        <f>'Water Reading'!O5-'Water Reading'!O4</f>
        <v>-1901</v>
      </c>
      <c r="V5" s="94">
        <f t="shared" ref="V5:V34" si="11">U5/C5</f>
        <v>9.4746337986752454E-3</v>
      </c>
      <c r="W5" s="86">
        <f>'Water Reading'!R5-'Water Reading'!R4</f>
        <v>-7328</v>
      </c>
      <c r="X5" s="94">
        <f t="shared" ref="X5:X34" si="12">W5/C5</f>
        <v>3.6522943964593477E-2</v>
      </c>
      <c r="Y5" s="64">
        <f t="shared" si="0"/>
        <v>-413236</v>
      </c>
      <c r="Z5" s="65" t="e">
        <f t="shared" si="1"/>
        <v>#DIV/0!</v>
      </c>
    </row>
    <row r="6" spans="1:26" x14ac:dyDescent="0.25">
      <c r="A6" s="8">
        <f>'Water Reading'!A5</f>
        <v>44564</v>
      </c>
      <c r="B6" s="63">
        <f>TOTAL!I4</f>
        <v>0</v>
      </c>
      <c r="C6" s="64">
        <f>('Water Reading'!B6-'Water Reading'!B5)+('Water Reading'!C6-'Water Reading'!C5)</f>
        <v>0</v>
      </c>
      <c r="D6" s="65" t="e">
        <f t="shared" si="2"/>
        <v>#DIV/0!</v>
      </c>
      <c r="E6" s="84">
        <f>'Water Reading'!H6-'Water Reading'!H5</f>
        <v>0</v>
      </c>
      <c r="F6" s="85" t="e">
        <f t="shared" si="3"/>
        <v>#DIV/0!</v>
      </c>
      <c r="G6" s="89">
        <f>('Water Reading'!D6-'Water Reading'!D5)-('Water Reading'!R6-'Water Reading'!R5)-('Water Reading'!Q6-'Water Reading'!Q5)</f>
        <v>0</v>
      </c>
      <c r="H6" s="85" t="e">
        <f t="shared" si="4"/>
        <v>#DIV/0!</v>
      </c>
      <c r="I6" s="86">
        <f>'Water Reading'!P6-'Water Reading'!P5</f>
        <v>0</v>
      </c>
      <c r="J6" s="66" t="e">
        <f t="shared" si="5"/>
        <v>#DIV/0!</v>
      </c>
      <c r="K6" s="87">
        <f>('Water Reading'!I6-'Water Reading'!I5)-('Water Reading'!P6-'Water Reading'!P5)</f>
        <v>0</v>
      </c>
      <c r="L6" s="66" t="e">
        <f t="shared" si="6"/>
        <v>#DIV/0!</v>
      </c>
      <c r="M6" s="86">
        <f>'Water Reading'!R6-'Water Reading'!R5</f>
        <v>0</v>
      </c>
      <c r="N6" s="88" t="e">
        <f t="shared" si="7"/>
        <v>#DIV/0!</v>
      </c>
      <c r="O6" s="86">
        <f>'Water Reading'!Q6-'Water Reading'!Q5</f>
        <v>0</v>
      </c>
      <c r="P6" s="93" t="e">
        <f t="shared" si="8"/>
        <v>#DIV/0!</v>
      </c>
      <c r="Q6" s="87">
        <f>'Water Reading'!N6-'Water Reading'!N5</f>
        <v>0</v>
      </c>
      <c r="R6" s="94" t="e">
        <f t="shared" si="9"/>
        <v>#DIV/0!</v>
      </c>
      <c r="S6" s="86">
        <f>'Water Reading'!M6-'Water Reading'!M5</f>
        <v>0</v>
      </c>
      <c r="T6" s="94" t="e">
        <f t="shared" si="10"/>
        <v>#DIV/0!</v>
      </c>
      <c r="U6" s="86">
        <f>'Water Reading'!O6-'Water Reading'!O5</f>
        <v>0</v>
      </c>
      <c r="V6" s="94" t="e">
        <f t="shared" si="11"/>
        <v>#DIV/0!</v>
      </c>
      <c r="W6" s="86">
        <f>'Water Reading'!R6-'Water Reading'!R5</f>
        <v>0</v>
      </c>
      <c r="X6" s="94" t="e">
        <f t="shared" si="12"/>
        <v>#DIV/0!</v>
      </c>
      <c r="Y6" s="64">
        <f t="shared" si="0"/>
        <v>0</v>
      </c>
      <c r="Z6" s="65" t="e">
        <f t="shared" si="1"/>
        <v>#DIV/0!</v>
      </c>
    </row>
    <row r="7" spans="1:26" x14ac:dyDescent="0.25">
      <c r="A7" s="8">
        <f>'Water Reading'!A6</f>
        <v>44565</v>
      </c>
      <c r="B7" s="63">
        <f>TOTAL!I5</f>
        <v>0</v>
      </c>
      <c r="C7" s="64">
        <f>('Water Reading'!B7-'Water Reading'!B6)+('Water Reading'!C7-'Water Reading'!C6)</f>
        <v>0</v>
      </c>
      <c r="D7" s="65" t="e">
        <f t="shared" si="2"/>
        <v>#DIV/0!</v>
      </c>
      <c r="E7" s="84">
        <f>'Water Reading'!H7-'Water Reading'!H6</f>
        <v>0</v>
      </c>
      <c r="F7" s="85" t="e">
        <f t="shared" si="3"/>
        <v>#DIV/0!</v>
      </c>
      <c r="G7" s="89">
        <f>('Water Reading'!D7-'Water Reading'!D6)-('Water Reading'!R7-'Water Reading'!R6)-('Water Reading'!Q7-'Water Reading'!Q6)</f>
        <v>0</v>
      </c>
      <c r="H7" s="85" t="e">
        <f t="shared" si="4"/>
        <v>#DIV/0!</v>
      </c>
      <c r="I7" s="86">
        <f>'Water Reading'!P7-'Water Reading'!P6</f>
        <v>0</v>
      </c>
      <c r="J7" s="66" t="e">
        <f t="shared" si="5"/>
        <v>#DIV/0!</v>
      </c>
      <c r="K7" s="87">
        <f>('Water Reading'!I7-'Water Reading'!I6)-('Water Reading'!P7-'Water Reading'!P6)</f>
        <v>0</v>
      </c>
      <c r="L7" s="66" t="e">
        <f t="shared" si="6"/>
        <v>#DIV/0!</v>
      </c>
      <c r="M7" s="86">
        <f>'Water Reading'!R7-'Water Reading'!R6</f>
        <v>0</v>
      </c>
      <c r="N7" s="88" t="e">
        <f t="shared" si="7"/>
        <v>#DIV/0!</v>
      </c>
      <c r="O7" s="86">
        <f>'Water Reading'!Q7-'Water Reading'!Q6</f>
        <v>0</v>
      </c>
      <c r="P7" s="93" t="e">
        <f t="shared" si="8"/>
        <v>#DIV/0!</v>
      </c>
      <c r="Q7" s="87">
        <f>'Water Reading'!N7-'Water Reading'!N6</f>
        <v>0</v>
      </c>
      <c r="R7" s="94" t="e">
        <f t="shared" si="9"/>
        <v>#DIV/0!</v>
      </c>
      <c r="S7" s="86">
        <f>'Water Reading'!M7-'Water Reading'!M6</f>
        <v>0</v>
      </c>
      <c r="T7" s="94" t="e">
        <f t="shared" si="10"/>
        <v>#DIV/0!</v>
      </c>
      <c r="U7" s="86">
        <f>'Water Reading'!O7-'Water Reading'!O6</f>
        <v>0</v>
      </c>
      <c r="V7" s="94" t="e">
        <f t="shared" si="11"/>
        <v>#DIV/0!</v>
      </c>
      <c r="W7" s="86">
        <f>'Water Reading'!R7-'Water Reading'!R6</f>
        <v>0</v>
      </c>
      <c r="X7" s="94" t="e">
        <f t="shared" si="12"/>
        <v>#DIV/0!</v>
      </c>
      <c r="Y7" s="64">
        <f t="shared" si="0"/>
        <v>0</v>
      </c>
      <c r="Z7" s="65" t="e">
        <f t="shared" si="1"/>
        <v>#DIV/0!</v>
      </c>
    </row>
    <row r="8" spans="1:26" x14ac:dyDescent="0.25">
      <c r="A8" s="8">
        <f>'Water Reading'!A7</f>
        <v>44566</v>
      </c>
      <c r="B8" s="63">
        <f>TOTAL!I6</f>
        <v>0</v>
      </c>
      <c r="C8" s="64">
        <f>('Water Reading'!B8-'Water Reading'!B7)+('Water Reading'!C8-'Water Reading'!C7)</f>
        <v>0</v>
      </c>
      <c r="D8" s="65" t="e">
        <f t="shared" si="2"/>
        <v>#DIV/0!</v>
      </c>
      <c r="E8" s="84">
        <f>'Water Reading'!H8-'Water Reading'!H7</f>
        <v>0</v>
      </c>
      <c r="F8" s="85" t="e">
        <f t="shared" si="3"/>
        <v>#DIV/0!</v>
      </c>
      <c r="G8" s="89">
        <f>('Water Reading'!D8-'Water Reading'!D7)-('Water Reading'!R8-'Water Reading'!R7)-('Water Reading'!Q8-'Water Reading'!Q7)</f>
        <v>0</v>
      </c>
      <c r="H8" s="85" t="e">
        <f t="shared" si="4"/>
        <v>#DIV/0!</v>
      </c>
      <c r="I8" s="86">
        <f>'Water Reading'!P8-'Water Reading'!P7</f>
        <v>0</v>
      </c>
      <c r="J8" s="66" t="e">
        <f t="shared" si="5"/>
        <v>#DIV/0!</v>
      </c>
      <c r="K8" s="87">
        <f>('Water Reading'!I8-'Water Reading'!I7)-('Water Reading'!P8-'Water Reading'!P7)</f>
        <v>0</v>
      </c>
      <c r="L8" s="66" t="e">
        <f t="shared" si="6"/>
        <v>#DIV/0!</v>
      </c>
      <c r="M8" s="86">
        <f>'Water Reading'!R8-'Water Reading'!R7</f>
        <v>0</v>
      </c>
      <c r="N8" s="88" t="e">
        <f t="shared" si="7"/>
        <v>#DIV/0!</v>
      </c>
      <c r="O8" s="86">
        <f>'Water Reading'!Q8-'Water Reading'!Q7</f>
        <v>0</v>
      </c>
      <c r="P8" s="93" t="e">
        <f t="shared" si="8"/>
        <v>#DIV/0!</v>
      </c>
      <c r="Q8" s="87">
        <f>'Water Reading'!N8-'Water Reading'!N7</f>
        <v>0</v>
      </c>
      <c r="R8" s="94" t="e">
        <f t="shared" si="9"/>
        <v>#DIV/0!</v>
      </c>
      <c r="S8" s="86">
        <f>'Water Reading'!M8-'Water Reading'!M7</f>
        <v>0</v>
      </c>
      <c r="T8" s="94" t="e">
        <f t="shared" si="10"/>
        <v>#DIV/0!</v>
      </c>
      <c r="U8" s="86">
        <f>'Water Reading'!O8-'Water Reading'!O7</f>
        <v>0</v>
      </c>
      <c r="V8" s="94" t="e">
        <f t="shared" si="11"/>
        <v>#DIV/0!</v>
      </c>
      <c r="W8" s="86">
        <f>'Water Reading'!R8-'Water Reading'!R7</f>
        <v>0</v>
      </c>
      <c r="X8" s="94" t="e">
        <f t="shared" si="12"/>
        <v>#DIV/0!</v>
      </c>
      <c r="Y8" s="64">
        <f t="shared" si="0"/>
        <v>0</v>
      </c>
      <c r="Z8" s="65" t="e">
        <f t="shared" si="1"/>
        <v>#DIV/0!</v>
      </c>
    </row>
    <row r="9" spans="1:26" x14ac:dyDescent="0.25">
      <c r="A9" s="8">
        <f>'Water Reading'!A8</f>
        <v>44567</v>
      </c>
      <c r="B9" s="63">
        <f>TOTAL!I7</f>
        <v>0</v>
      </c>
      <c r="C9" s="64">
        <f>('Water Reading'!B9-'Water Reading'!B8)+('Water Reading'!C9-'Water Reading'!C8)</f>
        <v>0</v>
      </c>
      <c r="D9" s="65" t="e">
        <f t="shared" si="2"/>
        <v>#DIV/0!</v>
      </c>
      <c r="E9" s="84">
        <f>'Water Reading'!H9-'Water Reading'!H8</f>
        <v>0</v>
      </c>
      <c r="F9" s="85" t="e">
        <f t="shared" si="3"/>
        <v>#DIV/0!</v>
      </c>
      <c r="G9" s="89">
        <f>('Water Reading'!D9-'Water Reading'!D8)-('Water Reading'!R9-'Water Reading'!R8)-('Water Reading'!Q9-'Water Reading'!Q8)</f>
        <v>0</v>
      </c>
      <c r="H9" s="85" t="e">
        <f t="shared" si="4"/>
        <v>#DIV/0!</v>
      </c>
      <c r="I9" s="86">
        <f>'Water Reading'!P9-'Water Reading'!P8</f>
        <v>0</v>
      </c>
      <c r="J9" s="66" t="e">
        <f t="shared" si="5"/>
        <v>#DIV/0!</v>
      </c>
      <c r="K9" s="87">
        <f>('Water Reading'!I9-'Water Reading'!I8)-('Water Reading'!P9-'Water Reading'!P8)</f>
        <v>0</v>
      </c>
      <c r="L9" s="66" t="e">
        <f t="shared" si="6"/>
        <v>#DIV/0!</v>
      </c>
      <c r="M9" s="86">
        <f>'Water Reading'!R9-'Water Reading'!R8</f>
        <v>0</v>
      </c>
      <c r="N9" s="88" t="e">
        <f t="shared" si="7"/>
        <v>#DIV/0!</v>
      </c>
      <c r="O9" s="86">
        <f>'Water Reading'!Q9-'Water Reading'!Q8</f>
        <v>0</v>
      </c>
      <c r="P9" s="93" t="e">
        <f t="shared" si="8"/>
        <v>#DIV/0!</v>
      </c>
      <c r="Q9" s="87">
        <f>'Water Reading'!N9-'Water Reading'!N8</f>
        <v>0</v>
      </c>
      <c r="R9" s="94" t="e">
        <f t="shared" si="9"/>
        <v>#DIV/0!</v>
      </c>
      <c r="S9" s="86">
        <f>'Water Reading'!M9-'Water Reading'!M8</f>
        <v>0</v>
      </c>
      <c r="T9" s="94" t="e">
        <f t="shared" si="10"/>
        <v>#DIV/0!</v>
      </c>
      <c r="U9" s="86">
        <f>'Water Reading'!O9-'Water Reading'!O8</f>
        <v>0</v>
      </c>
      <c r="V9" s="94" t="e">
        <f t="shared" si="11"/>
        <v>#DIV/0!</v>
      </c>
      <c r="W9" s="86">
        <f>'Water Reading'!R9-'Water Reading'!R8</f>
        <v>0</v>
      </c>
      <c r="X9" s="94" t="e">
        <f t="shared" si="12"/>
        <v>#DIV/0!</v>
      </c>
      <c r="Y9" s="64">
        <f t="shared" si="0"/>
        <v>0</v>
      </c>
      <c r="Z9" s="65" t="e">
        <f t="shared" si="1"/>
        <v>#DIV/0!</v>
      </c>
    </row>
    <row r="10" spans="1:26" x14ac:dyDescent="0.25">
      <c r="A10" s="8">
        <f>'Water Reading'!A9</f>
        <v>44568</v>
      </c>
      <c r="B10" s="63">
        <f>TOTAL!I8</f>
        <v>0</v>
      </c>
      <c r="C10" s="64">
        <f>('Water Reading'!B10-'Water Reading'!B9)+('Water Reading'!C10-'Water Reading'!C9)</f>
        <v>0</v>
      </c>
      <c r="D10" s="65" t="e">
        <f t="shared" si="2"/>
        <v>#DIV/0!</v>
      </c>
      <c r="E10" s="84">
        <f>'Water Reading'!H10-'Water Reading'!H9</f>
        <v>0</v>
      </c>
      <c r="F10" s="85" t="e">
        <f t="shared" si="3"/>
        <v>#DIV/0!</v>
      </c>
      <c r="G10" s="89">
        <f>('Water Reading'!D10-'Water Reading'!D9)-('Water Reading'!R10-'Water Reading'!R9)-('Water Reading'!Q10-'Water Reading'!Q9)</f>
        <v>0</v>
      </c>
      <c r="H10" s="85" t="e">
        <f t="shared" si="4"/>
        <v>#DIV/0!</v>
      </c>
      <c r="I10" s="86">
        <f>'Water Reading'!P10-'Water Reading'!P9</f>
        <v>0</v>
      </c>
      <c r="J10" s="66" t="e">
        <f t="shared" si="5"/>
        <v>#DIV/0!</v>
      </c>
      <c r="K10" s="87">
        <f>('Water Reading'!I10-'Water Reading'!I9)-('Water Reading'!P10-'Water Reading'!P9)</f>
        <v>0</v>
      </c>
      <c r="L10" s="66" t="e">
        <f t="shared" si="6"/>
        <v>#DIV/0!</v>
      </c>
      <c r="M10" s="86">
        <f>'Water Reading'!R10-'Water Reading'!R9</f>
        <v>0</v>
      </c>
      <c r="N10" s="88" t="e">
        <f t="shared" si="7"/>
        <v>#DIV/0!</v>
      </c>
      <c r="O10" s="86">
        <f>'Water Reading'!Q10-'Water Reading'!Q9</f>
        <v>0</v>
      </c>
      <c r="P10" s="93" t="e">
        <f t="shared" si="8"/>
        <v>#DIV/0!</v>
      </c>
      <c r="Q10" s="87">
        <f>'Water Reading'!N10-'Water Reading'!N9</f>
        <v>0</v>
      </c>
      <c r="R10" s="94" t="e">
        <f t="shared" si="9"/>
        <v>#DIV/0!</v>
      </c>
      <c r="S10" s="86">
        <f>'Water Reading'!M10-'Water Reading'!M9</f>
        <v>0</v>
      </c>
      <c r="T10" s="94" t="e">
        <f t="shared" si="10"/>
        <v>#DIV/0!</v>
      </c>
      <c r="U10" s="86">
        <f>'Water Reading'!O10-'Water Reading'!O9</f>
        <v>0</v>
      </c>
      <c r="V10" s="94" t="e">
        <f t="shared" si="11"/>
        <v>#DIV/0!</v>
      </c>
      <c r="W10" s="86">
        <f>'Water Reading'!R10-'Water Reading'!R9</f>
        <v>0</v>
      </c>
      <c r="X10" s="94" t="e">
        <f t="shared" si="12"/>
        <v>#DIV/0!</v>
      </c>
      <c r="Y10" s="64">
        <f t="shared" si="0"/>
        <v>0</v>
      </c>
      <c r="Z10" s="65" t="e">
        <f t="shared" si="1"/>
        <v>#DIV/0!</v>
      </c>
    </row>
    <row r="11" spans="1:26" x14ac:dyDescent="0.25">
      <c r="A11" s="8">
        <f>'Water Reading'!A10</f>
        <v>44569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4">
        <f>'Water Reading'!H11-'Water Reading'!H10</f>
        <v>0</v>
      </c>
      <c r="F11" s="85" t="e">
        <f t="shared" si="3"/>
        <v>#DIV/0!</v>
      </c>
      <c r="G11" s="89">
        <f>('Water Reading'!D11-'Water Reading'!D10)-('Water Reading'!R11-'Water Reading'!R10)-('Water Reading'!Q11-'Water Reading'!Q10)</f>
        <v>0</v>
      </c>
      <c r="H11" s="85" t="e">
        <f t="shared" si="4"/>
        <v>#DIV/0!</v>
      </c>
      <c r="I11" s="86">
        <f>'Water Reading'!P11-'Water Reading'!P10</f>
        <v>0</v>
      </c>
      <c r="J11" s="66" t="e">
        <f t="shared" si="5"/>
        <v>#DIV/0!</v>
      </c>
      <c r="K11" s="87">
        <f>('Water Reading'!I11-'Water Reading'!I10)-('Water Reading'!P11-'Water Reading'!P10)</f>
        <v>0</v>
      </c>
      <c r="L11" s="66" t="e">
        <f t="shared" si="6"/>
        <v>#DIV/0!</v>
      </c>
      <c r="M11" s="86">
        <f>'Water Reading'!R11-'Water Reading'!R10</f>
        <v>0</v>
      </c>
      <c r="N11" s="88" t="e">
        <f t="shared" si="7"/>
        <v>#DIV/0!</v>
      </c>
      <c r="O11" s="86">
        <f>'Water Reading'!Q11-'Water Reading'!Q10</f>
        <v>0</v>
      </c>
      <c r="P11" s="93" t="e">
        <f t="shared" si="8"/>
        <v>#DIV/0!</v>
      </c>
      <c r="Q11" s="87">
        <f>'Water Reading'!N11-'Water Reading'!N10</f>
        <v>0</v>
      </c>
      <c r="R11" s="94" t="e">
        <f t="shared" si="9"/>
        <v>#DIV/0!</v>
      </c>
      <c r="S11" s="86">
        <f>'Water Reading'!M11-'Water Reading'!M10</f>
        <v>0</v>
      </c>
      <c r="T11" s="94" t="e">
        <f t="shared" si="10"/>
        <v>#DIV/0!</v>
      </c>
      <c r="U11" s="86">
        <f>'Water Reading'!O11-'Water Reading'!O10</f>
        <v>0</v>
      </c>
      <c r="V11" s="94" t="e">
        <f t="shared" si="11"/>
        <v>#DIV/0!</v>
      </c>
      <c r="W11" s="86">
        <f>'Water Reading'!R11-'Water Reading'!R10</f>
        <v>0</v>
      </c>
      <c r="X11" s="94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44570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4">
        <f>'Water Reading'!H12-'Water Reading'!H11</f>
        <v>0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0</v>
      </c>
      <c r="H12" s="85" t="e">
        <f t="shared" si="4"/>
        <v>#DIV/0!</v>
      </c>
      <c r="I12" s="86">
        <f>'Water Reading'!P12-'Water Reading'!P11</f>
        <v>0</v>
      </c>
      <c r="J12" s="66" t="e">
        <f t="shared" si="5"/>
        <v>#DIV/0!</v>
      </c>
      <c r="K12" s="87">
        <f>('Water Reading'!I12-'Water Reading'!I11)-('Water Reading'!P12-'Water Reading'!P11)</f>
        <v>0</v>
      </c>
      <c r="L12" s="66" t="e">
        <f t="shared" si="6"/>
        <v>#DIV/0!</v>
      </c>
      <c r="M12" s="86">
        <f>'Water Reading'!R12-'Water Reading'!R11</f>
        <v>0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0</v>
      </c>
      <c r="R12" s="94" t="e">
        <f t="shared" si="9"/>
        <v>#DIV/0!</v>
      </c>
      <c r="S12" s="86">
        <f>'Water Reading'!M12-'Water Reading'!M11</f>
        <v>0</v>
      </c>
      <c r="T12" s="94" t="e">
        <f t="shared" si="10"/>
        <v>#DIV/0!</v>
      </c>
      <c r="U12" s="86">
        <f>'Water Reading'!O12-'Water Reading'!O11</f>
        <v>0</v>
      </c>
      <c r="V12" s="94" t="e">
        <f t="shared" si="11"/>
        <v>#DIV/0!</v>
      </c>
      <c r="W12" s="86">
        <f>'Water Reading'!R12-'Water Reading'!R11</f>
        <v>0</v>
      </c>
      <c r="X12" s="94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44571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4">
        <f>'Water Reading'!H13-'Water Reading'!H12</f>
        <v>0</v>
      </c>
      <c r="F13" s="85" t="e">
        <f t="shared" si="3"/>
        <v>#DIV/0!</v>
      </c>
      <c r="G13" s="89">
        <f>('Water Reading'!D13-'Water Reading'!D12)-('Water Reading'!R13-'Water Reading'!R12)-('Water Reading'!Q13-'Water Reading'!Q12)</f>
        <v>0</v>
      </c>
      <c r="H13" s="85" t="e">
        <f t="shared" si="4"/>
        <v>#DIV/0!</v>
      </c>
      <c r="I13" s="86">
        <f>'Water Reading'!P13-'Water Reading'!P12</f>
        <v>0</v>
      </c>
      <c r="J13" s="66" t="e">
        <f t="shared" si="5"/>
        <v>#DIV/0!</v>
      </c>
      <c r="K13" s="87">
        <f>('Water Reading'!I13-'Water Reading'!I12)-('Water Reading'!P13-'Water Reading'!P12)</f>
        <v>0</v>
      </c>
      <c r="L13" s="66" t="e">
        <f t="shared" si="6"/>
        <v>#DIV/0!</v>
      </c>
      <c r="M13" s="86">
        <f>'Water Reading'!R13-'Water Reading'!R12</f>
        <v>0</v>
      </c>
      <c r="N13" s="88" t="e">
        <f t="shared" si="7"/>
        <v>#DIV/0!</v>
      </c>
      <c r="O13" s="86">
        <f>'Water Reading'!Q13-'Water Reading'!Q12</f>
        <v>0</v>
      </c>
      <c r="P13" s="93" t="e">
        <f t="shared" si="8"/>
        <v>#DIV/0!</v>
      </c>
      <c r="Q13" s="87">
        <f>'Water Reading'!N13-'Water Reading'!N12</f>
        <v>0</v>
      </c>
      <c r="R13" s="94" t="e">
        <f t="shared" si="9"/>
        <v>#DIV/0!</v>
      </c>
      <c r="S13" s="86">
        <f>'Water Reading'!M13-'Water Reading'!M12</f>
        <v>0</v>
      </c>
      <c r="T13" s="94" t="e">
        <f t="shared" si="10"/>
        <v>#DIV/0!</v>
      </c>
      <c r="U13" s="86">
        <f>'Water Reading'!O13-'Water Reading'!O12</f>
        <v>0</v>
      </c>
      <c r="V13" s="94" t="e">
        <f t="shared" si="11"/>
        <v>#DIV/0!</v>
      </c>
      <c r="W13" s="86">
        <f>'Water Reading'!R13-'Water Reading'!R12</f>
        <v>0</v>
      </c>
      <c r="X13" s="94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44572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Reading'!M14-'Water Reading'!M13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44573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Reading'!M15-'Water Reading'!M14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44574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Reading'!M16-'Water Reading'!M15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44575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44576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44577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44578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44579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44580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44581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44582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44583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44584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44585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44586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44587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44588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44589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44590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44591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44592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0</v>
      </c>
      <c r="C35" s="72">
        <f>SUM(C4:C34)</f>
        <v>-200473</v>
      </c>
      <c r="D35" s="91" t="e">
        <f>C35/B35</f>
        <v>#DIV/0!</v>
      </c>
      <c r="E35" s="7">
        <f>SUM(E4:E34)</f>
        <v>-59589</v>
      </c>
      <c r="F35" s="90">
        <f>E35/C35</f>
        <v>0.29724202261651195</v>
      </c>
      <c r="G35" s="72">
        <f>SUM(G4:G34)</f>
        <v>-231386</v>
      </c>
      <c r="H35" s="90">
        <f>G35/C35</f>
        <v>1.1542003162520638</v>
      </c>
      <c r="I35" s="7">
        <f>SUM(I4:I34)</f>
        <v>-28987</v>
      </c>
      <c r="J35" s="90">
        <f>I35/C35</f>
        <v>0.14459303746639199</v>
      </c>
      <c r="K35" s="7">
        <f>SUM(K4:K34)</f>
        <v>-40609</v>
      </c>
      <c r="L35" s="90">
        <f>K35/C35</f>
        <v>0.20256593157183261</v>
      </c>
      <c r="M35" s="7">
        <f>SUM(M4:M34)</f>
        <v>-7315</v>
      </c>
      <c r="N35" s="90">
        <f>M35/C35</f>
        <v>3.6488704214532632E-2</v>
      </c>
      <c r="O35" s="7">
        <f>SUM(O4:O34)</f>
        <v>-1204</v>
      </c>
      <c r="P35" s="90">
        <f>O35/C35</f>
        <v>6.005796291769964E-3</v>
      </c>
      <c r="Q35" s="7">
        <f>SUM(Q4:Q34)</f>
        <v>-8180</v>
      </c>
      <c r="R35" s="90">
        <f>Q35/C35</f>
        <v>4.0803499723154737E-2</v>
      </c>
      <c r="S35" s="72">
        <f>SUM(S4:S34)</f>
        <v>-26469</v>
      </c>
      <c r="T35" s="90">
        <f>S35/C35</f>
        <v>0.13203274256383651</v>
      </c>
      <c r="U35" s="7">
        <f>SUM(U4:U34)</f>
        <v>-1900</v>
      </c>
      <c r="V35" s="90">
        <f>U35/C35</f>
        <v>9.477585510268215E-3</v>
      </c>
      <c r="W35" s="7">
        <f>SUM(W4:W34)</f>
        <v>-7315</v>
      </c>
      <c r="X35" s="90">
        <f>W35/C35</f>
        <v>3.6488704214532632E-2</v>
      </c>
      <c r="Y35" s="72">
        <f>SUM(Y4:Y34)</f>
        <v>-412954</v>
      </c>
      <c r="Z35" s="90" t="e">
        <f t="shared" si="1"/>
        <v>#DIV/0!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2022-01-02T10:09:23Z</dcterms:modified>
  <cp:category/>
  <cp:contentStatus/>
</cp:coreProperties>
</file>