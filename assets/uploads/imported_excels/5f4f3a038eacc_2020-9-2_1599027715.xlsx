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8 Aug 2020\"/>
    </mc:Choice>
  </mc:AlternateContent>
  <bookViews>
    <workbookView xWindow="0" yWindow="0" windowWidth="28800" windowHeight="12435" tabRatio="433" activeTab="1"/>
  </bookViews>
  <sheets>
    <sheet name="Sheet1" sheetId="1" r:id="rId1"/>
    <sheet name="Aug 2020 " sheetId="31" r:id="rId2"/>
  </sheets>
  <calcPr calcId="152511"/>
</workbook>
</file>

<file path=xl/calcChain.xml><?xml version="1.0" encoding="utf-8"?>
<calcChain xmlns="http://schemas.openxmlformats.org/spreadsheetml/2006/main">
  <c r="L5" i="31" l="1"/>
  <c r="L35" i="31" l="1"/>
  <c r="I35" i="31"/>
  <c r="G35" i="31"/>
  <c r="L34" i="31" l="1"/>
  <c r="I34" i="31"/>
  <c r="G34" i="31"/>
  <c r="L30" i="31" l="1"/>
  <c r="L31" i="31"/>
  <c r="L32" i="31"/>
  <c r="L33" i="31"/>
  <c r="I30" i="31"/>
  <c r="I31" i="31"/>
  <c r="I32" i="31"/>
  <c r="I33" i="31"/>
  <c r="G30" i="31"/>
  <c r="G31" i="31"/>
  <c r="G32" i="31"/>
  <c r="G33" i="31"/>
  <c r="L29" i="31" l="1"/>
  <c r="I29" i="31"/>
  <c r="G29" i="31"/>
  <c r="L28" i="31" l="1"/>
  <c r="I28" i="31"/>
  <c r="G28" i="31"/>
  <c r="L27" i="31" l="1"/>
  <c r="I27" i="31"/>
  <c r="G27" i="31"/>
  <c r="L26" i="31" l="1"/>
  <c r="I26" i="31"/>
  <c r="G26" i="31"/>
  <c r="L25" i="31" l="1"/>
  <c r="L24" i="31"/>
  <c r="L23" i="31"/>
  <c r="I25" i="31"/>
  <c r="I24" i="31"/>
  <c r="I23" i="31"/>
  <c r="G25" i="31"/>
  <c r="G24" i="31"/>
  <c r="G23" i="31"/>
  <c r="I22" i="31" l="1"/>
  <c r="L22" i="31"/>
  <c r="G22" i="31"/>
  <c r="L21" i="31" l="1"/>
  <c r="I21" i="31"/>
  <c r="G21" i="31"/>
  <c r="L17" i="31" l="1"/>
  <c r="L18" i="31"/>
  <c r="L19" i="31"/>
  <c r="L20" i="31"/>
  <c r="I17" i="31"/>
  <c r="I18" i="31"/>
  <c r="I19" i="31"/>
  <c r="I20" i="31"/>
  <c r="G17" i="31"/>
  <c r="G18" i="31"/>
  <c r="G19" i="31"/>
  <c r="G20" i="31"/>
  <c r="G16" i="31" l="1"/>
  <c r="I16" i="31"/>
  <c r="L16" i="31"/>
  <c r="L15" i="31" l="1"/>
  <c r="I15" i="31"/>
  <c r="G15" i="31"/>
  <c r="G14" i="31" l="1"/>
  <c r="L14" i="31"/>
  <c r="I14" i="31"/>
  <c r="L13" i="31" l="1"/>
  <c r="I13" i="31" l="1"/>
  <c r="G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6" i="31" l="1"/>
  <c r="L7" i="31"/>
  <c r="L8" i="31"/>
  <c r="I6" i="31"/>
  <c r="I7" i="31"/>
  <c r="I8" i="31"/>
  <c r="G6" i="31"/>
  <c r="G7" i="31"/>
  <c r="G8" i="31"/>
  <c r="G5" i="31"/>
  <c r="I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<sst xmlns="http://schemas.openxmlformats.org/spreadsheetml/2006/main" count="63" uniqueCount="30">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</sst>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33" sqref="L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2020</v>
      </c>
      <c r="E2" s="15">
        <f>'Aug 2020 '!E5</f>
        <v>35122</v>
      </c>
      <c r="F2" s="10">
        <v>2.9000000000000001E-2</v>
      </c>
      <c r="G2" s="1">
        <f>'Aug 2020 '!J5</f>
        <v>0</v>
      </c>
      <c r="H2" s="10">
        <v>0.112</v>
      </c>
      <c r="I2" s="1">
        <f>'Aug 2020 '!G5*1000</f>
        <v>89000</v>
      </c>
      <c r="J2" s="10">
        <v>3.61E-2</v>
      </c>
      <c r="K2" s="1">
        <f>'Aug 2020 '!I5</f>
        <v>161</v>
      </c>
      <c r="L2" s="10">
        <v>0.75</v>
      </c>
      <c r="M2" s="10">
        <f>'Aug 2020 '!L5</f>
        <v>331</v>
      </c>
      <c r="N2" s="10">
        <v>0.56299999999999994</v>
      </c>
      <c r="O2" s="15">
        <f>'Aug 2020 '!D5</f>
        <v>78</v>
      </c>
    </row>
    <row r="3" spans="1:17" x14ac:dyDescent="0.2">
      <c r="A3" t="s">
        <v>27</v>
      </c>
      <c r="B3">
        <f>B2+1</f>
        <v>2</v>
      </c>
      <c r="C3" s="5">
        <v>8</v>
      </c>
      <c r="D3">
        <v>2020</v>
      </c>
      <c r="E3" s="15">
        <f>'Aug 2020 '!E6</f>
        <v>33671</v>
      </c>
      <c r="F3" s="10">
        <v>2.9000000000000001E-2</v>
      </c>
      <c r="G3" s="1">
        <f>'Aug 2020 '!J6</f>
        <v>0</v>
      </c>
      <c r="H3" s="10">
        <v>0.112</v>
      </c>
      <c r="I3" s="1">
        <f>'Aug 2020 '!G6*1000</f>
        <v>91000</v>
      </c>
      <c r="J3" s="10">
        <v>3.61E-2</v>
      </c>
      <c r="K3" s="1">
        <f>'Aug 2020 '!I6</f>
        <v>232</v>
      </c>
      <c r="L3" s="10">
        <v>0.75</v>
      </c>
      <c r="M3" s="10">
        <f>'Aug 2020 '!L6</f>
        <v>15</v>
      </c>
      <c r="N3" s="10">
        <v>0.56299999999999994</v>
      </c>
      <c r="O3" s="15">
        <f>'Aug 2020 '!D6</f>
        <v>75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2020</v>
      </c>
      <c r="E4" s="15">
        <f>'Aug 2020 '!E7</f>
        <v>33842</v>
      </c>
      <c r="F4" s="10">
        <v>2.9000000000000001E-2</v>
      </c>
      <c r="G4" s="1">
        <f>'Aug 2020 '!J7</f>
        <v>0</v>
      </c>
      <c r="H4" s="10">
        <v>0.112</v>
      </c>
      <c r="I4" s="1">
        <f>'Aug 2020 '!G7*1000</f>
        <v>87000</v>
      </c>
      <c r="J4" s="10">
        <v>3.61E-2</v>
      </c>
      <c r="K4" s="1">
        <f>'Aug 2020 '!I7</f>
        <v>270</v>
      </c>
      <c r="L4" s="10">
        <v>0.75</v>
      </c>
      <c r="M4" s="10">
        <f>'Aug 2020 '!L7</f>
        <v>353</v>
      </c>
      <c r="N4" s="10">
        <v>0.56299999999999994</v>
      </c>
      <c r="O4" s="15">
        <f>'Aug 2020 '!D7</f>
        <v>51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2020</v>
      </c>
      <c r="E5" s="15">
        <f>'Aug 2020 '!E8</f>
        <v>34074</v>
      </c>
      <c r="F5" s="10">
        <v>2.9000000000000001E-2</v>
      </c>
      <c r="G5" s="1">
        <f>'Aug 2020 '!J8</f>
        <v>0</v>
      </c>
      <c r="H5" s="10">
        <v>0.112</v>
      </c>
      <c r="I5" s="1">
        <f>'Aug 2020 '!G8*1000</f>
        <v>73000</v>
      </c>
      <c r="J5" s="10">
        <v>3.61E-2</v>
      </c>
      <c r="K5" s="1">
        <f>'Aug 2020 '!I8</f>
        <v>287</v>
      </c>
      <c r="L5" s="10">
        <v>0.75</v>
      </c>
      <c r="M5" s="10">
        <f>'Aug 2020 '!L8</f>
        <v>261</v>
      </c>
      <c r="N5" s="10">
        <v>0.56299999999999994</v>
      </c>
      <c r="O5" s="15">
        <f>'Aug 2020 '!D8</f>
        <v>16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2020</v>
      </c>
      <c r="E6" s="15">
        <f>'Aug 2020 '!E9</f>
        <v>32922</v>
      </c>
      <c r="F6" s="10">
        <v>2.9000000000000001E-2</v>
      </c>
      <c r="G6" s="1">
        <f>'Aug 2020 '!J9</f>
        <v>2970</v>
      </c>
      <c r="H6" s="10">
        <v>0.112</v>
      </c>
      <c r="I6" s="1">
        <f>'Aug 2020 '!G9*1000</f>
        <v>75000</v>
      </c>
      <c r="J6" s="10">
        <v>3.61E-2</v>
      </c>
      <c r="K6" s="1">
        <f>'Aug 2020 '!I9</f>
        <v>173</v>
      </c>
      <c r="L6" s="10">
        <v>0.75</v>
      </c>
      <c r="M6" s="10">
        <f>'Aug 2020 '!L9</f>
        <v>275</v>
      </c>
      <c r="N6" s="10">
        <v>0.56299999999999994</v>
      </c>
      <c r="O6" s="15">
        <f>'Aug 2020 '!D9</f>
        <v>20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2020</v>
      </c>
      <c r="E7" s="15">
        <f>'Aug 2020 '!E10</f>
        <v>33728</v>
      </c>
      <c r="F7" s="10">
        <v>2.9000000000000001E-2</v>
      </c>
      <c r="G7" s="1">
        <v>0</v>
      </c>
      <c r="H7" s="10">
        <v>0.112</v>
      </c>
      <c r="I7" s="1">
        <f>'Aug 2020 '!G10*1000</f>
        <v>91000</v>
      </c>
      <c r="J7" s="10">
        <v>3.61E-2</v>
      </c>
      <c r="K7" s="1">
        <f>'Aug 2020 '!I10</f>
        <v>193</v>
      </c>
      <c r="L7" s="10">
        <v>0.75</v>
      </c>
      <c r="M7" s="10">
        <f>'Aug 2020 '!L10</f>
        <v>331</v>
      </c>
      <c r="N7" s="10">
        <v>0.56299999999999994</v>
      </c>
      <c r="O7" s="15">
        <f>'Aug 2020 '!D10</f>
        <v>50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2020</v>
      </c>
      <c r="E8" s="15">
        <f>'Aug 2020 '!E11</f>
        <v>39028</v>
      </c>
      <c r="F8" s="10">
        <v>2.9000000000000001E-2</v>
      </c>
      <c r="G8" s="1">
        <f>'Aug 2020 '!J11</f>
        <v>0</v>
      </c>
      <c r="H8" s="10">
        <v>0.112</v>
      </c>
      <c r="I8" s="1">
        <f>'Aug 2020 '!G11*1000</f>
        <v>79000</v>
      </c>
      <c r="J8" s="10">
        <v>3.61E-2</v>
      </c>
      <c r="K8" s="1">
        <f>'Aug 2020 '!I11</f>
        <v>247</v>
      </c>
      <c r="L8" s="10">
        <v>0.75</v>
      </c>
      <c r="M8" s="10">
        <f>'Aug 2020 '!L11</f>
        <v>158</v>
      </c>
      <c r="N8" s="10">
        <v>0.56299999999999994</v>
      </c>
      <c r="O8" s="15">
        <f>'Aug 2020 '!D11</f>
        <v>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2020</v>
      </c>
      <c r="E9" s="15">
        <f>'Aug 2020 '!E12</f>
        <v>33728</v>
      </c>
      <c r="F9" s="10">
        <v>2.9000000000000001E-2</v>
      </c>
      <c r="G9" s="1">
        <f>'Aug 2020 '!J12</f>
        <v>0</v>
      </c>
      <c r="H9" s="10">
        <v>0.112</v>
      </c>
      <c r="I9" s="1">
        <f>'Aug 2020 '!G12*1000</f>
        <v>78000</v>
      </c>
      <c r="J9" s="10">
        <v>3.61E-2</v>
      </c>
      <c r="K9" s="1">
        <f>'Aug 2020 '!I12</f>
        <v>301</v>
      </c>
      <c r="L9" s="10">
        <v>0.75</v>
      </c>
      <c r="M9" s="10">
        <f>'Aug 2020 '!L12</f>
        <v>227</v>
      </c>
      <c r="N9" s="10">
        <v>0.56299999999999994</v>
      </c>
      <c r="O9" s="15">
        <f>'Aug 2020 '!D12</f>
        <v>34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2020</v>
      </c>
      <c r="E10" s="15">
        <f>'Aug 2020 '!E13</f>
        <v>33339</v>
      </c>
      <c r="F10" s="10">
        <v>2.9000000000000001E-2</v>
      </c>
      <c r="G10" s="1">
        <f>'Aug 2020 '!J13</f>
        <v>2970</v>
      </c>
      <c r="H10" s="10">
        <v>0.112</v>
      </c>
      <c r="I10" s="1">
        <f>'Aug 2020 '!G13*1000</f>
        <v>80000</v>
      </c>
      <c r="J10" s="10">
        <v>3.61E-2</v>
      </c>
      <c r="K10" s="1">
        <f>'Aug 2020 '!I13</f>
        <v>178</v>
      </c>
      <c r="L10" s="10">
        <v>0.75</v>
      </c>
      <c r="M10" s="10">
        <f>'Aug 2020 '!L13</f>
        <v>241</v>
      </c>
      <c r="N10" s="10">
        <v>0.56299999999999994</v>
      </c>
      <c r="O10" s="15">
        <f>'Aug 2020 '!D13</f>
        <v>40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2020</v>
      </c>
      <c r="E11" s="15">
        <f>'Aug 2020 '!E14</f>
        <v>33363</v>
      </c>
      <c r="F11" s="10">
        <v>2.9000000000000001E-2</v>
      </c>
      <c r="G11" s="1">
        <f>'Aug 2020 '!J14</f>
        <v>0</v>
      </c>
      <c r="H11" s="10">
        <v>0.112</v>
      </c>
      <c r="I11" s="1">
        <f>'Aug 2020 '!G14*1000</f>
        <v>85000</v>
      </c>
      <c r="J11" s="10">
        <v>3.61E-2</v>
      </c>
      <c r="K11" s="1">
        <f>'Aug 2020 '!I14</f>
        <v>27</v>
      </c>
      <c r="L11" s="10">
        <v>0.75</v>
      </c>
      <c r="M11" s="10">
        <f>'Aug 2020 '!L14</f>
        <v>511</v>
      </c>
      <c r="N11" s="10">
        <v>0.56299999999999994</v>
      </c>
      <c r="O11" s="15">
        <f>'Aug 2020 '!D14</f>
        <v>47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2020</v>
      </c>
      <c r="E12" s="15">
        <f>'Aug 2020 '!E15</f>
        <v>33363</v>
      </c>
      <c r="F12" s="10">
        <v>2.9000000000000001E-2</v>
      </c>
      <c r="G12" s="1">
        <f>'Aug 2020 '!J15</f>
        <v>0</v>
      </c>
      <c r="H12" s="10">
        <v>0.112</v>
      </c>
      <c r="I12" s="1">
        <f>'Aug 2020 '!G15*1000</f>
        <v>89000</v>
      </c>
      <c r="J12" s="10">
        <v>3.61E-2</v>
      </c>
      <c r="K12" s="1">
        <f>'Aug 2020 '!I15</f>
        <v>382</v>
      </c>
      <c r="L12" s="10">
        <v>0.75</v>
      </c>
      <c r="M12" s="10">
        <f>'Aug 2020 '!L15</f>
        <v>184</v>
      </c>
      <c r="N12" s="10">
        <v>0.56299999999999994</v>
      </c>
      <c r="O12" s="15">
        <f>'Aug 2020 '!D15</f>
        <v>37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2020</v>
      </c>
      <c r="E13" s="15">
        <f>'Aug 2020 '!E16</f>
        <v>33135</v>
      </c>
      <c r="F13" s="10">
        <v>2.9000000000000001E-2</v>
      </c>
      <c r="G13" s="1">
        <f>'Aug 2020 '!J16</f>
        <v>2970</v>
      </c>
      <c r="H13" s="10">
        <v>0.112</v>
      </c>
      <c r="I13" s="1">
        <f>'Aug 2020 '!G16*1000</f>
        <v>83000</v>
      </c>
      <c r="J13" s="10">
        <v>3.61E-2</v>
      </c>
      <c r="K13" s="1">
        <f>'Aug 2020 '!I16</f>
        <v>351</v>
      </c>
      <c r="L13" s="10">
        <v>0.75</v>
      </c>
      <c r="M13" s="10">
        <f>'Aug 2020 '!L16</f>
        <v>275</v>
      </c>
      <c r="N13" s="10">
        <v>0.56299999999999994</v>
      </c>
      <c r="O13" s="15">
        <f>'Aug 2020 '!D16</f>
        <v>32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2020</v>
      </c>
      <c r="E14" s="15">
        <f>'Aug 2020 '!E17</f>
        <v>35519</v>
      </c>
      <c r="F14" s="10">
        <v>2.9000000000000001E-2</v>
      </c>
      <c r="G14" s="1">
        <f>'Aug 2020 '!J17</f>
        <v>0</v>
      </c>
      <c r="H14" s="10">
        <v>0.112</v>
      </c>
      <c r="I14" s="1">
        <f>'Aug 2020 '!G17*1000</f>
        <v>72000</v>
      </c>
      <c r="J14" s="10">
        <v>3.61E-2</v>
      </c>
      <c r="K14" s="1">
        <f>'Aug 2020 '!I17</f>
        <v>189</v>
      </c>
      <c r="L14" s="10">
        <v>0.75</v>
      </c>
      <c r="M14" s="10">
        <f>'Aug 2020 '!L17</f>
        <v>305</v>
      </c>
      <c r="N14" s="10">
        <v>0.56299999999999994</v>
      </c>
      <c r="O14" s="15">
        <f>'Aug 2020 '!D17</f>
        <v>45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2020</v>
      </c>
      <c r="E15" s="15">
        <f>'Aug 2020 '!E18</f>
        <v>35917</v>
      </c>
      <c r="F15" s="10">
        <v>2.9000000000000001E-2</v>
      </c>
      <c r="G15" s="1">
        <f>'Aug 2020 '!J18</f>
        <v>0</v>
      </c>
      <c r="H15" s="10">
        <v>0.112</v>
      </c>
      <c r="I15" s="1">
        <f>'Aug 2020 '!G18*1000</f>
        <v>81000</v>
      </c>
      <c r="J15" s="10">
        <v>3.61E-2</v>
      </c>
      <c r="K15" s="1">
        <f>'Aug 2020 '!I18</f>
        <v>230</v>
      </c>
      <c r="L15" s="10">
        <v>0.75</v>
      </c>
      <c r="M15" s="10">
        <f>'Aug 2020 '!L18</f>
        <v>176</v>
      </c>
      <c r="N15" s="10">
        <v>0.56299999999999994</v>
      </c>
      <c r="O15" s="15">
        <f>'Aug 2020 '!D18</f>
        <v>51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2020</v>
      </c>
      <c r="E16" s="15">
        <f>'Aug 2020 '!E19</f>
        <v>34797</v>
      </c>
      <c r="F16" s="10">
        <v>2.9000000000000001E-2</v>
      </c>
      <c r="G16" s="1">
        <f>'Aug 2020 '!J19</f>
        <v>0</v>
      </c>
      <c r="H16" s="10">
        <v>0.112</v>
      </c>
      <c r="I16" s="1">
        <f>'Aug 2020 '!G19*1000</f>
        <v>77000</v>
      </c>
      <c r="J16" s="10">
        <v>3.61E-2</v>
      </c>
      <c r="K16" s="1">
        <f>'Aug 2020 '!I19</f>
        <v>233</v>
      </c>
      <c r="L16" s="10">
        <v>0.75</v>
      </c>
      <c r="M16" s="10">
        <f>'Aug 2020 '!L19</f>
        <v>311</v>
      </c>
      <c r="N16" s="10">
        <v>0.56299999999999994</v>
      </c>
      <c r="O16" s="15">
        <f>'Aug 2020 '!D19</f>
        <v>28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2020</v>
      </c>
      <c r="E17" s="15">
        <f>'Aug 2020 '!E20</f>
        <v>37307</v>
      </c>
      <c r="F17" s="10">
        <v>2.9000000000000001E-2</v>
      </c>
      <c r="G17" s="1">
        <f>'Aug 2020 '!J20</f>
        <v>0</v>
      </c>
      <c r="H17" s="10">
        <v>0.112</v>
      </c>
      <c r="I17" s="1">
        <f>'Aug 2020 '!G20*1000</f>
        <v>74000</v>
      </c>
      <c r="J17" s="10">
        <v>3.61E-2</v>
      </c>
      <c r="K17" s="1">
        <f>'Aug 2020 '!I20</f>
        <v>149</v>
      </c>
      <c r="L17" s="10">
        <v>0.75</v>
      </c>
      <c r="M17" s="10">
        <f>'Aug 2020 '!L20</f>
        <v>287</v>
      </c>
      <c r="N17" s="10">
        <v>0.56299999999999994</v>
      </c>
      <c r="O17" s="15">
        <f>'Aug 2020 '!D20</f>
        <v>19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2020</v>
      </c>
      <c r="E18" s="15">
        <f>'Aug 2020 '!E21</f>
        <v>34797</v>
      </c>
      <c r="F18" s="10">
        <v>2.9000000000000001E-2</v>
      </c>
      <c r="G18" s="1">
        <f>'Aug 2020 '!J21</f>
        <v>0</v>
      </c>
      <c r="H18" s="10">
        <v>0.112</v>
      </c>
      <c r="I18" s="1">
        <f>'Aug 2020 '!G21*1000</f>
        <v>72000</v>
      </c>
      <c r="J18" s="10">
        <v>3.61E-2</v>
      </c>
      <c r="K18" s="1">
        <f>'Aug 2020 '!I21</f>
        <v>201</v>
      </c>
      <c r="L18" s="10">
        <v>0.75</v>
      </c>
      <c r="M18" s="10">
        <f>'Aug 2020 '!L21</f>
        <v>389</v>
      </c>
      <c r="N18" s="10">
        <v>0.56299999999999994</v>
      </c>
      <c r="O18" s="15">
        <f>'Aug 2020 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2020</v>
      </c>
      <c r="E19" s="15">
        <f>'Aug 2020 '!E22</f>
        <v>33587</v>
      </c>
      <c r="F19" s="10">
        <v>2.9000000000000001E-2</v>
      </c>
      <c r="G19" s="1">
        <f>'Aug 2020 '!J22</f>
        <v>2970</v>
      </c>
      <c r="H19" s="10">
        <v>0.112</v>
      </c>
      <c r="I19" s="1">
        <f>'Aug 2020 '!G22*1000</f>
        <v>77000</v>
      </c>
      <c r="J19" s="10">
        <v>3.61E-2</v>
      </c>
      <c r="K19" s="1">
        <f>'Aug 2020 '!I22</f>
        <v>231</v>
      </c>
      <c r="L19" s="10">
        <v>0.75</v>
      </c>
      <c r="M19" s="10">
        <f>'Aug 2020 '!L22</f>
        <v>335</v>
      </c>
      <c r="N19" s="10">
        <v>0.56299999999999994</v>
      </c>
      <c r="O19" s="15">
        <f>'Aug 2020 '!D22</f>
        <v>34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2020</v>
      </c>
      <c r="E20" s="15">
        <f>'Aug 2020 '!E23</f>
        <v>34818</v>
      </c>
      <c r="F20" s="10">
        <v>2.9000000000000001E-2</v>
      </c>
      <c r="G20" s="1">
        <f>'Aug 2020 '!J23</f>
        <v>0</v>
      </c>
      <c r="H20" s="10">
        <v>0.112</v>
      </c>
      <c r="I20" s="1">
        <f>'Aug 2020 '!G23*1000</f>
        <v>79000</v>
      </c>
      <c r="J20" s="10">
        <v>3.61E-2</v>
      </c>
      <c r="K20" s="1">
        <f>'Aug 2020 '!I23</f>
        <v>241</v>
      </c>
      <c r="L20" s="10">
        <v>0.75</v>
      </c>
      <c r="M20" s="10">
        <f>'Aug 2020 '!L23</f>
        <v>246</v>
      </c>
      <c r="N20" s="10">
        <v>0.56299999999999994</v>
      </c>
      <c r="O20" s="15">
        <f>'Aug 2020 '!D23</f>
        <v>50</v>
      </c>
    </row>
    <row r="21" spans="1:15" x14ac:dyDescent="0.2">
      <c r="A21" t="s">
        <v>27</v>
      </c>
      <c r="B21">
        <f t="shared" si="0"/>
        <v>20</v>
      </c>
      <c r="C21" s="5">
        <v>8</v>
      </c>
      <c r="D21">
        <v>2020</v>
      </c>
      <c r="E21" s="15">
        <f>'Aug 2020 '!E24</f>
        <v>35903</v>
      </c>
      <c r="F21" s="10">
        <v>2.9000000000000001E-2</v>
      </c>
      <c r="G21" s="1">
        <f>'Aug 2020 '!J24</f>
        <v>0</v>
      </c>
      <c r="H21" s="10">
        <v>0.112</v>
      </c>
      <c r="I21" s="1">
        <f>'Aug 2020 '!G24*1000</f>
        <v>82000</v>
      </c>
      <c r="J21" s="10">
        <v>3.61E-2</v>
      </c>
      <c r="K21" s="1">
        <f>'Aug 2020 '!I24</f>
        <v>253</v>
      </c>
      <c r="L21" s="10">
        <v>0.75</v>
      </c>
      <c r="M21" s="10">
        <f>'Aug 2020 '!L24</f>
        <v>286</v>
      </c>
      <c r="N21" s="10">
        <v>0.56299999999999994</v>
      </c>
      <c r="O21" s="15">
        <f>'Aug 2020 '!D24</f>
        <v>69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2020</v>
      </c>
      <c r="E22" s="15">
        <f>'Aug 2020 '!E25</f>
        <v>36880</v>
      </c>
      <c r="F22" s="10">
        <v>2.9000000000000001E-2</v>
      </c>
      <c r="G22" s="1">
        <f>'Aug 2020 '!J25</f>
        <v>0</v>
      </c>
      <c r="H22" s="10">
        <v>0.112</v>
      </c>
      <c r="I22" s="1">
        <f>'Aug 2020 '!G25*1000</f>
        <v>79000</v>
      </c>
      <c r="J22" s="10">
        <v>3.61E-2</v>
      </c>
      <c r="K22" s="1">
        <f>'Aug 2020 '!I25</f>
        <v>205</v>
      </c>
      <c r="L22" s="10">
        <v>0.75</v>
      </c>
      <c r="M22" s="10">
        <f>'Aug 2020 '!L25</f>
        <v>171</v>
      </c>
      <c r="N22" s="10">
        <v>0.56299999999999994</v>
      </c>
      <c r="O22" s="15">
        <f>'Aug 2020 '!D25</f>
        <v>60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2020</v>
      </c>
      <c r="E23" s="15">
        <f>'Aug 2020 '!E26</f>
        <v>37851</v>
      </c>
      <c r="F23" s="10">
        <v>2.9000000000000001E-2</v>
      </c>
      <c r="G23" s="1">
        <f>'Aug 2020 '!J26</f>
        <v>2970</v>
      </c>
      <c r="H23" s="10">
        <v>0.112</v>
      </c>
      <c r="I23" s="1">
        <f>'Aug 2020 '!G26*1000</f>
        <v>77000</v>
      </c>
      <c r="J23" s="10">
        <v>3.61E-2</v>
      </c>
      <c r="K23" s="1">
        <f>'Aug 2020 '!I26</f>
        <v>392</v>
      </c>
      <c r="L23" s="10">
        <v>0.75</v>
      </c>
      <c r="M23" s="10">
        <f>'Aug 2020 '!L26</f>
        <v>0</v>
      </c>
      <c r="N23" s="10">
        <v>0.56299999999999994</v>
      </c>
      <c r="O23" s="15">
        <f>'Aug 2020 '!D26</f>
        <v>22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2020</v>
      </c>
      <c r="E24" s="15">
        <f>'Aug 2020 '!E27</f>
        <v>33166</v>
      </c>
      <c r="F24" s="10">
        <v>2.9000000000000001E-2</v>
      </c>
      <c r="G24" s="1">
        <f>'Aug 2020 '!J27</f>
        <v>0</v>
      </c>
      <c r="H24" s="10">
        <v>0.112</v>
      </c>
      <c r="I24" s="1">
        <f>'Aug 2020 '!G27*1000</f>
        <v>89000</v>
      </c>
      <c r="J24" s="10">
        <v>3.61E-2</v>
      </c>
      <c r="K24" s="1">
        <f>'Aug 2020 '!I27</f>
        <v>190</v>
      </c>
      <c r="L24" s="10">
        <v>0.75</v>
      </c>
      <c r="M24" s="10">
        <f>'Aug 2020 '!L27</f>
        <v>375</v>
      </c>
      <c r="N24" s="10">
        <v>0.56299999999999994</v>
      </c>
      <c r="O24" s="15">
        <f>'Aug 2020 '!D27</f>
        <v>36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2020</v>
      </c>
      <c r="E25" s="15">
        <f>'Aug 2020 '!E28</f>
        <v>35778</v>
      </c>
      <c r="F25" s="10">
        <v>2.9000000000000001E-2</v>
      </c>
      <c r="G25" s="1">
        <f>'Aug 2020 '!J28</f>
        <v>0</v>
      </c>
      <c r="H25" s="10">
        <v>0.112</v>
      </c>
      <c r="I25" s="1">
        <f>'Aug 2020 '!G28*1000</f>
        <v>94000</v>
      </c>
      <c r="J25" s="10">
        <v>3.61E-2</v>
      </c>
      <c r="K25" s="1">
        <f>'Aug 2020 '!I28</f>
        <v>198</v>
      </c>
      <c r="L25" s="10">
        <v>0.75</v>
      </c>
      <c r="M25" s="10">
        <f>'Aug 2020 '!L28</f>
        <v>246</v>
      </c>
      <c r="N25" s="10">
        <v>0.56299999999999994</v>
      </c>
      <c r="O25" s="15">
        <f>'Aug 2020 '!D28</f>
        <v>64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2020</v>
      </c>
      <c r="E26" s="15">
        <f>'Aug 2020 '!E29</f>
        <v>36754</v>
      </c>
      <c r="F26" s="10">
        <v>2.9000000000000001E-2</v>
      </c>
      <c r="G26" s="1">
        <f>'Aug 2020 '!J29</f>
        <v>2970</v>
      </c>
      <c r="H26" s="10">
        <v>0.112</v>
      </c>
      <c r="I26" s="1">
        <f>'Aug 2020 '!G29*1000</f>
        <v>90000</v>
      </c>
      <c r="J26" s="10">
        <v>3.61E-2</v>
      </c>
      <c r="K26" s="1">
        <f>'Aug 2020 '!I29</f>
        <v>264</v>
      </c>
      <c r="L26" s="10">
        <v>0.75</v>
      </c>
      <c r="M26" s="10">
        <f>'Aug 2020 '!L29</f>
        <v>263</v>
      </c>
      <c r="N26" s="10">
        <v>0.56299999999999994</v>
      </c>
      <c r="O26" s="15">
        <f>'Aug 2020 '!D29</f>
        <v>90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2020</v>
      </c>
      <c r="E27" s="15">
        <f>'Aug 2020 '!E30</f>
        <v>36575</v>
      </c>
      <c r="F27" s="10">
        <v>2.9000000000000001E-2</v>
      </c>
      <c r="G27" s="1">
        <f>'Aug 2020 '!J30</f>
        <v>0</v>
      </c>
      <c r="H27" s="10">
        <v>0.112</v>
      </c>
      <c r="I27" s="1">
        <f>'Aug 2020 '!G30*1000</f>
        <v>87000</v>
      </c>
      <c r="J27" s="10">
        <v>3.61E-2</v>
      </c>
      <c r="K27" s="1">
        <f>'Aug 2020 '!I30</f>
        <v>252</v>
      </c>
      <c r="L27" s="10">
        <v>0.75</v>
      </c>
      <c r="M27" s="10">
        <f>'Aug 2020 '!L30</f>
        <v>225</v>
      </c>
      <c r="N27" s="10">
        <v>0.56299999999999994</v>
      </c>
      <c r="O27" s="15">
        <f>'Aug 2020 '!D30</f>
        <v>104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2020</v>
      </c>
      <c r="E28" s="15">
        <f>'Aug 2020 '!E31</f>
        <v>37649</v>
      </c>
      <c r="F28" s="10">
        <v>2.9000000000000001E-2</v>
      </c>
      <c r="G28" s="1">
        <f>'Aug 2020 '!J31</f>
        <v>0</v>
      </c>
      <c r="H28" s="10">
        <v>0.112</v>
      </c>
      <c r="I28" s="1">
        <f>'Aug 2020 '!G31*1000</f>
        <v>81000</v>
      </c>
      <c r="J28" s="10">
        <v>3.61E-2</v>
      </c>
      <c r="K28" s="1">
        <f>'Aug 2020 '!I31</f>
        <v>120</v>
      </c>
      <c r="L28" s="10">
        <v>0.75</v>
      </c>
      <c r="M28" s="10">
        <f>'Aug 2020 '!L31</f>
        <v>266</v>
      </c>
      <c r="N28" s="10">
        <v>0.56299999999999994</v>
      </c>
      <c r="O28" s="15">
        <f>'Aug 2020 '!D31</f>
        <v>92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2020</v>
      </c>
      <c r="E29" s="15">
        <f>'Aug 2020 '!E32</f>
        <v>37455</v>
      </c>
      <c r="F29" s="10">
        <v>2.9000000000000001E-2</v>
      </c>
      <c r="G29" s="1">
        <f>'Aug 2020 '!J32</f>
        <v>0</v>
      </c>
      <c r="H29" s="10">
        <v>0.112</v>
      </c>
      <c r="I29" s="1">
        <f>'Aug 2020 '!G32*1000</f>
        <v>88000</v>
      </c>
      <c r="J29" s="10">
        <v>3.61E-2</v>
      </c>
      <c r="K29" s="1">
        <f>'Aug 2020 '!I32</f>
        <v>438</v>
      </c>
      <c r="L29" s="10">
        <v>0.75</v>
      </c>
      <c r="M29" s="10">
        <f>'Aug 2020 '!L32</f>
        <v>296</v>
      </c>
      <c r="N29" s="10">
        <v>0.56299999999999994</v>
      </c>
      <c r="O29" s="15">
        <f>'Aug 2020 '!D32</f>
        <v>115</v>
      </c>
    </row>
    <row r="30" spans="1:15" x14ac:dyDescent="0.2">
      <c r="A30" t="s">
        <v>27</v>
      </c>
      <c r="B30">
        <v>29</v>
      </c>
      <c r="C30" s="5">
        <v>8</v>
      </c>
      <c r="D30">
        <v>2020</v>
      </c>
      <c r="E30" s="15">
        <f>'Aug 2020 '!E33</f>
        <v>39160</v>
      </c>
      <c r="F30" s="10">
        <v>2.9000000000000001E-2</v>
      </c>
      <c r="G30" s="1">
        <f>'Aug 2020 '!J33</f>
        <v>0</v>
      </c>
      <c r="H30" s="10">
        <v>0.112</v>
      </c>
      <c r="I30" s="1">
        <f>'Aug 2020 '!G33*1000</f>
        <v>91000</v>
      </c>
      <c r="J30" s="10">
        <v>3.61E-2</v>
      </c>
      <c r="K30" s="1">
        <f>'Aug 2020 '!I33</f>
        <v>521</v>
      </c>
      <c r="L30" s="10">
        <v>0.75</v>
      </c>
      <c r="M30" s="10">
        <f>'Aug 2020 '!L33</f>
        <v>410</v>
      </c>
      <c r="N30" s="10">
        <v>0.56299999999999994</v>
      </c>
      <c r="O30" s="15">
        <f>'Aug 2020 '!D33</f>
        <v>131</v>
      </c>
    </row>
    <row r="31" spans="1:15" x14ac:dyDescent="0.2">
      <c r="A31" t="s">
        <v>27</v>
      </c>
      <c r="B31">
        <v>30</v>
      </c>
      <c r="C31" s="5">
        <v>8</v>
      </c>
      <c r="D31">
        <v>2020</v>
      </c>
      <c r="E31" s="15">
        <f>'Aug 2020 '!E34</f>
        <v>37997</v>
      </c>
      <c r="F31" s="10">
        <v>2.9000000000000001E-2</v>
      </c>
      <c r="G31" s="1">
        <f>'Aug 2020 '!J34</f>
        <v>2970</v>
      </c>
      <c r="H31" s="10">
        <v>0.112</v>
      </c>
      <c r="I31" s="1">
        <f>'Aug 2020 '!G34*1000</f>
        <v>80000</v>
      </c>
      <c r="J31" s="10">
        <v>3.61E-2</v>
      </c>
      <c r="K31" s="1">
        <f>'Aug 2020 '!I34</f>
        <v>372</v>
      </c>
      <c r="L31" s="10">
        <v>0.75</v>
      </c>
      <c r="M31" s="10">
        <f>'Aug 2020 '!L34</f>
        <v>17</v>
      </c>
      <c r="N31" s="10">
        <v>0.56299999999999994</v>
      </c>
      <c r="O31" s="15">
        <f>'Aug 2020 '!D34</f>
        <v>103</v>
      </c>
    </row>
    <row r="32" spans="1:15" x14ac:dyDescent="0.2">
      <c r="A32" t="s">
        <v>27</v>
      </c>
      <c r="B32">
        <v>31</v>
      </c>
      <c r="C32" s="5">
        <v>8</v>
      </c>
      <c r="D32">
        <v>2020</v>
      </c>
      <c r="E32" s="15">
        <f>'Aug 2020 '!E35</f>
        <v>37843</v>
      </c>
      <c r="F32" s="10">
        <v>2.9000000000000001E-2</v>
      </c>
      <c r="G32" s="1">
        <f>'Aug 2020 '!J35</f>
        <v>2970</v>
      </c>
      <c r="H32" s="10">
        <v>0.112</v>
      </c>
      <c r="I32" s="1">
        <f>'Aug 2020 '!G35*1000</f>
        <v>89000</v>
      </c>
      <c r="J32" s="10">
        <v>3.61E-2</v>
      </c>
      <c r="K32" s="1">
        <f>'Aug 2020 '!I35</f>
        <v>446</v>
      </c>
      <c r="L32" s="10">
        <v>0.75</v>
      </c>
      <c r="M32" s="10">
        <f>'Aug 2020 '!L35</f>
        <v>334</v>
      </c>
      <c r="N32" s="10">
        <v>0.56299999999999994</v>
      </c>
      <c r="O32" s="15">
        <f>'Aug 2020 '!D35</f>
        <v>34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N29" sqref="N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44044</v>
      </c>
      <c r="D5" s="7">
        <v>78</v>
      </c>
      <c r="E5" s="12">
        <v>35122</v>
      </c>
      <c r="F5" s="4">
        <v>174560</v>
      </c>
      <c r="G5" s="8">
        <f>F6-F5</f>
        <v>89</v>
      </c>
      <c r="H5" s="7">
        <v>398251</v>
      </c>
      <c r="I5" s="3">
        <f>H6-H5</f>
        <v>161</v>
      </c>
      <c r="J5" s="3">
        <v>0</v>
      </c>
      <c r="K5" s="4">
        <v>239892</v>
      </c>
      <c r="L5" s="9">
        <f>K6-K5</f>
        <v>331</v>
      </c>
      <c r="N5" s="1"/>
    </row>
    <row r="6" spans="1:14" x14ac:dyDescent="0.2">
      <c r="B6" s="2">
        <v>2</v>
      </c>
      <c r="C6" s="11">
        <v>44045</v>
      </c>
      <c r="D6" s="7">
        <v>75</v>
      </c>
      <c r="E6" s="12">
        <v>33671</v>
      </c>
      <c r="F6" s="4">
        <v>174649</v>
      </c>
      <c r="G6" s="8">
        <f t="shared" ref="G6:G22" si="0">F7-F6</f>
        <v>91</v>
      </c>
      <c r="H6" s="7">
        <v>398412</v>
      </c>
      <c r="I6" s="3">
        <f t="shared" ref="I6:I22" si="1">H7-H6</f>
        <v>232</v>
      </c>
      <c r="J6" s="3">
        <v>0</v>
      </c>
      <c r="K6" s="4">
        <v>240223</v>
      </c>
      <c r="L6" s="9">
        <f t="shared" ref="L6:L22" si="2">K7-K6</f>
        <v>15</v>
      </c>
      <c r="N6" s="1"/>
    </row>
    <row r="7" spans="1:14" x14ac:dyDescent="0.2">
      <c r="B7" s="2">
        <v>3</v>
      </c>
      <c r="C7" s="11">
        <v>44046</v>
      </c>
      <c r="D7" s="7">
        <v>51</v>
      </c>
      <c r="E7" s="12">
        <v>33842</v>
      </c>
      <c r="F7" s="4">
        <v>174740</v>
      </c>
      <c r="G7" s="8">
        <f t="shared" si="0"/>
        <v>87</v>
      </c>
      <c r="H7" s="7">
        <v>398644</v>
      </c>
      <c r="I7" s="3">
        <f t="shared" si="1"/>
        <v>270</v>
      </c>
      <c r="J7" s="3">
        <v>0</v>
      </c>
      <c r="K7" s="4">
        <v>240238</v>
      </c>
      <c r="L7" s="9">
        <f t="shared" si="2"/>
        <v>353</v>
      </c>
      <c r="N7" s="1"/>
    </row>
    <row r="8" spans="1:14" x14ac:dyDescent="0.2">
      <c r="B8" s="2">
        <v>4</v>
      </c>
      <c r="C8" s="11">
        <v>44047</v>
      </c>
      <c r="D8" s="7">
        <v>16</v>
      </c>
      <c r="E8" s="12">
        <v>34074</v>
      </c>
      <c r="F8" s="4">
        <v>174827</v>
      </c>
      <c r="G8" s="8">
        <f t="shared" si="0"/>
        <v>73</v>
      </c>
      <c r="H8" s="17">
        <v>398914</v>
      </c>
      <c r="I8" s="3">
        <f t="shared" si="1"/>
        <v>287</v>
      </c>
      <c r="J8" s="3">
        <v>0</v>
      </c>
      <c r="K8" s="4">
        <v>240591</v>
      </c>
      <c r="L8" s="9">
        <f t="shared" si="2"/>
        <v>261</v>
      </c>
      <c r="N8" s="1"/>
    </row>
    <row r="9" spans="1:14" x14ac:dyDescent="0.2">
      <c r="B9" s="2">
        <v>5</v>
      </c>
      <c r="C9" s="11">
        <v>44048</v>
      </c>
      <c r="D9" s="7">
        <v>20</v>
      </c>
      <c r="E9" s="12">
        <v>32922</v>
      </c>
      <c r="F9" s="4">
        <v>174900</v>
      </c>
      <c r="G9" s="8">
        <f t="shared" si="0"/>
        <v>75</v>
      </c>
      <c r="H9" s="7">
        <v>399201</v>
      </c>
      <c r="I9" s="3">
        <f t="shared" si="1"/>
        <v>173</v>
      </c>
      <c r="J9" s="3">
        <v>2970</v>
      </c>
      <c r="K9" s="4">
        <v>240852</v>
      </c>
      <c r="L9" s="9">
        <f t="shared" si="2"/>
        <v>275</v>
      </c>
      <c r="N9" s="1"/>
    </row>
    <row r="10" spans="1:14" x14ac:dyDescent="0.2">
      <c r="B10" s="2">
        <v>6</v>
      </c>
      <c r="C10" s="11">
        <v>44049</v>
      </c>
      <c r="D10" s="7">
        <v>50</v>
      </c>
      <c r="E10" s="12">
        <v>33728</v>
      </c>
      <c r="F10" s="4">
        <v>174975</v>
      </c>
      <c r="G10" s="8">
        <f t="shared" si="0"/>
        <v>91</v>
      </c>
      <c r="H10" s="7">
        <v>399374</v>
      </c>
      <c r="I10" s="3">
        <f t="shared" si="1"/>
        <v>193</v>
      </c>
      <c r="J10" s="3">
        <v>0</v>
      </c>
      <c r="K10" s="4">
        <v>241127</v>
      </c>
      <c r="L10" s="9">
        <f t="shared" si="2"/>
        <v>331</v>
      </c>
      <c r="N10" s="1"/>
    </row>
    <row r="11" spans="1:14" x14ac:dyDescent="0.2">
      <c r="B11" s="2">
        <v>7</v>
      </c>
      <c r="C11" s="11">
        <v>44050</v>
      </c>
      <c r="D11" s="7">
        <v>82</v>
      </c>
      <c r="E11" s="12">
        <v>39028</v>
      </c>
      <c r="F11" s="4">
        <v>175066</v>
      </c>
      <c r="G11" s="8">
        <f t="shared" si="0"/>
        <v>79</v>
      </c>
      <c r="H11" s="7">
        <v>399567</v>
      </c>
      <c r="I11" s="3">
        <f t="shared" si="1"/>
        <v>247</v>
      </c>
      <c r="J11" s="3">
        <v>0</v>
      </c>
      <c r="K11" s="4">
        <v>241458</v>
      </c>
      <c r="L11" s="9">
        <f t="shared" si="2"/>
        <v>158</v>
      </c>
      <c r="N11" s="1"/>
    </row>
    <row r="12" spans="1:14" x14ac:dyDescent="0.2">
      <c r="B12" s="2">
        <v>8</v>
      </c>
      <c r="C12" s="11">
        <v>44051</v>
      </c>
      <c r="D12" s="7">
        <v>34</v>
      </c>
      <c r="E12" s="12">
        <v>33728</v>
      </c>
      <c r="F12" s="4">
        <v>175145</v>
      </c>
      <c r="G12" s="8">
        <f t="shared" si="0"/>
        <v>78</v>
      </c>
      <c r="H12" s="7">
        <v>399814</v>
      </c>
      <c r="I12" s="3">
        <f t="shared" si="1"/>
        <v>301</v>
      </c>
      <c r="J12" s="3">
        <v>0</v>
      </c>
      <c r="K12" s="4">
        <v>241616</v>
      </c>
      <c r="L12" s="9">
        <f t="shared" si="2"/>
        <v>227</v>
      </c>
      <c r="N12" s="1"/>
    </row>
    <row r="13" spans="1:14" ht="11.25" customHeight="1" x14ac:dyDescent="0.2">
      <c r="A13" t="s">
        <v>28</v>
      </c>
      <c r="B13" s="2">
        <v>9</v>
      </c>
      <c r="C13" s="11">
        <v>44052</v>
      </c>
      <c r="D13" s="7">
        <v>40</v>
      </c>
      <c r="E13" s="12">
        <v>33339</v>
      </c>
      <c r="F13" s="4">
        <v>175223</v>
      </c>
      <c r="G13" s="8">
        <f t="shared" si="0"/>
        <v>80</v>
      </c>
      <c r="H13" s="7">
        <v>400115</v>
      </c>
      <c r="I13" s="3">
        <f t="shared" si="1"/>
        <v>178</v>
      </c>
      <c r="J13" s="3">
        <v>2970</v>
      </c>
      <c r="K13" s="4">
        <v>241843</v>
      </c>
      <c r="L13" s="9">
        <f t="shared" si="2"/>
        <v>241</v>
      </c>
      <c r="N13" s="1"/>
    </row>
    <row r="14" spans="1:14" x14ac:dyDescent="0.2">
      <c r="B14" s="2">
        <v>10</v>
      </c>
      <c r="C14" s="11">
        <v>44053</v>
      </c>
      <c r="D14" s="7">
        <v>47</v>
      </c>
      <c r="E14" s="12">
        <v>33363</v>
      </c>
      <c r="F14" s="4">
        <v>175303</v>
      </c>
      <c r="G14" s="8">
        <f t="shared" si="0"/>
        <v>85</v>
      </c>
      <c r="H14" s="7">
        <v>400293</v>
      </c>
      <c r="I14" s="3">
        <f t="shared" si="1"/>
        <v>27</v>
      </c>
      <c r="J14" s="3">
        <v>0</v>
      </c>
      <c r="K14" s="4">
        <v>242084</v>
      </c>
      <c r="L14" s="9">
        <f t="shared" si="2"/>
        <v>511</v>
      </c>
      <c r="N14" s="1"/>
    </row>
    <row r="15" spans="1:14" x14ac:dyDescent="0.2">
      <c r="B15" s="2">
        <v>11</v>
      </c>
      <c r="C15" s="11">
        <v>44054</v>
      </c>
      <c r="D15" s="7">
        <v>37</v>
      </c>
      <c r="E15" s="12">
        <v>33363</v>
      </c>
      <c r="F15" s="4">
        <v>175388</v>
      </c>
      <c r="G15" s="8">
        <f t="shared" si="0"/>
        <v>89</v>
      </c>
      <c r="H15" s="7">
        <v>400320</v>
      </c>
      <c r="I15" s="3">
        <f t="shared" si="1"/>
        <v>382</v>
      </c>
      <c r="J15" s="3">
        <v>0</v>
      </c>
      <c r="K15" s="4">
        <v>242595</v>
      </c>
      <c r="L15" s="9">
        <f t="shared" si="2"/>
        <v>184</v>
      </c>
      <c r="N15" s="1"/>
    </row>
    <row r="16" spans="1:14" ht="13.5" customHeight="1" x14ac:dyDescent="0.2">
      <c r="B16" s="2">
        <v>12</v>
      </c>
      <c r="C16" s="11">
        <v>44055</v>
      </c>
      <c r="D16" s="7">
        <v>32</v>
      </c>
      <c r="E16" s="12">
        <v>33135</v>
      </c>
      <c r="F16" s="4">
        <v>175477</v>
      </c>
      <c r="G16" s="8">
        <f t="shared" si="0"/>
        <v>83</v>
      </c>
      <c r="H16" s="7">
        <v>400702</v>
      </c>
      <c r="I16" s="3">
        <f t="shared" si="1"/>
        <v>351</v>
      </c>
      <c r="J16" s="3">
        <v>2970</v>
      </c>
      <c r="K16" s="4">
        <v>242779</v>
      </c>
      <c r="L16" s="9">
        <f t="shared" si="2"/>
        <v>275</v>
      </c>
      <c r="N16" s="1"/>
    </row>
    <row r="17" spans="1:14" x14ac:dyDescent="0.2">
      <c r="B17" s="2">
        <v>13</v>
      </c>
      <c r="C17" s="11">
        <v>44056</v>
      </c>
      <c r="D17" s="7">
        <v>45</v>
      </c>
      <c r="E17" s="12">
        <v>35519</v>
      </c>
      <c r="F17" s="4">
        <v>175560</v>
      </c>
      <c r="G17" s="8">
        <f t="shared" si="0"/>
        <v>72</v>
      </c>
      <c r="H17" s="7">
        <v>401053</v>
      </c>
      <c r="I17" s="3">
        <f t="shared" si="1"/>
        <v>189</v>
      </c>
      <c r="J17" s="3">
        <v>0</v>
      </c>
      <c r="K17" s="4">
        <v>243054</v>
      </c>
      <c r="L17" s="9">
        <f t="shared" si="2"/>
        <v>305</v>
      </c>
      <c r="N17" s="1"/>
    </row>
    <row r="18" spans="1:14" ht="13.5" customHeight="1" x14ac:dyDescent="0.2">
      <c r="B18" s="2">
        <v>14</v>
      </c>
      <c r="C18" s="11">
        <v>44057</v>
      </c>
      <c r="D18" s="7">
        <v>51</v>
      </c>
      <c r="E18" s="13">
        <v>35917</v>
      </c>
      <c r="F18" s="4">
        <v>175632</v>
      </c>
      <c r="G18" s="8">
        <f t="shared" si="0"/>
        <v>81</v>
      </c>
      <c r="H18" s="17">
        <v>401242</v>
      </c>
      <c r="I18" s="3">
        <f t="shared" si="1"/>
        <v>230</v>
      </c>
      <c r="J18" s="3">
        <v>0</v>
      </c>
      <c r="K18" s="4">
        <v>243359</v>
      </c>
      <c r="L18" s="9">
        <f t="shared" si="2"/>
        <v>176</v>
      </c>
      <c r="N18" s="1"/>
    </row>
    <row r="19" spans="1:14" x14ac:dyDescent="0.2">
      <c r="B19" s="2">
        <v>15</v>
      </c>
      <c r="C19" s="11">
        <v>44058</v>
      </c>
      <c r="D19" s="7">
        <v>28</v>
      </c>
      <c r="E19" s="13">
        <v>34797</v>
      </c>
      <c r="F19" s="4">
        <v>175713</v>
      </c>
      <c r="G19" s="8">
        <f t="shared" si="0"/>
        <v>77</v>
      </c>
      <c r="H19" s="7">
        <v>401472</v>
      </c>
      <c r="I19" s="3">
        <f t="shared" si="1"/>
        <v>233</v>
      </c>
      <c r="J19" s="3">
        <v>0</v>
      </c>
      <c r="K19" s="4">
        <v>243535</v>
      </c>
      <c r="L19" s="9">
        <f t="shared" si="2"/>
        <v>311</v>
      </c>
      <c r="N19" s="1"/>
    </row>
    <row r="20" spans="1:14" x14ac:dyDescent="0.2">
      <c r="A20" t="s">
        <v>28</v>
      </c>
      <c r="B20" s="2">
        <v>16</v>
      </c>
      <c r="C20" s="11">
        <v>44059</v>
      </c>
      <c r="D20" s="7">
        <v>19</v>
      </c>
      <c r="E20" s="13">
        <v>37307</v>
      </c>
      <c r="F20" s="4">
        <v>175790</v>
      </c>
      <c r="G20" s="8">
        <f t="shared" si="0"/>
        <v>74</v>
      </c>
      <c r="H20" s="4">
        <v>401705</v>
      </c>
      <c r="I20" s="3">
        <f t="shared" si="1"/>
        <v>149</v>
      </c>
      <c r="J20" s="3">
        <v>0</v>
      </c>
      <c r="K20" s="4">
        <v>243846</v>
      </c>
      <c r="L20" s="9">
        <f t="shared" si="2"/>
        <v>287</v>
      </c>
      <c r="N20" s="1"/>
    </row>
    <row r="21" spans="1:14" x14ac:dyDescent="0.2">
      <c r="B21" s="2">
        <v>17</v>
      </c>
      <c r="C21" s="11">
        <v>44060</v>
      </c>
      <c r="D21" s="7">
        <v>37</v>
      </c>
      <c r="E21" s="12">
        <v>34797</v>
      </c>
      <c r="F21" s="4">
        <v>175864</v>
      </c>
      <c r="G21" s="8">
        <f t="shared" si="0"/>
        <v>72</v>
      </c>
      <c r="H21" s="4">
        <v>401854</v>
      </c>
      <c r="I21" s="3">
        <f t="shared" si="1"/>
        <v>201</v>
      </c>
      <c r="J21" s="3">
        <v>0</v>
      </c>
      <c r="K21" s="4">
        <v>244133</v>
      </c>
      <c r="L21" s="9">
        <f t="shared" si="2"/>
        <v>389</v>
      </c>
      <c r="N21" s="1"/>
    </row>
    <row r="22" spans="1:14" x14ac:dyDescent="0.2">
      <c r="B22" s="2">
        <v>18</v>
      </c>
      <c r="C22" s="11">
        <v>44061</v>
      </c>
      <c r="D22" s="7">
        <v>34</v>
      </c>
      <c r="E22" s="12">
        <v>33587</v>
      </c>
      <c r="F22" s="4">
        <v>175936</v>
      </c>
      <c r="G22" s="8">
        <f t="shared" si="0"/>
        <v>77</v>
      </c>
      <c r="H22" s="4">
        <v>402055</v>
      </c>
      <c r="I22" s="3">
        <f t="shared" si="1"/>
        <v>231</v>
      </c>
      <c r="J22" s="3">
        <v>2970</v>
      </c>
      <c r="K22" s="4">
        <v>244522</v>
      </c>
      <c r="L22" s="9">
        <f t="shared" si="2"/>
        <v>335</v>
      </c>
      <c r="N22" s="1"/>
    </row>
    <row r="23" spans="1:14" x14ac:dyDescent="0.2">
      <c r="B23" s="2">
        <v>19</v>
      </c>
      <c r="C23" s="11">
        <v>44062</v>
      </c>
      <c r="D23" s="7">
        <v>50</v>
      </c>
      <c r="E23" s="13">
        <v>34818</v>
      </c>
      <c r="F23" s="4">
        <v>176013</v>
      </c>
      <c r="G23" s="8">
        <f t="shared" ref="G23:G35" si="3">F24-F23</f>
        <v>79</v>
      </c>
      <c r="H23" s="4">
        <v>402286</v>
      </c>
      <c r="I23" s="3">
        <f t="shared" ref="I23:I35" si="4">H24-H23</f>
        <v>241</v>
      </c>
      <c r="J23" s="3">
        <v>0</v>
      </c>
      <c r="K23" s="4">
        <v>244857</v>
      </c>
      <c r="L23" s="9">
        <f>K24-K23</f>
        <v>246</v>
      </c>
      <c r="N23" s="1"/>
    </row>
    <row r="24" spans="1:14" ht="12" customHeight="1" x14ac:dyDescent="0.2">
      <c r="B24" s="2">
        <v>20</v>
      </c>
      <c r="C24" s="11">
        <v>44063</v>
      </c>
      <c r="D24" s="7">
        <v>69</v>
      </c>
      <c r="E24" s="13">
        <v>35903</v>
      </c>
      <c r="F24" s="4">
        <v>176092</v>
      </c>
      <c r="G24" s="8">
        <f t="shared" si="3"/>
        <v>82</v>
      </c>
      <c r="H24" s="31">
        <v>402527</v>
      </c>
      <c r="I24" s="3">
        <f t="shared" si="4"/>
        <v>253</v>
      </c>
      <c r="J24" s="3">
        <v>0</v>
      </c>
      <c r="K24" s="31">
        <v>245103</v>
      </c>
      <c r="L24" s="9">
        <f>K25-K24</f>
        <v>286</v>
      </c>
      <c r="N24" s="1"/>
    </row>
    <row r="25" spans="1:14" x14ac:dyDescent="0.2">
      <c r="B25" s="2">
        <v>21</v>
      </c>
      <c r="C25" s="11">
        <v>44064</v>
      </c>
      <c r="D25" s="7">
        <v>60</v>
      </c>
      <c r="E25" s="12">
        <v>36880</v>
      </c>
      <c r="F25" s="4">
        <v>176174</v>
      </c>
      <c r="G25" s="8">
        <f t="shared" si="3"/>
        <v>79</v>
      </c>
      <c r="H25" s="4">
        <v>402780</v>
      </c>
      <c r="I25" s="3">
        <f t="shared" si="4"/>
        <v>205</v>
      </c>
      <c r="J25" s="3">
        <v>0</v>
      </c>
      <c r="K25" s="4">
        <v>245389</v>
      </c>
      <c r="L25" s="9">
        <f>K26-K25</f>
        <v>171</v>
      </c>
      <c r="N25" s="1"/>
    </row>
    <row r="26" spans="1:14" x14ac:dyDescent="0.2">
      <c r="B26" s="2">
        <v>22</v>
      </c>
      <c r="C26" s="11">
        <v>44065</v>
      </c>
      <c r="D26" s="7">
        <v>22</v>
      </c>
      <c r="E26" s="12">
        <v>37851</v>
      </c>
      <c r="F26" s="4">
        <v>176253</v>
      </c>
      <c r="G26" s="8">
        <f t="shared" si="3"/>
        <v>77</v>
      </c>
      <c r="H26" s="4">
        <v>402985</v>
      </c>
      <c r="I26" s="3">
        <f t="shared" si="4"/>
        <v>392</v>
      </c>
      <c r="J26" s="3">
        <v>2970</v>
      </c>
      <c r="K26" s="4">
        <v>245560</v>
      </c>
      <c r="L26" s="9">
        <f>K27-K26</f>
        <v>0</v>
      </c>
      <c r="N26" s="1"/>
    </row>
    <row r="27" spans="1:14" x14ac:dyDescent="0.2">
      <c r="B27" s="2">
        <v>23</v>
      </c>
      <c r="C27" s="11">
        <v>44066</v>
      </c>
      <c r="D27" s="7">
        <v>36</v>
      </c>
      <c r="E27" s="12">
        <v>33166</v>
      </c>
      <c r="F27" s="4">
        <v>176330</v>
      </c>
      <c r="G27" s="8">
        <f t="shared" si="3"/>
        <v>89</v>
      </c>
      <c r="H27" s="7">
        <v>403377</v>
      </c>
      <c r="I27" s="3">
        <f t="shared" si="4"/>
        <v>190</v>
      </c>
      <c r="J27" s="3">
        <v>0</v>
      </c>
      <c r="K27" s="4">
        <v>245560</v>
      </c>
      <c r="L27" s="9">
        <f t="shared" ref="L27:L35" si="5">K28-K27</f>
        <v>375</v>
      </c>
      <c r="N27" s="1"/>
    </row>
    <row r="28" spans="1:14" ht="12.75" customHeight="1" x14ac:dyDescent="0.2">
      <c r="A28" t="s">
        <v>28</v>
      </c>
      <c r="B28" s="2">
        <v>24</v>
      </c>
      <c r="C28" s="11">
        <v>44067</v>
      </c>
      <c r="D28" s="7">
        <v>64</v>
      </c>
      <c r="E28" s="12">
        <v>35778</v>
      </c>
      <c r="F28" s="4">
        <v>176419</v>
      </c>
      <c r="G28" s="8">
        <f t="shared" si="3"/>
        <v>94</v>
      </c>
      <c r="H28" s="7">
        <v>403567</v>
      </c>
      <c r="I28" s="3">
        <f t="shared" si="4"/>
        <v>198</v>
      </c>
      <c r="J28" s="3">
        <v>0</v>
      </c>
      <c r="K28" s="4">
        <v>245935</v>
      </c>
      <c r="L28" s="9">
        <f t="shared" si="5"/>
        <v>246</v>
      </c>
      <c r="N28" s="1"/>
    </row>
    <row r="29" spans="1:14" x14ac:dyDescent="0.2">
      <c r="B29" s="2">
        <v>25</v>
      </c>
      <c r="C29" s="11">
        <v>44068</v>
      </c>
      <c r="D29" s="7">
        <v>90</v>
      </c>
      <c r="E29" s="12">
        <v>36754</v>
      </c>
      <c r="F29" s="4">
        <v>176513</v>
      </c>
      <c r="G29" s="8">
        <f t="shared" si="3"/>
        <v>90</v>
      </c>
      <c r="H29" s="7">
        <v>403765</v>
      </c>
      <c r="I29" s="3">
        <f t="shared" si="4"/>
        <v>264</v>
      </c>
      <c r="J29" s="3">
        <v>2970</v>
      </c>
      <c r="K29" s="4">
        <v>246181</v>
      </c>
      <c r="L29" s="9">
        <f t="shared" si="5"/>
        <v>263</v>
      </c>
      <c r="N29" s="1"/>
    </row>
    <row r="30" spans="1:14" x14ac:dyDescent="0.2">
      <c r="B30" s="2">
        <v>26</v>
      </c>
      <c r="C30" s="11">
        <v>44069</v>
      </c>
      <c r="D30" s="7">
        <v>104</v>
      </c>
      <c r="E30" s="12">
        <v>36575</v>
      </c>
      <c r="F30" s="4">
        <v>176603</v>
      </c>
      <c r="G30" s="8">
        <f t="shared" si="3"/>
        <v>87</v>
      </c>
      <c r="H30" s="7">
        <v>404029</v>
      </c>
      <c r="I30" s="3">
        <f t="shared" si="4"/>
        <v>252</v>
      </c>
      <c r="J30" s="3">
        <v>0</v>
      </c>
      <c r="K30" s="33">
        <v>246444</v>
      </c>
      <c r="L30" s="9">
        <f t="shared" si="5"/>
        <v>225</v>
      </c>
      <c r="N30" s="1"/>
    </row>
    <row r="31" spans="1:14" x14ac:dyDescent="0.2">
      <c r="A31" t="s">
        <v>29</v>
      </c>
      <c r="B31" s="2">
        <v>27</v>
      </c>
      <c r="C31" s="11">
        <v>44070</v>
      </c>
      <c r="D31" s="7">
        <v>92</v>
      </c>
      <c r="E31" s="12">
        <v>37649</v>
      </c>
      <c r="F31" s="4">
        <v>176690</v>
      </c>
      <c r="G31" s="8">
        <f t="shared" si="3"/>
        <v>81</v>
      </c>
      <c r="H31" s="7">
        <v>404281</v>
      </c>
      <c r="I31" s="3">
        <f t="shared" si="4"/>
        <v>120</v>
      </c>
      <c r="J31" s="3">
        <v>0</v>
      </c>
      <c r="K31" s="4">
        <v>246669</v>
      </c>
      <c r="L31" s="9">
        <f t="shared" si="5"/>
        <v>266</v>
      </c>
      <c r="N31" s="1"/>
    </row>
    <row r="32" spans="1:14" x14ac:dyDescent="0.2">
      <c r="B32" s="2">
        <v>28</v>
      </c>
      <c r="C32" s="11">
        <v>44071</v>
      </c>
      <c r="D32" s="7">
        <v>115</v>
      </c>
      <c r="E32" s="12">
        <v>37455</v>
      </c>
      <c r="F32" s="26">
        <v>176771</v>
      </c>
      <c r="G32" s="8">
        <f t="shared" si="3"/>
        <v>88</v>
      </c>
      <c r="H32" s="7">
        <v>404401</v>
      </c>
      <c r="I32" s="3">
        <f t="shared" si="4"/>
        <v>438</v>
      </c>
      <c r="J32" s="3">
        <v>0</v>
      </c>
      <c r="K32" s="4">
        <v>246935</v>
      </c>
      <c r="L32" s="9">
        <f t="shared" si="5"/>
        <v>296</v>
      </c>
      <c r="N32" s="1"/>
    </row>
    <row r="33" spans="2:14" x14ac:dyDescent="0.2">
      <c r="B33" s="23">
        <v>29</v>
      </c>
      <c r="C33" s="11">
        <v>44072</v>
      </c>
      <c r="D33" s="24">
        <v>131</v>
      </c>
      <c r="E33" s="25">
        <v>39160</v>
      </c>
      <c r="F33" s="31">
        <v>176859</v>
      </c>
      <c r="G33" s="8">
        <f t="shared" si="3"/>
        <v>91</v>
      </c>
      <c r="H33" s="24">
        <v>404839</v>
      </c>
      <c r="I33" s="3">
        <f t="shared" si="4"/>
        <v>521</v>
      </c>
      <c r="J33" s="27">
        <v>0</v>
      </c>
      <c r="K33" s="32">
        <v>247231</v>
      </c>
      <c r="L33" s="9">
        <f t="shared" si="5"/>
        <v>410</v>
      </c>
      <c r="N33" s="1"/>
    </row>
    <row r="34" spans="2:14" ht="13.5" thickBot="1" x14ac:dyDescent="0.25">
      <c r="B34" s="23">
        <v>30</v>
      </c>
      <c r="C34" s="11">
        <v>44073</v>
      </c>
      <c r="D34" s="22">
        <v>103</v>
      </c>
      <c r="E34" s="3">
        <v>37997</v>
      </c>
      <c r="F34" s="22">
        <v>176950</v>
      </c>
      <c r="G34" s="8">
        <f t="shared" si="3"/>
        <v>80</v>
      </c>
      <c r="H34" s="22">
        <v>405360</v>
      </c>
      <c r="I34" s="3">
        <f t="shared" si="4"/>
        <v>372</v>
      </c>
      <c r="J34" s="29">
        <v>2970</v>
      </c>
      <c r="K34" s="32">
        <v>247641</v>
      </c>
      <c r="L34" s="9">
        <f t="shared" si="5"/>
        <v>17</v>
      </c>
      <c r="M34" s="16"/>
      <c r="N34" s="1"/>
    </row>
    <row r="35" spans="2:14" ht="13.5" thickBot="1" x14ac:dyDescent="0.25">
      <c r="B35" s="22">
        <v>31</v>
      </c>
      <c r="C35" s="11">
        <v>44074</v>
      </c>
      <c r="D35" s="28">
        <v>34</v>
      </c>
      <c r="E35" s="30">
        <v>37843</v>
      </c>
      <c r="F35" s="28">
        <v>177030</v>
      </c>
      <c r="G35" s="8">
        <f t="shared" si="3"/>
        <v>89</v>
      </c>
      <c r="H35" s="28">
        <v>405732</v>
      </c>
      <c r="I35" s="3">
        <f t="shared" si="4"/>
        <v>446</v>
      </c>
      <c r="J35" s="29">
        <v>2970</v>
      </c>
      <c r="K35" s="32">
        <v>247658</v>
      </c>
      <c r="L35" s="9">
        <f t="shared" si="5"/>
        <v>334</v>
      </c>
      <c r="M35" s="16"/>
      <c r="N35" s="1"/>
    </row>
    <row r="36" spans="2:14" x14ac:dyDescent="0.2">
      <c r="E36" s="1"/>
      <c r="F36" s="31">
        <v>177119</v>
      </c>
      <c r="G36" s="1"/>
      <c r="H36" s="17">
        <v>406178</v>
      </c>
      <c r="I36" s="1"/>
      <c r="K36" s="31">
        <v>247992</v>
      </c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2020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2020-09-02T06:19:17Z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