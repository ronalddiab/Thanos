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698A63BB-31D9-4E66-A140-6AAA06D6D7DC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2019-2022 Utility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36" i="1" l="1"/>
  <c r="I34" i="5"/>
  <c r="AG15" i="1"/>
  <c r="AC15" i="1"/>
  <c r="H34" i="5"/>
  <c r="AC8" i="1"/>
  <c r="U33" i="1"/>
  <c r="S33" i="1"/>
  <c r="R33" i="1"/>
  <c r="Q33" i="1"/>
  <c r="P33" i="1"/>
  <c r="O33" i="1"/>
  <c r="N33" i="1"/>
  <c r="M33" i="1"/>
  <c r="W27" i="1"/>
  <c r="Z34" i="1"/>
  <c r="B37" i="6"/>
  <c r="F37" i="6"/>
  <c r="E37" i="6"/>
  <c r="D37" i="6"/>
  <c r="C37" i="6"/>
  <c r="H46" i="5"/>
  <c r="H45" i="5"/>
  <c r="H44" i="5"/>
  <c r="H43" i="5"/>
  <c r="H42" i="5"/>
  <c r="Y5" i="6"/>
  <c r="K3" i="6"/>
  <c r="D6" i="6"/>
  <c r="B32" i="3"/>
  <c r="R29" i="6"/>
  <c r="S23" i="1"/>
  <c r="S24" i="1"/>
  <c r="S25" i="1"/>
  <c r="S26" i="1"/>
  <c r="S27" i="1"/>
  <c r="S28" i="1"/>
  <c r="S29" i="1"/>
  <c r="S30" i="1"/>
  <c r="S31" i="1"/>
  <c r="S32" i="1"/>
  <c r="S22" i="1"/>
  <c r="S17" i="1"/>
  <c r="S18" i="1"/>
  <c r="S19" i="1"/>
  <c r="S20" i="1"/>
  <c r="S21" i="1"/>
  <c r="C3" i="5"/>
  <c r="I6" i="5"/>
  <c r="D34" i="5"/>
  <c r="Y8" i="6"/>
  <c r="D3" i="6"/>
  <c r="C35" i="1"/>
  <c r="Y34" i="1"/>
  <c r="X34" i="1"/>
  <c r="W34" i="1"/>
  <c r="V34" i="1"/>
  <c r="I29" i="5"/>
  <c r="AA34" i="1"/>
  <c r="AC10" i="1"/>
  <c r="Y30" i="6"/>
  <c r="F46" i="5"/>
  <c r="F45" i="5"/>
  <c r="F44" i="5"/>
  <c r="F43" i="5"/>
  <c r="F42" i="5"/>
  <c r="G35" i="5" s="1"/>
  <c r="D42" i="5"/>
  <c r="D43" i="5"/>
  <c r="D44" i="5"/>
  <c r="D45" i="5"/>
  <c r="D46" i="5"/>
  <c r="AF22" i="6"/>
  <c r="K21" i="6"/>
  <c r="I5" i="5"/>
  <c r="I7" i="5"/>
  <c r="I8" i="5"/>
  <c r="I9" i="5"/>
  <c r="I4" i="5"/>
  <c r="AF20" i="6"/>
  <c r="S4" i="1"/>
  <c r="S5" i="1"/>
  <c r="S6" i="1"/>
  <c r="S7" i="1"/>
  <c r="S8" i="1"/>
  <c r="S9" i="1"/>
  <c r="S10" i="1"/>
  <c r="S11" i="1"/>
  <c r="S12" i="1"/>
  <c r="S13" i="1"/>
  <c r="S14" i="1"/>
  <c r="S15" i="1"/>
  <c r="S16" i="1"/>
  <c r="C34" i="6"/>
  <c r="E34" i="6"/>
  <c r="I34" i="6"/>
  <c r="J34" i="6"/>
  <c r="L34" i="6"/>
  <c r="S34" i="6"/>
  <c r="W34" i="6"/>
  <c r="X34" i="6"/>
  <c r="Z34" i="6"/>
  <c r="AD34" i="6"/>
  <c r="AE34" i="6"/>
  <c r="AG34" i="6"/>
  <c r="B34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R13" i="1"/>
  <c r="G13" i="5" s="1"/>
  <c r="R14" i="1"/>
  <c r="G14" i="5" s="1"/>
  <c r="R15" i="1"/>
  <c r="G15" i="5" s="1"/>
  <c r="R16" i="1"/>
  <c r="G16" i="5" s="1"/>
  <c r="R17" i="1"/>
  <c r="G17" i="5" s="1"/>
  <c r="R18" i="1"/>
  <c r="G18" i="5" s="1"/>
  <c r="R19" i="1"/>
  <c r="G19" i="5" s="1"/>
  <c r="R20" i="1"/>
  <c r="G20" i="5" s="1"/>
  <c r="R21" i="1"/>
  <c r="G21" i="5" s="1"/>
  <c r="R22" i="1"/>
  <c r="G22" i="5" s="1"/>
  <c r="R23" i="1"/>
  <c r="G23" i="5" s="1"/>
  <c r="R24" i="1"/>
  <c r="G24" i="5" s="1"/>
  <c r="R25" i="1"/>
  <c r="G25" i="5" s="1"/>
  <c r="R26" i="1"/>
  <c r="G26" i="5" s="1"/>
  <c r="R27" i="1"/>
  <c r="G27" i="5" s="1"/>
  <c r="R28" i="1"/>
  <c r="G28" i="5" s="1"/>
  <c r="R29" i="1"/>
  <c r="G29" i="5" s="1"/>
  <c r="R30" i="1"/>
  <c r="G30" i="5" s="1"/>
  <c r="R31" i="1"/>
  <c r="G31" i="5" s="1"/>
  <c r="R32" i="1"/>
  <c r="G32" i="5" s="1"/>
  <c r="G33" i="5"/>
  <c r="R4" i="1"/>
  <c r="G4" i="5" s="1"/>
  <c r="R5" i="1"/>
  <c r="G5" i="5" s="1"/>
  <c r="R6" i="1"/>
  <c r="G6" i="5" s="1"/>
  <c r="R7" i="1"/>
  <c r="G7" i="5" s="1"/>
  <c r="R8" i="1"/>
  <c r="G8" i="5" s="1"/>
  <c r="R9" i="1"/>
  <c r="G9" i="5" s="1"/>
  <c r="R10" i="1"/>
  <c r="G10" i="5" s="1"/>
  <c r="R11" i="1"/>
  <c r="G11" i="5" s="1"/>
  <c r="R12" i="1"/>
  <c r="G12" i="5" s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" i="1"/>
  <c r="Q34" i="1" s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" i="1"/>
  <c r="P34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" i="1"/>
  <c r="N34" i="1" s="1"/>
  <c r="M4" i="1"/>
  <c r="E4" i="5" s="1"/>
  <c r="M5" i="1"/>
  <c r="E5" i="5" s="1"/>
  <c r="M6" i="1"/>
  <c r="E6" i="5" s="1"/>
  <c r="M7" i="1"/>
  <c r="E7" i="5" s="1"/>
  <c r="M8" i="1"/>
  <c r="E8" i="5" s="1"/>
  <c r="M9" i="1"/>
  <c r="E9" i="5" s="1"/>
  <c r="M10" i="1"/>
  <c r="E10" i="5" s="1"/>
  <c r="M11" i="1"/>
  <c r="E11" i="5" s="1"/>
  <c r="M12" i="1"/>
  <c r="E12" i="5" s="1"/>
  <c r="M13" i="1"/>
  <c r="E13" i="5" s="1"/>
  <c r="M14" i="1"/>
  <c r="E14" i="5" s="1"/>
  <c r="M15" i="1"/>
  <c r="E15" i="5" s="1"/>
  <c r="M16" i="1"/>
  <c r="E16" i="5" s="1"/>
  <c r="M17" i="1"/>
  <c r="E17" i="5" s="1"/>
  <c r="M18" i="1"/>
  <c r="E18" i="5" s="1"/>
  <c r="M19" i="1"/>
  <c r="E19" i="5" s="1"/>
  <c r="M20" i="1"/>
  <c r="E20" i="5" s="1"/>
  <c r="M21" i="1"/>
  <c r="E21" i="5" s="1"/>
  <c r="M22" i="1"/>
  <c r="E22" i="5" s="1"/>
  <c r="M23" i="1"/>
  <c r="E23" i="5" s="1"/>
  <c r="M24" i="1"/>
  <c r="E24" i="5" s="1"/>
  <c r="M25" i="1"/>
  <c r="E25" i="5" s="1"/>
  <c r="M26" i="1"/>
  <c r="E26" i="5" s="1"/>
  <c r="M27" i="1"/>
  <c r="E27" i="5" s="1"/>
  <c r="M28" i="1"/>
  <c r="E28" i="5" s="1"/>
  <c r="M29" i="1"/>
  <c r="E29" i="5" s="1"/>
  <c r="M30" i="1"/>
  <c r="E30" i="5" s="1"/>
  <c r="M31" i="1"/>
  <c r="E31" i="5" s="1"/>
  <c r="M32" i="1"/>
  <c r="E32" i="5" s="1"/>
  <c r="E33" i="5"/>
  <c r="M3" i="1"/>
  <c r="M34" i="1" s="1"/>
  <c r="AA9" i="6"/>
  <c r="Y3" i="6"/>
  <c r="W27" i="4"/>
  <c r="X27" i="4"/>
  <c r="Y27" i="4"/>
  <c r="Z27" i="4"/>
  <c r="AA27" i="4"/>
  <c r="W28" i="4"/>
  <c r="X28" i="4"/>
  <c r="Y28" i="4"/>
  <c r="Z28" i="4"/>
  <c r="K28" i="3" s="1"/>
  <c r="AA28" i="4"/>
  <c r="W29" i="4"/>
  <c r="X29" i="4"/>
  <c r="Y29" i="4"/>
  <c r="Z29" i="4"/>
  <c r="AA29" i="4"/>
  <c r="W30" i="4"/>
  <c r="X30" i="4"/>
  <c r="Y30" i="4"/>
  <c r="Z30" i="4"/>
  <c r="AA30" i="4"/>
  <c r="W31" i="4"/>
  <c r="X31" i="4"/>
  <c r="Y31" i="4"/>
  <c r="Z31" i="4"/>
  <c r="AA31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K27" i="3"/>
  <c r="K29" i="3"/>
  <c r="K30" i="3"/>
  <c r="K31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Y32" i="6"/>
  <c r="R32" i="6"/>
  <c r="G38" i="5"/>
  <c r="G39" i="5" s="1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9" i="6"/>
  <c r="AH30" i="6"/>
  <c r="AH31" i="6"/>
  <c r="AH32" i="6"/>
  <c r="AH33" i="6"/>
  <c r="AA29" i="6"/>
  <c r="AA30" i="6"/>
  <c r="AA31" i="6"/>
  <c r="AA32" i="6"/>
  <c r="AA33" i="6"/>
  <c r="AA3" i="6"/>
  <c r="AB3" i="6" s="1"/>
  <c r="AA4" i="6"/>
  <c r="AA5" i="6"/>
  <c r="AA6" i="6"/>
  <c r="AA7" i="6"/>
  <c r="AA8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T29" i="6"/>
  <c r="T30" i="6"/>
  <c r="T31" i="6"/>
  <c r="T32" i="6"/>
  <c r="T33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Y23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9" i="6"/>
  <c r="F30" i="6"/>
  <c r="F31" i="6"/>
  <c r="F32" i="6"/>
  <c r="F33" i="6"/>
  <c r="F28" i="6"/>
  <c r="R23" i="6"/>
  <c r="T28" i="6"/>
  <c r="R28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9" i="6"/>
  <c r="M30" i="6"/>
  <c r="M31" i="6"/>
  <c r="M32" i="6"/>
  <c r="M3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2" i="6"/>
  <c r="K23" i="6"/>
  <c r="K24" i="6"/>
  <c r="K25" i="6"/>
  <c r="K26" i="6"/>
  <c r="K27" i="6"/>
  <c r="K29" i="6"/>
  <c r="K30" i="6"/>
  <c r="K31" i="6"/>
  <c r="K32" i="6"/>
  <c r="K33" i="6"/>
  <c r="AF33" i="6"/>
  <c r="AI33" i="6" s="1"/>
  <c r="AF32" i="6"/>
  <c r="AI32" i="6" s="1"/>
  <c r="AF31" i="6"/>
  <c r="AI31" i="6" s="1"/>
  <c r="AF30" i="6"/>
  <c r="AI30" i="6" s="1"/>
  <c r="AF29" i="6"/>
  <c r="AI29" i="6" s="1"/>
  <c r="AH28" i="6"/>
  <c r="AF28" i="6"/>
  <c r="AF27" i="6"/>
  <c r="AI27" i="6" s="1"/>
  <c r="AF26" i="6"/>
  <c r="AI26" i="6" s="1"/>
  <c r="AF25" i="6"/>
  <c r="AI25" i="6" s="1"/>
  <c r="AF24" i="6"/>
  <c r="AI24" i="6" s="1"/>
  <c r="AF23" i="6"/>
  <c r="AI23" i="6" s="1"/>
  <c r="AI22" i="6"/>
  <c r="AF21" i="6"/>
  <c r="AI21" i="6" s="1"/>
  <c r="AI20" i="6"/>
  <c r="AF19" i="6"/>
  <c r="AI19" i="6" s="1"/>
  <c r="AF18" i="6"/>
  <c r="AI18" i="6" s="1"/>
  <c r="AF17" i="6"/>
  <c r="AI17" i="6" s="1"/>
  <c r="AF16" i="6"/>
  <c r="AI16" i="6" s="1"/>
  <c r="AF15" i="6"/>
  <c r="AI15" i="6" s="1"/>
  <c r="AF14" i="6"/>
  <c r="AF13" i="6"/>
  <c r="AI13" i="6" s="1"/>
  <c r="AF12" i="6"/>
  <c r="AI12" i="6" s="1"/>
  <c r="AF11" i="6"/>
  <c r="AI11" i="6" s="1"/>
  <c r="AF10" i="6"/>
  <c r="AI10" i="6" s="1"/>
  <c r="AF9" i="6"/>
  <c r="AI9" i="6" s="1"/>
  <c r="AF8" i="6"/>
  <c r="AI8" i="6" s="1"/>
  <c r="AF7" i="6"/>
  <c r="AI7" i="6" s="1"/>
  <c r="AF6" i="6"/>
  <c r="AI6" i="6" s="1"/>
  <c r="AF5" i="6"/>
  <c r="AI5" i="6" s="1"/>
  <c r="AF4" i="6"/>
  <c r="AI4" i="6" s="1"/>
  <c r="AF3" i="6"/>
  <c r="AI3" i="6" s="1"/>
  <c r="Y33" i="6"/>
  <c r="AB33" i="6" s="1"/>
  <c r="AB32" i="6"/>
  <c r="Y31" i="6"/>
  <c r="AB31" i="6" s="1"/>
  <c r="AB30" i="6"/>
  <c r="Y29" i="6"/>
  <c r="AB29" i="6" s="1"/>
  <c r="AA28" i="6"/>
  <c r="Y28" i="6"/>
  <c r="Y27" i="6"/>
  <c r="AB27" i="6" s="1"/>
  <c r="Y26" i="6"/>
  <c r="AB26" i="6" s="1"/>
  <c r="Y25" i="6"/>
  <c r="AB25" i="6" s="1"/>
  <c r="Y24" i="6"/>
  <c r="AB24" i="6" s="1"/>
  <c r="AB23" i="6"/>
  <c r="Y22" i="6"/>
  <c r="AB22" i="6" s="1"/>
  <c r="Y21" i="6"/>
  <c r="AB21" i="6" s="1"/>
  <c r="Y20" i="6"/>
  <c r="AB20" i="6" s="1"/>
  <c r="Y19" i="6"/>
  <c r="AB19" i="6" s="1"/>
  <c r="Y18" i="6"/>
  <c r="AB18" i="6" s="1"/>
  <c r="Y17" i="6"/>
  <c r="AB17" i="6" s="1"/>
  <c r="Y16" i="6"/>
  <c r="AB16" i="6" s="1"/>
  <c r="Y15" i="6"/>
  <c r="AB15" i="6" s="1"/>
  <c r="Y14" i="6"/>
  <c r="Y13" i="6"/>
  <c r="AB13" i="6" s="1"/>
  <c r="Y12" i="6"/>
  <c r="AB12" i="6" s="1"/>
  <c r="Y11" i="6"/>
  <c r="AB11" i="6" s="1"/>
  <c r="Y10" i="6"/>
  <c r="AB10" i="6" s="1"/>
  <c r="Y9" i="6"/>
  <c r="AB9" i="6" s="1"/>
  <c r="AB8" i="6"/>
  <c r="Y7" i="6"/>
  <c r="AB7" i="6" s="1"/>
  <c r="Y6" i="6"/>
  <c r="AB6" i="6" s="1"/>
  <c r="AB5" i="6"/>
  <c r="Y4" i="6"/>
  <c r="AB4" i="6" s="1"/>
  <c r="R33" i="6"/>
  <c r="U33" i="6" s="1"/>
  <c r="U32" i="6"/>
  <c r="R31" i="6"/>
  <c r="U31" i="6" s="1"/>
  <c r="R30" i="6"/>
  <c r="U30" i="6" s="1"/>
  <c r="U29" i="6"/>
  <c r="R27" i="6"/>
  <c r="U27" i="6" s="1"/>
  <c r="R26" i="6"/>
  <c r="U26" i="6" s="1"/>
  <c r="R25" i="6"/>
  <c r="U25" i="6" s="1"/>
  <c r="R24" i="6"/>
  <c r="U24" i="6" s="1"/>
  <c r="U23" i="6"/>
  <c r="R22" i="6"/>
  <c r="U22" i="6" s="1"/>
  <c r="R21" i="6"/>
  <c r="U21" i="6" s="1"/>
  <c r="R20" i="6"/>
  <c r="U20" i="6" s="1"/>
  <c r="R19" i="6"/>
  <c r="U19" i="6" s="1"/>
  <c r="R18" i="6"/>
  <c r="U18" i="6" s="1"/>
  <c r="R17" i="6"/>
  <c r="U17" i="6" s="1"/>
  <c r="R16" i="6"/>
  <c r="U16" i="6" s="1"/>
  <c r="R15" i="6"/>
  <c r="U15" i="6" s="1"/>
  <c r="R14" i="6"/>
  <c r="R13" i="6"/>
  <c r="U13" i="6" s="1"/>
  <c r="R12" i="6"/>
  <c r="U12" i="6" s="1"/>
  <c r="R11" i="6"/>
  <c r="U11" i="6" s="1"/>
  <c r="R10" i="6"/>
  <c r="U10" i="6" s="1"/>
  <c r="R9" i="6"/>
  <c r="U9" i="6" s="1"/>
  <c r="R8" i="6"/>
  <c r="U8" i="6" s="1"/>
  <c r="R7" i="6"/>
  <c r="U7" i="6" s="1"/>
  <c r="R6" i="6"/>
  <c r="U6" i="6" s="1"/>
  <c r="R5" i="6"/>
  <c r="U5" i="6" s="1"/>
  <c r="R4" i="6"/>
  <c r="U4" i="6" s="1"/>
  <c r="R3" i="6"/>
  <c r="U3" i="6" s="1"/>
  <c r="N33" i="6"/>
  <c r="N32" i="6"/>
  <c r="N31" i="6"/>
  <c r="N30" i="6"/>
  <c r="M28" i="6"/>
  <c r="K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D4" i="6"/>
  <c r="D5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G23" i="6" s="1"/>
  <c r="D24" i="6"/>
  <c r="D25" i="6"/>
  <c r="D26" i="6"/>
  <c r="D27" i="6"/>
  <c r="D29" i="6"/>
  <c r="D30" i="6"/>
  <c r="D31" i="6"/>
  <c r="D32" i="6"/>
  <c r="D3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4" i="6"/>
  <c r="G25" i="6"/>
  <c r="G26" i="6"/>
  <c r="G27" i="6"/>
  <c r="G29" i="6"/>
  <c r="G30" i="6"/>
  <c r="G31" i="6"/>
  <c r="G32" i="6"/>
  <c r="G33" i="6"/>
  <c r="D28" i="6"/>
  <c r="G28" i="6"/>
  <c r="F34" i="5"/>
  <c r="I3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I32" i="5"/>
  <c r="I33" i="5"/>
  <c r="E3" i="5"/>
  <c r="E34" i="5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T3" i="4"/>
  <c r="T6" i="4"/>
  <c r="T15" i="4"/>
  <c r="T16" i="4"/>
  <c r="T17" i="4"/>
  <c r="T18" i="4"/>
  <c r="T23" i="4"/>
  <c r="T24" i="4"/>
  <c r="T26" i="4"/>
  <c r="T29" i="4"/>
  <c r="T30" i="4"/>
  <c r="T32" i="4"/>
  <c r="R34" i="1" l="1"/>
  <c r="G3" i="5"/>
  <c r="O34" i="1"/>
  <c r="L34" i="1" s="1"/>
  <c r="F34" i="6"/>
  <c r="G34" i="5"/>
  <c r="AH34" i="6"/>
  <c r="AA34" i="6"/>
  <c r="T34" i="6"/>
  <c r="G34" i="6"/>
  <c r="D34" i="6"/>
  <c r="K34" i="6"/>
  <c r="M34" i="6"/>
  <c r="AI14" i="6"/>
  <c r="AF34" i="6"/>
  <c r="AB14" i="6"/>
  <c r="AB34" i="6" s="1"/>
  <c r="Y34" i="6"/>
  <c r="U14" i="6"/>
  <c r="U34" i="6" s="1"/>
  <c r="R34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N28" i="6"/>
  <c r="N29" i="6"/>
  <c r="N3" i="6"/>
  <c r="N34" i="6" s="1"/>
  <c r="U28" i="6"/>
  <c r="AI28" i="6"/>
  <c r="AB28" i="6"/>
  <c r="U29" i="1"/>
  <c r="U30" i="1" s="1"/>
  <c r="U31" i="1" s="1"/>
  <c r="U32" i="1" s="1"/>
  <c r="T10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" i="4"/>
  <c r="O3" i="4"/>
  <c r="P3" i="4"/>
  <c r="Q3" i="4"/>
  <c r="R3" i="4"/>
  <c r="S3" i="4"/>
  <c r="AI34" i="6" l="1"/>
  <c r="E3" i="3"/>
  <c r="F3" i="3" s="1"/>
  <c r="AB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K32" i="3" s="1"/>
  <c r="AA32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K3" i="3" s="1"/>
  <c r="AA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K4" i="3" s="1"/>
  <c r="AA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K6" i="3" s="1"/>
  <c r="AA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K7" i="3" s="1"/>
  <c r="AA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K8" i="3" s="1"/>
  <c r="AA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K9" i="3" s="1"/>
  <c r="AA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K11" i="3" s="1"/>
  <c r="AA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V14" i="4"/>
  <c r="W14" i="4"/>
  <c r="X14" i="4"/>
  <c r="Y14" i="4"/>
  <c r="Z14" i="4"/>
  <c r="K14" i="3" s="1"/>
  <c r="AA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K15" i="3" s="1"/>
  <c r="AA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W17" i="4"/>
  <c r="X17" i="4"/>
  <c r="Y17" i="4"/>
  <c r="Z17" i="4"/>
  <c r="K17" i="3" s="1"/>
  <c r="AA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W19" i="4"/>
  <c r="X19" i="4"/>
  <c r="Y19" i="4"/>
  <c r="Z19" i="4"/>
  <c r="K19" i="3" s="1"/>
  <c r="AA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W20" i="4"/>
  <c r="X20" i="4"/>
  <c r="Y20" i="4"/>
  <c r="Z20" i="4"/>
  <c r="K20" i="3" s="1"/>
  <c r="AA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W22" i="4"/>
  <c r="X22" i="4"/>
  <c r="Y22" i="4"/>
  <c r="Z22" i="4"/>
  <c r="K22" i="3" s="1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  <c r="F31" i="3"/>
  <c r="T31" i="4"/>
</calcChain>
</file>

<file path=xl/sharedStrings.xml><?xml version="1.0" encoding="utf-8"?>
<sst xmlns="http://schemas.openxmlformats.org/spreadsheetml/2006/main" count="405" uniqueCount="229">
  <si>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</si>
  <si>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</si>
  <si>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</si>
  <si>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</si>
  <si>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</si>
  <si>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</si>
  <si>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</si>
  <si>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</si>
  <si>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</si>
  <si>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</si>
  <si>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</si>
  <si>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</si>
  <si>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</si>
  <si>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</si>
  <si>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</si>
  <si>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</si>
  <si>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</si>
  <si>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</si>
  <si>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</si>
  <si>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</si>
  <si>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</si>
  <si>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</si>
  <si>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</si>
  <si>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</si>
  <si>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</si>
  <si>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</si>
  <si>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</si>
  <si>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</si>
  <si>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</si>
  <si>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</si>
  <si>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</si>
  <si>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</si>
  <si>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</si>
  <si>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WT59- m3</t>
  </si>
  <si>
    <t>WT08- m3</t>
  </si>
  <si>
    <t>PUC (HOH)- m3</t>
  </si>
  <si>
    <t>PUC (Resort) -  m3</t>
  </si>
  <si>
    <t>DATE</t>
  </si>
  <si>
    <t>Room Night %</t>
  </si>
  <si>
    <t>Food Covers (Customers)</t>
  </si>
  <si>
    <t>SS-A (MWH)</t>
  </si>
  <si>
    <t>SS-B (MWH)</t>
  </si>
  <si>
    <t>SS-C (MWH)</t>
  </si>
  <si>
    <t>SS-D1 (MWH)</t>
  </si>
  <si>
    <t>SS-D2 (MWH)</t>
  </si>
  <si>
    <t>SS-E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</si>
  <si>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</si>
  <si>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</si>
  <si>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</si>
  <si>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</si>
  <si>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</si>
  <si>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</si>
  <si>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</si>
  <si>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</si>
  <si>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</si>
  <si>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</si>
  <si>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</si>
  <si>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</si>
  <si>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</si>
  <si>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WT59= WT59-SRV1-(SRV2+3)</t>
  </si>
  <si>
    <t>WT08 (m3)</t>
  </si>
  <si>
    <t>PUC HOH (m3)</t>
  </si>
  <si>
    <t>Fire Tank (m3)</t>
  </si>
  <si>
    <t>STP (m3)</t>
  </si>
  <si>
    <t xml:space="preserve">Fire tank 250 m3 </t>
  </si>
  <si>
    <t>2,38</t>
  </si>
  <si>
    <t>3,69</t>
  </si>
  <si>
    <t>4,89</t>
  </si>
  <si>
    <t>1,19</t>
  </si>
  <si>
    <t>1,44</t>
  </si>
  <si>
    <t>3,60</t>
  </si>
  <si>
    <t>CYLINDER DELIVERY (KG)</t>
  </si>
  <si>
    <t>2,35</t>
  </si>
  <si>
    <t>3,76</t>
  </si>
  <si>
    <t>4,86</t>
  </si>
  <si>
    <t>1,38</t>
  </si>
  <si>
    <t>1,39</t>
  </si>
  <si>
    <t>3,52</t>
  </si>
  <si>
    <t>Unit (kg)</t>
  </si>
  <si>
    <t>Quantity</t>
  </si>
  <si>
    <t>Sub total</t>
  </si>
  <si>
    <t>2,51</t>
  </si>
  <si>
    <t>3,83</t>
  </si>
  <si>
    <t>5,09</t>
  </si>
  <si>
    <t>1,34</t>
  </si>
  <si>
    <t>1,37</t>
  </si>
  <si>
    <t>3,42</t>
  </si>
  <si>
    <t>2,29</t>
  </si>
  <si>
    <t>3,65</t>
  </si>
  <si>
    <t>5,08</t>
  </si>
  <si>
    <t>1,32</t>
  </si>
  <si>
    <t>3,61</t>
  </si>
  <si>
    <t>2,30</t>
  </si>
  <si>
    <t>3,72</t>
  </si>
  <si>
    <t>5,18</t>
  </si>
  <si>
    <t>1,31</t>
  </si>
  <si>
    <t>3,62</t>
  </si>
  <si>
    <t>2,11</t>
  </si>
  <si>
    <t>3,56</t>
  </si>
  <si>
    <t>1,17</t>
  </si>
  <si>
    <t>3,24</t>
  </si>
  <si>
    <t>2,17</t>
  </si>
  <si>
    <t>3,68</t>
  </si>
  <si>
    <t>5,10</t>
  </si>
  <si>
    <t>1,46</t>
  </si>
  <si>
    <t>2,14</t>
  </si>
  <si>
    <t>5,01</t>
  </si>
  <si>
    <t>1,47</t>
  </si>
  <si>
    <t>1,40</t>
  </si>
  <si>
    <t>3,73</t>
  </si>
  <si>
    <t>Total</t>
  </si>
  <si>
    <t>2,06</t>
  </si>
  <si>
    <t>3,55</t>
  </si>
  <si>
    <t>5,11</t>
  </si>
  <si>
    <t>1,36</t>
  </si>
  <si>
    <t>3,70</t>
  </si>
  <si>
    <t>TRUCK DELIVERY (KG)</t>
  </si>
  <si>
    <t>2,12</t>
  </si>
  <si>
    <t>3,64</t>
  </si>
  <si>
    <t>5,13</t>
  </si>
  <si>
    <t>Sub Total</t>
  </si>
  <si>
    <t>2,02</t>
  </si>
  <si>
    <t>5,03</t>
  </si>
  <si>
    <t>1,33</t>
  </si>
  <si>
    <t>Sitronel</t>
  </si>
  <si>
    <t>4,85</t>
  </si>
  <si>
    <t>1,45</t>
  </si>
  <si>
    <t>Zez</t>
  </si>
  <si>
    <t>3,81</t>
  </si>
  <si>
    <t>4,77</t>
  </si>
  <si>
    <t>1,42</t>
  </si>
  <si>
    <t>2,26</t>
  </si>
  <si>
    <t>3,77</t>
  </si>
  <si>
    <t>4,92</t>
  </si>
  <si>
    <t>1,29</t>
  </si>
  <si>
    <t>2,41</t>
  </si>
  <si>
    <t>3,93</t>
  </si>
  <si>
    <t>4,96</t>
  </si>
  <si>
    <t>1,43</t>
  </si>
  <si>
    <t>1,50</t>
  </si>
  <si>
    <t>3,74</t>
  </si>
  <si>
    <t>2,71</t>
  </si>
  <si>
    <t>5,00</t>
  </si>
  <si>
    <t>3,71</t>
  </si>
  <si>
    <t>2,70</t>
  </si>
  <si>
    <t>4,97</t>
  </si>
  <si>
    <t>Gd</t>
  </si>
  <si>
    <t>3,29</t>
  </si>
  <si>
    <t>4,70</t>
  </si>
  <si>
    <t>3,37</t>
  </si>
  <si>
    <t>4,75</t>
  </si>
  <si>
    <t>1,41</t>
  </si>
  <si>
    <t>3,79</t>
  </si>
  <si>
    <t>2,75</t>
  </si>
  <si>
    <t>4,74</t>
  </si>
  <si>
    <t>1,25</t>
  </si>
  <si>
    <t>2,92</t>
  </si>
  <si>
    <t>3,40</t>
  </si>
  <si>
    <t>1,21</t>
  </si>
  <si>
    <t>1,27</t>
  </si>
  <si>
    <t>3,50</t>
  </si>
  <si>
    <t>3,23</t>
  </si>
  <si>
    <t>4,93</t>
  </si>
  <si>
    <t>4,00</t>
  </si>
  <si>
    <t>3,11</t>
  </si>
  <si>
    <t>3,85</t>
  </si>
  <si>
    <t>1,49</t>
  </si>
  <si>
    <t>3,95</t>
  </si>
  <si>
    <t>3,06</t>
  </si>
  <si>
    <t>4,88</t>
  </si>
  <si>
    <t>2,87</t>
  </si>
  <si>
    <t>1,26</t>
  </si>
  <si>
    <t>2,97</t>
  </si>
  <si>
    <t>3,09</t>
  </si>
  <si>
    <t>2,99</t>
  </si>
  <si>
    <t>3,16</t>
  </si>
  <si>
    <t>4,81</t>
  </si>
  <si>
    <t>3,84</t>
  </si>
  <si>
    <t>3,12</t>
  </si>
  <si>
    <t>3,05</t>
  </si>
  <si>
    <t>3,33</t>
  </si>
  <si>
    <t>4,82</t>
  </si>
  <si>
    <t>3,34</t>
  </si>
  <si>
    <t>3,25</t>
  </si>
  <si>
    <t>Generator#4 (KWH)</t>
  </si>
  <si>
    <t>Running Hours</t>
  </si>
  <si>
    <t>Daily Fuel Burned</t>
  </si>
  <si>
    <t>Fuel burned Per Hour</t>
  </si>
  <si>
    <t>Daily Energy Consumed</t>
  </si>
  <si>
    <t>Energy Consumed Per Hour</t>
  </si>
  <si>
    <t>Engine Efficiency</t>
  </si>
  <si>
    <t>TOTAL</t>
  </si>
  <si>
    <t>DG1</t>
  </si>
  <si>
    <t>DG2</t>
  </si>
  <si>
    <t>DG3</t>
  </si>
  <si>
    <t>DG4</t>
  </si>
  <si>
    <t>DG5</t>
  </si>
  <si>
    <t>OLV</t>
  </si>
  <si>
    <t>3 DAYS</t>
  </si>
  <si>
    <t>OCCUPANCY</t>
  </si>
  <si>
    <t>GENERATOR</t>
  </si>
  <si>
    <t>DIESEL</t>
  </si>
  <si>
    <t>WATER</t>
  </si>
  <si>
    <t>DAY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</si>
  <si>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</si>
  <si>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</si>
  <si>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</si>
  <si>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</si>
  <si>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</si>
  <si>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</si>
  <si>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Fuel meter</t>
  </si>
  <si>
    <t>March</t>
  </si>
  <si>
    <t>April</t>
  </si>
  <si>
    <t>Consumed April</t>
  </si>
  <si>
    <t>May</t>
  </si>
  <si>
    <t>Consumed May</t>
  </si>
  <si>
    <t>June</t>
  </si>
  <si>
    <t>Gen1</t>
  </si>
  <si>
    <t>Gen2</t>
  </si>
  <si>
    <t>Gen3</t>
  </si>
  <si>
    <t>Gen4</t>
  </si>
  <si>
    <t>Gen5</t>
  </si>
  <si>
    <t>End of month Overall Remark</t>
  </si>
  <si>
    <t>Water</t>
  </si>
  <si>
    <t>Fire tank portable water continue consuming</t>
  </si>
  <si>
    <t>Pool drain and refill- 411,415,503,RV12</t>
  </si>
  <si>
    <t>Construction work RV4,16</t>
  </si>
  <si>
    <t>Electricity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</si>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</sst>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1"/>
      <color rgb="FF000000"/>
      <name val="Calibri"/>
      <charset val="1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WordVisi_MSFontService"/>
      <charset val="1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6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4" xfId="0" applyNumberFormat="1" applyFont="1" applyBorder="1" applyAlignment="1">
      <alignment horizontal="right"/>
    </xf>
    <xf numFmtId="0" fontId="13" fillId="3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2" fontId="12" fillId="0" borderId="11" xfId="0" applyNumberFormat="1" applyFont="1" applyBorder="1"/>
    <xf numFmtId="2" fontId="12" fillId="0" borderId="13" xfId="0" applyNumberFormat="1" applyFont="1" applyBorder="1"/>
    <xf numFmtId="0" fontId="13" fillId="4" borderId="7" xfId="0" applyFont="1" applyFill="1" applyBorder="1" applyAlignment="1">
      <alignment horizontal="center" vertical="center" wrapText="1"/>
    </xf>
    <xf numFmtId="2" fontId="13" fillId="4" borderId="7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3" fillId="9" borderId="2" xfId="0" applyFont="1" applyFill="1" applyBorder="1" applyAlignment="1">
      <alignment vertical="center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0" fillId="0" borderId="7" xfId="0" applyNumberFormat="1" applyBorder="1"/>
    <xf numFmtId="3" fontId="12" fillId="0" borderId="0" xfId="0" applyNumberFormat="1" applyFont="1"/>
    <xf numFmtId="4" fontId="12" fillId="0" borderId="3" xfId="0" applyNumberFormat="1" applyFon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165" fontId="0" fillId="0" borderId="0" xfId="0" applyNumberFormat="1"/>
    <xf numFmtId="0" fontId="13" fillId="0" borderId="11" xfId="0" applyFont="1" applyBorder="1" applyAlignment="1">
      <alignment vertical="center"/>
    </xf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7" fillId="0" borderId="7" xfId="0" applyNumberFormat="1" applyFont="1" applyBorder="1"/>
    <xf numFmtId="0" fontId="0" fillId="0" borderId="16" xfId="0" applyBorder="1"/>
    <xf numFmtId="0" fontId="0" fillId="0" borderId="15" xfId="0" applyBorder="1"/>
    <xf numFmtId="4" fontId="0" fillId="0" borderId="7" xfId="0" applyNumberFormat="1" applyBorder="1"/>
    <xf numFmtId="1" fontId="0" fillId="0" borderId="7" xfId="0" applyNumberFormat="1" applyBorder="1"/>
    <xf numFmtId="0" fontId="0" fillId="0" borderId="13" xfId="0" applyBorder="1"/>
    <xf numFmtId="0" fontId="0" fillId="0" borderId="11" xfId="0" applyBorder="1"/>
    <xf numFmtId="1" fontId="0" fillId="0" borderId="15" xfId="0" applyNumberFormat="1" applyBorder="1"/>
    <xf numFmtId="0" fontId="0" fillId="0" borderId="17" xfId="0" applyBorder="1"/>
    <xf numFmtId="0" fontId="0" fillId="0" borderId="14" xfId="0" applyBorder="1"/>
    <xf numFmtId="4" fontId="0" fillId="0" borderId="0" xfId="0" applyNumberFormat="1"/>
    <xf numFmtId="3" fontId="0" fillId="0" borderId="0" xfId="0" applyNumberFormat="1"/>
    <xf numFmtId="0" fontId="16" fillId="0" borderId="0" xfId="0" applyFont="1"/>
    <xf numFmtId="2" fontId="0" fillId="0" borderId="7" xfId="0" applyNumberFormat="1" applyBorder="1"/>
    <xf numFmtId="1" fontId="0" fillId="0" borderId="13" xfId="0" applyNumberFormat="1" applyBorder="1"/>
    <xf numFmtId="1" fontId="0" fillId="0" borderId="18" xfId="0" applyNumberFormat="1" applyBorder="1"/>
    <xf numFmtId="2" fontId="0" fillId="0" borderId="13" xfId="0" applyNumberFormat="1" applyBorder="1"/>
    <xf numFmtId="4" fontId="0" fillId="0" borderId="13" xfId="0" applyNumberFormat="1" applyBorder="1"/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14" fontId="13" fillId="0" borderId="11" xfId="0" applyNumberFormat="1" applyFont="1" applyBorder="1"/>
    <xf numFmtId="3" fontId="4" fillId="0" borderId="0" xfId="0" applyNumberFormat="1" applyFont="1"/>
    <xf numFmtId="4" fontId="5" fillId="0" borderId="13" xfId="0" applyNumberFormat="1" applyFont="1" applyBorder="1"/>
    <xf numFmtId="0" fontId="4" fillId="0" borderId="0" xfId="0" applyFont="1" applyAlignment="1">
      <alignment horizontal="center" wrapText="1"/>
    </xf>
    <xf numFmtId="1" fontId="0" fillId="0" borderId="0" xfId="0" applyNumberFormat="1"/>
    <xf numFmtId="3" fontId="12" fillId="0" borderId="0" xfId="0" applyNumberFormat="1" applyFont="1" applyAlignment="1">
      <alignment horizontal="center"/>
    </xf>
    <xf numFmtId="1" fontId="12" fillId="0" borderId="0" xfId="0" applyNumberFormat="1" applyFont="1"/>
    <xf numFmtId="17" fontId="4" fillId="3" borderId="7" xfId="0" applyNumberFormat="1" applyFont="1" applyFill="1" applyBorder="1"/>
    <xf numFmtId="2" fontId="18" fillId="0" borderId="13" xfId="0" applyNumberFormat="1" applyFont="1" applyBorder="1"/>
    <xf numFmtId="2" fontId="19" fillId="0" borderId="7" xfId="0" applyNumberFormat="1" applyFont="1" applyBorder="1"/>
    <xf numFmtId="4" fontId="19" fillId="0" borderId="7" xfId="0" applyNumberFormat="1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0" fontId="20" fillId="0" borderId="0" xfId="0" applyFont="1"/>
    <xf numFmtId="0" fontId="21" fillId="0" borderId="0" xfId="0" applyFont="1"/>
    <xf numFmtId="2" fontId="13" fillId="3" borderId="7" xfId="0" applyNumberFormat="1" applyFont="1" applyFill="1" applyBorder="1" applyAlignment="1">
      <alignment horizontal="center" vertical="center" wrapText="1"/>
    </xf>
    <xf numFmtId="4" fontId="12" fillId="3" borderId="7" xfId="0" applyNumberFormat="1" applyFont="1" applyFill="1" applyBorder="1"/>
    <xf numFmtId="2" fontId="14" fillId="3" borderId="13" xfId="0" applyNumberFormat="1" applyFont="1" applyFill="1" applyBorder="1" applyAlignment="1">
      <alignment horizontal="right" wrapText="1"/>
    </xf>
    <xf numFmtId="165" fontId="17" fillId="0" borderId="7" xfId="0" applyNumberFormat="1" applyFont="1" applyBorder="1"/>
    <xf numFmtId="3" fontId="13" fillId="0" borderId="0" xfId="0" applyNumberFormat="1" applyFont="1"/>
    <xf numFmtId="0" fontId="12" fillId="0" borderId="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14" fontId="13" fillId="0" borderId="0" xfId="0" applyNumberFormat="1" applyFont="1"/>
    <xf numFmtId="0" fontId="4" fillId="3" borderId="7" xfId="0" applyFont="1" applyFill="1" applyBorder="1"/>
    <xf numFmtId="3" fontId="4" fillId="3" borderId="7" xfId="0" applyNumberFormat="1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3" fillId="10" borderId="7" xfId="0" applyFont="1" applyFill="1" applyBorder="1" applyAlignment="1">
      <alignment vertical="center"/>
    </xf>
    <xf numFmtId="0" fontId="13" fillId="10" borderId="15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14" xfId="0" applyFont="1" applyBorder="1"/>
    <xf numFmtId="0" fontId="14" fillId="0" borderId="2" xfId="0" applyFont="1" applyBorder="1" applyAlignment="1">
      <alignment horizontal="right" wrapText="1"/>
    </xf>
    <xf numFmtId="0" fontId="14" fillId="0" borderId="2" xfId="0" applyFont="1" applyBorder="1" applyAlignment="1">
      <alignment horizontal="right"/>
    </xf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right"/>
    </xf>
    <xf numFmtId="0" fontId="22" fillId="3" borderId="7" xfId="0" applyFont="1" applyFill="1" applyBorder="1" applyAlignment="1"/>
    <xf numFmtId="0" fontId="0" fillId="0" borderId="7" xfId="0" applyBorder="1" applyAlignment="1"/>
    <xf numFmtId="0" fontId="4" fillId="0" borderId="7" xfId="0" applyFont="1" applyBorder="1" applyAlignment="1"/>
    <xf numFmtId="0" fontId="4" fillId="0" borderId="15" xfId="0" applyFont="1" applyBorder="1" applyAlignment="1"/>
    <xf numFmtId="0" fontId="0" fillId="0" borderId="13" xfId="0" applyBorder="1" applyAlignment="1"/>
    <xf numFmtId="0" fontId="20" fillId="0" borderId="15" xfId="0" applyFont="1" applyBorder="1" applyAlignment="1"/>
    <xf numFmtId="0" fontId="0" fillId="0" borderId="15" xfId="0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E3" sqref="E3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7</v>
      </c>
      <c r="D2" s="1">
        <v>2022</v>
      </c>
      <c r="E2" s="12">
        <f>'Submetering '!O2+'Submetering '!P2+'Submetering '!Q2+'Submetering '!R2+'Submetering '!S2+'Submetering '!U2</f>
        <v>26215</v>
      </c>
      <c r="F2" s="11">
        <f>(('FS Seychelles'!R3*'FS Seychelles'!S3)+('FS Seychelles'!T3*'FS Seychelles'!U3))/TOTAL!E2</f>
        <v>0.32955140186915888</v>
      </c>
      <c r="G2" s="12">
        <f>('FS Seychelles'!$AC$10+'FS Seychelles'!$AC$15)/30</f>
        <v>426.66666666666669</v>
      </c>
      <c r="H2" s="11">
        <v>1.05</v>
      </c>
      <c r="I2" s="12" t="e">
        <f>'FS Seychelles'!V3+'FS Seychelles'!#REF!+'FS Seychelles'!W3+'FS Seychelles'!X3</f>
        <v>#REF!</v>
      </c>
      <c r="J2" s="11">
        <v>0</v>
      </c>
      <c r="K2" s="28">
        <f>'Submetering '!Z2</f>
        <v>87</v>
      </c>
      <c r="L2" s="11">
        <v>0</v>
      </c>
      <c r="M2" s="42">
        <f>'FS Seychelles'!B3</f>
        <v>64.5</v>
      </c>
    </row>
    <row r="3" spans="1:13" s="15" customFormat="1">
      <c r="A3" s="1" t="s">
        <v>13</v>
      </c>
      <c r="B3" s="14">
        <f>B2+1</f>
        <v>2</v>
      </c>
      <c r="C3" s="11">
        <v>7</v>
      </c>
      <c r="D3" s="1">
        <v>2022</v>
      </c>
      <c r="E3" s="12">
        <f>'Submetering '!O3+'Submetering '!P3+'Submetering '!Q3+'Submetering '!R3+'Submetering '!S3+'Submetering '!U3</f>
        <v>27379</v>
      </c>
      <c r="F3" s="11">
        <f>(('FS Seychelles'!R4*'FS Seychelles'!S4)+('FS Seychelles'!T4*'FS Seychelles'!U4))/TOTAL!E3</f>
        <v>0.29434852989517513</v>
      </c>
      <c r="G3" s="12">
        <f>('FS Seychelles'!$AC$10+'FS Seychelles'!$AC$15)/30</f>
        <v>426.66666666666669</v>
      </c>
      <c r="H3" s="11">
        <f>H2</f>
        <v>1.05</v>
      </c>
      <c r="I3" s="12" t="e">
        <f>'FS Seychelles'!V4+'FS Seychelles'!#REF!+'FS Seychelles'!W4+'FS Seychelles'!X4</f>
        <v>#REF!</v>
      </c>
      <c r="J3" s="11">
        <f>J2</f>
        <v>0</v>
      </c>
      <c r="K3" s="28">
        <f>'Submetering '!Z3</f>
        <v>26</v>
      </c>
      <c r="L3" s="11">
        <f>L2</f>
        <v>0</v>
      </c>
      <c r="M3" s="42">
        <f>'FS Seychelles'!B4</f>
        <v>65.8</v>
      </c>
    </row>
    <row r="4" spans="1:13" s="15" customFormat="1">
      <c r="A4" s="1" t="s">
        <v>13</v>
      </c>
      <c r="B4" s="14">
        <f t="shared" ref="B4:B32" si="0">B3+1</f>
        <v>3</v>
      </c>
      <c r="C4" s="11">
        <v>7</v>
      </c>
      <c r="D4" s="1">
        <v>2022</v>
      </c>
      <c r="E4" s="12">
        <f>'Submetering '!O4+'Submetering '!P4+'Submetering '!Q4+'Submetering '!R4+'Submetering '!S4+'Submetering '!U4</f>
        <v>35381</v>
      </c>
      <c r="F4" s="11">
        <f>(('FS Seychelles'!R5*'FS Seychelles'!S5)+('FS Seychelles'!T5*'FS Seychelles'!U5))/TOTAL!E4</f>
        <v>0.32426490489245641</v>
      </c>
      <c r="G4" s="12">
        <f>('FS Seychelles'!$AC$10+'FS Seychelles'!$AC$15)/30</f>
        <v>426.66666666666669</v>
      </c>
      <c r="H4" s="11">
        <f t="shared" ref="H4:H32" si="1">H3</f>
        <v>1.05</v>
      </c>
      <c r="I4" s="12" t="e">
        <f>'FS Seychelles'!V5+'FS Seychelles'!#REF!+'FS Seychelles'!W5+'FS Seychelles'!X5</f>
        <v>#REF!</v>
      </c>
      <c r="J4" s="11">
        <f t="shared" ref="J4:L32" si="2">J3</f>
        <v>0</v>
      </c>
      <c r="K4" s="28">
        <f>'Submetering '!Z4</f>
        <v>86</v>
      </c>
      <c r="L4" s="11">
        <f t="shared" si="2"/>
        <v>0</v>
      </c>
      <c r="M4" s="42">
        <f>'FS Seychelles'!B5</f>
        <v>69.7</v>
      </c>
    </row>
    <row r="5" spans="1:13" s="15" customFormat="1">
      <c r="A5" s="1" t="s">
        <v>13</v>
      </c>
      <c r="B5" s="14">
        <f t="shared" si="0"/>
        <v>4</v>
      </c>
      <c r="C5" s="11">
        <v>7</v>
      </c>
      <c r="D5" s="1">
        <v>2022</v>
      </c>
      <c r="E5" s="12">
        <f>'Submetering '!O5+'Submetering '!P5+'Submetering '!Q5+'Submetering '!R5+'Submetering '!S5+'Submetering '!U5</f>
        <v>29070</v>
      </c>
      <c r="F5" s="11">
        <f>(('FS Seychelles'!R6*'FS Seychelles'!S6)+('FS Seychelles'!T6*'FS Seychelles'!U6))/TOTAL!E5</f>
        <v>0.32280879256965944</v>
      </c>
      <c r="G5" s="12">
        <f>('FS Seychelles'!$AC$10+'FS Seychelles'!$AC$15)/30</f>
        <v>426.66666666666669</v>
      </c>
      <c r="H5" s="11">
        <f t="shared" si="1"/>
        <v>1.05</v>
      </c>
      <c r="I5" s="12" t="e">
        <f>'FS Seychelles'!V6+'FS Seychelles'!#REF!+'FS Seychelles'!W6+'FS Seychelles'!X6</f>
        <v>#REF!</v>
      </c>
      <c r="J5" s="11">
        <f t="shared" si="2"/>
        <v>0</v>
      </c>
      <c r="K5" s="28">
        <f>'Submetering '!Z5</f>
        <v>88</v>
      </c>
      <c r="L5" s="11">
        <f t="shared" si="2"/>
        <v>0</v>
      </c>
      <c r="M5" s="42">
        <f>'FS Seychelles'!B6</f>
        <v>65.8</v>
      </c>
    </row>
    <row r="6" spans="1:13" s="15" customFormat="1">
      <c r="A6" s="1" t="s">
        <v>13</v>
      </c>
      <c r="B6" s="14">
        <f t="shared" si="0"/>
        <v>5</v>
      </c>
      <c r="C6" s="11">
        <v>7</v>
      </c>
      <c r="D6" s="1">
        <v>2022</v>
      </c>
      <c r="E6" s="12">
        <f>'Submetering '!O6+'Submetering '!P6+'Submetering '!Q6+'Submetering '!R6+'Submetering '!S6+'Submetering '!U6</f>
        <v>30896</v>
      </c>
      <c r="F6" s="11">
        <f>(('FS Seychelles'!R7*'FS Seychelles'!S7)+('FS Seychelles'!T7*'FS Seychelles'!U7))/TOTAL!E6</f>
        <v>0.31293425686172965</v>
      </c>
      <c r="G6" s="12">
        <f>('FS Seychelles'!$AC$10+'FS Seychelles'!$AC$15)/30</f>
        <v>426.66666666666669</v>
      </c>
      <c r="H6" s="11">
        <f t="shared" si="1"/>
        <v>1.05</v>
      </c>
      <c r="I6" s="12" t="e">
        <f>'FS Seychelles'!V7+'FS Seychelles'!#REF!+'FS Seychelles'!W7+'FS Seychelles'!X7</f>
        <v>#REF!</v>
      </c>
      <c r="J6" s="11">
        <f t="shared" si="2"/>
        <v>0</v>
      </c>
      <c r="K6" s="28">
        <f>'Submetering '!Z6</f>
        <v>86</v>
      </c>
      <c r="L6" s="11">
        <f t="shared" si="2"/>
        <v>0</v>
      </c>
      <c r="M6" s="42">
        <f>'FS Seychelles'!B7</f>
        <v>51.3</v>
      </c>
    </row>
    <row r="7" spans="1:13" s="15" customFormat="1">
      <c r="A7" s="1" t="s">
        <v>13</v>
      </c>
      <c r="B7" s="14">
        <f t="shared" si="0"/>
        <v>6</v>
      </c>
      <c r="C7" s="11">
        <v>7</v>
      </c>
      <c r="D7" s="1">
        <v>2022</v>
      </c>
      <c r="E7" s="12">
        <f>'Submetering '!O7+'Submetering '!P7+'Submetering '!Q7+'Submetering '!R7+'Submetering '!S7+'Submetering '!U7</f>
        <v>28768</v>
      </c>
      <c r="F7" s="11">
        <f>(('FS Seychelles'!R8*'FS Seychelles'!S8)+('FS Seychelles'!T8*'FS Seychelles'!U8))/TOTAL!E7</f>
        <v>0.33012090517241377</v>
      </c>
      <c r="G7" s="12">
        <f>('FS Seychelles'!$AC$10+'FS Seychelles'!$AC$15)/30</f>
        <v>426.66666666666669</v>
      </c>
      <c r="H7" s="11">
        <f t="shared" si="1"/>
        <v>1.05</v>
      </c>
      <c r="I7" s="12" t="e">
        <f>'FS Seychelles'!V8+'FS Seychelles'!#REF!+'FS Seychelles'!W8+'FS Seychelles'!X8</f>
        <v>#REF!</v>
      </c>
      <c r="J7" s="11">
        <f t="shared" si="2"/>
        <v>0</v>
      </c>
      <c r="K7" s="28">
        <f>'Submetering '!Z7</f>
        <v>92</v>
      </c>
      <c r="L7" s="11">
        <f t="shared" si="2"/>
        <v>0</v>
      </c>
      <c r="M7" s="42">
        <f>'FS Seychelles'!B8</f>
        <v>55.3</v>
      </c>
    </row>
    <row r="8" spans="1:13" s="15" customFormat="1">
      <c r="A8" s="1" t="s">
        <v>13</v>
      </c>
      <c r="B8" s="14">
        <f t="shared" si="0"/>
        <v>7</v>
      </c>
      <c r="C8" s="11">
        <v>7</v>
      </c>
      <c r="D8" s="1">
        <v>2022</v>
      </c>
      <c r="E8" s="12">
        <f>'Submetering '!O8+'Submetering '!P8+'Submetering '!Q8+'Submetering '!R8+'Submetering '!S8+'Submetering '!U8</f>
        <v>32176</v>
      </c>
      <c r="F8" s="11">
        <f>(('FS Seychelles'!R9*'FS Seychelles'!S9)+('FS Seychelles'!T9*'FS Seychelles'!U9))/TOTAL!E8</f>
        <v>0.31638429264047735</v>
      </c>
      <c r="G8" s="12">
        <f>('FS Seychelles'!$AC$10+'FS Seychelles'!$AC$15)/30</f>
        <v>426.66666666666669</v>
      </c>
      <c r="H8" s="11">
        <f t="shared" si="1"/>
        <v>1.05</v>
      </c>
      <c r="I8" s="12" t="e">
        <f>'FS Seychelles'!V9+'FS Seychelles'!#REF!+'FS Seychelles'!W9+'FS Seychelles'!X9</f>
        <v>#REF!</v>
      </c>
      <c r="J8" s="11">
        <f t="shared" si="2"/>
        <v>0</v>
      </c>
      <c r="K8" s="28">
        <f>'Submetering '!Z8</f>
        <v>92</v>
      </c>
      <c r="L8" s="11">
        <f t="shared" si="2"/>
        <v>0</v>
      </c>
      <c r="M8" s="42">
        <f>'FS Seychelles'!B9</f>
        <v>61.8</v>
      </c>
    </row>
    <row r="9" spans="1:13" s="15" customFormat="1">
      <c r="A9" s="1" t="s">
        <v>13</v>
      </c>
      <c r="B9" s="14">
        <f t="shared" si="0"/>
        <v>8</v>
      </c>
      <c r="C9" s="11">
        <v>7</v>
      </c>
      <c r="D9" s="1">
        <v>2022</v>
      </c>
      <c r="E9" s="12">
        <f>'Submetering '!O9+'Submetering '!P9+'Submetering '!Q9+'Submetering '!R9+'Submetering '!S9+'Submetering '!U9</f>
        <v>31335</v>
      </c>
      <c r="F9" s="11">
        <f>(('FS Seychelles'!R10*'FS Seychelles'!S10)+('FS Seychelles'!T10*'FS Seychelles'!U10))/TOTAL!E9</f>
        <v>0.31958977501196745</v>
      </c>
      <c r="G9" s="12">
        <f>('FS Seychelles'!$AC$10+'FS Seychelles'!$AC$15)/30</f>
        <v>426.66666666666669</v>
      </c>
      <c r="H9" s="11">
        <f t="shared" si="1"/>
        <v>1.05</v>
      </c>
      <c r="I9" s="12" t="e">
        <f>'FS Seychelles'!V10+'FS Seychelles'!#REF!+'FS Seychelles'!W10+'FS Seychelles'!X10</f>
        <v>#REF!</v>
      </c>
      <c r="J9" s="11">
        <f t="shared" si="2"/>
        <v>0</v>
      </c>
      <c r="K9" s="28">
        <f>'Submetering '!Z9</f>
        <v>95</v>
      </c>
      <c r="L9" s="11">
        <f t="shared" si="2"/>
        <v>0</v>
      </c>
      <c r="M9" s="42">
        <f>'FS Seychelles'!B10</f>
        <v>63.2</v>
      </c>
    </row>
    <row r="10" spans="1:13" s="15" customFormat="1">
      <c r="A10" s="1" t="s">
        <v>13</v>
      </c>
      <c r="B10" s="14">
        <f t="shared" si="0"/>
        <v>9</v>
      </c>
      <c r="C10" s="11">
        <v>7</v>
      </c>
      <c r="D10" s="1">
        <v>2022</v>
      </c>
      <c r="E10" s="12">
        <f>'Submetering '!O10+'Submetering '!P10+'Submetering '!Q10+'Submetering '!R10+'Submetering '!S10+'Submetering '!U10</f>
        <v>31068</v>
      </c>
      <c r="F10" s="11">
        <f>(('FS Seychelles'!R11*'FS Seychelles'!S11)+('FS Seychelles'!T11*'FS Seychelles'!U11))/TOTAL!E10</f>
        <v>0.31398541908072614</v>
      </c>
      <c r="G10" s="12">
        <f>('FS Seychelles'!$AC$10+'FS Seychelles'!$AC$15)/30</f>
        <v>426.66666666666669</v>
      </c>
      <c r="H10" s="11">
        <f t="shared" si="1"/>
        <v>1.05</v>
      </c>
      <c r="I10" s="12" t="e">
        <f>'FS Seychelles'!V11+'FS Seychelles'!#REF!+'FS Seychelles'!W11+'FS Seychelles'!X11</f>
        <v>#REF!</v>
      </c>
      <c r="J10" s="11">
        <f t="shared" si="2"/>
        <v>0</v>
      </c>
      <c r="K10" s="28">
        <f>'Submetering '!Z10</f>
        <v>95</v>
      </c>
      <c r="L10" s="11">
        <f t="shared" si="2"/>
        <v>0</v>
      </c>
      <c r="M10" s="42">
        <f>'FS Seychelles'!B11</f>
        <v>63.2</v>
      </c>
    </row>
    <row r="11" spans="1:13" s="15" customFormat="1">
      <c r="A11" s="1" t="s">
        <v>13</v>
      </c>
      <c r="B11" s="14">
        <f t="shared" si="0"/>
        <v>10</v>
      </c>
      <c r="C11" s="11">
        <v>7</v>
      </c>
      <c r="D11" s="1">
        <v>2022</v>
      </c>
      <c r="E11" s="12">
        <f>'Submetering '!O11+'Submetering '!P11+'Submetering '!Q11+'Submetering '!R11+'Submetering '!S11+'Submetering '!U11</f>
        <v>31633</v>
      </c>
      <c r="F11" s="11">
        <f>(('FS Seychelles'!R12*'FS Seychelles'!S12)+('FS Seychelles'!T12*'FS Seychelles'!U12))/TOTAL!E11</f>
        <v>0.32186156229254259</v>
      </c>
      <c r="G11" s="12">
        <f>('FS Seychelles'!$AC$10+'FS Seychelles'!$AC$15)/30</f>
        <v>426.66666666666669</v>
      </c>
      <c r="H11" s="11">
        <f t="shared" si="1"/>
        <v>1.05</v>
      </c>
      <c r="I11" s="12" t="e">
        <f>'FS Seychelles'!V12+'FS Seychelles'!#REF!+'FS Seychelles'!W12+'FS Seychelles'!X12</f>
        <v>#REF!</v>
      </c>
      <c r="J11" s="11">
        <f t="shared" si="2"/>
        <v>0</v>
      </c>
      <c r="K11" s="28">
        <f>'Submetering '!Z11</f>
        <v>92</v>
      </c>
      <c r="L11" s="11">
        <f t="shared" si="2"/>
        <v>0</v>
      </c>
      <c r="M11" s="42">
        <f>'FS Seychelles'!B12</f>
        <v>67.099999999999994</v>
      </c>
    </row>
    <row r="12" spans="1:13" s="15" customFormat="1">
      <c r="A12" s="1" t="s">
        <v>13</v>
      </c>
      <c r="B12" s="14">
        <f t="shared" si="0"/>
        <v>11</v>
      </c>
      <c r="C12" s="11">
        <v>7</v>
      </c>
      <c r="D12" s="1">
        <v>2022</v>
      </c>
      <c r="E12" s="12">
        <f>'Submetering '!O12+'Submetering '!P12+'Submetering '!Q12+'Submetering '!R12+'Submetering '!S12+'Submetering '!U12</f>
        <v>30878</v>
      </c>
      <c r="F12" s="11">
        <f>(('FS Seychelles'!R13*'FS Seychelles'!S13)+('FS Seychelles'!T13*'FS Seychelles'!U13))/TOTAL!E12</f>
        <v>0.31776880626983611</v>
      </c>
      <c r="G12" s="12">
        <f>('FS Seychelles'!$AC$10+'FS Seychelles'!$AC$15)/30</f>
        <v>426.66666666666669</v>
      </c>
      <c r="H12" s="11">
        <f t="shared" si="1"/>
        <v>1.05</v>
      </c>
      <c r="I12" s="12" t="e">
        <f>'FS Seychelles'!V13+'FS Seychelles'!#REF!+'FS Seychelles'!W13+'FS Seychelles'!X13</f>
        <v>#REF!</v>
      </c>
      <c r="J12" s="11">
        <f t="shared" si="2"/>
        <v>0</v>
      </c>
      <c r="K12" s="28">
        <f>'Submetering '!Z12</f>
        <v>98</v>
      </c>
      <c r="L12" s="11">
        <f t="shared" si="2"/>
        <v>0</v>
      </c>
      <c r="M12" s="42">
        <f>'FS Seychelles'!B13</f>
        <v>69.7</v>
      </c>
    </row>
    <row r="13" spans="1:13" s="15" customFormat="1">
      <c r="A13" s="1" t="s">
        <v>13</v>
      </c>
      <c r="B13" s="14">
        <f t="shared" si="0"/>
        <v>12</v>
      </c>
      <c r="C13" s="11">
        <v>7</v>
      </c>
      <c r="D13" s="1">
        <v>2022</v>
      </c>
      <c r="E13" s="12">
        <f>'Submetering '!O13+'Submetering '!P13+'Submetering '!Q13+'Submetering '!R13+'Submetering '!S13+'Submetering '!U13</f>
        <v>30654</v>
      </c>
      <c r="F13" s="11">
        <f>(('FS Seychelles'!R14*'FS Seychelles'!S14)+('FS Seychelles'!T14*'FS Seychelles'!U14))/TOTAL!E13</f>
        <v>0.31827379134860051</v>
      </c>
      <c r="G13" s="12">
        <f>('FS Seychelles'!$AC$10+'FS Seychelles'!$AC$15)/30</f>
        <v>426.66666666666669</v>
      </c>
      <c r="H13" s="11">
        <f t="shared" si="1"/>
        <v>1.05</v>
      </c>
      <c r="I13" s="12" t="e">
        <f>'FS Seychelles'!V14+'FS Seychelles'!#REF!+'FS Seychelles'!W14+'FS Seychelles'!X14</f>
        <v>#REF!</v>
      </c>
      <c r="J13" s="11">
        <f t="shared" si="2"/>
        <v>0</v>
      </c>
      <c r="K13" s="28">
        <f>'Submetering '!Z13</f>
        <v>94</v>
      </c>
      <c r="L13" s="11">
        <f t="shared" si="2"/>
        <v>0</v>
      </c>
      <c r="M13" s="42">
        <f>'FS Seychelles'!B14</f>
        <v>68.400000000000006</v>
      </c>
    </row>
    <row r="14" spans="1:13" s="15" customFormat="1">
      <c r="A14" s="1" t="s">
        <v>13</v>
      </c>
      <c r="B14" s="14">
        <f t="shared" si="0"/>
        <v>13</v>
      </c>
      <c r="C14" s="11">
        <v>7</v>
      </c>
      <c r="D14" s="1">
        <v>2022</v>
      </c>
      <c r="E14" s="12">
        <f>'Submetering '!O14+'Submetering '!P14+'Submetering '!Q14+'Submetering '!R14+'Submetering '!S14+'Submetering '!U14</f>
        <v>30975</v>
      </c>
      <c r="F14" s="11">
        <f>(('FS Seychelles'!R15*'FS Seychelles'!S15)+('FS Seychelles'!T15*'FS Seychelles'!U15))/TOTAL!E14</f>
        <v>0.31947105084745764</v>
      </c>
      <c r="G14" s="12">
        <f>('FS Seychelles'!$AC$10+'FS Seychelles'!$AC$15)/30</f>
        <v>426.66666666666669</v>
      </c>
      <c r="H14" s="11">
        <f t="shared" si="1"/>
        <v>1.05</v>
      </c>
      <c r="I14" s="12" t="e">
        <f>'FS Seychelles'!V15+'FS Seychelles'!#REF!+'FS Seychelles'!W15+'FS Seychelles'!X15</f>
        <v>#REF!</v>
      </c>
      <c r="J14" s="11">
        <f t="shared" si="2"/>
        <v>0</v>
      </c>
      <c r="K14" s="28">
        <f>'Submetering '!Z14</f>
        <v>97</v>
      </c>
      <c r="L14" s="11">
        <f t="shared" si="2"/>
        <v>0</v>
      </c>
      <c r="M14" s="42">
        <f>'FS Seychelles'!B15</f>
        <v>64.5</v>
      </c>
    </row>
    <row r="15" spans="1:13" s="15" customFormat="1">
      <c r="A15" s="1" t="s">
        <v>13</v>
      </c>
      <c r="B15" s="14">
        <f t="shared" si="0"/>
        <v>14</v>
      </c>
      <c r="C15" s="11">
        <v>7</v>
      </c>
      <c r="D15" s="1">
        <v>2022</v>
      </c>
      <c r="E15" s="12">
        <f>'Submetering '!O15+'Submetering '!P15+'Submetering '!Q15+'Submetering '!R15+'Submetering '!S15+'Submetering '!U15</f>
        <v>29676</v>
      </c>
      <c r="F15" s="11">
        <f>(('FS Seychelles'!R16*'FS Seychelles'!S16)+('FS Seychelles'!T16*'FS Seychelles'!U16))/TOTAL!E15</f>
        <v>0.31952622321067531</v>
      </c>
      <c r="G15" s="12">
        <f>('FS Seychelles'!$AC$10+'FS Seychelles'!$AC$15)/30</f>
        <v>426.66666666666669</v>
      </c>
      <c r="H15" s="11">
        <f t="shared" si="1"/>
        <v>1.05</v>
      </c>
      <c r="I15" s="12" t="e">
        <f>'FS Seychelles'!V16+'FS Seychelles'!#REF!+'FS Seychelles'!W16+'FS Seychelles'!X16</f>
        <v>#REF!</v>
      </c>
      <c r="J15" s="11">
        <f t="shared" si="2"/>
        <v>0</v>
      </c>
      <c r="K15" s="28">
        <f>'Submetering '!Z15</f>
        <v>97</v>
      </c>
      <c r="L15" s="11">
        <f t="shared" si="2"/>
        <v>0</v>
      </c>
      <c r="M15" s="42">
        <f>'FS Seychelles'!B16</f>
        <v>72.400000000000006</v>
      </c>
    </row>
    <row r="16" spans="1:13" s="15" customFormat="1">
      <c r="A16" s="1" t="s">
        <v>13</v>
      </c>
      <c r="B16" s="14">
        <f t="shared" si="0"/>
        <v>15</v>
      </c>
      <c r="C16" s="11">
        <v>7</v>
      </c>
      <c r="D16" s="1">
        <v>2022</v>
      </c>
      <c r="E16" s="12">
        <f>'Submetering '!O16+'Submetering '!P16+'Submetering '!Q16+'Submetering '!R16+'Submetering '!S16+'Submetering '!U16</f>
        <v>30486</v>
      </c>
      <c r="F16" s="11">
        <f>(('FS Seychelles'!R17*'FS Seychelles'!S17)+('FS Seychelles'!T17*'FS Seychelles'!U17))/TOTAL!E16</f>
        <v>0.31810446762448336</v>
      </c>
      <c r="G16" s="12">
        <f>('FS Seychelles'!$AC$10+'FS Seychelles'!$AC$15)/30</f>
        <v>426.66666666666669</v>
      </c>
      <c r="H16" s="11">
        <f t="shared" si="1"/>
        <v>1.05</v>
      </c>
      <c r="I16" s="12" t="e">
        <f>'FS Seychelles'!V17+'FS Seychelles'!#REF!+'FS Seychelles'!W17+'FS Seychelles'!X17</f>
        <v>#REF!</v>
      </c>
      <c r="J16" s="11">
        <f t="shared" si="2"/>
        <v>0</v>
      </c>
      <c r="K16" s="28">
        <f>'Submetering '!Z16</f>
        <v>99</v>
      </c>
      <c r="L16" s="11">
        <f t="shared" si="2"/>
        <v>0</v>
      </c>
      <c r="M16" s="42">
        <f>'FS Seychelles'!B17</f>
        <v>68.400000000000006</v>
      </c>
    </row>
    <row r="17" spans="1:13" s="15" customFormat="1">
      <c r="A17" s="1" t="s">
        <v>13</v>
      </c>
      <c r="B17" s="14">
        <f t="shared" si="0"/>
        <v>16</v>
      </c>
      <c r="C17" s="11">
        <v>7</v>
      </c>
      <c r="D17" s="1">
        <v>2022</v>
      </c>
      <c r="E17" s="12">
        <f>'Submetering '!O17+'Submetering '!P17+'Submetering '!Q17+'Submetering '!R17+'Submetering '!S17+'Submetering '!U17</f>
        <v>32047</v>
      </c>
      <c r="F17" s="11">
        <f>(('FS Seychelles'!R18*'FS Seychelles'!S18)+('FS Seychelles'!T18*'FS Seychelles'!U18))/TOTAL!E17</f>
        <v>0.32154566730115147</v>
      </c>
      <c r="G17" s="12">
        <f>('FS Seychelles'!$AC$10+'FS Seychelles'!$AC$15)/30</f>
        <v>426.66666666666669</v>
      </c>
      <c r="H17" s="11">
        <f t="shared" si="1"/>
        <v>1.05</v>
      </c>
      <c r="I17" s="12" t="e">
        <f>'FS Seychelles'!V18+'FS Seychelles'!#REF!+'FS Seychelles'!W18+'FS Seychelles'!X18</f>
        <v>#REF!</v>
      </c>
      <c r="J17" s="11">
        <f t="shared" si="2"/>
        <v>0</v>
      </c>
      <c r="K17" s="28">
        <f>'Submetering '!Z17</f>
        <v>90</v>
      </c>
      <c r="L17" s="11">
        <f t="shared" si="2"/>
        <v>0</v>
      </c>
      <c r="M17" s="42">
        <f>'FS Seychelles'!B18</f>
        <v>71.099999999999994</v>
      </c>
    </row>
    <row r="18" spans="1:13" s="15" customFormat="1">
      <c r="A18" s="1" t="s">
        <v>13</v>
      </c>
      <c r="B18" s="14">
        <f t="shared" si="0"/>
        <v>17</v>
      </c>
      <c r="C18" s="11">
        <v>7</v>
      </c>
      <c r="D18" s="1">
        <v>2022</v>
      </c>
      <c r="E18" s="12">
        <f>'Submetering '!O18+'Submetering '!P18+'Submetering '!Q18+'Submetering '!R18+'Submetering '!S18+'Submetering '!U18</f>
        <v>32703</v>
      </c>
      <c r="F18" s="11">
        <f>(('FS Seychelles'!R19*'FS Seychelles'!S19)+('FS Seychelles'!T19*'FS Seychelles'!U19))/TOTAL!E18</f>
        <v>0.31818836803962941</v>
      </c>
      <c r="G18" s="12">
        <f>('FS Seychelles'!$AC$10+'FS Seychelles'!$AC$15)/30</f>
        <v>426.66666666666669</v>
      </c>
      <c r="H18" s="11">
        <f t="shared" si="1"/>
        <v>1.05</v>
      </c>
      <c r="I18" s="12" t="e">
        <f>'FS Seychelles'!V19+'FS Seychelles'!#REF!+'FS Seychelles'!W19+'FS Seychelles'!X19</f>
        <v>#REF!</v>
      </c>
      <c r="J18" s="11">
        <f t="shared" si="2"/>
        <v>0</v>
      </c>
      <c r="K18" s="28">
        <f>'Submetering '!Z18</f>
        <v>90</v>
      </c>
      <c r="L18" s="11">
        <f t="shared" si="2"/>
        <v>0</v>
      </c>
      <c r="M18" s="42">
        <f>'FS Seychelles'!B19</f>
        <v>64.5</v>
      </c>
    </row>
    <row r="19" spans="1:13" s="15" customFormat="1">
      <c r="A19" s="1" t="s">
        <v>13</v>
      </c>
      <c r="B19" s="14">
        <f t="shared" si="0"/>
        <v>18</v>
      </c>
      <c r="C19" s="11">
        <v>7</v>
      </c>
      <c r="D19" s="1">
        <v>2022</v>
      </c>
      <c r="E19" s="12">
        <f>'Submetering '!O19+'Submetering '!P19+'Submetering '!Q19+'Submetering '!R19+'Submetering '!S19+'Submetering '!U19</f>
        <v>30106</v>
      </c>
      <c r="F19" s="11">
        <f>(('FS Seychelles'!R20*'FS Seychelles'!S20)+('FS Seychelles'!T20*'FS Seychelles'!U20))/TOTAL!E19</f>
        <v>0.31734818308642793</v>
      </c>
      <c r="G19" s="12">
        <f>('FS Seychelles'!$AC$10+'FS Seychelles'!$AC$15)/30</f>
        <v>426.66666666666669</v>
      </c>
      <c r="H19" s="11">
        <f t="shared" si="1"/>
        <v>1.05</v>
      </c>
      <c r="I19" s="12" t="e">
        <f>'FS Seychelles'!V20+'FS Seychelles'!#REF!+'FS Seychelles'!W20+'FS Seychelles'!X20</f>
        <v>#REF!</v>
      </c>
      <c r="J19" s="11">
        <f t="shared" si="2"/>
        <v>0</v>
      </c>
      <c r="K19" s="28">
        <f>'Submetering '!Z19</f>
        <v>93</v>
      </c>
      <c r="L19" s="11">
        <f t="shared" si="2"/>
        <v>0</v>
      </c>
      <c r="M19" s="42">
        <f>'FS Seychelles'!B20</f>
        <v>59.2</v>
      </c>
    </row>
    <row r="20" spans="1:13" s="15" customFormat="1">
      <c r="A20" s="1" t="s">
        <v>13</v>
      </c>
      <c r="B20" s="14">
        <f t="shared" si="0"/>
        <v>19</v>
      </c>
      <c r="C20" s="11">
        <v>7</v>
      </c>
      <c r="D20" s="1">
        <v>2022</v>
      </c>
      <c r="E20" s="12">
        <f>'Submetering '!O20+'Submetering '!P20+'Submetering '!Q20+'Submetering '!R20+'Submetering '!S20+'Submetering '!U20</f>
        <v>32450</v>
      </c>
      <c r="F20" s="11">
        <f>(('FS Seychelles'!R21*'FS Seychelles'!S21)+('FS Seychelles'!T21*'FS Seychelles'!U21))/TOTAL!E20</f>
        <v>0.336704875192604</v>
      </c>
      <c r="G20" s="12">
        <f>('FS Seychelles'!$AC$10+'FS Seychelles'!$AC$15)/30</f>
        <v>426.66666666666669</v>
      </c>
      <c r="H20" s="11">
        <f t="shared" si="1"/>
        <v>1.05</v>
      </c>
      <c r="I20" s="12" t="e">
        <f>'FS Seychelles'!V21+'FS Seychelles'!#REF!+'FS Seychelles'!W21+'FS Seychelles'!X21</f>
        <v>#REF!</v>
      </c>
      <c r="J20" s="11">
        <f t="shared" si="2"/>
        <v>0</v>
      </c>
      <c r="K20" s="28">
        <f>'Submetering '!Z20</f>
        <v>97</v>
      </c>
      <c r="L20" s="11">
        <f t="shared" si="2"/>
        <v>0</v>
      </c>
      <c r="M20" s="42">
        <f>'FS Seychelles'!B21</f>
        <v>69.7</v>
      </c>
    </row>
    <row r="21" spans="1:13" s="15" customFormat="1">
      <c r="A21" s="1" t="s">
        <v>13</v>
      </c>
      <c r="B21" s="14">
        <f t="shared" si="0"/>
        <v>20</v>
      </c>
      <c r="C21" s="11">
        <v>7</v>
      </c>
      <c r="D21" s="1">
        <v>2022</v>
      </c>
      <c r="E21" s="12">
        <f>'Submetering '!O21+'Submetering '!P21+'Submetering '!Q21+'Submetering '!R21+'Submetering '!S21+'Submetering '!U21</f>
        <v>32135</v>
      </c>
      <c r="F21" s="11">
        <f>(('FS Seychelles'!R22*'FS Seychelles'!S22)+('FS Seychelles'!T22*'FS Seychelles'!U22))/TOTAL!E21</f>
        <v>0.36235739225143926</v>
      </c>
      <c r="G21" s="12">
        <f>('FS Seychelles'!$AC$10+'FS Seychelles'!$AC$15)/30</f>
        <v>426.66666666666669</v>
      </c>
      <c r="H21" s="11">
        <f t="shared" si="1"/>
        <v>1.05</v>
      </c>
      <c r="I21" s="12" t="e">
        <f>'FS Seychelles'!V22+'FS Seychelles'!#REF!+'FS Seychelles'!W22+'FS Seychelles'!X22</f>
        <v>#REF!</v>
      </c>
      <c r="J21" s="11">
        <f t="shared" si="2"/>
        <v>0</v>
      </c>
      <c r="K21" s="28">
        <f>'Submetering '!Z21</f>
        <v>98</v>
      </c>
      <c r="L21" s="11">
        <f t="shared" si="2"/>
        <v>0</v>
      </c>
      <c r="M21" s="42">
        <f>'FS Seychelles'!B22</f>
        <v>65.8</v>
      </c>
    </row>
    <row r="22" spans="1:13" s="15" customFormat="1">
      <c r="A22" s="1" t="s">
        <v>13</v>
      </c>
      <c r="B22" s="14">
        <f t="shared" si="0"/>
        <v>21</v>
      </c>
      <c r="C22" s="11">
        <v>7</v>
      </c>
      <c r="D22" s="1">
        <v>2022</v>
      </c>
      <c r="E22" s="12">
        <f>'Submetering '!O22+'Submetering '!P22+'Submetering '!Q22+'Submetering '!R22+'Submetering '!S22+'Submetering '!U22</f>
        <v>36669</v>
      </c>
      <c r="F22" s="11">
        <f>(('FS Seychelles'!R23*'FS Seychelles'!S23)+('FS Seychelles'!T23*'FS Seychelles'!U23))/TOTAL!E22</f>
        <v>0.32999401129019063</v>
      </c>
      <c r="G22" s="12">
        <f>('FS Seychelles'!$AC$10+'FS Seychelles'!$AC$15)/30</f>
        <v>426.66666666666669</v>
      </c>
      <c r="H22" s="11">
        <f t="shared" si="1"/>
        <v>1.05</v>
      </c>
      <c r="I22" s="12" t="e">
        <f>'FS Seychelles'!V23+'FS Seychelles'!#REF!+'FS Seychelles'!W23+'FS Seychelles'!X23</f>
        <v>#REF!</v>
      </c>
      <c r="J22" s="11">
        <f t="shared" si="2"/>
        <v>0</v>
      </c>
      <c r="K22" s="28">
        <f>'Submetering '!Z22</f>
        <v>99</v>
      </c>
      <c r="L22" s="11">
        <f t="shared" si="2"/>
        <v>0</v>
      </c>
      <c r="M22" s="42">
        <f>'FS Seychelles'!B23</f>
        <v>67.099999999999994</v>
      </c>
    </row>
    <row r="23" spans="1:13" s="15" customFormat="1">
      <c r="A23" s="1" t="s">
        <v>13</v>
      </c>
      <c r="B23" s="14">
        <f t="shared" si="0"/>
        <v>22</v>
      </c>
      <c r="C23" s="11">
        <v>7</v>
      </c>
      <c r="D23" s="1">
        <v>2022</v>
      </c>
      <c r="E23" s="12">
        <f>'Submetering '!O23+'Submetering '!P23+'Submetering '!Q23+'Submetering '!R23+'Submetering '!S23+'Submetering '!U23</f>
        <v>40424</v>
      </c>
      <c r="F23" s="11">
        <f>(('FS Seychelles'!R24*'FS Seychelles'!S24)+('FS Seychelles'!T24*'FS Seychelles'!U24))/TOTAL!E23</f>
        <v>0.24677615278052642</v>
      </c>
      <c r="G23" s="12">
        <f>('FS Seychelles'!$AC$10+'FS Seychelles'!$AC$15)/30</f>
        <v>426.66666666666669</v>
      </c>
      <c r="H23" s="11">
        <f t="shared" si="1"/>
        <v>1.05</v>
      </c>
      <c r="I23" s="12" t="e">
        <f>'FS Seychelles'!V24+'FS Seychelles'!#REF!+'FS Seychelles'!W24+'FS Seychelles'!X24</f>
        <v>#REF!</v>
      </c>
      <c r="J23" s="11">
        <f t="shared" si="2"/>
        <v>0</v>
      </c>
      <c r="K23" s="28">
        <f>'Submetering '!Z23</f>
        <v>93</v>
      </c>
      <c r="L23" s="11">
        <f t="shared" si="2"/>
        <v>0</v>
      </c>
      <c r="M23" s="42">
        <f>'FS Seychelles'!B24</f>
        <v>65.8</v>
      </c>
    </row>
    <row r="24" spans="1:13" s="15" customFormat="1">
      <c r="A24" s="1" t="s">
        <v>13</v>
      </c>
      <c r="B24" s="14">
        <f t="shared" si="0"/>
        <v>23</v>
      </c>
      <c r="C24" s="11">
        <v>7</v>
      </c>
      <c r="D24" s="1">
        <v>2022</v>
      </c>
      <c r="E24" s="12">
        <f>'Submetering '!O24+'Submetering '!P24+'Submetering '!Q24+'Submetering '!R24+'Submetering '!S24+'Submetering '!U24</f>
        <v>36408</v>
      </c>
      <c r="F24" s="11">
        <f>(('FS Seychelles'!R25*'FS Seychelles'!S25)+('FS Seychelles'!T25*'FS Seychelles'!U25))/TOTAL!E24</f>
        <v>0.35463075148319051</v>
      </c>
      <c r="G24" s="12">
        <f>('FS Seychelles'!$AC$10+'FS Seychelles'!$AC$15)/30</f>
        <v>426.66666666666669</v>
      </c>
      <c r="H24" s="11">
        <f t="shared" si="1"/>
        <v>1.05</v>
      </c>
      <c r="I24" s="12" t="e">
        <f>'FS Seychelles'!V25+'FS Seychelles'!#REF!+'FS Seychelles'!W25+'FS Seychelles'!X25</f>
        <v>#REF!</v>
      </c>
      <c r="J24" s="11">
        <f t="shared" si="2"/>
        <v>0</v>
      </c>
      <c r="K24" s="28">
        <f>'Submetering '!Z24</f>
        <v>96</v>
      </c>
      <c r="L24" s="11">
        <f t="shared" si="2"/>
        <v>0</v>
      </c>
      <c r="M24" s="42">
        <f>'FS Seychelles'!B25</f>
        <v>59.2</v>
      </c>
    </row>
    <row r="25" spans="1:13" s="15" customFormat="1">
      <c r="A25" s="1" t="s">
        <v>13</v>
      </c>
      <c r="B25" s="14">
        <f t="shared" si="0"/>
        <v>24</v>
      </c>
      <c r="C25" s="11">
        <v>7</v>
      </c>
      <c r="D25" s="1">
        <v>2022</v>
      </c>
      <c r="E25" s="12">
        <f>'Submetering '!O25+'Submetering '!P25+'Submetering '!Q25+'Submetering '!R25+'Submetering '!S25+'Submetering '!U25</f>
        <v>35355</v>
      </c>
      <c r="F25" s="11">
        <f>(('FS Seychelles'!R26*'FS Seychelles'!S26)+('FS Seychelles'!T26*'FS Seychelles'!U26))/TOTAL!E25</f>
        <v>0.34208705982180743</v>
      </c>
      <c r="G25" s="12">
        <f>('FS Seychelles'!$AC$10+'FS Seychelles'!$AC$15)/30</f>
        <v>426.66666666666669</v>
      </c>
      <c r="H25" s="11">
        <f t="shared" si="1"/>
        <v>1.05</v>
      </c>
      <c r="I25" s="12" t="e">
        <f>'FS Seychelles'!V26+'FS Seychelles'!#REF!+'FS Seychelles'!W26+'FS Seychelles'!X26</f>
        <v>#REF!</v>
      </c>
      <c r="J25" s="11">
        <f t="shared" si="2"/>
        <v>0</v>
      </c>
      <c r="K25" s="28">
        <f>'Submetering '!Z25</f>
        <v>79</v>
      </c>
      <c r="L25" s="11">
        <f t="shared" si="2"/>
        <v>0</v>
      </c>
      <c r="M25" s="42">
        <f>'FS Seychelles'!B26</f>
        <v>51.3</v>
      </c>
    </row>
    <row r="26" spans="1:13" s="15" customFormat="1">
      <c r="A26" s="1" t="s">
        <v>13</v>
      </c>
      <c r="B26" s="14">
        <f>B25+1</f>
        <v>25</v>
      </c>
      <c r="C26" s="11">
        <v>7</v>
      </c>
      <c r="D26" s="1">
        <v>2022</v>
      </c>
      <c r="E26" s="12">
        <f>'Submetering '!O26+'Submetering '!P26+'Submetering '!Q26+'Submetering '!R26+'Submetering '!S26+'Submetering '!U26</f>
        <v>33934</v>
      </c>
      <c r="F26" s="11">
        <f>(('FS Seychelles'!R27*'FS Seychelles'!S27)+('FS Seychelles'!T27*'FS Seychelles'!U27))/TOTAL!E26</f>
        <v>0.34747946012848474</v>
      </c>
      <c r="G26" s="12">
        <f>('FS Seychelles'!$AC$10+'FS Seychelles'!$AC$15)/30</f>
        <v>426.66666666666669</v>
      </c>
      <c r="H26" s="11">
        <f t="shared" si="1"/>
        <v>1.05</v>
      </c>
      <c r="I26" s="12" t="e">
        <f>'FS Seychelles'!V27+'FS Seychelles'!#REF!+'FS Seychelles'!W27+'FS Seychelles'!X27</f>
        <v>#REF!</v>
      </c>
      <c r="J26" s="11">
        <f t="shared" si="2"/>
        <v>0</v>
      </c>
      <c r="K26" s="28">
        <f>'Submetering '!Z26</f>
        <v>61</v>
      </c>
      <c r="L26" s="11">
        <f t="shared" si="2"/>
        <v>0</v>
      </c>
      <c r="M26" s="42">
        <f>'FS Seychelles'!B27</f>
        <v>73.7</v>
      </c>
    </row>
    <row r="27" spans="1:13" s="15" customFormat="1">
      <c r="A27" s="1" t="s">
        <v>13</v>
      </c>
      <c r="B27" s="14">
        <f t="shared" si="0"/>
        <v>26</v>
      </c>
      <c r="C27" s="11">
        <v>7</v>
      </c>
      <c r="D27" s="1">
        <v>2022</v>
      </c>
      <c r="E27" s="12">
        <f>'Submetering '!O27+'Submetering '!P27+'Submetering '!Q27+'Submetering '!R27+'Submetering '!S27+'Submetering '!U27</f>
        <v>38915</v>
      </c>
      <c r="F27" s="11">
        <f>(('FS Seychelles'!R28*'FS Seychelles'!S28)+('FS Seychelles'!T28*'FS Seychelles'!U28))/TOTAL!E27</f>
        <v>0.33902860079660802</v>
      </c>
      <c r="G27" s="12">
        <f>('FS Seychelles'!$AC$10+'FS Seychelles'!$AC$15)/30</f>
        <v>426.66666666666669</v>
      </c>
      <c r="H27" s="11">
        <f t="shared" si="1"/>
        <v>1.05</v>
      </c>
      <c r="I27" s="12" t="e">
        <f>'FS Seychelles'!V28+'FS Seychelles'!#REF!+'FS Seychelles'!W28+'FS Seychelles'!X28</f>
        <v>#REF!</v>
      </c>
      <c r="J27" s="11">
        <f t="shared" si="2"/>
        <v>0</v>
      </c>
      <c r="K27" s="28">
        <f>'Submetering '!Z27</f>
        <v>11</v>
      </c>
      <c r="L27" s="11">
        <f t="shared" si="2"/>
        <v>0</v>
      </c>
      <c r="M27" s="42">
        <f>'FS Seychelles'!B28</f>
        <v>77.599999999999994</v>
      </c>
    </row>
    <row r="28" spans="1:13" s="15" customFormat="1">
      <c r="A28" s="1" t="s">
        <v>13</v>
      </c>
      <c r="B28" s="14">
        <f t="shared" si="0"/>
        <v>27</v>
      </c>
      <c r="C28" s="11">
        <v>7</v>
      </c>
      <c r="D28" s="1">
        <v>2022</v>
      </c>
      <c r="E28" s="12">
        <f>'Submetering '!O28+'Submetering '!P28+'Submetering '!Q28+'Submetering '!R28+'Submetering '!S28+'Submetering '!U28</f>
        <v>32903</v>
      </c>
      <c r="F28" s="11">
        <f>(('FS Seychelles'!R29*'FS Seychelles'!S29)+('FS Seychelles'!T29*'FS Seychelles'!U29))/TOTAL!E28</f>
        <v>0.3603482600370787</v>
      </c>
      <c r="G28" s="12">
        <f>('FS Seychelles'!$AC$10+'FS Seychelles'!$AC$15)/30</f>
        <v>426.66666666666669</v>
      </c>
      <c r="H28" s="11">
        <f t="shared" si="1"/>
        <v>1.05</v>
      </c>
      <c r="I28" s="12" t="e">
        <f>'FS Seychelles'!V29+'FS Seychelles'!#REF!+'FS Seychelles'!W29+'FS Seychelles'!X29</f>
        <v>#REF!</v>
      </c>
      <c r="J28" s="11">
        <f t="shared" si="2"/>
        <v>0</v>
      </c>
      <c r="K28" s="28">
        <f>'Submetering '!Z28</f>
        <v>74</v>
      </c>
      <c r="L28" s="11">
        <f t="shared" si="2"/>
        <v>0</v>
      </c>
      <c r="M28" s="42">
        <f>'FS Seychelles'!B29</f>
        <v>81.599999999999994</v>
      </c>
    </row>
    <row r="29" spans="1:13" s="15" customFormat="1">
      <c r="A29" s="1" t="s">
        <v>13</v>
      </c>
      <c r="B29" s="14">
        <f t="shared" si="0"/>
        <v>28</v>
      </c>
      <c r="C29" s="11">
        <v>7</v>
      </c>
      <c r="D29" s="1">
        <v>2022</v>
      </c>
      <c r="E29" s="12">
        <f>'Submetering '!O29+'Submetering '!P29+'Submetering '!Q29+'Submetering '!R29+'Submetering '!S29+'Submetering '!U29</f>
        <v>32551</v>
      </c>
      <c r="F29" s="11">
        <f>(('FS Seychelles'!R30*'FS Seychelles'!S30)+('FS Seychelles'!T30*'FS Seychelles'!U30))/TOTAL!E29</f>
        <v>0.32788102362446619</v>
      </c>
      <c r="G29" s="12">
        <f>('FS Seychelles'!$AC$10+'FS Seychelles'!$AC$15)/30</f>
        <v>426.66666666666669</v>
      </c>
      <c r="H29" s="11">
        <f t="shared" si="1"/>
        <v>1.05</v>
      </c>
      <c r="I29" s="12" t="e">
        <f>'FS Seychelles'!V30+'FS Seychelles'!#REF!+'FS Seychelles'!W30+'FS Seychelles'!X30</f>
        <v>#REF!</v>
      </c>
      <c r="J29" s="11">
        <f t="shared" si="2"/>
        <v>0</v>
      </c>
      <c r="K29" s="28">
        <f>'Submetering '!Z29</f>
        <v>104</v>
      </c>
      <c r="L29" s="11">
        <f t="shared" si="2"/>
        <v>0</v>
      </c>
      <c r="M29" s="42">
        <f>'FS Seychelles'!B30</f>
        <v>78.900000000000006</v>
      </c>
    </row>
    <row r="30" spans="1:13" s="15" customFormat="1">
      <c r="A30" s="1" t="s">
        <v>13</v>
      </c>
      <c r="B30" s="14">
        <f t="shared" si="0"/>
        <v>29</v>
      </c>
      <c r="C30" s="11">
        <v>7</v>
      </c>
      <c r="D30" s="1">
        <v>2022</v>
      </c>
      <c r="E30" s="12">
        <f>'Submetering '!O30+'Submetering '!P30+'Submetering '!Q30+'Submetering '!R30+'Submetering '!S30+'Submetering '!U30</f>
        <v>37409</v>
      </c>
      <c r="F30" s="11">
        <f>(('FS Seychelles'!R31*'FS Seychelles'!S31)+('FS Seychelles'!T31*'FS Seychelles'!U31))/TOTAL!E30</f>
        <v>0.33254149536207861</v>
      </c>
      <c r="G30" s="12">
        <f>('FS Seychelles'!$AC$10+'FS Seychelles'!$AC$15)/30</f>
        <v>426.66666666666669</v>
      </c>
      <c r="H30" s="11">
        <f t="shared" si="1"/>
        <v>1.05</v>
      </c>
      <c r="I30" s="12" t="e">
        <f>'FS Seychelles'!V31+'FS Seychelles'!#REF!+'FS Seychelles'!W31+'FS Seychelles'!X31</f>
        <v>#REF!</v>
      </c>
      <c r="J30" s="11">
        <f t="shared" si="2"/>
        <v>0</v>
      </c>
      <c r="K30" s="28">
        <f>'Submetering '!Z30</f>
        <v>101</v>
      </c>
      <c r="L30" s="11">
        <f t="shared" si="2"/>
        <v>0</v>
      </c>
      <c r="M30" s="42">
        <f>'FS Seychelles'!B31</f>
        <v>77.599999999999994</v>
      </c>
    </row>
    <row r="31" spans="1:13" s="13" customFormat="1">
      <c r="A31" s="1" t="s">
        <v>13</v>
      </c>
      <c r="B31" s="14">
        <f t="shared" si="0"/>
        <v>30</v>
      </c>
      <c r="C31" s="11">
        <v>7</v>
      </c>
      <c r="D31" s="1">
        <v>2022</v>
      </c>
      <c r="E31" s="12">
        <f>'Submetering '!O31+'Submetering '!P31+'Submetering '!Q31+'Submetering '!R31+'Submetering '!S31+'Submetering '!U31</f>
        <v>35214</v>
      </c>
      <c r="F31" s="11">
        <f>(('FS Seychelles'!R32*'FS Seychelles'!S32)+('FS Seychelles'!T32*'FS Seychelles'!U32))/TOTAL!E31</f>
        <v>0.33889459873913785</v>
      </c>
      <c r="G31" s="12">
        <f>('FS Seychelles'!$AC$10+'FS Seychelles'!$AC$15)/30</f>
        <v>426.66666666666669</v>
      </c>
      <c r="H31" s="11">
        <f t="shared" si="1"/>
        <v>1.05</v>
      </c>
      <c r="I31" s="12" t="e">
        <f>'FS Seychelles'!V32+'FS Seychelles'!#REF!+'FS Seychelles'!W32+'FS Seychelles'!X32</f>
        <v>#REF!</v>
      </c>
      <c r="J31" s="11">
        <f t="shared" si="2"/>
        <v>0</v>
      </c>
      <c r="K31" s="28">
        <f>'Submetering '!Z31</f>
        <v>94</v>
      </c>
      <c r="L31" s="11">
        <f t="shared" si="2"/>
        <v>0</v>
      </c>
      <c r="M31" s="42">
        <f>'FS Seychelles'!B32</f>
        <v>80.3</v>
      </c>
    </row>
    <row r="32" spans="1:13">
      <c r="A32" s="1" t="s">
        <v>13</v>
      </c>
      <c r="B32" s="14">
        <f t="shared" si="0"/>
        <v>31</v>
      </c>
      <c r="C32" s="11">
        <v>7</v>
      </c>
      <c r="D32" s="1">
        <v>2022</v>
      </c>
      <c r="E32" s="12">
        <f>'Submetering '!O32+'Submetering '!P32+'Submetering '!Q32+'Submetering '!R32+'Submetering '!S32+'Submetering '!U32</f>
        <v>29961</v>
      </c>
      <c r="F32" s="11">
        <f>(('FS Seychelles'!R33*'FS Seychelles'!S33)+('FS Seychelles'!T33*'FS Seychelles'!U33))/TOTAL!E32</f>
        <v>0.32263598678281769</v>
      </c>
      <c r="G32" s="12">
        <f>('FS Seychelles'!$AC$10+'FS Seychelles'!$AC$15)/30</f>
        <v>426.66666666666669</v>
      </c>
      <c r="H32" s="11">
        <f t="shared" si="1"/>
        <v>1.05</v>
      </c>
      <c r="I32" s="12" t="e">
        <f>'FS Seychelles'!V33+'FS Seychelles'!#REF!+'FS Seychelles'!W33+'FS Seychelles'!X33</f>
        <v>#REF!</v>
      </c>
      <c r="J32" s="11">
        <f t="shared" si="2"/>
        <v>0</v>
      </c>
      <c r="K32" s="28">
        <f>'Submetering '!Z32</f>
        <v>101</v>
      </c>
      <c r="L32" s="11">
        <f t="shared" si="2"/>
        <v>0</v>
      </c>
      <c r="M32" s="42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topLeftCell="M1" workbookViewId="0">
      <selection activeCell="X1" sqref="X1:X1048576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8" width="16.5703125" style="18" customWidth="1"/>
  </cols>
  <sheetData>
    <row r="1" spans="1:28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6</v>
      </c>
    </row>
    <row r="2" spans="1:28" ht="15">
      <c r="A2" s="1" t="s">
        <v>13</v>
      </c>
      <c r="B2" s="11">
        <v>1</v>
      </c>
      <c r="C2" s="11">
        <v>7</v>
      </c>
      <c r="D2" s="11">
        <v>2022</v>
      </c>
      <c r="E2" s="18">
        <f>'FS Seychelles'!B3</f>
        <v>64.5</v>
      </c>
      <c r="F2" s="18" t="e">
        <f>'FS Seychelles'!D3*1000</f>
        <v>#VALUE!</v>
      </c>
      <c r="G2" s="18" t="e">
        <f>'FS Seychelles'!E3*1000</f>
        <v>#VALUE!</v>
      </c>
      <c r="H2" s="18" t="e">
        <f>'FS Seychelles'!F3*1000</f>
        <v>#VALUE!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 t="e">
        <f>'FS Seychelles'!J3*1000</f>
        <v>#VALUE!</v>
      </c>
      <c r="M2" s="18" t="e">
        <f>'FS Seychelles'!K3*1000</f>
        <v>#VALUE!</v>
      </c>
      <c r="N2" s="18" t="e">
        <f>'FS Seychelles'!L3*1000</f>
        <v>#VALUE!</v>
      </c>
      <c r="O2" s="18">
        <f>'FS Seychelles'!M3</f>
        <v>5048</v>
      </c>
      <c r="P2" s="18">
        <f>'FS Seychelles'!N3</f>
        <v>9744</v>
      </c>
      <c r="Q2" s="18">
        <f>'FS Seychelles'!O3</f>
        <v>1658</v>
      </c>
      <c r="R2" s="18">
        <f>'FS Seychelles'!P3</f>
        <v>0</v>
      </c>
      <c r="S2" s="18">
        <f>'FS Seychelles'!Q3</f>
        <v>9765</v>
      </c>
      <c r="T2" s="18">
        <f>'FS Seychelles'!R3</f>
        <v>5877</v>
      </c>
      <c r="U2" s="18">
        <f>'FS Seychelles'!T3</f>
        <v>0</v>
      </c>
      <c r="V2" s="18">
        <f>'FS Seychelles'!V3</f>
        <v>23</v>
      </c>
      <c r="W2" s="18" t="e">
        <f>'FS Seychelles'!#REF!</f>
        <v>#REF!</v>
      </c>
      <c r="X2" s="18">
        <f>'FS Seychelles'!W3</f>
        <v>118</v>
      </c>
      <c r="Y2" s="18">
        <f>'FS Seychelles'!X3</f>
        <v>72</v>
      </c>
      <c r="Z2" s="18">
        <f>'FS Seychelles'!Y3</f>
        <v>87</v>
      </c>
      <c r="AA2" s="18" t="e">
        <f>'FS Seychelles'!#REF!</f>
        <v>#REF!</v>
      </c>
      <c r="AB2" s="18">
        <f>('FS Seychelles'!AC9+'FS Seychelles'!AC15)/30</f>
        <v>394.66666666666669</v>
      </c>
    </row>
    <row r="3" spans="1:28" ht="15">
      <c r="A3" s="1" t="s">
        <v>13</v>
      </c>
      <c r="B3" s="11">
        <f>B2+1</f>
        <v>2</v>
      </c>
      <c r="C3" s="11">
        <f>C2</f>
        <v>7</v>
      </c>
      <c r="D3" s="11">
        <v>2022</v>
      </c>
      <c r="E3" s="18">
        <f>'FS Seychelles'!B4</f>
        <v>65.8</v>
      </c>
      <c r="F3" s="18" t="e">
        <f>'FS Seychelles'!D4*1000</f>
        <v>#VALUE!</v>
      </c>
      <c r="G3" s="18" t="e">
        <f>'FS Seychelles'!E4*1000</f>
        <v>#VALUE!</v>
      </c>
      <c r="H3" s="18" t="e">
        <f>'FS Seychelles'!F4*1000</f>
        <v>#VALUE!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 t="e">
        <f>'FS Seychelles'!J4*1000</f>
        <v>#VALUE!</v>
      </c>
      <c r="M3" s="18" t="e">
        <f>'FS Seychelles'!K4*1000</f>
        <v>#VALUE!</v>
      </c>
      <c r="N3" s="18" t="e">
        <f>'FS Seychelles'!L4*1000</f>
        <v>#VALUE!</v>
      </c>
      <c r="O3" s="18">
        <f>'FS Seychelles'!M4</f>
        <v>6820</v>
      </c>
      <c r="P3" s="18">
        <f>'FS Seychelles'!N4</f>
        <v>5581</v>
      </c>
      <c r="Q3" s="18">
        <f>'FS Seychelles'!O4</f>
        <v>0</v>
      </c>
      <c r="R3" s="18">
        <f>'FS Seychelles'!P4</f>
        <v>7574</v>
      </c>
      <c r="S3" s="18">
        <f>'FS Seychelles'!Q4</f>
        <v>7404</v>
      </c>
      <c r="T3" s="18">
        <f>'FS Seychelles'!R4</f>
        <v>5498</v>
      </c>
      <c r="U3" s="18">
        <f>'FS Seychelles'!T4</f>
        <v>0</v>
      </c>
      <c r="V3" s="18">
        <f>'FS Seychelles'!V4</f>
        <v>44</v>
      </c>
      <c r="W3" s="18" t="e">
        <f>'FS Seychelles'!#REF!</f>
        <v>#REF!</v>
      </c>
      <c r="X3" s="18">
        <f>'FS Seychelles'!W4</f>
        <v>109</v>
      </c>
      <c r="Y3" s="18">
        <f>'FS Seychelles'!X4</f>
        <v>51</v>
      </c>
      <c r="Z3" s="18">
        <f>'FS Seychelles'!Y4</f>
        <v>26</v>
      </c>
      <c r="AA3" s="18" t="e">
        <f>'FS Seychelles'!#REF!</f>
        <v>#REF!</v>
      </c>
      <c r="AB3" s="18">
        <f>('FS Seychelles'!AC10+'FS Seychelles'!AC16)/30</f>
        <v>32</v>
      </c>
    </row>
    <row r="4" spans="1:28" ht="15">
      <c r="A4" s="1" t="s">
        <v>13</v>
      </c>
      <c r="B4" s="11">
        <f t="shared" ref="B4:B32" si="0">B3+1</f>
        <v>3</v>
      </c>
      <c r="C4" s="11">
        <f t="shared" ref="C4:C32" si="1">C3</f>
        <v>7</v>
      </c>
      <c r="D4" s="11">
        <v>2022</v>
      </c>
      <c r="E4" s="18">
        <f>'FS Seychelles'!B5</f>
        <v>69.7</v>
      </c>
      <c r="F4" s="18" t="e">
        <f>'FS Seychelles'!D5*1000</f>
        <v>#VALUE!</v>
      </c>
      <c r="G4" s="18" t="e">
        <f>'FS Seychelles'!E5*1000</f>
        <v>#VALUE!</v>
      </c>
      <c r="H4" s="18" t="e">
        <f>'FS Seychelles'!F5*1000</f>
        <v>#VALUE!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 t="e">
        <f>'FS Seychelles'!J5*1000</f>
        <v>#VALUE!</v>
      </c>
      <c r="M4" s="18" t="e">
        <f>'FS Seychelles'!K5*1000</f>
        <v>#VALUE!</v>
      </c>
      <c r="N4" s="18" t="e">
        <f>'FS Seychelles'!L5*1000</f>
        <v>#VALUE!</v>
      </c>
      <c r="O4" s="18">
        <f>'FS Seychelles'!M5</f>
        <v>9824</v>
      </c>
      <c r="P4" s="18">
        <f>'FS Seychelles'!N5</f>
        <v>5251</v>
      </c>
      <c r="Q4" s="18">
        <f>'FS Seychelles'!O5</f>
        <v>9861</v>
      </c>
      <c r="R4" s="18">
        <f>'FS Seychelles'!P5</f>
        <v>5151</v>
      </c>
      <c r="S4" s="18">
        <f>'FS Seychelles'!Q5</f>
        <v>5294</v>
      </c>
      <c r="T4" s="18">
        <f>'FS Seychelles'!R5</f>
        <v>7827</v>
      </c>
      <c r="U4" s="18">
        <f>'FS Seychelles'!T5</f>
        <v>0</v>
      </c>
      <c r="V4" s="18">
        <f>'FS Seychelles'!V5</f>
        <v>59</v>
      </c>
      <c r="W4" s="18" t="e">
        <f>'FS Seychelles'!#REF!</f>
        <v>#REF!</v>
      </c>
      <c r="X4" s="18">
        <f>'FS Seychelles'!W5</f>
        <v>158</v>
      </c>
      <c r="Y4" s="18">
        <f>'FS Seychelles'!X5</f>
        <v>67</v>
      </c>
      <c r="Z4" s="18">
        <f>'FS Seychelles'!Y5</f>
        <v>86</v>
      </c>
      <c r="AA4" s="18" t="e">
        <f>'FS Seychelles'!#REF!</f>
        <v>#REF!</v>
      </c>
      <c r="AB4" s="18">
        <f>('FS Seychelles'!AC11+'FS Seychelles'!AC17)/30</f>
        <v>0</v>
      </c>
    </row>
    <row r="5" spans="1:28" ht="15">
      <c r="A5" s="1" t="s">
        <v>13</v>
      </c>
      <c r="B5" s="11">
        <f t="shared" si="0"/>
        <v>4</v>
      </c>
      <c r="C5" s="11">
        <f t="shared" si="1"/>
        <v>7</v>
      </c>
      <c r="D5" s="11">
        <v>2022</v>
      </c>
      <c r="E5" s="18">
        <f>'FS Seychelles'!B6</f>
        <v>65.8</v>
      </c>
      <c r="F5" s="18" t="e">
        <f>'FS Seychelles'!D6*1000</f>
        <v>#VALUE!</v>
      </c>
      <c r="G5" s="18" t="e">
        <f>'FS Seychelles'!E6*1000</f>
        <v>#VALUE!</v>
      </c>
      <c r="H5" s="18" t="e">
        <f>'FS Seychelles'!F6*1000</f>
        <v>#VALUE!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 t="e">
        <f>'FS Seychelles'!J6*1000</f>
        <v>#VALUE!</v>
      </c>
      <c r="M5" s="18" t="e">
        <f>'FS Seychelles'!K6*1000</f>
        <v>#VALUE!</v>
      </c>
      <c r="N5" s="18" t="e">
        <f>'FS Seychelles'!L6*1000</f>
        <v>#VALUE!</v>
      </c>
      <c r="O5" s="18">
        <f>'FS Seychelles'!M6</f>
        <v>10140</v>
      </c>
      <c r="P5" s="18">
        <f>'FS Seychelles'!N6</f>
        <v>3751</v>
      </c>
      <c r="Q5" s="18">
        <f>'FS Seychelles'!O6</f>
        <v>10777</v>
      </c>
      <c r="R5" s="18">
        <f>'FS Seychelles'!P6</f>
        <v>0</v>
      </c>
      <c r="S5" s="18">
        <f>'FS Seychelles'!Q6</f>
        <v>4402</v>
      </c>
      <c r="T5" s="18">
        <f>'FS Seychelles'!R6</f>
        <v>6402</v>
      </c>
      <c r="U5" s="18">
        <f>'FS Seychelles'!T6</f>
        <v>0</v>
      </c>
      <c r="V5" s="18">
        <f>'FS Seychelles'!V6</f>
        <v>56</v>
      </c>
      <c r="W5" s="18" t="e">
        <f>'FS Seychelles'!#REF!</f>
        <v>#REF!</v>
      </c>
      <c r="X5" s="18">
        <f>'FS Seychelles'!W6</f>
        <v>146</v>
      </c>
      <c r="Y5" s="18">
        <f>'FS Seychelles'!X6</f>
        <v>75</v>
      </c>
      <c r="Z5" s="18">
        <f>'FS Seychelles'!Y6</f>
        <v>88</v>
      </c>
      <c r="AA5" s="18" t="e">
        <f>'FS Seychelles'!#REF!</f>
        <v>#REF!</v>
      </c>
      <c r="AB5" s="18">
        <f>('FS Seychelles'!AC12+'FS Seychelles'!AC18)/30</f>
        <v>0</v>
      </c>
    </row>
    <row r="6" spans="1:28" ht="15">
      <c r="A6" s="1" t="s">
        <v>13</v>
      </c>
      <c r="B6" s="11">
        <f t="shared" si="0"/>
        <v>5</v>
      </c>
      <c r="C6" s="11">
        <f t="shared" si="1"/>
        <v>7</v>
      </c>
      <c r="D6" s="11">
        <v>2022</v>
      </c>
      <c r="E6" s="18">
        <f>'FS Seychelles'!B7</f>
        <v>51.3</v>
      </c>
      <c r="F6" s="18" t="e">
        <f>'FS Seychelles'!D7*1000</f>
        <v>#VALUE!</v>
      </c>
      <c r="G6" s="18" t="e">
        <f>'FS Seychelles'!E7*1000</f>
        <v>#VALUE!</v>
      </c>
      <c r="H6" s="18" t="e">
        <f>'FS Seychelles'!F7*1000</f>
        <v>#VALUE!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 t="e">
        <f>'FS Seychelles'!J7*1000</f>
        <v>#VALUE!</v>
      </c>
      <c r="M6" s="18" t="e">
        <f>'FS Seychelles'!K7*1000</f>
        <v>#VALUE!</v>
      </c>
      <c r="N6" s="18" t="e">
        <f>'FS Seychelles'!L7*1000</f>
        <v>#VALUE!</v>
      </c>
      <c r="O6" s="18">
        <f>'FS Seychelles'!M7</f>
        <v>11010</v>
      </c>
      <c r="P6" s="18">
        <f>'FS Seychelles'!N7</f>
        <v>4008</v>
      </c>
      <c r="Q6" s="18">
        <f>'FS Seychelles'!O7</f>
        <v>11026</v>
      </c>
      <c r="R6" s="18">
        <f>'FS Seychelles'!P7</f>
        <v>0</v>
      </c>
      <c r="S6" s="18">
        <f>'FS Seychelles'!Q7</f>
        <v>4852</v>
      </c>
      <c r="T6" s="18">
        <f>'FS Seychelles'!R7</f>
        <v>6596</v>
      </c>
      <c r="U6" s="18">
        <f>'FS Seychelles'!T7</f>
        <v>0</v>
      </c>
      <c r="V6" s="18">
        <f>'FS Seychelles'!V7</f>
        <v>57</v>
      </c>
      <c r="W6" s="18" t="e">
        <f>'FS Seychelles'!#REF!</f>
        <v>#REF!</v>
      </c>
      <c r="X6" s="18">
        <f>'FS Seychelles'!W7</f>
        <v>112</v>
      </c>
      <c r="Y6" s="18">
        <f>'FS Seychelles'!X7</f>
        <v>64</v>
      </c>
      <c r="Z6" s="18">
        <f>'FS Seychelles'!Y7</f>
        <v>86</v>
      </c>
      <c r="AA6" s="18" t="e">
        <f>'FS Seychelles'!#REF!</f>
        <v>#REF!</v>
      </c>
      <c r="AB6" s="18">
        <f>('FS Seychelles'!AC13+'FS Seychelles'!AC19)/30</f>
        <v>0</v>
      </c>
    </row>
    <row r="7" spans="1:28" ht="15">
      <c r="A7" s="1" t="s">
        <v>13</v>
      </c>
      <c r="B7" s="11">
        <f t="shared" si="0"/>
        <v>6</v>
      </c>
      <c r="C7" s="11">
        <f t="shared" si="1"/>
        <v>7</v>
      </c>
      <c r="D7" s="11">
        <v>2022</v>
      </c>
      <c r="E7" s="18">
        <f>'FS Seychelles'!B8</f>
        <v>55.3</v>
      </c>
      <c r="F7" s="18" t="e">
        <f>'FS Seychelles'!D8*1000</f>
        <v>#VALUE!</v>
      </c>
      <c r="G7" s="18" t="e">
        <f>'FS Seychelles'!E8*1000</f>
        <v>#VALUE!</v>
      </c>
      <c r="H7" s="18" t="e">
        <f>'FS Seychelles'!F8*1000</f>
        <v>#VALUE!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 t="e">
        <f>'FS Seychelles'!J8*1000</f>
        <v>#VALUE!</v>
      </c>
      <c r="M7" s="18" t="e">
        <f>'FS Seychelles'!K8*1000</f>
        <v>#VALUE!</v>
      </c>
      <c r="N7" s="18" t="e">
        <f>'FS Seychelles'!L8*1000</f>
        <v>#VALUE!</v>
      </c>
      <c r="O7" s="18">
        <f>'FS Seychelles'!M8</f>
        <v>6750</v>
      </c>
      <c r="P7" s="18">
        <f>'FS Seychelles'!N8</f>
        <v>4907</v>
      </c>
      <c r="Q7" s="18">
        <f>'FS Seychelles'!O8</f>
        <v>9453</v>
      </c>
      <c r="R7" s="18">
        <f>'FS Seychelles'!P8</f>
        <v>0</v>
      </c>
      <c r="S7" s="18">
        <f>'FS Seychelles'!Q8</f>
        <v>7658</v>
      </c>
      <c r="T7" s="18">
        <f>'FS Seychelles'!R8</f>
        <v>6479</v>
      </c>
      <c r="U7" s="18">
        <f>'FS Seychelles'!T8</f>
        <v>0</v>
      </c>
      <c r="V7" s="18">
        <f>'FS Seychelles'!V8</f>
        <v>59</v>
      </c>
      <c r="W7" s="18" t="e">
        <f>'FS Seychelles'!#REF!</f>
        <v>#REF!</v>
      </c>
      <c r="X7" s="18">
        <f>'FS Seychelles'!W8</f>
        <v>125</v>
      </c>
      <c r="Y7" s="18">
        <f>'FS Seychelles'!X8</f>
        <v>67</v>
      </c>
      <c r="Z7" s="18">
        <f>'FS Seychelles'!Y8</f>
        <v>92</v>
      </c>
      <c r="AA7" s="18" t="e">
        <f>'FS Seychelles'!#REF!</f>
        <v>#REF!</v>
      </c>
      <c r="AB7" s="18">
        <f>('FS Seychelles'!AC14+'FS Seychelles'!AC20)/30</f>
        <v>0</v>
      </c>
    </row>
    <row r="8" spans="1:28" ht="15">
      <c r="A8" s="1" t="s">
        <v>13</v>
      </c>
      <c r="B8" s="11">
        <f t="shared" si="0"/>
        <v>7</v>
      </c>
      <c r="C8" s="11">
        <f t="shared" si="1"/>
        <v>7</v>
      </c>
      <c r="D8" s="11">
        <v>2022</v>
      </c>
      <c r="E8" s="18">
        <f>'FS Seychelles'!B9</f>
        <v>61.8</v>
      </c>
      <c r="F8" s="18" t="e">
        <f>'FS Seychelles'!D9*1000</f>
        <v>#VALUE!</v>
      </c>
      <c r="G8" s="18" t="e">
        <f>'FS Seychelles'!E9*1000</f>
        <v>#VALUE!</v>
      </c>
      <c r="H8" s="18" t="e">
        <f>'FS Seychelles'!F9*1000</f>
        <v>#VALUE!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 t="e">
        <f>'FS Seychelles'!J9*1000</f>
        <v>#VALUE!</v>
      </c>
      <c r="M8" s="18" t="e">
        <f>'FS Seychelles'!K9*1000</f>
        <v>#VALUE!</v>
      </c>
      <c r="N8" s="18" t="e">
        <f>'FS Seychelles'!L9*1000</f>
        <v>#VALUE!</v>
      </c>
      <c r="O8" s="18">
        <f>'FS Seychelles'!M9</f>
        <v>5554</v>
      </c>
      <c r="P8" s="18">
        <f>'FS Seychelles'!N9</f>
        <v>5574</v>
      </c>
      <c r="Q8" s="18">
        <f>'FS Seychelles'!O9</f>
        <v>10535</v>
      </c>
      <c r="R8" s="18">
        <f>'FS Seychelles'!P9</f>
        <v>0</v>
      </c>
      <c r="S8" s="18">
        <f>'FS Seychelles'!Q9</f>
        <v>10513</v>
      </c>
      <c r="T8" s="18">
        <f>'FS Seychelles'!R9</f>
        <v>6945</v>
      </c>
      <c r="U8" s="18">
        <f>'FS Seychelles'!T9</f>
        <v>0</v>
      </c>
      <c r="V8" s="18">
        <f>'FS Seychelles'!V9</f>
        <v>59</v>
      </c>
      <c r="W8" s="18" t="e">
        <f>'FS Seychelles'!#REF!</f>
        <v>#REF!</v>
      </c>
      <c r="X8" s="18">
        <f>'FS Seychelles'!W9</f>
        <v>129</v>
      </c>
      <c r="Y8" s="18">
        <f>'FS Seychelles'!X9</f>
        <v>50</v>
      </c>
      <c r="Z8" s="18">
        <f>'FS Seychelles'!Y9</f>
        <v>92</v>
      </c>
      <c r="AA8" s="18" t="e">
        <f>'FS Seychelles'!#REF!</f>
        <v>#REF!</v>
      </c>
      <c r="AB8" s="18">
        <f>('FS Seychelles'!AC15+'FS Seychelles'!AC21)/30</f>
        <v>394.66666666666669</v>
      </c>
    </row>
    <row r="9" spans="1:28" ht="15">
      <c r="A9" s="1" t="s">
        <v>13</v>
      </c>
      <c r="B9" s="11">
        <f t="shared" si="0"/>
        <v>8</v>
      </c>
      <c r="C9" s="11">
        <f t="shared" si="1"/>
        <v>7</v>
      </c>
      <c r="D9" s="11">
        <v>2022</v>
      </c>
      <c r="E9" s="18">
        <f>'FS Seychelles'!B10</f>
        <v>63.2</v>
      </c>
      <c r="F9" s="18" t="e">
        <f>'FS Seychelles'!D10*1000</f>
        <v>#VALUE!</v>
      </c>
      <c r="G9" s="18" t="e">
        <f>'FS Seychelles'!E10*1000</f>
        <v>#VALUE!</v>
      </c>
      <c r="H9" s="18" t="e">
        <f>'FS Seychelles'!F10*1000</f>
        <v>#VALUE!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 t="e">
        <f>'FS Seychelles'!J10*1000</f>
        <v>#VALUE!</v>
      </c>
      <c r="M9" s="18" t="e">
        <f>'FS Seychelles'!K10*1000</f>
        <v>#VALUE!</v>
      </c>
      <c r="N9" s="18" t="e">
        <f>'FS Seychelles'!L10*1000</f>
        <v>#VALUE!</v>
      </c>
      <c r="O9" s="18">
        <f>'FS Seychelles'!M10</f>
        <v>5857</v>
      </c>
      <c r="P9" s="18">
        <f>'FS Seychelles'!N10</f>
        <v>5593</v>
      </c>
      <c r="Q9" s="18">
        <f>'FS Seychelles'!O10</f>
        <v>9935</v>
      </c>
      <c r="R9" s="18">
        <f>'FS Seychelles'!P10</f>
        <v>0</v>
      </c>
      <c r="S9" s="18">
        <f>'FS Seychelles'!Q10</f>
        <v>9950</v>
      </c>
      <c r="T9" s="18">
        <f>'FS Seychelles'!R10</f>
        <v>6832</v>
      </c>
      <c r="U9" s="18">
        <f>'FS Seychelles'!T10</f>
        <v>0</v>
      </c>
      <c r="V9" s="18">
        <f>'FS Seychelles'!V10</f>
        <v>62</v>
      </c>
      <c r="W9" s="18" t="e">
        <f>'FS Seychelles'!#REF!</f>
        <v>#REF!</v>
      </c>
      <c r="X9" s="18">
        <f>'FS Seychelles'!W10</f>
        <v>139</v>
      </c>
      <c r="Y9" s="18">
        <f>'FS Seychelles'!X10</f>
        <v>45</v>
      </c>
      <c r="Z9" s="18">
        <f>'FS Seychelles'!Y10</f>
        <v>95</v>
      </c>
      <c r="AA9" s="18" t="e">
        <f>'FS Seychelles'!#REF!</f>
        <v>#REF!</v>
      </c>
      <c r="AB9" s="18">
        <f>('FS Seychelles'!AC16+'FS Seychelles'!AC22)/30</f>
        <v>0</v>
      </c>
    </row>
    <row r="10" spans="1:28" ht="15">
      <c r="A10" s="1" t="s">
        <v>13</v>
      </c>
      <c r="B10" s="11">
        <f t="shared" si="0"/>
        <v>9</v>
      </c>
      <c r="C10" s="11">
        <f t="shared" si="1"/>
        <v>7</v>
      </c>
      <c r="D10" s="11">
        <v>2022</v>
      </c>
      <c r="E10" s="18">
        <f>'FS Seychelles'!B11</f>
        <v>63.2</v>
      </c>
      <c r="F10" s="18" t="e">
        <f>'FS Seychelles'!D11*1000</f>
        <v>#VALUE!</v>
      </c>
      <c r="G10" s="18" t="e">
        <f>'FS Seychelles'!E11*1000</f>
        <v>#VALUE!</v>
      </c>
      <c r="H10" s="18" t="e">
        <f>'FS Seychelles'!F11*1000</f>
        <v>#VALUE!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 t="e">
        <f>'FS Seychelles'!J11*1000</f>
        <v>#VALUE!</v>
      </c>
      <c r="M10" s="18" t="e">
        <f>'FS Seychelles'!K11*1000</f>
        <v>#VALUE!</v>
      </c>
      <c r="N10" s="18" t="e">
        <f>'FS Seychelles'!L11*1000</f>
        <v>#VALUE!</v>
      </c>
      <c r="O10" s="18">
        <f>'FS Seychelles'!M11</f>
        <v>9812</v>
      </c>
      <c r="P10" s="18">
        <f>'FS Seychelles'!N11</f>
        <v>5432</v>
      </c>
      <c r="Q10" s="18">
        <f>'FS Seychelles'!O11</f>
        <v>5593</v>
      </c>
      <c r="R10" s="18">
        <f>'FS Seychelles'!P11</f>
        <v>0</v>
      </c>
      <c r="S10" s="18">
        <f>'FS Seychelles'!Q11</f>
        <v>10231</v>
      </c>
      <c r="T10" s="18">
        <f>'FS Seychelles'!R11</f>
        <v>6655</v>
      </c>
      <c r="U10" s="18">
        <f>'FS Seychelles'!T11</f>
        <v>0</v>
      </c>
      <c r="V10" s="18">
        <f>'FS Seychelles'!V11</f>
        <v>53</v>
      </c>
      <c r="W10" s="18" t="e">
        <f>'FS Seychelles'!#REF!</f>
        <v>#REF!</v>
      </c>
      <c r="X10" s="18">
        <f>'FS Seychelles'!W11</f>
        <v>107</v>
      </c>
      <c r="Y10" s="18">
        <f>'FS Seychelles'!X11</f>
        <v>65</v>
      </c>
      <c r="Z10" s="18">
        <f>'FS Seychelles'!Y11</f>
        <v>95</v>
      </c>
      <c r="AA10" s="18" t="e">
        <f>'FS Seychelles'!#REF!</f>
        <v>#REF!</v>
      </c>
      <c r="AB10" s="18">
        <f>('FS Seychelles'!AC17+'FS Seychelles'!AC23)/30</f>
        <v>0</v>
      </c>
    </row>
    <row r="11" spans="1:28" ht="15">
      <c r="A11" s="1" t="s">
        <v>13</v>
      </c>
      <c r="B11" s="11">
        <f t="shared" si="0"/>
        <v>10</v>
      </c>
      <c r="C11" s="11">
        <f t="shared" si="1"/>
        <v>7</v>
      </c>
      <c r="D11" s="11">
        <v>2022</v>
      </c>
      <c r="E11" s="18">
        <f>'FS Seychelles'!B12</f>
        <v>67.099999999999994</v>
      </c>
      <c r="F11" s="18" t="e">
        <f>'FS Seychelles'!D12*1000</f>
        <v>#VALUE!</v>
      </c>
      <c r="G11" s="18" t="e">
        <f>'FS Seychelles'!E12*1000</f>
        <v>#VALUE!</v>
      </c>
      <c r="H11" s="18" t="e">
        <f>'FS Seychelles'!F12*1000</f>
        <v>#VALUE!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 t="e">
        <f>'FS Seychelles'!J12*1000</f>
        <v>#VALUE!</v>
      </c>
      <c r="M11" s="18" t="e">
        <f>'FS Seychelles'!K12*1000</f>
        <v>#VALUE!</v>
      </c>
      <c r="N11" s="18" t="e">
        <f>'FS Seychelles'!L12*1000</f>
        <v>#VALUE!</v>
      </c>
      <c r="O11" s="18">
        <f>'FS Seychelles'!M12</f>
        <v>5304</v>
      </c>
      <c r="P11" s="18">
        <f>'FS Seychelles'!N12</f>
        <v>10428</v>
      </c>
      <c r="Q11" s="18">
        <f>'FS Seychelles'!O12</f>
        <v>10665</v>
      </c>
      <c r="R11" s="18">
        <f>'FS Seychelles'!P12</f>
        <v>0</v>
      </c>
      <c r="S11" s="18">
        <f>'FS Seychelles'!Q12</f>
        <v>5236</v>
      </c>
      <c r="T11" s="18">
        <f>'FS Seychelles'!R12</f>
        <v>6946</v>
      </c>
      <c r="U11" s="18">
        <f>'FS Seychelles'!T12</f>
        <v>0</v>
      </c>
      <c r="V11" s="18">
        <f>'FS Seychelles'!V12</f>
        <v>49</v>
      </c>
      <c r="W11" s="18" t="e">
        <f>'FS Seychelles'!#REF!</f>
        <v>#REF!</v>
      </c>
      <c r="X11" s="18">
        <f>'FS Seychelles'!W12</f>
        <v>134</v>
      </c>
      <c r="Y11" s="18">
        <f>'FS Seychelles'!X12</f>
        <v>51</v>
      </c>
      <c r="Z11" s="18">
        <f>'FS Seychelles'!Y12</f>
        <v>92</v>
      </c>
      <c r="AA11" s="18" t="e">
        <f>'FS Seychelles'!#REF!</f>
        <v>#REF!</v>
      </c>
      <c r="AB11" s="18">
        <f>('FS Seychelles'!AC18+'FS Seychelles'!AC24)/30</f>
        <v>0</v>
      </c>
    </row>
    <row r="12" spans="1:28" ht="15">
      <c r="A12" s="1" t="s">
        <v>13</v>
      </c>
      <c r="B12" s="11">
        <f t="shared" si="0"/>
        <v>11</v>
      </c>
      <c r="C12" s="11">
        <f t="shared" si="1"/>
        <v>7</v>
      </c>
      <c r="D12" s="11">
        <v>2022</v>
      </c>
      <c r="E12" s="18">
        <f>'FS Seychelles'!B13</f>
        <v>69.7</v>
      </c>
      <c r="F12" s="18" t="e">
        <f>'FS Seychelles'!D13*1000</f>
        <v>#VALUE!</v>
      </c>
      <c r="G12" s="18" t="e">
        <f>'FS Seychelles'!E13*1000</f>
        <v>#VALUE!</v>
      </c>
      <c r="H12" s="18" t="e">
        <f>'FS Seychelles'!F13*1000</f>
        <v>#VALUE!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 t="e">
        <f>'FS Seychelles'!J13*1000</f>
        <v>#VALUE!</v>
      </c>
      <c r="M12" s="18" t="e">
        <f>'FS Seychelles'!K13*1000</f>
        <v>#VALUE!</v>
      </c>
      <c r="N12" s="18" t="e">
        <f>'FS Seychelles'!L13*1000</f>
        <v>#VALUE!</v>
      </c>
      <c r="O12" s="18">
        <f>'FS Seychelles'!M13</f>
        <v>10840</v>
      </c>
      <c r="P12" s="18">
        <f>'FS Seychelles'!N13</f>
        <v>15499</v>
      </c>
      <c r="Q12" s="18">
        <f>'FS Seychelles'!O13</f>
        <v>0</v>
      </c>
      <c r="R12" s="18">
        <f>'FS Seychelles'!P13</f>
        <v>0</v>
      </c>
      <c r="S12" s="18">
        <f>'FS Seychelles'!Q13</f>
        <v>4539</v>
      </c>
      <c r="T12" s="18">
        <f>'FS Seychelles'!R13</f>
        <v>6694</v>
      </c>
      <c r="U12" s="18">
        <f>'FS Seychelles'!T13</f>
        <v>0</v>
      </c>
      <c r="V12" s="18">
        <f>'FS Seychelles'!V13</f>
        <v>63</v>
      </c>
      <c r="W12" s="18" t="e">
        <f>'FS Seychelles'!#REF!</f>
        <v>#REF!</v>
      </c>
      <c r="X12" s="18">
        <f>'FS Seychelles'!W13</f>
        <v>121</v>
      </c>
      <c r="Y12" s="18">
        <f>'FS Seychelles'!X13</f>
        <v>51</v>
      </c>
      <c r="Z12" s="18">
        <f>'FS Seychelles'!Y13</f>
        <v>98</v>
      </c>
      <c r="AA12" s="18" t="e">
        <f>'FS Seychelles'!#REF!</f>
        <v>#REF!</v>
      </c>
      <c r="AB12" s="18">
        <f>('FS Seychelles'!AC19+'FS Seychelles'!AC25)/30</f>
        <v>0</v>
      </c>
    </row>
    <row r="13" spans="1:28" ht="15">
      <c r="A13" s="1" t="s">
        <v>13</v>
      </c>
      <c r="B13" s="11">
        <f t="shared" si="0"/>
        <v>12</v>
      </c>
      <c r="C13" s="11">
        <f t="shared" si="1"/>
        <v>7</v>
      </c>
      <c r="D13" s="11">
        <v>2022</v>
      </c>
      <c r="E13" s="18">
        <f>'FS Seychelles'!B14</f>
        <v>68.400000000000006</v>
      </c>
      <c r="F13" s="18" t="e">
        <f>'FS Seychelles'!D14*1000</f>
        <v>#VALUE!</v>
      </c>
      <c r="G13" s="18" t="e">
        <f>'FS Seychelles'!E14*1000</f>
        <v>#VALUE!</v>
      </c>
      <c r="H13" s="18" t="e">
        <f>'FS Seychelles'!F14*1000</f>
        <v>#VALUE!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 t="e">
        <f>'FS Seychelles'!J14*1000</f>
        <v>#VALUE!</v>
      </c>
      <c r="M13" s="18" t="e">
        <f>'FS Seychelles'!K14*1000</f>
        <v>#VALUE!</v>
      </c>
      <c r="N13" s="18" t="e">
        <f>'FS Seychelles'!L14*1000</f>
        <v>#VALUE!</v>
      </c>
      <c r="O13" s="18">
        <f>'FS Seychelles'!M14</f>
        <v>0</v>
      </c>
      <c r="P13" s="18">
        <f>'FS Seychelles'!N14</f>
        <v>4668</v>
      </c>
      <c r="Q13" s="18">
        <f>'FS Seychelles'!O14</f>
        <v>10699</v>
      </c>
      <c r="R13" s="18">
        <f>'FS Seychelles'!P14</f>
        <v>0</v>
      </c>
      <c r="S13" s="18">
        <f>'FS Seychelles'!Q14</f>
        <v>15287</v>
      </c>
      <c r="T13" s="18">
        <f>'FS Seychelles'!R14</f>
        <v>6656</v>
      </c>
      <c r="U13" s="18">
        <f>'FS Seychelles'!T14</f>
        <v>0</v>
      </c>
      <c r="V13" s="18">
        <f>'FS Seychelles'!V14</f>
        <v>59</v>
      </c>
      <c r="W13" s="18" t="e">
        <f>'FS Seychelles'!#REF!</f>
        <v>#REF!</v>
      </c>
      <c r="X13" s="18">
        <f>'FS Seychelles'!W14</f>
        <v>106</v>
      </c>
      <c r="Y13" s="18">
        <f>'FS Seychelles'!X14</f>
        <v>45</v>
      </c>
      <c r="Z13" s="18">
        <f>'FS Seychelles'!Y14</f>
        <v>94</v>
      </c>
      <c r="AA13" s="18" t="e">
        <f>'FS Seychelles'!#REF!</f>
        <v>#REF!</v>
      </c>
      <c r="AB13" s="18">
        <f>('FS Seychelles'!AC20+'FS Seychelles'!AC26)/30</f>
        <v>0</v>
      </c>
    </row>
    <row r="14" spans="1:28" ht="15">
      <c r="A14" s="1" t="s">
        <v>13</v>
      </c>
      <c r="B14" s="11">
        <f t="shared" si="0"/>
        <v>13</v>
      </c>
      <c r="C14" s="11">
        <f t="shared" si="1"/>
        <v>7</v>
      </c>
      <c r="D14" s="11">
        <v>2022</v>
      </c>
      <c r="E14" s="18">
        <f>'FS Seychelles'!B15</f>
        <v>64.5</v>
      </c>
      <c r="F14" s="18" t="e">
        <f>'FS Seychelles'!D15*1000</f>
        <v>#VALUE!</v>
      </c>
      <c r="G14" s="18" t="e">
        <f>'FS Seychelles'!E15*1000</f>
        <v>#VALUE!</v>
      </c>
      <c r="H14" s="18" t="e">
        <f>'FS Seychelles'!F15*1000</f>
        <v>#VALUE!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 t="e">
        <f>'FS Seychelles'!J15*1000</f>
        <v>#VALUE!</v>
      </c>
      <c r="M14" s="18" t="e">
        <f>'FS Seychelles'!K15*1000</f>
        <v>#VALUE!</v>
      </c>
      <c r="N14" s="18" t="e">
        <f>'FS Seychelles'!L15*1000</f>
        <v>#VALUE!</v>
      </c>
      <c r="O14" s="18">
        <f>'FS Seychelles'!M15</f>
        <v>5991</v>
      </c>
      <c r="P14" s="18">
        <f>'FS Seychelles'!N15</f>
        <v>10265</v>
      </c>
      <c r="Q14" s="18">
        <f>'FS Seychelles'!O15</f>
        <v>10122</v>
      </c>
      <c r="R14" s="18">
        <f>'FS Seychelles'!P15</f>
        <v>0</v>
      </c>
      <c r="S14" s="18">
        <f>'FS Seychelles'!Q15</f>
        <v>4597</v>
      </c>
      <c r="T14" s="18">
        <f>'FS Seychelles'!R15</f>
        <v>6751</v>
      </c>
      <c r="U14" s="18">
        <f>'FS Seychelles'!T15</f>
        <v>0</v>
      </c>
      <c r="V14" s="18">
        <f>'FS Seychelles'!V15</f>
        <v>58</v>
      </c>
      <c r="W14" s="18" t="e">
        <f>'FS Seychelles'!#REF!</f>
        <v>#REF!</v>
      </c>
      <c r="X14" s="18">
        <f>'FS Seychelles'!W15</f>
        <v>109</v>
      </c>
      <c r="Y14" s="18">
        <f>'FS Seychelles'!X15</f>
        <v>44</v>
      </c>
      <c r="Z14" s="18">
        <f>'FS Seychelles'!Y15</f>
        <v>97</v>
      </c>
      <c r="AA14" s="18" t="e">
        <f>'FS Seychelles'!#REF!</f>
        <v>#REF!</v>
      </c>
      <c r="AB14" s="18">
        <f>('FS Seychelles'!AC21+'FS Seychelles'!AC27)/30</f>
        <v>0</v>
      </c>
    </row>
    <row r="15" spans="1:28" ht="15">
      <c r="A15" s="1" t="s">
        <v>13</v>
      </c>
      <c r="B15" s="11">
        <f t="shared" si="0"/>
        <v>14</v>
      </c>
      <c r="C15" s="11">
        <f t="shared" si="1"/>
        <v>7</v>
      </c>
      <c r="D15" s="11">
        <v>2022</v>
      </c>
      <c r="E15" s="18">
        <f>'FS Seychelles'!B16</f>
        <v>72.400000000000006</v>
      </c>
      <c r="F15" s="18" t="e">
        <f>'FS Seychelles'!D16*1000</f>
        <v>#VALUE!</v>
      </c>
      <c r="G15" s="18" t="e">
        <f>'FS Seychelles'!E16*1000</f>
        <v>#VALUE!</v>
      </c>
      <c r="H15" s="18" t="e">
        <f>'FS Seychelles'!F16*1000</f>
        <v>#VALUE!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 t="e">
        <f>'FS Seychelles'!J16*1000</f>
        <v>#VALUE!</v>
      </c>
      <c r="M15" s="18" t="e">
        <f>'FS Seychelles'!K16*1000</f>
        <v>#VALUE!</v>
      </c>
      <c r="N15" s="18" t="e">
        <f>'FS Seychelles'!L16*1000</f>
        <v>#VALUE!</v>
      </c>
      <c r="O15" s="18">
        <f>'FS Seychelles'!M16</f>
        <v>3920</v>
      </c>
      <c r="P15" s="18">
        <f>'FS Seychelles'!N16</f>
        <v>10913</v>
      </c>
      <c r="Q15" s="18">
        <f>'FS Seychelles'!O16</f>
        <v>10920</v>
      </c>
      <c r="R15" s="18">
        <f>'FS Seychelles'!P16</f>
        <v>0</v>
      </c>
      <c r="S15" s="18">
        <f>'FS Seychelles'!Q16</f>
        <v>3923</v>
      </c>
      <c r="T15" s="18">
        <f>'FS Seychelles'!R16</f>
        <v>6469</v>
      </c>
      <c r="U15" s="18">
        <f>'FS Seychelles'!T16</f>
        <v>0</v>
      </c>
      <c r="V15" s="18">
        <f>'FS Seychelles'!V16</f>
        <v>58</v>
      </c>
      <c r="W15" s="18" t="e">
        <f>'FS Seychelles'!#REF!</f>
        <v>#REF!</v>
      </c>
      <c r="X15" s="18">
        <f>'FS Seychelles'!W16</f>
        <v>92</v>
      </c>
      <c r="Y15" s="18">
        <f>'FS Seychelles'!X16</f>
        <v>44</v>
      </c>
      <c r="Z15" s="18">
        <f>'FS Seychelles'!Y16</f>
        <v>97</v>
      </c>
      <c r="AA15" s="18" t="e">
        <f>'FS Seychelles'!#REF!</f>
        <v>#REF!</v>
      </c>
      <c r="AB15" s="18">
        <f>('FS Seychelles'!AC22+'FS Seychelles'!AC28)/30</f>
        <v>0</v>
      </c>
    </row>
    <row r="16" spans="1:28" ht="15">
      <c r="A16" s="1" t="s">
        <v>13</v>
      </c>
      <c r="B16" s="11">
        <f t="shared" si="0"/>
        <v>15</v>
      </c>
      <c r="C16" s="11">
        <f t="shared" si="1"/>
        <v>7</v>
      </c>
      <c r="D16" s="11">
        <v>2022</v>
      </c>
      <c r="E16" s="18">
        <f>'FS Seychelles'!B17</f>
        <v>68.400000000000006</v>
      </c>
      <c r="F16" s="18" t="e">
        <f>'FS Seychelles'!D17*1000</f>
        <v>#VALUE!</v>
      </c>
      <c r="G16" s="18" t="e">
        <f>'FS Seychelles'!E17*1000</f>
        <v>#VALUE!</v>
      </c>
      <c r="H16" s="18" t="e">
        <f>'FS Seychelles'!F17*1000</f>
        <v>#VALUE!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 t="e">
        <f>'FS Seychelles'!J17*1000</f>
        <v>#VALUE!</v>
      </c>
      <c r="M16" s="18" t="e">
        <f>'FS Seychelles'!K17*1000</f>
        <v>#VALUE!</v>
      </c>
      <c r="N16" s="18" t="e">
        <f>'FS Seychelles'!L17*1000</f>
        <v>#VALUE!</v>
      </c>
      <c r="O16" s="18">
        <f>'FS Seychelles'!M17</f>
        <v>4013</v>
      </c>
      <c r="P16" s="18">
        <f>'FS Seychelles'!N17</f>
        <v>11244</v>
      </c>
      <c r="Q16" s="18">
        <f>'FS Seychelles'!O17</f>
        <v>11229</v>
      </c>
      <c r="R16" s="18">
        <f>'FS Seychelles'!P17</f>
        <v>0</v>
      </c>
      <c r="S16" s="18">
        <f>'FS Seychelles'!Q17</f>
        <v>4000</v>
      </c>
      <c r="T16" s="18">
        <f>'FS Seychelles'!R17</f>
        <v>6616</v>
      </c>
      <c r="U16" s="18">
        <f>'FS Seychelles'!T17</f>
        <v>0</v>
      </c>
      <c r="V16" s="18">
        <f>'FS Seychelles'!V17</f>
        <v>68</v>
      </c>
      <c r="W16" s="18" t="e">
        <f>'FS Seychelles'!#REF!</f>
        <v>#REF!</v>
      </c>
      <c r="X16" s="18">
        <f>'FS Seychelles'!W17</f>
        <v>108</v>
      </c>
      <c r="Y16" s="18">
        <f>'FS Seychelles'!X17</f>
        <v>49</v>
      </c>
      <c r="Z16" s="18">
        <f>'FS Seychelles'!Y17</f>
        <v>99</v>
      </c>
      <c r="AA16" s="18" t="e">
        <f>'FS Seychelles'!#REF!</f>
        <v>#REF!</v>
      </c>
      <c r="AB16" s="18">
        <f>('FS Seychelles'!AC23+'FS Seychelles'!AC29)/30</f>
        <v>0</v>
      </c>
    </row>
    <row r="17" spans="1:28" ht="15">
      <c r="A17" s="1" t="s">
        <v>13</v>
      </c>
      <c r="B17" s="11">
        <f t="shared" si="0"/>
        <v>16</v>
      </c>
      <c r="C17" s="11">
        <f t="shared" si="1"/>
        <v>7</v>
      </c>
      <c r="D17" s="11">
        <v>2022</v>
      </c>
      <c r="E17" s="18">
        <f>'FS Seychelles'!B18</f>
        <v>71.099999999999994</v>
      </c>
      <c r="F17" s="18" t="e">
        <f>'FS Seychelles'!D18*1000</f>
        <v>#VALUE!</v>
      </c>
      <c r="G17" s="18" t="e">
        <f>'FS Seychelles'!E18*1000</f>
        <v>#VALUE!</v>
      </c>
      <c r="H17" s="18" t="e">
        <f>'FS Seychelles'!F18*1000</f>
        <v>#VALUE!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 t="e">
        <f>'FS Seychelles'!J18*1000</f>
        <v>#VALUE!</v>
      </c>
      <c r="M17" s="18" t="e">
        <f>'FS Seychelles'!K18*1000</f>
        <v>#VALUE!</v>
      </c>
      <c r="N17" s="18" t="e">
        <f>'FS Seychelles'!L18*1000</f>
        <v>#VALUE!</v>
      </c>
      <c r="O17" s="18">
        <f>'FS Seychelles'!M18</f>
        <v>5213</v>
      </c>
      <c r="P17" s="18">
        <f>'FS Seychelles'!N18</f>
        <v>10403</v>
      </c>
      <c r="Q17" s="18">
        <f>'FS Seychelles'!O18</f>
        <v>10142</v>
      </c>
      <c r="R17" s="18">
        <f>'FS Seychelles'!P18</f>
        <v>0</v>
      </c>
      <c r="S17" s="18">
        <f>'FS Seychelles'!Q18</f>
        <v>6289</v>
      </c>
      <c r="T17" s="18">
        <f>'FS Seychelles'!R18</f>
        <v>7030</v>
      </c>
      <c r="U17" s="18">
        <f>'FS Seychelles'!T18</f>
        <v>0</v>
      </c>
      <c r="V17" s="18">
        <f>'FS Seychelles'!V18</f>
        <v>62</v>
      </c>
      <c r="W17" s="18" t="e">
        <f>'FS Seychelles'!#REF!</f>
        <v>#REF!</v>
      </c>
      <c r="X17" s="18">
        <f>'FS Seychelles'!W18</f>
        <v>126</v>
      </c>
      <c r="Y17" s="18">
        <f>'FS Seychelles'!X18</f>
        <v>37</v>
      </c>
      <c r="Z17" s="18">
        <f>'FS Seychelles'!Y18</f>
        <v>90</v>
      </c>
      <c r="AA17" s="18" t="e">
        <f>'FS Seychelles'!#REF!</f>
        <v>#REF!</v>
      </c>
      <c r="AB17" s="18">
        <f>('FS Seychelles'!AC24+'FS Seychelles'!AC30)/30</f>
        <v>0</v>
      </c>
    </row>
    <row r="18" spans="1:28" ht="15">
      <c r="A18" s="1" t="s">
        <v>13</v>
      </c>
      <c r="B18" s="11">
        <f t="shared" si="0"/>
        <v>17</v>
      </c>
      <c r="C18" s="11">
        <f t="shared" si="1"/>
        <v>7</v>
      </c>
      <c r="D18" s="11">
        <v>2022</v>
      </c>
      <c r="E18" s="18">
        <f>'FS Seychelles'!B19</f>
        <v>64.5</v>
      </c>
      <c r="F18" s="18" t="e">
        <f>'FS Seychelles'!D19*1000</f>
        <v>#VALUE!</v>
      </c>
      <c r="G18" s="18" t="e">
        <f>'FS Seychelles'!E19*1000</f>
        <v>#VALUE!</v>
      </c>
      <c r="H18" s="18" t="e">
        <f>'FS Seychelles'!F19*1000</f>
        <v>#VALUE!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 t="e">
        <f>'FS Seychelles'!J19*1000</f>
        <v>#VALUE!</v>
      </c>
      <c r="M18" s="18" t="e">
        <f>'FS Seychelles'!K19*1000</f>
        <v>#VALUE!</v>
      </c>
      <c r="N18" s="18" t="e">
        <f>'FS Seychelles'!L19*1000</f>
        <v>#VALUE!</v>
      </c>
      <c r="O18" s="18">
        <f>'FS Seychelles'!M19</f>
        <v>2452</v>
      </c>
      <c r="P18" s="18">
        <f>'FS Seychelles'!N19</f>
        <v>15072</v>
      </c>
      <c r="Q18" s="18">
        <f>'FS Seychelles'!O19</f>
        <v>8264</v>
      </c>
      <c r="R18" s="18">
        <f>'FS Seychelles'!P19</f>
        <v>0</v>
      </c>
      <c r="S18" s="18">
        <f>'FS Seychelles'!Q19</f>
        <v>6915</v>
      </c>
      <c r="T18" s="18">
        <f>'FS Seychelles'!R19</f>
        <v>7099</v>
      </c>
      <c r="U18" s="18">
        <f>'FS Seychelles'!T19</f>
        <v>0</v>
      </c>
      <c r="V18" s="18">
        <f>'FS Seychelles'!V19</f>
        <v>53</v>
      </c>
      <c r="W18" s="18" t="e">
        <f>'FS Seychelles'!#REF!</f>
        <v>#REF!</v>
      </c>
      <c r="X18" s="18">
        <f>'FS Seychelles'!W19</f>
        <v>139</v>
      </c>
      <c r="Y18" s="18">
        <f>'FS Seychelles'!X19</f>
        <v>56</v>
      </c>
      <c r="Z18" s="18">
        <f>'FS Seychelles'!Y19</f>
        <v>90</v>
      </c>
      <c r="AA18" s="18" t="e">
        <f>'FS Seychelles'!#REF!</f>
        <v>#REF!</v>
      </c>
      <c r="AB18" s="18">
        <f>('FS Seychelles'!AC25+'FS Seychelles'!AC31)/30</f>
        <v>0</v>
      </c>
    </row>
    <row r="19" spans="1:28" ht="15">
      <c r="A19" s="1" t="s">
        <v>13</v>
      </c>
      <c r="B19" s="11">
        <f t="shared" si="0"/>
        <v>18</v>
      </c>
      <c r="C19" s="11">
        <f t="shared" si="1"/>
        <v>7</v>
      </c>
      <c r="D19" s="11">
        <v>2022</v>
      </c>
      <c r="E19" s="18">
        <f>'FS Seychelles'!B20</f>
        <v>59.2</v>
      </c>
      <c r="F19" s="18" t="e">
        <f>'FS Seychelles'!D20*1000</f>
        <v>#VALUE!</v>
      </c>
      <c r="G19" s="18" t="e">
        <f>'FS Seychelles'!E20*1000</f>
        <v>#VALUE!</v>
      </c>
      <c r="H19" s="18" t="e">
        <f>'FS Seychelles'!F20*1000</f>
        <v>#VALUE!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 t="e">
        <f>'FS Seychelles'!J20*1000</f>
        <v>#VALUE!</v>
      </c>
      <c r="M19" s="18" t="e">
        <f>'FS Seychelles'!K20*1000</f>
        <v>#VALUE!</v>
      </c>
      <c r="N19" s="18" t="e">
        <f>'FS Seychelles'!L20*1000</f>
        <v>#VALUE!</v>
      </c>
      <c r="O19" s="18">
        <f>'FS Seychelles'!M20</f>
        <v>8543</v>
      </c>
      <c r="P19" s="18">
        <f>'FS Seychelles'!N20</f>
        <v>7996</v>
      </c>
      <c r="Q19" s="18">
        <f>'FS Seychelles'!O20</f>
        <v>6918</v>
      </c>
      <c r="R19" s="18">
        <f>'FS Seychelles'!P20</f>
        <v>0</v>
      </c>
      <c r="S19" s="18">
        <f>'FS Seychelles'!Q20</f>
        <v>6649</v>
      </c>
      <c r="T19" s="18">
        <f>'FS Seychelles'!R20</f>
        <v>6518</v>
      </c>
      <c r="U19" s="18">
        <f>'FS Seychelles'!T20</f>
        <v>0</v>
      </c>
      <c r="V19" s="18">
        <f>'FS Seychelles'!V20</f>
        <v>55</v>
      </c>
      <c r="W19" s="18" t="e">
        <f>'FS Seychelles'!#REF!</f>
        <v>#REF!</v>
      </c>
      <c r="X19" s="18">
        <f>'FS Seychelles'!W20</f>
        <v>71</v>
      </c>
      <c r="Y19" s="18">
        <f>'FS Seychelles'!X20</f>
        <v>37</v>
      </c>
      <c r="Z19" s="18">
        <f>'FS Seychelles'!Y20</f>
        <v>93</v>
      </c>
      <c r="AA19" s="18" t="e">
        <f>'FS Seychelles'!#REF!</f>
        <v>#REF!</v>
      </c>
      <c r="AB19" s="18">
        <f>('FS Seychelles'!AC26+'FS Seychelles'!AC32)/30</f>
        <v>0</v>
      </c>
    </row>
    <row r="20" spans="1:28" ht="15">
      <c r="A20" s="1" t="s">
        <v>13</v>
      </c>
      <c r="B20" s="11">
        <f t="shared" si="0"/>
        <v>19</v>
      </c>
      <c r="C20" s="11">
        <f t="shared" si="1"/>
        <v>7</v>
      </c>
      <c r="D20" s="11">
        <v>2022</v>
      </c>
      <c r="E20" s="18">
        <f>'FS Seychelles'!B21</f>
        <v>69.7</v>
      </c>
      <c r="F20" s="18" t="e">
        <f>'FS Seychelles'!D21*1000</f>
        <v>#VALUE!</v>
      </c>
      <c r="G20" s="18" t="e">
        <f>'FS Seychelles'!E21*1000</f>
        <v>#VALUE!</v>
      </c>
      <c r="H20" s="18" t="e">
        <f>'FS Seychelles'!F21*1000</f>
        <v>#VALUE!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 t="e">
        <f>'FS Seychelles'!J21*1000</f>
        <v>#VALUE!</v>
      </c>
      <c r="M20" s="18" t="e">
        <f>'FS Seychelles'!K21*1000</f>
        <v>#VALUE!</v>
      </c>
      <c r="N20" s="18" t="e">
        <f>'FS Seychelles'!L21*1000</f>
        <v>#VALUE!</v>
      </c>
      <c r="O20" s="18">
        <f>'FS Seychelles'!M21</f>
        <v>9503</v>
      </c>
      <c r="P20" s="18">
        <f>'FS Seychelles'!N21</f>
        <v>6728</v>
      </c>
      <c r="Q20" s="18">
        <f>'FS Seychelles'!O21</f>
        <v>6854</v>
      </c>
      <c r="R20" s="18">
        <f>'FS Seychelles'!P21</f>
        <v>9365</v>
      </c>
      <c r="S20" s="18">
        <f>'FS Seychelles'!Q21</f>
        <v>0</v>
      </c>
      <c r="T20" s="18">
        <f>'FS Seychelles'!R21</f>
        <v>7454</v>
      </c>
      <c r="U20" s="18">
        <f>'FS Seychelles'!T21</f>
        <v>0</v>
      </c>
      <c r="V20" s="18">
        <f>'FS Seychelles'!V21</f>
        <v>62</v>
      </c>
      <c r="W20" s="18" t="e">
        <f>'FS Seychelles'!#REF!</f>
        <v>#REF!</v>
      </c>
      <c r="X20" s="18">
        <f>'FS Seychelles'!W21</f>
        <v>124</v>
      </c>
      <c r="Y20" s="18">
        <f>'FS Seychelles'!X21</f>
        <v>67</v>
      </c>
      <c r="Z20" s="18">
        <f>'FS Seychelles'!Y21</f>
        <v>97</v>
      </c>
      <c r="AA20" s="18" t="e">
        <f>'FS Seychelles'!#REF!</f>
        <v>#REF!</v>
      </c>
      <c r="AB20" s="18">
        <f>('FS Seychelles'!AC27+'FS Seychelles'!AC33)/30</f>
        <v>0</v>
      </c>
    </row>
    <row r="21" spans="1:28" ht="15">
      <c r="A21" s="1" t="s">
        <v>13</v>
      </c>
      <c r="B21" s="11">
        <f t="shared" si="0"/>
        <v>20</v>
      </c>
      <c r="C21" s="11">
        <f t="shared" si="1"/>
        <v>7</v>
      </c>
      <c r="D21" s="11">
        <v>2022</v>
      </c>
      <c r="E21" s="18">
        <f>'FS Seychelles'!B22</f>
        <v>65.8</v>
      </c>
      <c r="F21" s="18" t="e">
        <f>'FS Seychelles'!D22*1000</f>
        <v>#VALUE!</v>
      </c>
      <c r="G21" s="18" t="e">
        <f>'FS Seychelles'!E22*1000</f>
        <v>#VALUE!</v>
      </c>
      <c r="H21" s="18" t="e">
        <f>'FS Seychelles'!F22*1000</f>
        <v>#VALUE!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 t="e">
        <f>'FS Seychelles'!J22*1000</f>
        <v>#VALUE!</v>
      </c>
      <c r="M21" s="18" t="e">
        <f>'FS Seychelles'!K22*1000</f>
        <v>#VALUE!</v>
      </c>
      <c r="N21" s="18" t="e">
        <f>'FS Seychelles'!L22*1000</f>
        <v>#VALUE!</v>
      </c>
      <c r="O21" s="18">
        <f>'FS Seychelles'!M22</f>
        <v>10347</v>
      </c>
      <c r="P21" s="18">
        <f>'FS Seychelles'!N22</f>
        <v>7140</v>
      </c>
      <c r="Q21" s="18">
        <f>'FS Seychelles'!O22</f>
        <v>4363</v>
      </c>
      <c r="R21" s="18">
        <f>'FS Seychelles'!P22</f>
        <v>10285</v>
      </c>
      <c r="S21" s="18">
        <f>'FS Seychelles'!Q23</f>
        <v>0</v>
      </c>
      <c r="T21" s="18">
        <f>'FS Seychelles'!R22</f>
        <v>7683</v>
      </c>
      <c r="U21" s="18">
        <f>'FS Seychelles'!T22</f>
        <v>0</v>
      </c>
      <c r="V21" s="18">
        <f>'FS Seychelles'!V22</f>
        <v>60</v>
      </c>
      <c r="W21" s="18" t="e">
        <f>'FS Seychelles'!#REF!</f>
        <v>#REF!</v>
      </c>
      <c r="X21" s="18">
        <f>'FS Seychelles'!W22</f>
        <v>116</v>
      </c>
      <c r="Y21" s="18">
        <f>'FS Seychelles'!X22</f>
        <v>57</v>
      </c>
      <c r="Z21" s="18">
        <f>'FS Seychelles'!Y22</f>
        <v>98</v>
      </c>
      <c r="AA21" s="18" t="e">
        <f>'FS Seychelles'!#REF!</f>
        <v>#REF!</v>
      </c>
      <c r="AB21" s="18">
        <f>('FS Seychelles'!AC28+'FS Seychelles'!AC34)/30</f>
        <v>0</v>
      </c>
    </row>
    <row r="22" spans="1:28" ht="15">
      <c r="A22" s="1" t="s">
        <v>13</v>
      </c>
      <c r="B22" s="11">
        <f t="shared" si="0"/>
        <v>21</v>
      </c>
      <c r="C22" s="11">
        <f t="shared" si="1"/>
        <v>7</v>
      </c>
      <c r="D22" s="11">
        <v>2022</v>
      </c>
      <c r="E22" s="18">
        <f>'FS Seychelles'!B23</f>
        <v>67.099999999999994</v>
      </c>
      <c r="F22" s="18" t="e">
        <f>'FS Seychelles'!D23*1000</f>
        <v>#VALUE!</v>
      </c>
      <c r="G22" s="18" t="e">
        <f>'FS Seychelles'!E23*1000</f>
        <v>#VALUE!</v>
      </c>
      <c r="H22" s="18" t="e">
        <f>'FS Seychelles'!F23*1000</f>
        <v>#VALUE!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 t="e">
        <f>'FS Seychelles'!J23*1000</f>
        <v>#VALUE!</v>
      </c>
      <c r="M22" s="18" t="e">
        <f>'FS Seychelles'!K23*1000</f>
        <v>#VALUE!</v>
      </c>
      <c r="N22" s="18" t="e">
        <f>'FS Seychelles'!L23*1000</f>
        <v>#VALUE!</v>
      </c>
      <c r="O22" s="18">
        <f>'FS Seychelles'!M23</f>
        <v>6778</v>
      </c>
      <c r="P22" s="18">
        <f>'FS Seychelles'!N23</f>
        <v>12609</v>
      </c>
      <c r="Q22" s="18">
        <f>'FS Seychelles'!O23</f>
        <v>6838</v>
      </c>
      <c r="R22" s="18">
        <f>'FS Seychelles'!P23</f>
        <v>10444</v>
      </c>
      <c r="S22" s="18">
        <f>'FS Seychelles'!Q24</f>
        <v>0</v>
      </c>
      <c r="T22" s="18">
        <f>'FS Seychelles'!R23</f>
        <v>7984</v>
      </c>
      <c r="U22" s="18">
        <f>'FS Seychelles'!T23</f>
        <v>0</v>
      </c>
      <c r="V22" s="18">
        <f>'FS Seychelles'!V23</f>
        <v>57</v>
      </c>
      <c r="W22" s="18" t="e">
        <f>'FS Seychelles'!#REF!</f>
        <v>#REF!</v>
      </c>
      <c r="X22" s="18">
        <f>'FS Seychelles'!W23</f>
        <v>123</v>
      </c>
      <c r="Y22" s="18">
        <f>'FS Seychelles'!X23</f>
        <v>35</v>
      </c>
      <c r="Z22" s="18">
        <f>'FS Seychelles'!Y23</f>
        <v>99</v>
      </c>
      <c r="AA22" s="18" t="e">
        <f>'FS Seychelles'!#REF!</f>
        <v>#REF!</v>
      </c>
      <c r="AB22" s="18">
        <f>('FS Seychelles'!AC29+'FS Seychelles'!AC35)/30</f>
        <v>0</v>
      </c>
    </row>
    <row r="23" spans="1:28" ht="15">
      <c r="A23" s="1" t="s">
        <v>13</v>
      </c>
      <c r="B23" s="11">
        <f t="shared" si="0"/>
        <v>22</v>
      </c>
      <c r="C23" s="11">
        <f t="shared" si="1"/>
        <v>7</v>
      </c>
      <c r="D23" s="11">
        <v>2022</v>
      </c>
      <c r="E23" s="18">
        <f>'FS Seychelles'!B24</f>
        <v>65.8</v>
      </c>
      <c r="F23" s="18" t="e">
        <f>'FS Seychelles'!D24*1000</f>
        <v>#VALUE!</v>
      </c>
      <c r="G23" s="18" t="e">
        <f>'FS Seychelles'!E24*1000</f>
        <v>#VALUE!</v>
      </c>
      <c r="H23" s="18" t="e">
        <f>'FS Seychelles'!F24*1000</f>
        <v>#VALUE!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 t="e">
        <f>'FS Seychelles'!J24*1000</f>
        <v>#VALUE!</v>
      </c>
      <c r="M23" s="18" t="e">
        <f>'FS Seychelles'!K24*1000</f>
        <v>#VALUE!</v>
      </c>
      <c r="N23" s="18" t="e">
        <f>'FS Seychelles'!L24*1000</f>
        <v>#VALUE!</v>
      </c>
      <c r="O23" s="18">
        <f>'FS Seychelles'!M24</f>
        <v>10301</v>
      </c>
      <c r="P23" s="18">
        <f>'FS Seychelles'!N24</f>
        <v>9367</v>
      </c>
      <c r="Q23" s="18">
        <f>'FS Seychelles'!O24</f>
        <v>9123</v>
      </c>
      <c r="R23" s="18">
        <f>'FS Seychelles'!P24</f>
        <v>1050</v>
      </c>
      <c r="S23" s="18">
        <f>'FS Seychelles'!Q25</f>
        <v>10583</v>
      </c>
      <c r="T23" s="18">
        <f>'FS Seychelles'!R24</f>
        <v>6582</v>
      </c>
      <c r="U23" s="18">
        <f>'FS Seychelles'!T24</f>
        <v>0</v>
      </c>
      <c r="V23" s="18">
        <f>'FS Seychelles'!V24</f>
        <v>63</v>
      </c>
      <c r="W23" s="18" t="e">
        <f>'FS Seychelles'!#REF!</f>
        <v>#REF!</v>
      </c>
      <c r="X23" s="18">
        <f>'FS Seychelles'!W24</f>
        <v>101</v>
      </c>
      <c r="Y23" s="18">
        <f>'FS Seychelles'!X24</f>
        <v>49</v>
      </c>
      <c r="Z23" s="18">
        <f>'FS Seychelles'!Y24</f>
        <v>93</v>
      </c>
      <c r="AA23" s="18" t="e">
        <f>'FS Seychelles'!#REF!</f>
        <v>#REF!</v>
      </c>
      <c r="AB23" s="18">
        <f>('FS Seychelles'!AC30+'FS Seychelles'!AC36)/30</f>
        <v>0</v>
      </c>
    </row>
    <row r="24" spans="1:28" ht="15">
      <c r="A24" s="1" t="s">
        <v>13</v>
      </c>
      <c r="B24" s="11">
        <f t="shared" si="0"/>
        <v>23</v>
      </c>
      <c r="C24" s="11">
        <f t="shared" si="1"/>
        <v>7</v>
      </c>
      <c r="D24" s="11">
        <v>2022</v>
      </c>
      <c r="E24" s="18">
        <f>'FS Seychelles'!B25</f>
        <v>59.2</v>
      </c>
      <c r="F24" s="18" t="e">
        <f>'FS Seychelles'!D25*1000</f>
        <v>#VALUE!</v>
      </c>
      <c r="G24" s="18" t="e">
        <f>'FS Seychelles'!E25*1000</f>
        <v>#VALUE!</v>
      </c>
      <c r="H24" s="18" t="e">
        <f>'FS Seychelles'!F25*1000</f>
        <v>#VALUE!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 t="e">
        <f>'FS Seychelles'!J25*1000</f>
        <v>#VALUE!</v>
      </c>
      <c r="M24" s="18" t="e">
        <f>'FS Seychelles'!K25*1000</f>
        <v>#VALUE!</v>
      </c>
      <c r="N24" s="18" t="e">
        <f>'FS Seychelles'!L25*1000</f>
        <v>#VALUE!</v>
      </c>
      <c r="O24" s="18">
        <f>'FS Seychelles'!M25</f>
        <v>9998</v>
      </c>
      <c r="P24" s="18">
        <f>'FS Seychelles'!N25</f>
        <v>6004</v>
      </c>
      <c r="Q24" s="18">
        <f>'FS Seychelles'!O25</f>
        <v>0</v>
      </c>
      <c r="R24" s="18">
        <f>'FS Seychelles'!P25</f>
        <v>9823</v>
      </c>
      <c r="S24" s="18">
        <f>'FS Seychelles'!Q25</f>
        <v>10583</v>
      </c>
      <c r="T24" s="18">
        <f>'FS Seychelles'!R25</f>
        <v>8519</v>
      </c>
      <c r="U24" s="18">
        <f>'FS Seychelles'!T25</f>
        <v>0</v>
      </c>
      <c r="V24" s="18">
        <f>'FS Seychelles'!V25</f>
        <v>64</v>
      </c>
      <c r="W24" s="18" t="e">
        <f>'FS Seychelles'!#REF!</f>
        <v>#REF!</v>
      </c>
      <c r="X24" s="18">
        <f>'FS Seychelles'!W25</f>
        <v>88</v>
      </c>
      <c r="Y24" s="18">
        <f>'FS Seychelles'!X25</f>
        <v>51</v>
      </c>
      <c r="Z24" s="18">
        <f>'FS Seychelles'!Y25</f>
        <v>96</v>
      </c>
      <c r="AA24" s="18" t="e">
        <f>'FS Seychelles'!#REF!</f>
        <v>#REF!</v>
      </c>
      <c r="AB24" s="18">
        <f>('FS Seychelles'!AC31+'FS Seychelles'!AC37)/30</f>
        <v>0</v>
      </c>
    </row>
    <row r="25" spans="1:28" ht="15">
      <c r="A25" s="1" t="s">
        <v>13</v>
      </c>
      <c r="B25" s="11">
        <f t="shared" si="0"/>
        <v>24</v>
      </c>
      <c r="C25" s="11">
        <f t="shared" si="1"/>
        <v>7</v>
      </c>
      <c r="D25" s="11">
        <v>2022</v>
      </c>
      <c r="E25" s="18">
        <f>'FS Seychelles'!B26</f>
        <v>51.3</v>
      </c>
      <c r="F25" s="18" t="e">
        <f>'FS Seychelles'!D26*1000</f>
        <v>#VALUE!</v>
      </c>
      <c r="G25" s="18" t="e">
        <f>'FS Seychelles'!E26*1000</f>
        <v>#VALUE!</v>
      </c>
      <c r="H25" s="18" t="e">
        <f>'FS Seychelles'!F26*1000</f>
        <v>#VALUE!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 t="e">
        <f>'FS Seychelles'!J26*1000</f>
        <v>#VALUE!</v>
      </c>
      <c r="M25" s="18" t="e">
        <f>'FS Seychelles'!K26*1000</f>
        <v>#VALUE!</v>
      </c>
      <c r="N25" s="18" t="e">
        <f>'FS Seychelles'!L26*1000</f>
        <v>#VALUE!</v>
      </c>
      <c r="O25" s="18">
        <f>'FS Seychelles'!M26</f>
        <v>9606</v>
      </c>
      <c r="P25" s="18">
        <f>'FS Seychelles'!N26</f>
        <v>9488</v>
      </c>
      <c r="Q25" s="18">
        <f>'FS Seychelles'!O26</f>
        <v>0</v>
      </c>
      <c r="R25" s="18">
        <f>'FS Seychelles'!P26</f>
        <v>10025</v>
      </c>
      <c r="S25" s="18">
        <f>'FS Seychelles'!Q26</f>
        <v>6236</v>
      </c>
      <c r="T25" s="18">
        <f>'FS Seychelles'!R26</f>
        <v>7980</v>
      </c>
      <c r="U25" s="18">
        <f>'FS Seychelles'!T26</f>
        <v>0</v>
      </c>
      <c r="V25" s="18">
        <f>'FS Seychelles'!V26</f>
        <v>52</v>
      </c>
      <c r="W25" s="18" t="e">
        <f>'FS Seychelles'!#REF!</f>
        <v>#REF!</v>
      </c>
      <c r="X25" s="18">
        <f>'FS Seychelles'!W26</f>
        <v>120</v>
      </c>
      <c r="Y25" s="18">
        <f>'FS Seychelles'!X26</f>
        <v>90</v>
      </c>
      <c r="Z25" s="18">
        <f>'FS Seychelles'!Y26</f>
        <v>79</v>
      </c>
      <c r="AA25" s="18" t="e">
        <f>'FS Seychelles'!#REF!</f>
        <v>#REF!</v>
      </c>
      <c r="AB25" s="18">
        <f>('FS Seychelles'!AC32+'FS Seychelles'!AC38)/30</f>
        <v>0</v>
      </c>
    </row>
    <row r="26" spans="1:28" ht="15">
      <c r="A26" s="1" t="s">
        <v>13</v>
      </c>
      <c r="B26" s="11">
        <f>B25+1</f>
        <v>25</v>
      </c>
      <c r="C26" s="11">
        <f t="shared" si="1"/>
        <v>7</v>
      </c>
      <c r="D26" s="11">
        <v>2022</v>
      </c>
      <c r="E26" s="18">
        <f>'FS Seychelles'!B27</f>
        <v>73.7</v>
      </c>
      <c r="F26" s="18" t="e">
        <f>'FS Seychelles'!D27*1000</f>
        <v>#VALUE!</v>
      </c>
      <c r="G26" s="18" t="e">
        <f>'FS Seychelles'!E27*1000</f>
        <v>#VALUE!</v>
      </c>
      <c r="H26" s="18" t="e">
        <f>'FS Seychelles'!F27*1000</f>
        <v>#VALUE!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 t="e">
        <f>'FS Seychelles'!J27*1000</f>
        <v>#VALUE!</v>
      </c>
      <c r="M26" s="18" t="e">
        <f>'FS Seychelles'!K27*1000</f>
        <v>#VALUE!</v>
      </c>
      <c r="N26" s="18" t="e">
        <f>'FS Seychelles'!L27*1000</f>
        <v>#VALUE!</v>
      </c>
      <c r="O26" s="18">
        <f>'FS Seychelles'!M27</f>
        <v>6819</v>
      </c>
      <c r="P26" s="18">
        <f>'FS Seychelles'!N27</f>
        <v>4609</v>
      </c>
      <c r="Q26" s="18">
        <f>'FS Seychelles'!O27</f>
        <v>9162</v>
      </c>
      <c r="R26" s="18">
        <f>'FS Seychelles'!P27</f>
        <v>4433</v>
      </c>
      <c r="S26" s="18">
        <f>'FS Seychelles'!Q27</f>
        <v>8911</v>
      </c>
      <c r="T26" s="18">
        <f>'FS Seychelles'!R27</f>
        <v>7780</v>
      </c>
      <c r="U26" s="18">
        <f>'FS Seychelles'!T27</f>
        <v>0</v>
      </c>
      <c r="V26" s="18">
        <f>'FS Seychelles'!V27</f>
        <v>57</v>
      </c>
      <c r="W26" s="18" t="e">
        <f>'FS Seychelles'!#REF!</f>
        <v>#REF!</v>
      </c>
      <c r="X26" s="18">
        <f>'FS Seychelles'!W27</f>
        <v>97</v>
      </c>
      <c r="Y26" s="18">
        <f>'FS Seychelles'!X27</f>
        <v>47</v>
      </c>
      <c r="Z26" s="18">
        <f>'FS Seychelles'!Y27</f>
        <v>61</v>
      </c>
      <c r="AA26" s="18" t="e">
        <f>'FS Seychelles'!#REF!</f>
        <v>#REF!</v>
      </c>
      <c r="AB26" s="18">
        <f>('FS Seychelles'!AC33+'FS Seychelles'!AC39)/30</f>
        <v>0</v>
      </c>
    </row>
    <row r="27" spans="1:28" ht="15">
      <c r="A27" s="1" t="s">
        <v>13</v>
      </c>
      <c r="B27" s="11">
        <f t="shared" si="0"/>
        <v>26</v>
      </c>
      <c r="C27" s="11">
        <f t="shared" si="1"/>
        <v>7</v>
      </c>
      <c r="D27" s="11">
        <v>2022</v>
      </c>
      <c r="E27" s="18">
        <f>'FS Seychelles'!B28</f>
        <v>77.599999999999994</v>
      </c>
      <c r="F27" s="18" t="e">
        <f>'FS Seychelles'!D28*1000</f>
        <v>#VALUE!</v>
      </c>
      <c r="G27" s="18" t="e">
        <f>'FS Seychelles'!E28*1000</f>
        <v>#VALUE!</v>
      </c>
      <c r="H27" s="18" t="e">
        <f>'FS Seychelles'!F28*1000</f>
        <v>#VALUE!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 t="e">
        <f>'FS Seychelles'!J28*1000</f>
        <v>#VALUE!</v>
      </c>
      <c r="M27" s="18" t="e">
        <f>'FS Seychelles'!K28*1000</f>
        <v>#VALUE!</v>
      </c>
      <c r="N27" s="18" t="e">
        <f>'FS Seychelles'!L28*1000</f>
        <v>#VALUE!</v>
      </c>
      <c r="O27" s="18">
        <f>'FS Seychelles'!M28</f>
        <v>9387</v>
      </c>
      <c r="P27" s="18">
        <f>'FS Seychelles'!N28</f>
        <v>5714</v>
      </c>
      <c r="Q27" s="18">
        <f>'FS Seychelles'!O28</f>
        <v>5694</v>
      </c>
      <c r="R27" s="18">
        <f>'FS Seychelles'!P28</f>
        <v>9314</v>
      </c>
      <c r="S27" s="18">
        <f>'FS Seychelles'!Q28</f>
        <v>8806</v>
      </c>
      <c r="T27" s="18">
        <f>'FS Seychelles'!R28</f>
        <v>8705</v>
      </c>
      <c r="U27" s="18">
        <f>'FS Seychelles'!T28</f>
        <v>0</v>
      </c>
      <c r="V27" s="18">
        <f>'FS Seychelles'!V28</f>
        <v>61</v>
      </c>
      <c r="W27" s="18" t="e">
        <f>'FS Seychelles'!#REF!</f>
        <v>#REF!</v>
      </c>
      <c r="X27" s="18">
        <f>'FS Seychelles'!W28</f>
        <v>76</v>
      </c>
      <c r="Y27" s="18">
        <f>'FS Seychelles'!X28</f>
        <v>51</v>
      </c>
      <c r="Z27" s="18">
        <f>'FS Seychelles'!Y28</f>
        <v>11</v>
      </c>
      <c r="AA27" s="18" t="e">
        <f>'FS Seychelles'!#REF!</f>
        <v>#REF!</v>
      </c>
      <c r="AB27" s="18">
        <f>('FS Seychelles'!AC34+'FS Seychelles'!AC40)/30</f>
        <v>0</v>
      </c>
    </row>
    <row r="28" spans="1:28" ht="15">
      <c r="A28" s="1" t="s">
        <v>13</v>
      </c>
      <c r="B28" s="11">
        <f t="shared" si="0"/>
        <v>27</v>
      </c>
      <c r="C28" s="11">
        <f t="shared" si="1"/>
        <v>7</v>
      </c>
      <c r="D28" s="11">
        <v>2022</v>
      </c>
      <c r="E28" s="18">
        <f>'FS Seychelles'!B29</f>
        <v>81.599999999999994</v>
      </c>
      <c r="F28" s="18" t="e">
        <f>'FS Seychelles'!D29*1000</f>
        <v>#VALUE!</v>
      </c>
      <c r="G28" s="18" t="e">
        <f>'FS Seychelles'!E29*1000</f>
        <v>#VALUE!</v>
      </c>
      <c r="H28" s="18" t="e">
        <f>'FS Seychelles'!F29*1000</f>
        <v>#VALUE!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 t="e">
        <f>'FS Seychelles'!J29*1000</f>
        <v>#VALUE!</v>
      </c>
      <c r="M28" s="18" t="e">
        <f>'FS Seychelles'!K29*1000</f>
        <v>#VALUE!</v>
      </c>
      <c r="N28" s="18" t="e">
        <f>'FS Seychelles'!L29*1000</f>
        <v>#VALUE!</v>
      </c>
      <c r="O28" s="18">
        <f>'FS Seychelles'!M29</f>
        <v>10908</v>
      </c>
      <c r="P28" s="18">
        <f>'FS Seychelles'!N29</f>
        <v>0</v>
      </c>
      <c r="Q28" s="18">
        <f>'FS Seychelles'!O29</f>
        <v>5069</v>
      </c>
      <c r="R28" s="18">
        <f>'FS Seychelles'!P29</f>
        <v>10927</v>
      </c>
      <c r="S28" s="18">
        <f>'FS Seychelles'!Q29</f>
        <v>5999</v>
      </c>
      <c r="T28" s="18">
        <f>'FS Seychelles'!R29</f>
        <v>7823</v>
      </c>
      <c r="U28" s="18">
        <f>'FS Seychelles'!T29</f>
        <v>0</v>
      </c>
      <c r="V28" s="18">
        <f>'FS Seychelles'!V29</f>
        <v>52</v>
      </c>
      <c r="W28" s="18" t="e">
        <f>'FS Seychelles'!#REF!</f>
        <v>#REF!</v>
      </c>
      <c r="X28" s="18">
        <f>'FS Seychelles'!W29</f>
        <v>107</v>
      </c>
      <c r="Y28" s="18">
        <f>'FS Seychelles'!X29</f>
        <v>42</v>
      </c>
      <c r="Z28" s="18">
        <f>'FS Seychelles'!Y29</f>
        <v>74</v>
      </c>
      <c r="AA28" s="18" t="e">
        <f>'FS Seychelles'!#REF!</f>
        <v>#REF!</v>
      </c>
      <c r="AB28" s="18">
        <f>('FS Seychelles'!AC35+'FS Seychelles'!AC41)/30</f>
        <v>0</v>
      </c>
    </row>
    <row r="29" spans="1:28" ht="15">
      <c r="A29" s="1" t="s">
        <v>13</v>
      </c>
      <c r="B29" s="11">
        <f t="shared" si="0"/>
        <v>28</v>
      </c>
      <c r="C29" s="11">
        <f t="shared" si="1"/>
        <v>7</v>
      </c>
      <c r="D29" s="11">
        <v>2022</v>
      </c>
      <c r="E29" s="18">
        <f>'FS Seychelles'!B30</f>
        <v>78.900000000000006</v>
      </c>
      <c r="F29" s="18" t="e">
        <f>'FS Seychelles'!D30*1000</f>
        <v>#VALUE!</v>
      </c>
      <c r="G29" s="18" t="e">
        <f>'FS Seychelles'!E30*1000</f>
        <v>#VALUE!</v>
      </c>
      <c r="H29" s="18" t="e">
        <f>'FS Seychelles'!F30*1000</f>
        <v>#VALUE!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 t="e">
        <f>'FS Seychelles'!J30*1000</f>
        <v>#VALUE!</v>
      </c>
      <c r="M29" s="18" t="e">
        <f>'FS Seychelles'!K30*1000</f>
        <v>#VALUE!</v>
      </c>
      <c r="N29" s="18" t="e">
        <f>'FS Seychelles'!L30*1000</f>
        <v>#VALUE!</v>
      </c>
      <c r="O29" s="18">
        <f>'FS Seychelles'!M30</f>
        <v>5255</v>
      </c>
      <c r="P29" s="18">
        <f>'FS Seychelles'!N30</f>
        <v>0</v>
      </c>
      <c r="Q29" s="18">
        <f>'FS Seychelles'!O30</f>
        <v>8751</v>
      </c>
      <c r="R29" s="18">
        <f>'FS Seychelles'!P30</f>
        <v>9233</v>
      </c>
      <c r="S29" s="18">
        <f>'FS Seychelles'!Q30</f>
        <v>9312</v>
      </c>
      <c r="T29" s="18">
        <f>'FS Seychelles'!R30</f>
        <v>7042</v>
      </c>
      <c r="U29" s="18">
        <f>'FS Seychelles'!T30</f>
        <v>0</v>
      </c>
      <c r="V29" s="18">
        <f>'FS Seychelles'!V30</f>
        <v>57</v>
      </c>
      <c r="W29" s="18" t="e">
        <f>'FS Seychelles'!#REF!</f>
        <v>#REF!</v>
      </c>
      <c r="X29" s="18">
        <f>'FS Seychelles'!W30</f>
        <v>109</v>
      </c>
      <c r="Y29" s="18">
        <f>'FS Seychelles'!X30</f>
        <v>54</v>
      </c>
      <c r="Z29" s="18">
        <f>'FS Seychelles'!Y30</f>
        <v>104</v>
      </c>
      <c r="AA29" s="18" t="e">
        <f>'FS Seychelles'!#REF!</f>
        <v>#REF!</v>
      </c>
      <c r="AB29" s="18">
        <f>('FS Seychelles'!AC36+'FS Seychelles'!AC42)/30</f>
        <v>0</v>
      </c>
    </row>
    <row r="30" spans="1:28" ht="15">
      <c r="A30" s="1" t="s">
        <v>13</v>
      </c>
      <c r="B30" s="11">
        <f t="shared" si="0"/>
        <v>29</v>
      </c>
      <c r="C30" s="11">
        <f t="shared" si="1"/>
        <v>7</v>
      </c>
      <c r="D30" s="11">
        <v>2022</v>
      </c>
      <c r="E30" s="18">
        <f>'FS Seychelles'!B31</f>
        <v>77.599999999999994</v>
      </c>
      <c r="F30" s="18" t="e">
        <f>'FS Seychelles'!D31*1000</f>
        <v>#VALUE!</v>
      </c>
      <c r="G30" s="18" t="e">
        <f>'FS Seychelles'!E31*1000</f>
        <v>#VALUE!</v>
      </c>
      <c r="H30" s="18" t="e">
        <f>'FS Seychelles'!F31*1000</f>
        <v>#VALUE!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 t="e">
        <f>'FS Seychelles'!J31*1000</f>
        <v>#VALUE!</v>
      </c>
      <c r="M30" s="18" t="e">
        <f>'FS Seychelles'!K31*1000</f>
        <v>#VALUE!</v>
      </c>
      <c r="N30" s="18" t="e">
        <f>'FS Seychelles'!L31*1000</f>
        <v>#VALUE!</v>
      </c>
      <c r="O30" s="18">
        <f>'FS Seychelles'!M31</f>
        <v>11828</v>
      </c>
      <c r="P30" s="18">
        <f>'FS Seychelles'!N31</f>
        <v>6177</v>
      </c>
      <c r="Q30" s="18">
        <f>'FS Seychelles'!O31</f>
        <v>0</v>
      </c>
      <c r="R30" s="18">
        <f>'FS Seychelles'!P31</f>
        <v>10097</v>
      </c>
      <c r="S30" s="18">
        <f>'FS Seychelles'!Q31</f>
        <v>9307</v>
      </c>
      <c r="T30" s="18">
        <f>'FS Seychelles'!R31</f>
        <v>8208</v>
      </c>
      <c r="U30" s="18">
        <f>'FS Seychelles'!T31</f>
        <v>0</v>
      </c>
      <c r="V30" s="18">
        <f>'FS Seychelles'!V31</f>
        <v>54</v>
      </c>
      <c r="W30" s="18" t="e">
        <f>'FS Seychelles'!#REF!</f>
        <v>#REF!</v>
      </c>
      <c r="X30" s="18">
        <f>'FS Seychelles'!W31</f>
        <v>108</v>
      </c>
      <c r="Y30" s="18">
        <f>'FS Seychelles'!X31</f>
        <v>37</v>
      </c>
      <c r="Z30" s="18">
        <f>'FS Seychelles'!Y31</f>
        <v>101</v>
      </c>
      <c r="AA30" s="18" t="e">
        <f>'FS Seychelles'!#REF!</f>
        <v>#REF!</v>
      </c>
      <c r="AB30" s="18">
        <f>('FS Seychelles'!AC37+'FS Seychelles'!AC43)/30</f>
        <v>0</v>
      </c>
    </row>
    <row r="31" spans="1:28" ht="15">
      <c r="A31" s="1" t="s">
        <v>13</v>
      </c>
      <c r="B31" s="11">
        <f t="shared" si="0"/>
        <v>30</v>
      </c>
      <c r="C31" s="11">
        <f t="shared" si="1"/>
        <v>7</v>
      </c>
      <c r="D31" s="11">
        <v>2022</v>
      </c>
      <c r="E31" s="18">
        <f>'FS Seychelles'!B32</f>
        <v>80.3</v>
      </c>
      <c r="F31" s="18" t="e">
        <f>'FS Seychelles'!D32*1000</f>
        <v>#VALUE!</v>
      </c>
      <c r="G31" s="18" t="e">
        <f>'FS Seychelles'!E32*1000</f>
        <v>#VALUE!</v>
      </c>
      <c r="H31" s="18" t="e">
        <f>'FS Seychelles'!F32*1000</f>
        <v>#VALUE!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 t="e">
        <f>'FS Seychelles'!J32*1000</f>
        <v>#VALUE!</v>
      </c>
      <c r="M31" s="18" t="e">
        <f>'FS Seychelles'!K32*1000</f>
        <v>#VALUE!</v>
      </c>
      <c r="N31" s="18" t="e">
        <f>'FS Seychelles'!L32*1000</f>
        <v>#VALUE!</v>
      </c>
      <c r="O31" s="18">
        <f>'FS Seychelles'!M32</f>
        <v>10662</v>
      </c>
      <c r="P31" s="18">
        <f>'FS Seychelles'!N32</f>
        <v>5147</v>
      </c>
      <c r="Q31" s="18">
        <f>'FS Seychelles'!O32</f>
        <v>0</v>
      </c>
      <c r="R31" s="18">
        <f>'FS Seychelles'!P32</f>
        <v>8670</v>
      </c>
      <c r="S31" s="18">
        <f>'FS Seychelles'!Q32</f>
        <v>10735</v>
      </c>
      <c r="T31" s="18">
        <f>'FS Seychelles'!R32</f>
        <v>7874</v>
      </c>
      <c r="U31" s="18">
        <f>'FS Seychelles'!T32</f>
        <v>0</v>
      </c>
      <c r="V31" s="18">
        <f>'FS Seychelles'!V32</f>
        <v>55</v>
      </c>
      <c r="W31" s="18" t="e">
        <f>'FS Seychelles'!#REF!</f>
        <v>#REF!</v>
      </c>
      <c r="X31" s="18">
        <f>'FS Seychelles'!W32</f>
        <v>63</v>
      </c>
      <c r="Y31" s="18">
        <f>'FS Seychelles'!X32</f>
        <v>46</v>
      </c>
      <c r="Z31" s="18">
        <f>'FS Seychelles'!Y32</f>
        <v>94</v>
      </c>
      <c r="AA31" s="18" t="e">
        <f>'FS Seychelles'!#REF!</f>
        <v>#REF!</v>
      </c>
      <c r="AB31" s="18">
        <f>('FS Seychelles'!AC38+'FS Seychelles'!AC44)/30</f>
        <v>0</v>
      </c>
    </row>
    <row r="32" spans="1:28" ht="15">
      <c r="A32" s="1" t="s">
        <v>13</v>
      </c>
      <c r="B32" s="11">
        <f t="shared" si="0"/>
        <v>31</v>
      </c>
      <c r="C32" s="11">
        <f t="shared" si="1"/>
        <v>7</v>
      </c>
      <c r="D32" s="11">
        <v>2022</v>
      </c>
      <c r="E32" s="18">
        <f>'FS Seychelles'!B33</f>
        <v>0</v>
      </c>
      <c r="F32" s="18" t="e">
        <f>'FS Seychelles'!D33*1000</f>
        <v>#VALUE!</v>
      </c>
      <c r="G32" s="18" t="e">
        <f>'FS Seychelles'!E33*1000</f>
        <v>#VALUE!</v>
      </c>
      <c r="H32" s="18" t="e">
        <f>'FS Seychelles'!F33*1000</f>
        <v>#VALUE!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 t="e">
        <f>'FS Seychelles'!J33*1000</f>
        <v>#VALUE!</v>
      </c>
      <c r="M32" s="18" t="e">
        <f>'FS Seychelles'!K33*1000</f>
        <v>#VALUE!</v>
      </c>
      <c r="N32" s="18" t="e">
        <f>'FS Seychelles'!L33*1000</f>
        <v>#VALUE!</v>
      </c>
      <c r="O32" s="18">
        <f>'FS Seychelles'!M33</f>
        <v>10243</v>
      </c>
      <c r="P32" s="18">
        <f>'FS Seychelles'!N33</f>
        <v>5896</v>
      </c>
      <c r="Q32" s="18">
        <f>'FS Seychelles'!O33</f>
        <v>0</v>
      </c>
      <c r="R32" s="18">
        <f>'FS Seychelles'!P33</f>
        <v>3421</v>
      </c>
      <c r="S32" s="18">
        <f>'FS Seychelles'!Q33</f>
        <v>10401</v>
      </c>
      <c r="T32" s="18">
        <f>'FS Seychelles'!R33</f>
        <v>6378</v>
      </c>
      <c r="U32" s="18">
        <f>'FS Seychelles'!T33</f>
        <v>0</v>
      </c>
      <c r="V32" s="18">
        <f>'FS Seychelles'!V33</f>
        <v>53</v>
      </c>
      <c r="W32" s="18" t="e">
        <f>'FS Seychelles'!#REF!</f>
        <v>#REF!</v>
      </c>
      <c r="X32" s="18">
        <f>'FS Seychelles'!W33</f>
        <v>105</v>
      </c>
      <c r="Y32" s="18">
        <f>'FS Seychelles'!X33</f>
        <v>36</v>
      </c>
      <c r="Z32" s="18">
        <f>'FS Seychelles'!Y33</f>
        <v>101</v>
      </c>
      <c r="AA32" s="18" t="e">
        <f>'FS Seychelles'!#REF!</f>
        <v>#REF!</v>
      </c>
      <c r="AB32" s="18">
        <f>('FS Seychelles'!AC39+'FS Seychelles'!AC45)/30</f>
        <v>0</v>
      </c>
    </row>
    <row r="33" spans="16:18" ht="15">
      <c r="P33" s="18">
        <f>SUM(P2:P32)</f>
        <v>225208</v>
      </c>
      <c r="Q33" s="18">
        <f>SUM(Q2:Q32)</f>
        <v>203651</v>
      </c>
      <c r="R33" s="18">
        <f>SUM(R2:R32)</f>
        <v>119812</v>
      </c>
    </row>
    <row r="35" spans="16:18" ht="15">
      <c r="R35" s="18">
        <f>SUM(O33:R33)</f>
        <v>548671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9"/>
  <sheetViews>
    <sheetView tabSelected="1" zoomScaleNormal="100" workbookViewId="0">
      <pane xSplit="1" topLeftCell="B12" activePane="topRight" state="frozen"/>
      <selection pane="topRight" activeCell="B3" sqref="B3:B33"/>
    </sheetView>
  </sheetViews>
  <sheetFormatPr defaultColWidth="9.140625" defaultRowHeight="12.75"/>
  <cols>
    <col min="1" max="1" width="10.5703125" style="19" bestFit="1" customWidth="1"/>
    <col min="2" max="3" width="12.7109375" style="19" customWidth="1"/>
    <col min="4" max="4" width="9.140625" style="19"/>
    <col min="5" max="9" width="9.140625" style="35"/>
    <col min="10" max="10" width="10.28515625" style="35" customWidth="1"/>
    <col min="11" max="11" width="9.140625" style="35"/>
    <col min="12" max="12" width="10.7109375" style="35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2" width="10.7109375" style="19" customWidth="1"/>
    <col min="23" max="23" width="28.7109375" style="19" customWidth="1"/>
    <col min="24" max="24" width="8.140625" style="19" customWidth="1"/>
    <col min="25" max="25" width="9.140625" style="19"/>
    <col min="26" max="26" width="11.85546875" style="19" customWidth="1"/>
    <col min="27" max="27" width="13.5703125" style="32" customWidth="1"/>
    <col min="28" max="29" width="9.140625" style="32"/>
    <col min="30" max="31" width="9.140625" style="19"/>
    <col min="32" max="32" width="18" style="19" customWidth="1"/>
    <col min="33" max="16384" width="9.140625" style="19"/>
  </cols>
  <sheetData>
    <row r="1" spans="1:33">
      <c r="D1" s="144"/>
      <c r="E1" s="144"/>
      <c r="F1" s="144"/>
      <c r="G1" s="144"/>
      <c r="H1" s="144"/>
      <c r="I1" s="144"/>
      <c r="J1" s="144"/>
      <c r="K1" s="144"/>
      <c r="L1" s="144"/>
    </row>
    <row r="2" spans="1:33" s="22" customFormat="1" ht="31.5" customHeight="1">
      <c r="A2" s="54" t="s">
        <v>37</v>
      </c>
      <c r="B2" s="45" t="s">
        <v>38</v>
      </c>
      <c r="C2" s="51" t="s">
        <v>39</v>
      </c>
      <c r="D2" s="49" t="s">
        <v>40</v>
      </c>
      <c r="E2" s="50" t="s">
        <v>41</v>
      </c>
      <c r="F2" s="50" t="s">
        <v>42</v>
      </c>
      <c r="G2" s="116" t="s">
        <v>43</v>
      </c>
      <c r="H2" s="116" t="s">
        <v>44</v>
      </c>
      <c r="I2" s="116" t="s">
        <v>45</v>
      </c>
      <c r="J2" s="50" t="s">
        <v>46</v>
      </c>
      <c r="K2" s="50" t="s">
        <v>47</v>
      </c>
      <c r="L2" s="50" t="s">
        <v>48</v>
      </c>
      <c r="M2" s="52" t="s">
        <v>49</v>
      </c>
      <c r="N2" s="37" t="s">
        <v>50</v>
      </c>
      <c r="O2" s="37" t="s">
        <v>51</v>
      </c>
      <c r="P2" s="37" t="s">
        <v>52</v>
      </c>
      <c r="Q2" s="37" t="s">
        <v>53</v>
      </c>
      <c r="R2" s="38" t="s">
        <v>54</v>
      </c>
      <c r="S2" s="38" t="s">
        <v>55</v>
      </c>
      <c r="T2" s="38" t="s">
        <v>56</v>
      </c>
      <c r="U2" s="38" t="s">
        <v>57</v>
      </c>
      <c r="V2" s="36" t="s">
        <v>58</v>
      </c>
      <c r="W2" s="36" t="s">
        <v>59</v>
      </c>
      <c r="X2" s="36" t="s">
        <v>60</v>
      </c>
      <c r="Y2" s="36" t="s">
        <v>61</v>
      </c>
      <c r="Z2" s="57" t="s">
        <v>62</v>
      </c>
      <c r="AA2" s="145" t="s">
        <v>6</v>
      </c>
      <c r="AB2" s="146"/>
      <c r="AC2" s="147"/>
      <c r="AD2" s="133" t="s">
        <v>63</v>
      </c>
      <c r="AE2" s="134" t="s">
        <v>63</v>
      </c>
      <c r="AF2" s="135" t="s">
        <v>64</v>
      </c>
    </row>
    <row r="3" spans="1:33" ht="15" customHeight="1">
      <c r="A3" s="43">
        <v>44743</v>
      </c>
      <c r="B3" s="47">
        <v>64.5</v>
      </c>
      <c r="C3" s="47">
        <v>342</v>
      </c>
      <c r="D3" s="137" t="s">
        <v>65</v>
      </c>
      <c r="E3" s="138" t="s">
        <v>66</v>
      </c>
      <c r="F3" s="138" t="s">
        <v>67</v>
      </c>
      <c r="G3" s="117"/>
      <c r="H3" s="117"/>
      <c r="I3" s="117"/>
      <c r="J3" s="138" t="s">
        <v>68</v>
      </c>
      <c r="K3" s="138" t="s">
        <v>69</v>
      </c>
      <c r="L3" s="138" t="s">
        <v>70</v>
      </c>
      <c r="M3" s="53">
        <f>Generator!E3</f>
        <v>5048</v>
      </c>
      <c r="N3" s="44">
        <f>Generator!L3</f>
        <v>9744</v>
      </c>
      <c r="O3" s="31">
        <f>Generator!S3</f>
        <v>1658</v>
      </c>
      <c r="P3" s="31">
        <f>Generator!Z3</f>
        <v>0</v>
      </c>
      <c r="Q3" s="31">
        <f>Generator!AG3</f>
        <v>9765</v>
      </c>
      <c r="R3" s="21">
        <f>SUM(Generator!C3,Generator!J3,Generator!Q3,Generator!X3,Generator!AE3)</f>
        <v>5877</v>
      </c>
      <c r="S3" s="21">
        <v>1.47</v>
      </c>
      <c r="T3" s="21"/>
      <c r="U3" s="21">
        <v>0.32</v>
      </c>
      <c r="V3" s="30">
        <v>23</v>
      </c>
      <c r="W3" s="20">
        <v>118</v>
      </c>
      <c r="X3" s="20">
        <v>72</v>
      </c>
      <c r="Y3" s="30">
        <v>87</v>
      </c>
      <c r="Z3" s="112">
        <v>50</v>
      </c>
      <c r="AA3" s="148" t="s">
        <v>71</v>
      </c>
      <c r="AB3" s="149"/>
      <c r="AC3" s="150"/>
      <c r="AD3" s="112"/>
      <c r="AE3" s="56"/>
    </row>
    <row r="4" spans="1:33" ht="16.5" customHeight="1">
      <c r="A4" s="43">
        <v>44744</v>
      </c>
      <c r="B4" s="47">
        <v>65.8</v>
      </c>
      <c r="C4" s="47">
        <v>305</v>
      </c>
      <c r="D4" s="137" t="s">
        <v>72</v>
      </c>
      <c r="E4" s="138" t="s">
        <v>73</v>
      </c>
      <c r="F4" s="138" t="s">
        <v>74</v>
      </c>
      <c r="G4" s="117"/>
      <c r="H4" s="117"/>
      <c r="I4" s="117"/>
      <c r="J4" s="138" t="s">
        <v>75</v>
      </c>
      <c r="K4" s="138" t="s">
        <v>76</v>
      </c>
      <c r="L4" s="138" t="s">
        <v>77</v>
      </c>
      <c r="M4" s="53">
        <f>Generator!E4</f>
        <v>6820</v>
      </c>
      <c r="N4" s="44">
        <f>Generator!L4</f>
        <v>5581</v>
      </c>
      <c r="O4" s="31">
        <f>Generator!S4</f>
        <v>0</v>
      </c>
      <c r="P4" s="31">
        <f>Generator!Z4</f>
        <v>7574</v>
      </c>
      <c r="Q4" s="31">
        <f>Generator!AG4</f>
        <v>7404</v>
      </c>
      <c r="R4" s="21">
        <f>SUM(Generator!C4,Generator!J4,Generator!Q4,Generator!X4,Generator!AE4)</f>
        <v>5498</v>
      </c>
      <c r="S4" s="21">
        <f t="shared" ref="S4:S22" si="0">24.43*0.06</f>
        <v>1.4658</v>
      </c>
      <c r="T4" s="21"/>
      <c r="U4" s="21">
        <f>U3</f>
        <v>0.32</v>
      </c>
      <c r="V4" s="30">
        <v>44</v>
      </c>
      <c r="W4" s="20">
        <v>109</v>
      </c>
      <c r="X4" s="20">
        <v>51</v>
      </c>
      <c r="Y4" s="30">
        <v>26</v>
      </c>
      <c r="Z4" s="112">
        <v>26</v>
      </c>
      <c r="AA4" s="106" t="s">
        <v>78</v>
      </c>
      <c r="AB4" s="34" t="s">
        <v>79</v>
      </c>
      <c r="AC4" s="131" t="s">
        <v>80</v>
      </c>
      <c r="AD4" s="112"/>
      <c r="AE4" s="56"/>
    </row>
    <row r="5" spans="1:33" ht="15">
      <c r="A5" s="43">
        <v>44745</v>
      </c>
      <c r="B5" s="47">
        <v>69.7</v>
      </c>
      <c r="C5" s="47">
        <v>240</v>
      </c>
      <c r="D5" s="137" t="s">
        <v>81</v>
      </c>
      <c r="E5" s="138" t="s">
        <v>82</v>
      </c>
      <c r="F5" s="138" t="s">
        <v>83</v>
      </c>
      <c r="G5" s="117"/>
      <c r="H5" s="117"/>
      <c r="I5" s="117"/>
      <c r="J5" s="138" t="s">
        <v>84</v>
      </c>
      <c r="K5" s="138" t="s">
        <v>85</v>
      </c>
      <c r="L5" s="138" t="s">
        <v>86</v>
      </c>
      <c r="M5" s="53">
        <f>Generator!E5</f>
        <v>9824</v>
      </c>
      <c r="N5" s="44">
        <f>Generator!L5</f>
        <v>5251</v>
      </c>
      <c r="O5" s="31">
        <f>Generator!S5</f>
        <v>9861</v>
      </c>
      <c r="P5" s="31">
        <f>Generator!Z5</f>
        <v>5151</v>
      </c>
      <c r="Q5" s="31">
        <f>Generator!AG5</f>
        <v>5294</v>
      </c>
      <c r="R5" s="21">
        <f>SUM(Generator!C5,Generator!J5,Generator!Q5,Generator!X5,Generator!AE5)</f>
        <v>7827</v>
      </c>
      <c r="S5" s="21">
        <f t="shared" si="0"/>
        <v>1.4658</v>
      </c>
      <c r="T5" s="21"/>
      <c r="U5" s="21">
        <f t="shared" ref="U5:U33" si="1">U4</f>
        <v>0.32</v>
      </c>
      <c r="V5" s="30">
        <v>59</v>
      </c>
      <c r="W5" s="30">
        <v>158</v>
      </c>
      <c r="X5" s="30">
        <v>67</v>
      </c>
      <c r="Y5" s="30">
        <v>86</v>
      </c>
      <c r="Z5" s="112">
        <v>23</v>
      </c>
      <c r="AA5" s="107">
        <v>9</v>
      </c>
      <c r="AB5" s="33"/>
      <c r="AC5" s="121"/>
      <c r="AD5" s="112"/>
      <c r="AE5" s="56"/>
    </row>
    <row r="6" spans="1:33" ht="15">
      <c r="A6" s="43">
        <v>44746</v>
      </c>
      <c r="B6" s="47">
        <v>65.8</v>
      </c>
      <c r="C6" s="47">
        <v>200</v>
      </c>
      <c r="D6" s="137" t="s">
        <v>87</v>
      </c>
      <c r="E6" s="138" t="s">
        <v>88</v>
      </c>
      <c r="F6" s="138" t="s">
        <v>89</v>
      </c>
      <c r="G6" s="117"/>
      <c r="H6" s="117"/>
      <c r="I6" s="117"/>
      <c r="J6" s="138" t="s">
        <v>90</v>
      </c>
      <c r="K6" s="138" t="s">
        <v>76</v>
      </c>
      <c r="L6" s="138" t="s">
        <v>91</v>
      </c>
      <c r="M6" s="53">
        <f>Generator!E6</f>
        <v>10140</v>
      </c>
      <c r="N6" s="44">
        <f>Generator!L6</f>
        <v>3751</v>
      </c>
      <c r="O6" s="31">
        <f>Generator!S6</f>
        <v>10777</v>
      </c>
      <c r="P6" s="31">
        <f>Generator!Z6</f>
        <v>0</v>
      </c>
      <c r="Q6" s="31">
        <f>Generator!AG6</f>
        <v>4402</v>
      </c>
      <c r="R6" s="21">
        <f>SUM(Generator!C6,Generator!J6,Generator!Q6,Generator!X6,Generator!AE6)</f>
        <v>6402</v>
      </c>
      <c r="S6" s="21">
        <f t="shared" si="0"/>
        <v>1.4658</v>
      </c>
      <c r="T6" s="21"/>
      <c r="U6" s="21">
        <f t="shared" si="1"/>
        <v>0.32</v>
      </c>
      <c r="V6" s="30">
        <v>56</v>
      </c>
      <c r="W6" s="30">
        <v>146</v>
      </c>
      <c r="X6" s="30">
        <v>75</v>
      </c>
      <c r="Y6" s="30">
        <v>88</v>
      </c>
      <c r="Z6" s="113">
        <v>71</v>
      </c>
      <c r="AA6" s="107">
        <v>10</v>
      </c>
      <c r="AB6" s="33"/>
      <c r="AC6" s="121"/>
      <c r="AD6" s="112"/>
      <c r="AE6" s="56"/>
    </row>
    <row r="7" spans="1:33" ht="15">
      <c r="A7" s="43">
        <v>44747</v>
      </c>
      <c r="B7" s="47">
        <v>51.3</v>
      </c>
      <c r="C7" s="47">
        <v>329</v>
      </c>
      <c r="D7" s="137" t="s">
        <v>92</v>
      </c>
      <c r="E7" s="138" t="s">
        <v>93</v>
      </c>
      <c r="F7" s="138" t="s">
        <v>94</v>
      </c>
      <c r="G7" s="117"/>
      <c r="H7" s="117"/>
      <c r="I7" s="117"/>
      <c r="J7" s="138" t="s">
        <v>76</v>
      </c>
      <c r="K7" s="138" t="s">
        <v>95</v>
      </c>
      <c r="L7" s="138" t="s">
        <v>96</v>
      </c>
      <c r="M7" s="53">
        <f>Generator!E7</f>
        <v>11010</v>
      </c>
      <c r="N7" s="44">
        <f>Generator!L7</f>
        <v>4008</v>
      </c>
      <c r="O7" s="31">
        <f>Generator!S7</f>
        <v>11026</v>
      </c>
      <c r="P7" s="31">
        <f>Generator!Z7</f>
        <v>0</v>
      </c>
      <c r="Q7" s="31">
        <f>Generator!AG7</f>
        <v>4852</v>
      </c>
      <c r="R7" s="21">
        <f>SUM(Generator!C7,Generator!J7,Generator!Q7,Generator!X7,Generator!AE7)</f>
        <v>6596</v>
      </c>
      <c r="S7" s="21">
        <f t="shared" si="0"/>
        <v>1.4658</v>
      </c>
      <c r="T7" s="21"/>
      <c r="U7" s="21">
        <f t="shared" si="1"/>
        <v>0.32</v>
      </c>
      <c r="V7" s="30">
        <v>57</v>
      </c>
      <c r="W7" s="30">
        <v>112</v>
      </c>
      <c r="X7" s="30">
        <v>64</v>
      </c>
      <c r="Y7" s="30">
        <v>86</v>
      </c>
      <c r="Z7" s="112">
        <v>95</v>
      </c>
      <c r="AA7" s="108">
        <v>12</v>
      </c>
      <c r="AB7" s="46"/>
      <c r="AC7" s="121"/>
      <c r="AD7" s="112"/>
      <c r="AE7" s="56"/>
    </row>
    <row r="8" spans="1:33" ht="15">
      <c r="A8" s="43">
        <v>44748</v>
      </c>
      <c r="B8" s="47">
        <v>55.3</v>
      </c>
      <c r="C8" s="47">
        <v>313</v>
      </c>
      <c r="D8" s="137" t="s">
        <v>97</v>
      </c>
      <c r="E8" s="138" t="s">
        <v>98</v>
      </c>
      <c r="F8" s="138" t="s">
        <v>89</v>
      </c>
      <c r="G8" s="117"/>
      <c r="H8" s="117"/>
      <c r="I8" s="117"/>
      <c r="J8" s="138" t="s">
        <v>99</v>
      </c>
      <c r="K8" s="138" t="s">
        <v>85</v>
      </c>
      <c r="L8" s="138" t="s">
        <v>100</v>
      </c>
      <c r="M8" s="53">
        <f>Generator!E8</f>
        <v>6750</v>
      </c>
      <c r="N8" s="44">
        <f>Generator!L8</f>
        <v>4907</v>
      </c>
      <c r="O8" s="31">
        <f>Generator!S8</f>
        <v>9453</v>
      </c>
      <c r="P8" s="31">
        <f>Generator!Z8</f>
        <v>0</v>
      </c>
      <c r="Q8" s="31">
        <f>Generator!AG8</f>
        <v>7658</v>
      </c>
      <c r="R8" s="21">
        <f>SUM(Generator!C8,Generator!J8,Generator!Q8,Generator!X8,Generator!AE8)</f>
        <v>6479</v>
      </c>
      <c r="S8" s="21">
        <f t="shared" si="0"/>
        <v>1.4658</v>
      </c>
      <c r="T8" s="21"/>
      <c r="U8" s="21">
        <f t="shared" si="1"/>
        <v>0.32</v>
      </c>
      <c r="V8" s="39">
        <v>59</v>
      </c>
      <c r="W8" s="39">
        <v>125</v>
      </c>
      <c r="X8" s="39">
        <v>67</v>
      </c>
      <c r="Y8" s="39">
        <v>92</v>
      </c>
      <c r="Z8" s="112">
        <v>77</v>
      </c>
      <c r="AA8" s="74">
        <v>20</v>
      </c>
      <c r="AB8" s="46">
        <v>48</v>
      </c>
      <c r="AC8" s="121">
        <f>AB8*AA8</f>
        <v>960</v>
      </c>
      <c r="AD8" s="112"/>
      <c r="AE8" s="56"/>
    </row>
    <row r="9" spans="1:33" ht="15" customHeight="1">
      <c r="A9" s="43">
        <v>44749</v>
      </c>
      <c r="B9" s="47">
        <v>61.8</v>
      </c>
      <c r="C9" s="47">
        <v>436</v>
      </c>
      <c r="D9" s="137" t="s">
        <v>101</v>
      </c>
      <c r="E9" s="138" t="s">
        <v>102</v>
      </c>
      <c r="F9" s="138" t="s">
        <v>103</v>
      </c>
      <c r="G9" s="117"/>
      <c r="H9" s="117"/>
      <c r="I9" s="117"/>
      <c r="J9" s="138" t="s">
        <v>104</v>
      </c>
      <c r="K9" s="138" t="s">
        <v>104</v>
      </c>
      <c r="L9" s="138" t="s">
        <v>93</v>
      </c>
      <c r="M9" s="53">
        <f>Generator!E9</f>
        <v>5554</v>
      </c>
      <c r="N9" s="44">
        <f>Generator!L9</f>
        <v>5574</v>
      </c>
      <c r="O9" s="31">
        <f>Generator!S9</f>
        <v>10535</v>
      </c>
      <c r="P9" s="31">
        <f>Generator!Z9</f>
        <v>0</v>
      </c>
      <c r="Q9" s="31">
        <f>Generator!AG9</f>
        <v>10513</v>
      </c>
      <c r="R9" s="21">
        <f>SUM(Generator!C9,Generator!J9,Generator!Q9,Generator!X9,Generator!AE9)</f>
        <v>6945</v>
      </c>
      <c r="S9" s="21">
        <f t="shared" si="0"/>
        <v>1.4658</v>
      </c>
      <c r="T9" s="21"/>
      <c r="U9" s="21">
        <f t="shared" si="1"/>
        <v>0.32</v>
      </c>
      <c r="V9" s="30">
        <v>59</v>
      </c>
      <c r="W9" s="20">
        <v>129</v>
      </c>
      <c r="X9" s="20">
        <v>50</v>
      </c>
      <c r="Y9" s="30">
        <v>92</v>
      </c>
      <c r="Z9" s="112">
        <v>37</v>
      </c>
      <c r="AA9" s="74"/>
      <c r="AB9" s="46"/>
      <c r="AC9" s="122"/>
      <c r="AD9" s="112"/>
      <c r="AE9" s="56"/>
    </row>
    <row r="10" spans="1:33" ht="15.75" customHeight="1">
      <c r="A10" s="43">
        <v>44750</v>
      </c>
      <c r="B10" s="47">
        <v>63.2</v>
      </c>
      <c r="C10" s="47">
        <v>333</v>
      </c>
      <c r="D10" s="137" t="s">
        <v>105</v>
      </c>
      <c r="E10" s="138" t="s">
        <v>73</v>
      </c>
      <c r="F10" s="138" t="s">
        <v>106</v>
      </c>
      <c r="G10" s="117"/>
      <c r="H10" s="117"/>
      <c r="I10" s="117"/>
      <c r="J10" s="138" t="s">
        <v>107</v>
      </c>
      <c r="K10" s="138" t="s">
        <v>108</v>
      </c>
      <c r="L10" s="138" t="s">
        <v>109</v>
      </c>
      <c r="M10" s="53">
        <f>Generator!E10</f>
        <v>5857</v>
      </c>
      <c r="N10" s="44">
        <f>Generator!L10</f>
        <v>5593</v>
      </c>
      <c r="O10" s="31">
        <f>Generator!S10</f>
        <v>9935</v>
      </c>
      <c r="P10" s="31">
        <f>Generator!Z10</f>
        <v>0</v>
      </c>
      <c r="Q10" s="31">
        <f>Generator!AG10</f>
        <v>9950</v>
      </c>
      <c r="R10" s="21">
        <f>SUM(Generator!C10,Generator!J10,Generator!Q10,Generator!X10,Generator!AE10)</f>
        <v>6832</v>
      </c>
      <c r="S10" s="21">
        <f t="shared" si="0"/>
        <v>1.4658</v>
      </c>
      <c r="T10" s="21"/>
      <c r="U10" s="21">
        <f t="shared" si="1"/>
        <v>0.32</v>
      </c>
      <c r="V10" s="30">
        <v>62</v>
      </c>
      <c r="W10" s="30">
        <v>139</v>
      </c>
      <c r="X10" s="30">
        <v>45</v>
      </c>
      <c r="Y10" s="30">
        <v>95</v>
      </c>
      <c r="Z10" s="112">
        <v>57</v>
      </c>
      <c r="AA10" s="109"/>
      <c r="AB10" s="73" t="s">
        <v>110</v>
      </c>
      <c r="AC10" s="74">
        <f>SUM(AC6:AC9)</f>
        <v>960</v>
      </c>
      <c r="AD10" s="112">
        <v>34892</v>
      </c>
      <c r="AE10" s="56"/>
    </row>
    <row r="11" spans="1:33" ht="15" customHeight="1">
      <c r="A11" s="43">
        <v>44751</v>
      </c>
      <c r="B11" s="47">
        <v>63.2</v>
      </c>
      <c r="C11" s="47">
        <v>342</v>
      </c>
      <c r="D11" s="137" t="s">
        <v>111</v>
      </c>
      <c r="E11" s="138" t="s">
        <v>112</v>
      </c>
      <c r="F11" s="138" t="s">
        <v>113</v>
      </c>
      <c r="G11" s="117"/>
      <c r="H11" s="117"/>
      <c r="I11" s="117"/>
      <c r="J11" s="138" t="s">
        <v>69</v>
      </c>
      <c r="K11" s="138" t="s">
        <v>114</v>
      </c>
      <c r="L11" s="138" t="s">
        <v>115</v>
      </c>
      <c r="M11" s="53">
        <f>Generator!E11</f>
        <v>9812</v>
      </c>
      <c r="N11" s="44">
        <f>Generator!L11</f>
        <v>5432</v>
      </c>
      <c r="O11" s="31">
        <f>Generator!S11</f>
        <v>5593</v>
      </c>
      <c r="P11" s="31">
        <f>Generator!Z11</f>
        <v>0</v>
      </c>
      <c r="Q11" s="31">
        <f>Generator!AG11</f>
        <v>10231</v>
      </c>
      <c r="R11" s="21">
        <f>SUM(Generator!C11,Generator!J11,Generator!Q11,Generator!X11,Generator!AE11)</f>
        <v>6655</v>
      </c>
      <c r="S11" s="21">
        <f t="shared" si="0"/>
        <v>1.4658</v>
      </c>
      <c r="T11" s="21"/>
      <c r="U11" s="21">
        <f t="shared" si="1"/>
        <v>0.32</v>
      </c>
      <c r="V11" s="30">
        <v>53</v>
      </c>
      <c r="W11" s="20">
        <v>107</v>
      </c>
      <c r="X11" s="20">
        <v>65</v>
      </c>
      <c r="Y11" s="30">
        <v>95</v>
      </c>
      <c r="Z11" s="112">
        <v>49</v>
      </c>
      <c r="AA11" s="151" t="s">
        <v>116</v>
      </c>
      <c r="AB11" s="152"/>
      <c r="AC11" s="153"/>
      <c r="AD11" s="112"/>
      <c r="AE11" s="56"/>
    </row>
    <row r="12" spans="1:33" ht="15" customHeight="1">
      <c r="A12" s="43">
        <v>44752</v>
      </c>
      <c r="B12" s="47">
        <v>67.099999999999994</v>
      </c>
      <c r="C12" s="47">
        <v>371</v>
      </c>
      <c r="D12" s="137" t="s">
        <v>117</v>
      </c>
      <c r="E12" s="138" t="s">
        <v>118</v>
      </c>
      <c r="F12" s="138" t="s">
        <v>119</v>
      </c>
      <c r="G12" s="117"/>
      <c r="H12" s="117"/>
      <c r="I12" s="117"/>
      <c r="J12" s="138" t="s">
        <v>69</v>
      </c>
      <c r="K12" s="138" t="s">
        <v>76</v>
      </c>
      <c r="L12" s="138" t="s">
        <v>88</v>
      </c>
      <c r="M12" s="53">
        <f>Generator!E12</f>
        <v>5304</v>
      </c>
      <c r="N12" s="44">
        <f>Generator!L12</f>
        <v>10428</v>
      </c>
      <c r="O12" s="31">
        <f>Generator!S12</f>
        <v>10665</v>
      </c>
      <c r="P12" s="31">
        <f>Generator!Z12</f>
        <v>0</v>
      </c>
      <c r="Q12" s="31">
        <f>Generator!AG12</f>
        <v>5236</v>
      </c>
      <c r="R12" s="21">
        <f>SUM(Generator!C12,Generator!J12,Generator!Q12,Generator!X12,Generator!AE12)</f>
        <v>6946</v>
      </c>
      <c r="S12" s="21">
        <f t="shared" si="0"/>
        <v>1.4658</v>
      </c>
      <c r="T12" s="21"/>
      <c r="U12" s="21">
        <f t="shared" si="1"/>
        <v>0.32</v>
      </c>
      <c r="V12" s="30">
        <v>49</v>
      </c>
      <c r="W12" s="30">
        <v>134</v>
      </c>
      <c r="X12" s="30">
        <v>51</v>
      </c>
      <c r="Y12" s="30">
        <v>92</v>
      </c>
      <c r="Z12" s="112">
        <v>65</v>
      </c>
      <c r="AA12" s="110"/>
      <c r="AB12" s="154" t="s">
        <v>120</v>
      </c>
      <c r="AC12" s="155"/>
      <c r="AD12" s="112"/>
      <c r="AE12" s="56"/>
    </row>
    <row r="13" spans="1:33" ht="15" customHeight="1">
      <c r="A13" s="43">
        <v>44753</v>
      </c>
      <c r="B13" s="47">
        <v>69.7</v>
      </c>
      <c r="C13" s="47">
        <v>395</v>
      </c>
      <c r="D13" s="137" t="s">
        <v>121</v>
      </c>
      <c r="E13" s="138" t="s">
        <v>73</v>
      </c>
      <c r="F13" s="138" t="s">
        <v>122</v>
      </c>
      <c r="G13" s="117"/>
      <c r="H13" s="117"/>
      <c r="I13" s="117"/>
      <c r="J13" s="138" t="s">
        <v>123</v>
      </c>
      <c r="K13" s="138" t="s">
        <v>85</v>
      </c>
      <c r="L13" s="138" t="s">
        <v>88</v>
      </c>
      <c r="M13" s="53">
        <f>Generator!E13</f>
        <v>10840</v>
      </c>
      <c r="N13" s="44">
        <f>Generator!L13</f>
        <v>15499</v>
      </c>
      <c r="O13" s="31">
        <f>Generator!S13</f>
        <v>0</v>
      </c>
      <c r="P13" s="31">
        <f>Generator!Z13</f>
        <v>0</v>
      </c>
      <c r="Q13" s="31">
        <f>Generator!AG13</f>
        <v>4539</v>
      </c>
      <c r="R13" s="21">
        <f>SUM(Generator!C13,Generator!J13,Generator!Q13,Generator!X13,Generator!AE13)</f>
        <v>6694</v>
      </c>
      <c r="S13" s="21">
        <f t="shared" si="0"/>
        <v>1.4658</v>
      </c>
      <c r="T13" s="21"/>
      <c r="U13" s="21">
        <f t="shared" si="1"/>
        <v>0.32</v>
      </c>
      <c r="V13" s="30">
        <v>63</v>
      </c>
      <c r="W13" s="30">
        <v>121</v>
      </c>
      <c r="X13" s="30">
        <v>51</v>
      </c>
      <c r="Y13" s="30">
        <v>98</v>
      </c>
      <c r="Z13" s="112">
        <v>62</v>
      </c>
      <c r="AA13" s="111" t="s">
        <v>124</v>
      </c>
      <c r="AB13" s="139">
        <v>8750</v>
      </c>
      <c r="AC13" s="140"/>
      <c r="AD13" s="112"/>
      <c r="AE13" s="56"/>
    </row>
    <row r="14" spans="1:33" ht="15" customHeight="1">
      <c r="A14" s="43">
        <v>44754</v>
      </c>
      <c r="B14" s="47">
        <v>68.400000000000006</v>
      </c>
      <c r="C14" s="47">
        <v>384</v>
      </c>
      <c r="D14" s="137" t="s">
        <v>72</v>
      </c>
      <c r="E14" s="138" t="s">
        <v>112</v>
      </c>
      <c r="F14" s="138" t="s">
        <v>125</v>
      </c>
      <c r="G14" s="117"/>
      <c r="H14" s="117"/>
      <c r="I14" s="117"/>
      <c r="J14" s="138" t="s">
        <v>126</v>
      </c>
      <c r="K14" s="138" t="s">
        <v>126</v>
      </c>
      <c r="L14" s="138" t="s">
        <v>66</v>
      </c>
      <c r="M14" s="53">
        <f>Generator!E14</f>
        <v>0</v>
      </c>
      <c r="N14" s="44">
        <f>Generator!L14</f>
        <v>4668</v>
      </c>
      <c r="O14" s="31">
        <f>Generator!S14</f>
        <v>10699</v>
      </c>
      <c r="P14" s="31">
        <f>Generator!Z14</f>
        <v>0</v>
      </c>
      <c r="Q14" s="31">
        <f>Generator!AG14</f>
        <v>15287</v>
      </c>
      <c r="R14" s="21">
        <f>SUM(Generator!C14,Generator!J14,Generator!Q14,Generator!X14,Generator!AE14)</f>
        <v>6656</v>
      </c>
      <c r="S14" s="21">
        <f t="shared" si="0"/>
        <v>1.4658</v>
      </c>
      <c r="T14" s="21"/>
      <c r="U14" s="21">
        <f t="shared" si="1"/>
        <v>0.32</v>
      </c>
      <c r="V14" s="30">
        <v>59</v>
      </c>
      <c r="W14" s="30">
        <v>106</v>
      </c>
      <c r="X14" s="30">
        <v>45</v>
      </c>
      <c r="Y14" s="30">
        <v>94</v>
      </c>
      <c r="Z14" s="112">
        <v>51</v>
      </c>
      <c r="AA14" s="111" t="s">
        <v>127</v>
      </c>
      <c r="AB14" s="141">
        <v>3090</v>
      </c>
      <c r="AC14" s="142"/>
      <c r="AD14" s="112">
        <v>35408</v>
      </c>
      <c r="AE14" s="56"/>
    </row>
    <row r="15" spans="1:33" ht="15">
      <c r="A15" s="43">
        <v>44755</v>
      </c>
      <c r="B15" s="47">
        <v>64.5</v>
      </c>
      <c r="C15" s="47">
        <v>398</v>
      </c>
      <c r="D15" s="137" t="s">
        <v>87</v>
      </c>
      <c r="E15" s="138" t="s">
        <v>128</v>
      </c>
      <c r="F15" s="138" t="s">
        <v>129</v>
      </c>
      <c r="G15" s="117"/>
      <c r="H15" s="117"/>
      <c r="I15" s="117"/>
      <c r="J15" s="138" t="s">
        <v>130</v>
      </c>
      <c r="K15" s="138" t="s">
        <v>85</v>
      </c>
      <c r="L15" s="138" t="s">
        <v>66</v>
      </c>
      <c r="M15" s="53">
        <f>Generator!E15</f>
        <v>5991</v>
      </c>
      <c r="N15" s="44">
        <f>Generator!L15</f>
        <v>10265</v>
      </c>
      <c r="O15" s="31">
        <f>Generator!S15</f>
        <v>10122</v>
      </c>
      <c r="P15" s="31">
        <f>Generator!Z15</f>
        <v>0</v>
      </c>
      <c r="Q15" s="31">
        <f>Generator!AG15</f>
        <v>4597</v>
      </c>
      <c r="R15" s="21">
        <f>SUM(Generator!C15,Generator!J15,Generator!Q15,Generator!X15,Generator!AE15)</f>
        <v>6751</v>
      </c>
      <c r="S15" s="21">
        <f t="shared" si="0"/>
        <v>1.4658</v>
      </c>
      <c r="T15" s="21"/>
      <c r="U15" s="21">
        <f t="shared" si="1"/>
        <v>0.32</v>
      </c>
      <c r="V15" s="30">
        <v>58</v>
      </c>
      <c r="W15" s="20">
        <v>109</v>
      </c>
      <c r="X15" s="20">
        <v>44</v>
      </c>
      <c r="Y15" s="20">
        <v>97</v>
      </c>
      <c r="Z15" s="112">
        <v>49</v>
      </c>
      <c r="AA15" s="129"/>
      <c r="AB15" s="130" t="s">
        <v>110</v>
      </c>
      <c r="AC15" s="132">
        <f>SUM(AB13:AC14)</f>
        <v>11840</v>
      </c>
      <c r="AD15" s="112">
        <v>35578</v>
      </c>
      <c r="AE15" s="56"/>
      <c r="AG15" s="19">
        <f>AC10+AC15</f>
        <v>12800</v>
      </c>
    </row>
    <row r="16" spans="1:33" ht="15" customHeight="1">
      <c r="A16" s="43">
        <v>44756</v>
      </c>
      <c r="B16" s="47">
        <v>72.400000000000006</v>
      </c>
      <c r="C16" s="47">
        <v>377</v>
      </c>
      <c r="D16" s="137" t="s">
        <v>131</v>
      </c>
      <c r="E16" s="138" t="s">
        <v>132</v>
      </c>
      <c r="F16" s="138" t="s">
        <v>133</v>
      </c>
      <c r="G16" s="117"/>
      <c r="H16" s="117"/>
      <c r="I16" s="117"/>
      <c r="J16" s="138" t="s">
        <v>134</v>
      </c>
      <c r="K16" s="138" t="s">
        <v>75</v>
      </c>
      <c r="L16" s="138" t="s">
        <v>66</v>
      </c>
      <c r="M16" s="53">
        <f>Generator!E16</f>
        <v>3920</v>
      </c>
      <c r="N16" s="44">
        <f>Generator!L16</f>
        <v>10913</v>
      </c>
      <c r="O16" s="31">
        <f>Generator!S16</f>
        <v>10920</v>
      </c>
      <c r="P16" s="31">
        <f>Generator!Z16</f>
        <v>0</v>
      </c>
      <c r="Q16" s="31">
        <f>Generator!AG16</f>
        <v>3923</v>
      </c>
      <c r="R16" s="21">
        <f>SUM(Generator!C16,Generator!J16,Generator!Q16,Generator!X16,Generator!AE16)</f>
        <v>6469</v>
      </c>
      <c r="S16" s="21">
        <f t="shared" si="0"/>
        <v>1.4658</v>
      </c>
      <c r="T16" s="21"/>
      <c r="U16" s="21">
        <f t="shared" si="1"/>
        <v>0.32</v>
      </c>
      <c r="V16" s="30">
        <v>58</v>
      </c>
      <c r="W16" s="30">
        <v>92</v>
      </c>
      <c r="X16" s="30">
        <v>44</v>
      </c>
      <c r="Y16" s="30">
        <v>97</v>
      </c>
      <c r="Z16" s="112">
        <v>50</v>
      </c>
      <c r="AA16" s="143"/>
      <c r="AB16" s="143"/>
      <c r="AC16" s="143"/>
      <c r="AD16" s="136">
        <v>35718</v>
      </c>
      <c r="AE16" s="56"/>
    </row>
    <row r="17" spans="1:31" ht="15" customHeight="1">
      <c r="A17" s="43">
        <v>44757</v>
      </c>
      <c r="B17" s="47">
        <v>68.400000000000006</v>
      </c>
      <c r="C17" s="47">
        <v>389</v>
      </c>
      <c r="D17" s="137" t="s">
        <v>135</v>
      </c>
      <c r="E17" s="138" t="s">
        <v>136</v>
      </c>
      <c r="F17" s="138" t="s">
        <v>137</v>
      </c>
      <c r="G17" s="117"/>
      <c r="H17" s="117"/>
      <c r="I17" s="117"/>
      <c r="J17" s="138" t="s">
        <v>138</v>
      </c>
      <c r="K17" s="138" t="s">
        <v>139</v>
      </c>
      <c r="L17" s="138" t="s">
        <v>140</v>
      </c>
      <c r="M17" s="53">
        <f>Generator!E17</f>
        <v>4013</v>
      </c>
      <c r="N17" s="44">
        <f>Generator!L17</f>
        <v>11244</v>
      </c>
      <c r="O17" s="31">
        <f>Generator!S17</f>
        <v>11229</v>
      </c>
      <c r="P17" s="31">
        <f>Generator!Z17</f>
        <v>0</v>
      </c>
      <c r="Q17" s="31">
        <f>Generator!AG17</f>
        <v>4000</v>
      </c>
      <c r="R17" s="21">
        <f>SUM(Generator!C17,Generator!J17,Generator!Q17,Generator!X17,Generator!AE17)</f>
        <v>6616</v>
      </c>
      <c r="S17" s="21">
        <f t="shared" si="0"/>
        <v>1.4658</v>
      </c>
      <c r="T17" s="21"/>
      <c r="U17" s="21">
        <f t="shared" si="1"/>
        <v>0.32</v>
      </c>
      <c r="V17" s="30">
        <v>68</v>
      </c>
      <c r="W17" s="30">
        <v>108</v>
      </c>
      <c r="X17" s="30">
        <v>49</v>
      </c>
      <c r="Y17" s="30">
        <v>99</v>
      </c>
      <c r="Z17" s="112">
        <v>52</v>
      </c>
      <c r="AA17" s="143"/>
      <c r="AB17" s="143"/>
      <c r="AC17" s="143"/>
      <c r="AD17" s="136">
        <v>35882</v>
      </c>
      <c r="AE17" s="56"/>
    </row>
    <row r="18" spans="1:31" ht="15" customHeight="1">
      <c r="A18" s="43">
        <v>44758</v>
      </c>
      <c r="B18" s="47">
        <v>71.099999999999994</v>
      </c>
      <c r="C18" s="47">
        <v>403</v>
      </c>
      <c r="D18" s="137" t="s">
        <v>141</v>
      </c>
      <c r="E18" s="138" t="s">
        <v>140</v>
      </c>
      <c r="F18" s="138" t="s">
        <v>142</v>
      </c>
      <c r="G18" s="117"/>
      <c r="H18" s="117"/>
      <c r="I18" s="117"/>
      <c r="J18" s="138" t="s">
        <v>76</v>
      </c>
      <c r="K18" s="138" t="s">
        <v>126</v>
      </c>
      <c r="L18" s="138" t="s">
        <v>143</v>
      </c>
      <c r="M18" s="53">
        <f>Generator!E18</f>
        <v>5213</v>
      </c>
      <c r="N18" s="44">
        <f>Generator!L18</f>
        <v>10403</v>
      </c>
      <c r="O18" s="31">
        <f>Generator!S18</f>
        <v>10142</v>
      </c>
      <c r="P18" s="31">
        <f>Generator!Z18</f>
        <v>0</v>
      </c>
      <c r="Q18" s="31">
        <f>Generator!AG18</f>
        <v>6289</v>
      </c>
      <c r="R18" s="21">
        <f>SUM(Generator!C18,Generator!J18,Generator!Q18,Generator!X18,Generator!AE18)</f>
        <v>7030</v>
      </c>
      <c r="S18" s="21">
        <f t="shared" si="0"/>
        <v>1.4658</v>
      </c>
      <c r="T18" s="21"/>
      <c r="U18" s="21">
        <f t="shared" si="1"/>
        <v>0.32</v>
      </c>
      <c r="V18" s="19">
        <v>62</v>
      </c>
      <c r="W18" s="30">
        <v>126</v>
      </c>
      <c r="X18" s="30">
        <v>37</v>
      </c>
      <c r="Y18" s="30">
        <v>90</v>
      </c>
      <c r="Z18" s="112">
        <v>50</v>
      </c>
      <c r="AA18" s="143"/>
      <c r="AB18" s="143"/>
      <c r="AC18" s="143"/>
      <c r="AD18" s="136">
        <v>36008</v>
      </c>
      <c r="AE18" s="56"/>
    </row>
    <row r="19" spans="1:31" ht="15" customHeight="1">
      <c r="A19" s="43">
        <v>44759</v>
      </c>
      <c r="B19" s="47">
        <v>64.5</v>
      </c>
      <c r="C19" s="47">
        <v>359</v>
      </c>
      <c r="D19" s="137" t="s">
        <v>144</v>
      </c>
      <c r="E19" s="138" t="s">
        <v>70</v>
      </c>
      <c r="F19" s="138" t="s">
        <v>145</v>
      </c>
      <c r="G19" s="117"/>
      <c r="H19" s="117"/>
      <c r="I19" s="117"/>
      <c r="J19" s="138" t="s">
        <v>138</v>
      </c>
      <c r="K19" s="138" t="s">
        <v>84</v>
      </c>
      <c r="L19" s="138" t="s">
        <v>66</v>
      </c>
      <c r="M19" s="53">
        <f>Generator!E19</f>
        <v>2452</v>
      </c>
      <c r="N19" s="44">
        <f>Generator!L19</f>
        <v>15072</v>
      </c>
      <c r="O19" s="31">
        <f>Generator!S19</f>
        <v>8264</v>
      </c>
      <c r="P19" s="31">
        <f>Generator!Z19</f>
        <v>0</v>
      </c>
      <c r="Q19" s="31">
        <f>Generator!AG19</f>
        <v>6915</v>
      </c>
      <c r="R19" s="21">
        <f>SUM(Generator!C19,Generator!J19,Generator!Q19,Generator!X19,Generator!AE19)</f>
        <v>7099</v>
      </c>
      <c r="S19" s="21">
        <f t="shared" si="0"/>
        <v>1.4658</v>
      </c>
      <c r="T19" s="21"/>
      <c r="U19" s="21">
        <f t="shared" si="1"/>
        <v>0.32</v>
      </c>
      <c r="V19" s="30">
        <v>53</v>
      </c>
      <c r="W19" s="30">
        <v>139</v>
      </c>
      <c r="X19" s="30">
        <v>56</v>
      </c>
      <c r="Y19" s="30">
        <v>90</v>
      </c>
      <c r="Z19" s="112">
        <v>49</v>
      </c>
      <c r="AA19" s="143"/>
      <c r="AB19" s="143"/>
      <c r="AC19" s="143"/>
      <c r="AD19" s="136"/>
      <c r="AE19" s="56"/>
    </row>
    <row r="20" spans="1:31" ht="15" customHeight="1">
      <c r="A20" s="43" t="s">
        <v>146</v>
      </c>
      <c r="B20" s="47">
        <v>59.2</v>
      </c>
      <c r="C20" s="47">
        <v>326</v>
      </c>
      <c r="D20" s="137" t="s">
        <v>92</v>
      </c>
      <c r="E20" s="138" t="s">
        <v>147</v>
      </c>
      <c r="F20" s="138" t="s">
        <v>148</v>
      </c>
      <c r="G20" s="117"/>
      <c r="H20" s="117"/>
      <c r="I20" s="117"/>
      <c r="J20" s="138" t="s">
        <v>130</v>
      </c>
      <c r="K20" s="138" t="s">
        <v>84</v>
      </c>
      <c r="L20" s="138" t="s">
        <v>77</v>
      </c>
      <c r="M20" s="53">
        <f>Generator!E20</f>
        <v>8543</v>
      </c>
      <c r="N20" s="44">
        <f>Generator!L20</f>
        <v>7996</v>
      </c>
      <c r="O20" s="31">
        <f>Generator!S20</f>
        <v>6918</v>
      </c>
      <c r="P20" s="31">
        <f>Generator!Z20</f>
        <v>0</v>
      </c>
      <c r="Q20" s="31">
        <f>Generator!AG20</f>
        <v>6649</v>
      </c>
      <c r="R20" s="21">
        <f>SUM(Generator!C20,Generator!J20,Generator!Q20,Generator!X20,Generator!AE20)</f>
        <v>6518</v>
      </c>
      <c r="S20" s="21">
        <f t="shared" si="0"/>
        <v>1.4658</v>
      </c>
      <c r="T20" s="21"/>
      <c r="U20" s="21">
        <f t="shared" si="1"/>
        <v>0.32</v>
      </c>
      <c r="V20" s="30">
        <v>55</v>
      </c>
      <c r="W20" s="30">
        <v>71</v>
      </c>
      <c r="X20" s="30">
        <v>37</v>
      </c>
      <c r="Y20" s="30">
        <v>93</v>
      </c>
      <c r="Z20" s="112">
        <v>33</v>
      </c>
      <c r="AA20" s="143"/>
      <c r="AB20" s="143"/>
      <c r="AC20" s="143"/>
      <c r="AD20" s="136"/>
      <c r="AE20" s="56"/>
    </row>
    <row r="21" spans="1:31" ht="15" customHeight="1">
      <c r="A21" s="43">
        <v>44761</v>
      </c>
      <c r="B21" s="47">
        <v>69.7</v>
      </c>
      <c r="C21" s="47">
        <v>363</v>
      </c>
      <c r="D21" s="137" t="s">
        <v>135</v>
      </c>
      <c r="E21" s="138" t="s">
        <v>149</v>
      </c>
      <c r="F21" s="138" t="s">
        <v>150</v>
      </c>
      <c r="G21" s="117"/>
      <c r="H21" s="117"/>
      <c r="I21" s="117"/>
      <c r="J21" s="138" t="s">
        <v>151</v>
      </c>
      <c r="K21" s="138" t="s">
        <v>134</v>
      </c>
      <c r="L21" s="138" t="s">
        <v>152</v>
      </c>
      <c r="M21" s="53">
        <f>Generator!E21</f>
        <v>9503</v>
      </c>
      <c r="N21" s="44">
        <f>Generator!L21</f>
        <v>6728</v>
      </c>
      <c r="O21" s="31">
        <f>Generator!S21</f>
        <v>6854</v>
      </c>
      <c r="P21" s="31">
        <f>Generator!Z21</f>
        <v>9365</v>
      </c>
      <c r="Q21" s="31">
        <f>Generator!AG21</f>
        <v>0</v>
      </c>
      <c r="R21" s="21">
        <f>SUM(Generator!C21,Generator!J21,Generator!Q21,Generator!X21,Generator!AE21)</f>
        <v>7454</v>
      </c>
      <c r="S21" s="21">
        <f t="shared" si="0"/>
        <v>1.4658</v>
      </c>
      <c r="T21" s="21"/>
      <c r="U21" s="21">
        <f t="shared" si="1"/>
        <v>0.32</v>
      </c>
      <c r="V21" s="30">
        <v>62</v>
      </c>
      <c r="W21" s="30">
        <v>124</v>
      </c>
      <c r="X21" s="30">
        <v>67</v>
      </c>
      <c r="Y21" s="30">
        <v>97</v>
      </c>
      <c r="Z21" s="112">
        <v>27</v>
      </c>
      <c r="AA21" s="143"/>
      <c r="AB21" s="143"/>
      <c r="AC21" s="143"/>
      <c r="AD21" s="136"/>
      <c r="AE21" s="56"/>
    </row>
    <row r="22" spans="1:31" ht="15" customHeight="1">
      <c r="A22" s="43">
        <v>44762</v>
      </c>
      <c r="B22" s="47">
        <v>65.8</v>
      </c>
      <c r="C22" s="47">
        <v>345</v>
      </c>
      <c r="D22" s="137" t="s">
        <v>153</v>
      </c>
      <c r="E22" s="138" t="s">
        <v>66</v>
      </c>
      <c r="F22" s="138" t="s">
        <v>154</v>
      </c>
      <c r="G22" s="117"/>
      <c r="H22" s="117"/>
      <c r="I22" s="117"/>
      <c r="J22" s="138" t="s">
        <v>151</v>
      </c>
      <c r="K22" s="138" t="s">
        <v>155</v>
      </c>
      <c r="L22" s="138" t="s">
        <v>82</v>
      </c>
      <c r="M22" s="53">
        <f>Generator!E22</f>
        <v>10347</v>
      </c>
      <c r="N22" s="44">
        <f>Generator!L22</f>
        <v>7140</v>
      </c>
      <c r="O22" s="31">
        <f>Generator!S22</f>
        <v>4363</v>
      </c>
      <c r="P22" s="31">
        <f>Generator!Z22</f>
        <v>10285</v>
      </c>
      <c r="Q22" s="31">
        <f>Generator!AG22</f>
        <v>0</v>
      </c>
      <c r="R22" s="21">
        <f>SUM(Generator!C22,Generator!J22,Generator!Q22,Generator!X22,Generator!AE22)</f>
        <v>7683</v>
      </c>
      <c r="S22" s="21">
        <f>25.26*0.06</f>
        <v>1.5156000000000001</v>
      </c>
      <c r="T22" s="21"/>
      <c r="U22" s="21">
        <f t="shared" si="1"/>
        <v>0.32</v>
      </c>
      <c r="V22" s="30">
        <v>60</v>
      </c>
      <c r="W22" s="30">
        <v>116</v>
      </c>
      <c r="X22" s="30">
        <v>57</v>
      </c>
      <c r="Y22" s="30">
        <v>98</v>
      </c>
      <c r="Z22" s="112">
        <v>27</v>
      </c>
      <c r="AA22" s="143"/>
      <c r="AB22" s="143"/>
      <c r="AC22" s="143"/>
      <c r="AD22" s="136">
        <v>36552</v>
      </c>
      <c r="AE22" s="56"/>
    </row>
    <row r="23" spans="1:31" ht="15" customHeight="1">
      <c r="A23" s="43">
        <v>44763</v>
      </c>
      <c r="B23" s="47">
        <v>67.099999999999994</v>
      </c>
      <c r="C23" s="47">
        <v>379</v>
      </c>
      <c r="D23" s="137" t="s">
        <v>156</v>
      </c>
      <c r="E23" s="138" t="s">
        <v>157</v>
      </c>
      <c r="F23" s="138" t="s">
        <v>129</v>
      </c>
      <c r="G23" s="117"/>
      <c r="H23" s="117"/>
      <c r="I23" s="117"/>
      <c r="J23" s="138" t="s">
        <v>158</v>
      </c>
      <c r="K23" s="138" t="s">
        <v>159</v>
      </c>
      <c r="L23" s="138" t="s">
        <v>160</v>
      </c>
      <c r="M23" s="53">
        <f>Generator!E23</f>
        <v>6778</v>
      </c>
      <c r="N23" s="44">
        <f>Generator!L23</f>
        <v>12609</v>
      </c>
      <c r="O23" s="31">
        <f>Generator!S23</f>
        <v>6838</v>
      </c>
      <c r="P23" s="31">
        <f>Generator!Z23</f>
        <v>10444</v>
      </c>
      <c r="Q23" s="31">
        <f>Generator!AG23</f>
        <v>0</v>
      </c>
      <c r="R23" s="21">
        <f>SUM(Generator!C23,Generator!J23,Generator!Q23,Generator!X23,Generator!AE23)</f>
        <v>7984</v>
      </c>
      <c r="S23" s="21">
        <f t="shared" ref="S23:S33" si="2">25.26*0.06</f>
        <v>1.5156000000000001</v>
      </c>
      <c r="T23" s="21"/>
      <c r="U23" s="21">
        <f t="shared" si="1"/>
        <v>0.32</v>
      </c>
      <c r="V23" s="30">
        <v>57</v>
      </c>
      <c r="W23" s="30">
        <v>123</v>
      </c>
      <c r="X23" s="30">
        <v>35</v>
      </c>
      <c r="Y23" s="30">
        <v>99</v>
      </c>
      <c r="Z23" s="112">
        <v>9</v>
      </c>
      <c r="AA23" s="143"/>
      <c r="AB23" s="143"/>
      <c r="AC23" s="143"/>
      <c r="AD23" s="136">
        <v>36709</v>
      </c>
      <c r="AE23" s="56"/>
    </row>
    <row r="24" spans="1:31" ht="15" customHeight="1">
      <c r="A24" s="43">
        <v>44764</v>
      </c>
      <c r="B24" s="47">
        <v>65.8</v>
      </c>
      <c r="C24" s="47">
        <v>408</v>
      </c>
      <c r="D24" s="137" t="s">
        <v>161</v>
      </c>
      <c r="E24" s="138" t="s">
        <v>73</v>
      </c>
      <c r="F24" s="138" t="s">
        <v>162</v>
      </c>
      <c r="G24" s="117"/>
      <c r="H24" s="117"/>
      <c r="I24" s="117"/>
      <c r="J24" s="138" t="s">
        <v>138</v>
      </c>
      <c r="K24" s="138" t="s">
        <v>76</v>
      </c>
      <c r="L24" s="138" t="s">
        <v>163</v>
      </c>
      <c r="M24" s="53">
        <f>Generator!E24</f>
        <v>10301</v>
      </c>
      <c r="N24" s="44">
        <f>Generator!L24</f>
        <v>9367</v>
      </c>
      <c r="O24" s="31">
        <f>Generator!S24</f>
        <v>9123</v>
      </c>
      <c r="P24" s="31">
        <f>Generator!Z24</f>
        <v>1050</v>
      </c>
      <c r="Q24" s="31">
        <f>Generator!AG24</f>
        <v>0</v>
      </c>
      <c r="R24" s="21">
        <f>SUM(Generator!C24,Generator!J24,Generator!Q24,Generator!X24,Generator!AE24)</f>
        <v>6582</v>
      </c>
      <c r="S24" s="21">
        <f t="shared" si="2"/>
        <v>1.5156000000000001</v>
      </c>
      <c r="T24" s="21"/>
      <c r="U24" s="21">
        <f t="shared" si="1"/>
        <v>0.32</v>
      </c>
      <c r="V24" s="30">
        <v>63</v>
      </c>
      <c r="W24" s="20">
        <v>101</v>
      </c>
      <c r="X24" s="20">
        <v>49</v>
      </c>
      <c r="Y24" s="20">
        <v>93</v>
      </c>
      <c r="Z24" s="112">
        <v>31</v>
      </c>
      <c r="AA24" s="143"/>
      <c r="AB24" s="143"/>
      <c r="AC24" s="143"/>
      <c r="AD24" s="136"/>
      <c r="AE24" s="56"/>
    </row>
    <row r="25" spans="1:31" ht="15" customHeight="1">
      <c r="A25" s="43">
        <v>44765</v>
      </c>
      <c r="B25" s="47">
        <v>59.2</v>
      </c>
      <c r="C25" s="47">
        <v>342</v>
      </c>
      <c r="D25" s="137" t="s">
        <v>164</v>
      </c>
      <c r="E25" s="138" t="s">
        <v>165</v>
      </c>
      <c r="F25" s="138" t="s">
        <v>106</v>
      </c>
      <c r="G25" s="117"/>
      <c r="H25" s="117"/>
      <c r="I25" s="117"/>
      <c r="J25" s="138" t="s">
        <v>107</v>
      </c>
      <c r="K25" s="138" t="s">
        <v>166</v>
      </c>
      <c r="L25" s="138" t="s">
        <v>167</v>
      </c>
      <c r="M25" s="53">
        <f>Generator!E25</f>
        <v>9998</v>
      </c>
      <c r="N25" s="44">
        <f>Generator!L25</f>
        <v>6004</v>
      </c>
      <c r="O25" s="31">
        <f>Generator!S25</f>
        <v>0</v>
      </c>
      <c r="P25" s="31">
        <f>Generator!Z25</f>
        <v>9823</v>
      </c>
      <c r="Q25" s="31">
        <f>Generator!AG25</f>
        <v>10583</v>
      </c>
      <c r="R25" s="21">
        <f>SUM(Generator!C25,Generator!J25,Generator!Q25,Generator!X25,Generator!AE25)</f>
        <v>8519</v>
      </c>
      <c r="S25" s="21">
        <f t="shared" si="2"/>
        <v>1.5156000000000001</v>
      </c>
      <c r="T25" s="21"/>
      <c r="U25" s="21">
        <f t="shared" si="1"/>
        <v>0.32</v>
      </c>
      <c r="V25" s="30">
        <v>64</v>
      </c>
      <c r="W25" s="20">
        <v>88</v>
      </c>
      <c r="X25" s="20">
        <v>51</v>
      </c>
      <c r="Y25" s="20">
        <v>96</v>
      </c>
      <c r="Z25" s="112">
        <v>41</v>
      </c>
      <c r="AA25" s="143"/>
      <c r="AB25" s="143"/>
      <c r="AC25" s="143"/>
      <c r="AD25" s="136">
        <v>36852</v>
      </c>
      <c r="AE25" s="56"/>
    </row>
    <row r="26" spans="1:31" ht="15" customHeight="1">
      <c r="A26" s="43">
        <v>44766</v>
      </c>
      <c r="B26" s="47">
        <v>51.3</v>
      </c>
      <c r="C26" s="47">
        <v>401</v>
      </c>
      <c r="D26" s="137" t="s">
        <v>168</v>
      </c>
      <c r="E26" s="138" t="s">
        <v>152</v>
      </c>
      <c r="F26" s="138" t="s">
        <v>169</v>
      </c>
      <c r="G26" s="117"/>
      <c r="H26" s="117"/>
      <c r="I26" s="117"/>
      <c r="J26" s="138" t="s">
        <v>85</v>
      </c>
      <c r="K26" s="138" t="s">
        <v>104</v>
      </c>
      <c r="L26" s="138" t="s">
        <v>93</v>
      </c>
      <c r="M26" s="53">
        <f>Generator!E26</f>
        <v>9606</v>
      </c>
      <c r="N26" s="44">
        <f>Generator!L26</f>
        <v>9488</v>
      </c>
      <c r="O26" s="31">
        <f>Generator!S26</f>
        <v>0</v>
      </c>
      <c r="P26" s="31">
        <f>Generator!Z26</f>
        <v>10025</v>
      </c>
      <c r="Q26" s="31">
        <f>Generator!AG26</f>
        <v>6236</v>
      </c>
      <c r="R26" s="21">
        <f>SUM(Generator!C26,Generator!J26,Generator!Q26,Generator!X26,Generator!AE26)</f>
        <v>7980</v>
      </c>
      <c r="S26" s="21">
        <f t="shared" si="2"/>
        <v>1.5156000000000001</v>
      </c>
      <c r="T26" s="21"/>
      <c r="U26" s="21">
        <f t="shared" si="1"/>
        <v>0.32</v>
      </c>
      <c r="V26" s="30">
        <v>52</v>
      </c>
      <c r="W26" s="20">
        <v>120</v>
      </c>
      <c r="X26" s="20">
        <v>90</v>
      </c>
      <c r="Y26" s="20">
        <v>79</v>
      </c>
      <c r="Z26" s="112">
        <v>13</v>
      </c>
      <c r="AA26" s="143"/>
      <c r="AB26" s="143"/>
      <c r="AC26" s="143"/>
      <c r="AD26" s="136">
        <v>37140</v>
      </c>
      <c r="AE26" s="56"/>
    </row>
    <row r="27" spans="1:31" ht="15" customHeight="1">
      <c r="A27" s="43">
        <v>44767</v>
      </c>
      <c r="B27" s="47">
        <v>73.7</v>
      </c>
      <c r="C27" s="47">
        <v>285</v>
      </c>
      <c r="D27" s="137" t="s">
        <v>170</v>
      </c>
      <c r="E27" s="138" t="s">
        <v>86</v>
      </c>
      <c r="F27" s="138" t="s">
        <v>67</v>
      </c>
      <c r="G27" s="117"/>
      <c r="H27" s="117"/>
      <c r="I27" s="117"/>
      <c r="J27" s="138" t="s">
        <v>171</v>
      </c>
      <c r="K27" s="138" t="s">
        <v>134</v>
      </c>
      <c r="L27" s="138" t="s">
        <v>88</v>
      </c>
      <c r="M27" s="53">
        <f>Generator!E27</f>
        <v>6819</v>
      </c>
      <c r="N27" s="44">
        <f>Generator!L27</f>
        <v>4609</v>
      </c>
      <c r="O27" s="31">
        <f>Generator!S27</f>
        <v>9162</v>
      </c>
      <c r="P27" s="31">
        <f>Generator!Z27</f>
        <v>4433</v>
      </c>
      <c r="Q27" s="31">
        <f>Generator!AG27</f>
        <v>8911</v>
      </c>
      <c r="R27" s="21">
        <f>SUM(Generator!C27,Generator!J27,Generator!Q27,Generator!X27,Generator!AE27)</f>
        <v>7780</v>
      </c>
      <c r="S27" s="21">
        <f t="shared" si="2"/>
        <v>1.5156000000000001</v>
      </c>
      <c r="T27" s="21"/>
      <c r="U27" s="21">
        <f t="shared" si="1"/>
        <v>0.32</v>
      </c>
      <c r="V27" s="64">
        <v>57</v>
      </c>
      <c r="W27" s="65">
        <f>156-38-18-3</f>
        <v>97</v>
      </c>
      <c r="X27" s="65">
        <v>47</v>
      </c>
      <c r="Y27" s="65">
        <v>61</v>
      </c>
      <c r="Z27" s="127">
        <v>0</v>
      </c>
      <c r="AA27" s="143"/>
      <c r="AB27" s="143"/>
      <c r="AC27" s="143"/>
      <c r="AD27" s="136"/>
      <c r="AE27" s="56"/>
    </row>
    <row r="28" spans="1:31" ht="15" customHeight="1">
      <c r="A28" s="43">
        <v>44768</v>
      </c>
      <c r="B28" s="47">
        <v>77.599999999999994</v>
      </c>
      <c r="C28" s="47">
        <v>259</v>
      </c>
      <c r="D28" s="137" t="s">
        <v>172</v>
      </c>
      <c r="E28" s="138" t="s">
        <v>173</v>
      </c>
      <c r="F28" s="138" t="s">
        <v>133</v>
      </c>
      <c r="G28" s="117"/>
      <c r="H28" s="117"/>
      <c r="I28" s="117"/>
      <c r="J28" s="138" t="s">
        <v>158</v>
      </c>
      <c r="K28" s="138" t="s">
        <v>69</v>
      </c>
      <c r="L28" s="138" t="s">
        <v>70</v>
      </c>
      <c r="M28" s="53">
        <f>Generator!E28</f>
        <v>9387</v>
      </c>
      <c r="N28" s="44">
        <f>Generator!L28</f>
        <v>5714</v>
      </c>
      <c r="O28" s="31">
        <f>Generator!S28</f>
        <v>5694</v>
      </c>
      <c r="P28" s="31">
        <f>Generator!Z28</f>
        <v>9314</v>
      </c>
      <c r="Q28" s="31">
        <f>Generator!AG28</f>
        <v>8806</v>
      </c>
      <c r="R28" s="21">
        <f>SUM(Generator!C28,Generator!J28,Generator!Q28,Generator!X28,Generator!AE28)</f>
        <v>8705</v>
      </c>
      <c r="S28" s="21">
        <f t="shared" si="2"/>
        <v>1.5156000000000001</v>
      </c>
      <c r="T28" s="21"/>
      <c r="U28" s="63">
        <f t="shared" si="1"/>
        <v>0.32</v>
      </c>
      <c r="V28" s="56">
        <v>61</v>
      </c>
      <c r="W28" s="56">
        <v>76</v>
      </c>
      <c r="X28" s="56">
        <v>51</v>
      </c>
      <c r="Y28" s="56">
        <v>11</v>
      </c>
      <c r="Z28" s="112">
        <v>0</v>
      </c>
      <c r="AA28" s="143"/>
      <c r="AB28" s="143"/>
      <c r="AC28" s="143"/>
      <c r="AD28" s="136">
        <v>37380</v>
      </c>
      <c r="AE28" s="56"/>
    </row>
    <row r="29" spans="1:31" ht="15" customHeight="1">
      <c r="A29" s="43">
        <v>44769</v>
      </c>
      <c r="B29" s="47">
        <v>81.599999999999994</v>
      </c>
      <c r="C29" s="47">
        <v>232</v>
      </c>
      <c r="D29" s="137" t="s">
        <v>174</v>
      </c>
      <c r="E29" s="138" t="s">
        <v>175</v>
      </c>
      <c r="F29" s="138" t="s">
        <v>176</v>
      </c>
      <c r="G29" s="117"/>
      <c r="H29" s="117"/>
      <c r="I29" s="117"/>
      <c r="J29" s="138" t="s">
        <v>69</v>
      </c>
      <c r="K29" s="138" t="s">
        <v>104</v>
      </c>
      <c r="L29" s="138" t="s">
        <v>177</v>
      </c>
      <c r="M29" s="53">
        <f>Generator!E29</f>
        <v>10908</v>
      </c>
      <c r="N29" s="44">
        <f>Generator!L29</f>
        <v>0</v>
      </c>
      <c r="O29" s="31">
        <f>Generator!S29</f>
        <v>5069</v>
      </c>
      <c r="P29" s="31">
        <f>Generator!Z29</f>
        <v>10927</v>
      </c>
      <c r="Q29" s="31">
        <f>Generator!AG29</f>
        <v>5999</v>
      </c>
      <c r="R29" s="21">
        <f>SUM(Generator!C29,Generator!J29,Generator!Q29,Generator!X29,Generator!AE29)</f>
        <v>7823</v>
      </c>
      <c r="S29" s="21">
        <f t="shared" si="2"/>
        <v>1.5156000000000001</v>
      </c>
      <c r="T29" s="21"/>
      <c r="U29" s="21">
        <f t="shared" si="1"/>
        <v>0.32</v>
      </c>
      <c r="V29" s="41">
        <v>52</v>
      </c>
      <c r="W29" s="66">
        <v>107</v>
      </c>
      <c r="X29" s="66">
        <v>42</v>
      </c>
      <c r="Y29" s="66">
        <v>74</v>
      </c>
      <c r="Z29" s="128">
        <v>0</v>
      </c>
      <c r="AA29" s="143"/>
      <c r="AB29" s="143"/>
      <c r="AC29" s="143"/>
      <c r="AD29" s="136">
        <v>37546</v>
      </c>
      <c r="AE29" s="56"/>
    </row>
    <row r="30" spans="1:31" ht="15" customHeight="1">
      <c r="A30" s="43">
        <v>44770</v>
      </c>
      <c r="B30" s="47">
        <v>78.900000000000006</v>
      </c>
      <c r="C30" s="47">
        <v>283</v>
      </c>
      <c r="D30" s="137" t="s">
        <v>178</v>
      </c>
      <c r="E30" s="138" t="s">
        <v>96</v>
      </c>
      <c r="F30" s="138" t="s">
        <v>67</v>
      </c>
      <c r="G30" s="117"/>
      <c r="H30" s="117"/>
      <c r="I30" s="117"/>
      <c r="J30" s="138" t="s">
        <v>76</v>
      </c>
      <c r="K30" s="138" t="s">
        <v>76</v>
      </c>
      <c r="L30" s="138" t="s">
        <v>140</v>
      </c>
      <c r="M30" s="53">
        <f>Generator!E30</f>
        <v>5255</v>
      </c>
      <c r="N30" s="44">
        <f>Generator!L30</f>
        <v>0</v>
      </c>
      <c r="O30" s="31">
        <f>Generator!S30</f>
        <v>8751</v>
      </c>
      <c r="P30" s="31">
        <f>Generator!Z30</f>
        <v>9233</v>
      </c>
      <c r="Q30" s="31">
        <f>Generator!AG30</f>
        <v>9312</v>
      </c>
      <c r="R30" s="21">
        <f>SUM(Generator!C30,Generator!J30,Generator!Q30,Generator!X30,Generator!AE30)</f>
        <v>7042</v>
      </c>
      <c r="S30" s="21">
        <f t="shared" si="2"/>
        <v>1.5156000000000001</v>
      </c>
      <c r="T30" s="21"/>
      <c r="U30" s="21">
        <f t="shared" si="1"/>
        <v>0.32</v>
      </c>
      <c r="V30" s="30">
        <v>57</v>
      </c>
      <c r="W30" s="30">
        <v>109</v>
      </c>
      <c r="X30" s="30">
        <v>54</v>
      </c>
      <c r="Y30" s="30">
        <v>104</v>
      </c>
      <c r="Z30" s="112">
        <v>0</v>
      </c>
      <c r="AA30" s="143"/>
      <c r="AB30" s="143"/>
      <c r="AC30" s="143"/>
      <c r="AD30" s="136">
        <v>37697</v>
      </c>
      <c r="AE30" s="56"/>
    </row>
    <row r="31" spans="1:31" ht="15" customHeight="1">
      <c r="A31" s="43">
        <v>44771</v>
      </c>
      <c r="B31" s="47">
        <v>77.599999999999994</v>
      </c>
      <c r="C31" s="47">
        <v>248</v>
      </c>
      <c r="D31" s="137" t="s">
        <v>179</v>
      </c>
      <c r="E31" s="138" t="s">
        <v>180</v>
      </c>
      <c r="F31" s="138" t="s">
        <v>181</v>
      </c>
      <c r="G31" s="117"/>
      <c r="H31" s="117"/>
      <c r="I31" s="117"/>
      <c r="J31" s="138" t="s">
        <v>104</v>
      </c>
      <c r="K31" s="138" t="s">
        <v>90</v>
      </c>
      <c r="L31" s="138" t="s">
        <v>177</v>
      </c>
      <c r="M31" s="53">
        <f>Generator!E31</f>
        <v>11828</v>
      </c>
      <c r="N31" s="44">
        <f>Generator!L31</f>
        <v>6177</v>
      </c>
      <c r="O31" s="31">
        <f>Generator!S31</f>
        <v>0</v>
      </c>
      <c r="P31" s="31">
        <f>Generator!Z31</f>
        <v>10097</v>
      </c>
      <c r="Q31" s="31">
        <f>Generator!AG31</f>
        <v>9307</v>
      </c>
      <c r="R31" s="21">
        <f>SUM(Generator!C31,Generator!J31,Generator!Q31,Generator!X31,Generator!AE31)</f>
        <v>8208</v>
      </c>
      <c r="S31" s="21">
        <f t="shared" si="2"/>
        <v>1.5156000000000001</v>
      </c>
      <c r="T31" s="21"/>
      <c r="U31" s="21">
        <f t="shared" si="1"/>
        <v>0.32</v>
      </c>
      <c r="V31" s="30">
        <v>54</v>
      </c>
      <c r="W31" s="30">
        <v>108</v>
      </c>
      <c r="X31" s="30">
        <v>37</v>
      </c>
      <c r="Y31" s="30">
        <v>101</v>
      </c>
      <c r="Z31" s="112">
        <v>0</v>
      </c>
      <c r="AA31" s="143"/>
      <c r="AB31" s="143"/>
      <c r="AC31" s="143"/>
      <c r="AD31" s="136">
        <v>37828</v>
      </c>
      <c r="AE31" s="56"/>
    </row>
    <row r="32" spans="1:31" ht="15" customHeight="1">
      <c r="A32" s="43">
        <v>44772</v>
      </c>
      <c r="B32" s="47">
        <v>80.3</v>
      </c>
      <c r="C32" s="47">
        <v>309</v>
      </c>
      <c r="D32" s="137" t="s">
        <v>182</v>
      </c>
      <c r="E32" s="138" t="s">
        <v>86</v>
      </c>
      <c r="F32" s="138" t="s">
        <v>74</v>
      </c>
      <c r="G32" s="117"/>
      <c r="H32" s="117"/>
      <c r="I32" s="117"/>
      <c r="J32" s="138" t="s">
        <v>130</v>
      </c>
      <c r="K32" s="138" t="s">
        <v>108</v>
      </c>
      <c r="L32" s="138" t="s">
        <v>132</v>
      </c>
      <c r="M32" s="53">
        <f>Generator!E32</f>
        <v>10662</v>
      </c>
      <c r="N32" s="44">
        <f>Generator!L32</f>
        <v>5147</v>
      </c>
      <c r="O32" s="31">
        <f>Generator!S32</f>
        <v>0</v>
      </c>
      <c r="P32" s="31">
        <f>Generator!Z32</f>
        <v>8670</v>
      </c>
      <c r="Q32" s="31">
        <f>Generator!AG32</f>
        <v>10735</v>
      </c>
      <c r="R32" s="21">
        <f>SUM(Generator!C32,Generator!J32,Generator!Q32,Generator!X32,Generator!AE32)</f>
        <v>7874</v>
      </c>
      <c r="S32" s="21">
        <f t="shared" si="2"/>
        <v>1.5156000000000001</v>
      </c>
      <c r="T32" s="21"/>
      <c r="U32" s="21">
        <f t="shared" si="1"/>
        <v>0.32</v>
      </c>
      <c r="V32" s="30">
        <v>55</v>
      </c>
      <c r="W32" s="30">
        <v>63</v>
      </c>
      <c r="X32" s="30">
        <v>46</v>
      </c>
      <c r="Y32" s="30">
        <v>94</v>
      </c>
      <c r="Z32" s="112">
        <v>0</v>
      </c>
      <c r="AA32" s="143"/>
      <c r="AB32" s="143"/>
      <c r="AC32" s="143"/>
      <c r="AD32" s="136">
        <v>37938</v>
      </c>
      <c r="AE32" s="56"/>
    </row>
    <row r="33" spans="1:31" ht="12.75" customHeight="1">
      <c r="A33" s="43">
        <v>44773</v>
      </c>
      <c r="B33" s="40"/>
      <c r="C33" s="48"/>
      <c r="D33" s="137" t="s">
        <v>183</v>
      </c>
      <c r="E33" s="138" t="s">
        <v>157</v>
      </c>
      <c r="F33" s="138" t="s">
        <v>67</v>
      </c>
      <c r="G33" s="118"/>
      <c r="H33" s="118"/>
      <c r="I33" s="118"/>
      <c r="J33" s="138" t="s">
        <v>107</v>
      </c>
      <c r="K33" s="138" t="s">
        <v>76</v>
      </c>
      <c r="L33" s="138" t="s">
        <v>177</v>
      </c>
      <c r="M33" s="53">
        <f>Generator!E33</f>
        <v>10243</v>
      </c>
      <c r="N33" s="44">
        <f>Generator!L33</f>
        <v>5896</v>
      </c>
      <c r="O33" s="31">
        <f>Generator!S33</f>
        <v>0</v>
      </c>
      <c r="P33" s="31">
        <f>Generator!Z33</f>
        <v>3421</v>
      </c>
      <c r="Q33" s="31">
        <f>Generator!AG33</f>
        <v>10401</v>
      </c>
      <c r="R33" s="21">
        <f>SUM(Generator!C33,Generator!J33,Generator!Q33,Generator!X33,Generator!AE33)</f>
        <v>6378</v>
      </c>
      <c r="S33" s="21">
        <f t="shared" si="2"/>
        <v>1.5156000000000001</v>
      </c>
      <c r="T33" s="21"/>
      <c r="U33" s="21">
        <f t="shared" si="1"/>
        <v>0.32</v>
      </c>
      <c r="V33" s="41">
        <v>53</v>
      </c>
      <c r="W33" s="41">
        <v>105</v>
      </c>
      <c r="X33" s="41">
        <v>36</v>
      </c>
      <c r="Y33" s="41">
        <v>101</v>
      </c>
      <c r="Z33" s="112">
        <v>52</v>
      </c>
      <c r="AA33" s="143"/>
      <c r="AB33" s="143"/>
      <c r="AC33" s="143"/>
      <c r="AD33" s="136">
        <v>30075</v>
      </c>
      <c r="AE33" s="56"/>
    </row>
    <row r="34" spans="1:31">
      <c r="L34" s="101">
        <f>SUM(M34:Q34)</f>
        <v>995191</v>
      </c>
      <c r="M34" s="62">
        <f t="shared" ref="M34:U34" si="3">SUM(M3:M33)</f>
        <v>238726</v>
      </c>
      <c r="N34" s="62">
        <f t="shared" si="3"/>
        <v>225208</v>
      </c>
      <c r="O34" s="62">
        <f t="shared" si="3"/>
        <v>203651</v>
      </c>
      <c r="P34" s="62">
        <f t="shared" si="3"/>
        <v>119812</v>
      </c>
      <c r="Q34" s="62">
        <f t="shared" si="3"/>
        <v>207794</v>
      </c>
      <c r="R34" s="62">
        <f>SUM(R3:R33)</f>
        <v>219902</v>
      </c>
      <c r="S34" s="62"/>
      <c r="T34" s="62"/>
      <c r="U34" s="62"/>
      <c r="V34" s="62">
        <f>SUM(V3:V33)</f>
        <v>1744</v>
      </c>
      <c r="W34" s="62">
        <f>SUM(W3:W33)</f>
        <v>3486</v>
      </c>
      <c r="X34" s="62">
        <f>SUM(X3:X33)</f>
        <v>1632</v>
      </c>
      <c r="Y34" s="62">
        <f>SUM(Y3:Y33)</f>
        <v>2705</v>
      </c>
      <c r="Z34" s="62">
        <f>SUM(Z3:Z33)</f>
        <v>1146</v>
      </c>
      <c r="AA34" s="100">
        <f>SUM(V34:Z34)</f>
        <v>10713</v>
      </c>
    </row>
    <row r="35" spans="1:31" ht="13.9" customHeight="1">
      <c r="C35" s="35">
        <f>SUM(C3:C33)</f>
        <v>10096</v>
      </c>
      <c r="V35" s="32"/>
      <c r="Y35" s="62"/>
    </row>
    <row r="36" spans="1:31">
      <c r="X36" s="62">
        <f>SUM(V34:Z34)</f>
        <v>10713</v>
      </c>
    </row>
    <row r="38" spans="1:31" ht="15">
      <c r="P38" s="55"/>
    </row>
    <row r="39" spans="1:31" ht="15">
      <c r="P39" s="55"/>
    </row>
  </sheetData>
  <mergeCells count="8">
    <mergeCell ref="AB13:AC13"/>
    <mergeCell ref="AB14:AC14"/>
    <mergeCell ref="AA16:AC33"/>
    <mergeCell ref="D1:L1"/>
    <mergeCell ref="AA2:AC2"/>
    <mergeCell ref="AA3:AC3"/>
    <mergeCell ref="AA11:AC11"/>
    <mergeCell ref="AB12:AC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I66"/>
  <sheetViews>
    <sheetView workbookViewId="0">
      <pane xSplit="1" topLeftCell="B1" activePane="topRight" state="frozen"/>
      <selection pane="topRight" activeCell="AH29" sqref="AH29"/>
    </sheetView>
  </sheetViews>
  <sheetFormatPr defaultRowHeight="14.45"/>
  <cols>
    <col min="1" max="1" width="11.85546875" customWidth="1"/>
    <col min="2" max="7" width="11.42578125" customWidth="1"/>
    <col min="8" max="8" width="4.42578125" customWidth="1"/>
    <col min="9" max="14" width="11.42578125" customWidth="1"/>
    <col min="15" max="15" width="4.42578125" customWidth="1"/>
    <col min="16" max="21" width="11.42578125" customWidth="1"/>
    <col min="22" max="22" width="4.42578125" customWidth="1"/>
    <col min="23" max="28" width="11.42578125" customWidth="1"/>
    <col min="29" max="29" width="4.42578125" customWidth="1"/>
    <col min="30" max="35" width="11.42578125" customWidth="1"/>
  </cols>
  <sheetData>
    <row r="1" spans="1:35" ht="17.25" customHeight="1">
      <c r="A1" s="70"/>
      <c r="B1" s="156" t="s">
        <v>49</v>
      </c>
      <c r="C1" s="156"/>
      <c r="D1" s="156"/>
      <c r="E1" s="156"/>
      <c r="F1" s="156"/>
      <c r="G1" s="156"/>
      <c r="H1" s="67"/>
      <c r="I1" s="156" t="s">
        <v>50</v>
      </c>
      <c r="J1" s="156"/>
      <c r="K1" s="156"/>
      <c r="L1" s="156"/>
      <c r="M1" s="156"/>
      <c r="N1" s="156"/>
      <c r="O1" s="67"/>
      <c r="P1" s="156" t="s">
        <v>51</v>
      </c>
      <c r="Q1" s="156"/>
      <c r="R1" s="156"/>
      <c r="S1" s="156"/>
      <c r="T1" s="156"/>
      <c r="U1" s="156"/>
      <c r="V1" s="67"/>
      <c r="W1" s="156" t="s">
        <v>184</v>
      </c>
      <c r="X1" s="156"/>
      <c r="Y1" s="156"/>
      <c r="Z1" s="156"/>
      <c r="AA1" s="156"/>
      <c r="AB1" s="156"/>
      <c r="AC1" s="67"/>
      <c r="AD1" s="156" t="s">
        <v>53</v>
      </c>
      <c r="AE1" s="156"/>
      <c r="AF1" s="156"/>
      <c r="AG1" s="156"/>
      <c r="AH1" s="156"/>
      <c r="AI1" s="156"/>
    </row>
    <row r="2" spans="1:35" ht="39.75" customHeight="1">
      <c r="A2" s="71" t="s">
        <v>37</v>
      </c>
      <c r="B2" s="59" t="s">
        <v>185</v>
      </c>
      <c r="C2" s="59" t="s">
        <v>186</v>
      </c>
      <c r="D2" s="59" t="s">
        <v>187</v>
      </c>
      <c r="E2" s="59" t="s">
        <v>188</v>
      </c>
      <c r="F2" s="59" t="s">
        <v>189</v>
      </c>
      <c r="G2" s="59" t="s">
        <v>190</v>
      </c>
      <c r="H2" s="68"/>
      <c r="I2" s="59" t="s">
        <v>185</v>
      </c>
      <c r="J2" s="59" t="s">
        <v>186</v>
      </c>
      <c r="K2" s="59" t="s">
        <v>187</v>
      </c>
      <c r="L2" s="59" t="s">
        <v>188</v>
      </c>
      <c r="M2" s="59" t="s">
        <v>189</v>
      </c>
      <c r="N2" s="59" t="s">
        <v>190</v>
      </c>
      <c r="O2" s="68"/>
      <c r="P2" s="59" t="s">
        <v>185</v>
      </c>
      <c r="Q2" s="59" t="s">
        <v>186</v>
      </c>
      <c r="R2" s="59" t="s">
        <v>187</v>
      </c>
      <c r="S2" s="59" t="s">
        <v>188</v>
      </c>
      <c r="T2" s="59" t="s">
        <v>189</v>
      </c>
      <c r="U2" s="59" t="s">
        <v>190</v>
      </c>
      <c r="V2" s="68"/>
      <c r="W2" s="59" t="s">
        <v>185</v>
      </c>
      <c r="X2" s="59" t="s">
        <v>186</v>
      </c>
      <c r="Y2" s="59" t="s">
        <v>187</v>
      </c>
      <c r="Z2" s="59" t="s">
        <v>188</v>
      </c>
      <c r="AA2" s="59" t="s">
        <v>189</v>
      </c>
      <c r="AB2" s="59" t="s">
        <v>190</v>
      </c>
      <c r="AC2" s="68"/>
      <c r="AD2" s="59" t="s">
        <v>185</v>
      </c>
      <c r="AE2" s="59" t="s">
        <v>186</v>
      </c>
      <c r="AF2" s="59" t="s">
        <v>187</v>
      </c>
      <c r="AG2" s="59" t="s">
        <v>188</v>
      </c>
      <c r="AH2" s="59" t="s">
        <v>189</v>
      </c>
      <c r="AI2" s="59" t="s">
        <v>190</v>
      </c>
    </row>
    <row r="3" spans="1:35" ht="15">
      <c r="A3" s="72">
        <v>44743</v>
      </c>
      <c r="B3" s="60">
        <v>10</v>
      </c>
      <c r="C3" s="60">
        <v>1197</v>
      </c>
      <c r="D3" s="75">
        <f>C3/B3</f>
        <v>119.7</v>
      </c>
      <c r="E3" s="56">
        <v>5048</v>
      </c>
      <c r="F3" s="75">
        <f t="shared" ref="F3:F27" si="0">E3/B3</f>
        <v>504.8</v>
      </c>
      <c r="G3" s="119">
        <f t="shared" ref="G3:G27" si="1">F3/D3</f>
        <v>4.2172096908939016</v>
      </c>
      <c r="H3" s="69"/>
      <c r="I3" s="60">
        <v>15</v>
      </c>
      <c r="J3" s="60">
        <v>2168</v>
      </c>
      <c r="K3" s="75">
        <f t="shared" ref="K3:K27" si="2">J3/I3</f>
        <v>144.53333333333333</v>
      </c>
      <c r="L3" s="60">
        <v>9744</v>
      </c>
      <c r="M3" s="75">
        <f t="shared" ref="M3:M27" si="3">L3/I3</f>
        <v>649.6</v>
      </c>
      <c r="N3" s="119">
        <f>M3/K3</f>
        <v>4.4944649446494465</v>
      </c>
      <c r="O3" s="69"/>
      <c r="P3" s="60">
        <v>4</v>
      </c>
      <c r="Q3" s="60">
        <v>377</v>
      </c>
      <c r="R3" s="75">
        <f t="shared" ref="R3:R27" si="4">Q3/P3</f>
        <v>94.25</v>
      </c>
      <c r="S3" s="60">
        <v>1658</v>
      </c>
      <c r="T3" s="75">
        <f t="shared" ref="T3:T33" si="5">S3/P3</f>
        <v>414.5</v>
      </c>
      <c r="U3" s="119">
        <f t="shared" ref="U3:U27" si="6">T3/R3</f>
        <v>4.3978779840848805</v>
      </c>
      <c r="V3" s="69"/>
      <c r="W3" s="60">
        <v>0</v>
      </c>
      <c r="X3" s="60">
        <v>0</v>
      </c>
      <c r="Y3" s="75" t="e">
        <f>X3/W3</f>
        <v>#DIV/0!</v>
      </c>
      <c r="Z3" s="60">
        <v>0</v>
      </c>
      <c r="AA3" s="75" t="e">
        <f t="shared" ref="AA3:AA33" si="7">Z3/W3</f>
        <v>#DIV/0!</v>
      </c>
      <c r="AB3" s="119" t="e">
        <f>AA3/Y3</f>
        <v>#DIV/0!</v>
      </c>
      <c r="AC3" s="69"/>
      <c r="AD3" s="60">
        <v>15</v>
      </c>
      <c r="AE3" s="60">
        <v>2135</v>
      </c>
      <c r="AF3" s="75">
        <f t="shared" ref="AF3:AF27" si="8">AE3/AD3</f>
        <v>142.33333333333334</v>
      </c>
      <c r="AG3" s="60">
        <v>9765</v>
      </c>
      <c r="AH3" s="75">
        <f t="shared" ref="AH3:AH27" si="9">AG3/AD3</f>
        <v>651</v>
      </c>
      <c r="AI3" s="119">
        <f t="shared" ref="AI3:AI27" si="10">AH3/AF3</f>
        <v>4.5737704918032787</v>
      </c>
    </row>
    <row r="4" spans="1:35" ht="15">
      <c r="A4" s="72">
        <v>44744</v>
      </c>
      <c r="B4" s="60">
        <v>11</v>
      </c>
      <c r="C4" s="60">
        <v>1504</v>
      </c>
      <c r="D4" s="75">
        <f t="shared" ref="D4:D27" si="11">C4/B4</f>
        <v>136.72727272727272</v>
      </c>
      <c r="E4" s="56">
        <v>6820</v>
      </c>
      <c r="F4" s="75">
        <f t="shared" si="0"/>
        <v>620</v>
      </c>
      <c r="G4" s="119">
        <f t="shared" si="1"/>
        <v>4.5345744680851068</v>
      </c>
      <c r="H4" s="69"/>
      <c r="I4" s="60">
        <v>10</v>
      </c>
      <c r="J4" s="60">
        <v>1241</v>
      </c>
      <c r="K4" s="75">
        <f t="shared" si="2"/>
        <v>124.1</v>
      </c>
      <c r="L4" s="60">
        <v>5581</v>
      </c>
      <c r="M4" s="75">
        <f t="shared" si="3"/>
        <v>558.1</v>
      </c>
      <c r="N4" s="119">
        <f t="shared" ref="N4:N27" si="12">M4/K4</f>
        <v>4.497179693795327</v>
      </c>
      <c r="O4" s="69"/>
      <c r="P4" s="60">
        <v>0</v>
      </c>
      <c r="Q4" s="60">
        <v>0</v>
      </c>
      <c r="R4" s="75" t="e">
        <f t="shared" si="4"/>
        <v>#DIV/0!</v>
      </c>
      <c r="S4" s="60">
        <v>0</v>
      </c>
      <c r="T4" s="75" t="e">
        <f t="shared" si="5"/>
        <v>#DIV/0!</v>
      </c>
      <c r="U4" s="119" t="e">
        <f t="shared" si="6"/>
        <v>#DIV/0!</v>
      </c>
      <c r="V4" s="69"/>
      <c r="W4" s="60">
        <v>12</v>
      </c>
      <c r="X4" s="60">
        <v>1217</v>
      </c>
      <c r="Y4" s="75">
        <f t="shared" ref="Y4:Y27" si="13">X4/W4</f>
        <v>101.41666666666667</v>
      </c>
      <c r="Z4" s="60">
        <v>7574</v>
      </c>
      <c r="AA4" s="75">
        <f t="shared" si="7"/>
        <v>631.16666666666663</v>
      </c>
      <c r="AB4" s="119">
        <f t="shared" ref="AB4:AB27" si="14">AA4/Y4</f>
        <v>6.2235004108463432</v>
      </c>
      <c r="AC4" s="69"/>
      <c r="AD4" s="60">
        <v>14</v>
      </c>
      <c r="AE4" s="60">
        <v>1536</v>
      </c>
      <c r="AF4" s="75">
        <f t="shared" si="8"/>
        <v>109.71428571428571</v>
      </c>
      <c r="AG4" s="60">
        <v>7404</v>
      </c>
      <c r="AH4" s="75">
        <f t="shared" si="9"/>
        <v>528.85714285714289</v>
      </c>
      <c r="AI4" s="119">
        <f t="shared" si="10"/>
        <v>4.8203125000000009</v>
      </c>
    </row>
    <row r="5" spans="1:35" ht="15">
      <c r="A5" s="72">
        <v>44745</v>
      </c>
      <c r="B5" s="60">
        <v>14</v>
      </c>
      <c r="C5" s="60">
        <v>2117</v>
      </c>
      <c r="D5" s="75">
        <f t="shared" si="11"/>
        <v>151.21428571428572</v>
      </c>
      <c r="E5" s="56">
        <v>9824</v>
      </c>
      <c r="F5" s="75">
        <f t="shared" si="0"/>
        <v>701.71428571428567</v>
      </c>
      <c r="G5" s="119">
        <f t="shared" si="1"/>
        <v>4.6405290505432211</v>
      </c>
      <c r="H5" s="69"/>
      <c r="I5" s="60">
        <v>10</v>
      </c>
      <c r="J5" s="60">
        <v>1217</v>
      </c>
      <c r="K5" s="75">
        <f t="shared" si="2"/>
        <v>121.7</v>
      </c>
      <c r="L5" s="60">
        <v>5251</v>
      </c>
      <c r="M5" s="75">
        <f t="shared" si="3"/>
        <v>525.1</v>
      </c>
      <c r="N5" s="119">
        <f t="shared" si="12"/>
        <v>4.3147082990961385</v>
      </c>
      <c r="O5" s="69"/>
      <c r="P5" s="60">
        <v>14</v>
      </c>
      <c r="Q5" s="60">
        <v>2090</v>
      </c>
      <c r="R5" s="75">
        <f t="shared" si="4"/>
        <v>149.28571428571428</v>
      </c>
      <c r="S5" s="60">
        <v>9861</v>
      </c>
      <c r="T5" s="75">
        <f t="shared" si="5"/>
        <v>704.35714285714289</v>
      </c>
      <c r="U5" s="119">
        <f t="shared" si="6"/>
        <v>4.7181818181818187</v>
      </c>
      <c r="V5" s="69"/>
      <c r="W5" s="60">
        <v>10</v>
      </c>
      <c r="X5" s="60">
        <v>1217</v>
      </c>
      <c r="Y5" s="75">
        <f t="shared" si="13"/>
        <v>121.7</v>
      </c>
      <c r="Z5" s="60">
        <v>5151</v>
      </c>
      <c r="AA5" s="75">
        <f t="shared" si="7"/>
        <v>515.1</v>
      </c>
      <c r="AB5" s="119">
        <f t="shared" si="14"/>
        <v>4.2325390304026298</v>
      </c>
      <c r="AC5" s="69"/>
      <c r="AD5" s="60">
        <v>9</v>
      </c>
      <c r="AE5" s="60">
        <v>1186</v>
      </c>
      <c r="AF5" s="75">
        <f t="shared" si="8"/>
        <v>131.77777777777777</v>
      </c>
      <c r="AG5" s="60">
        <v>5294</v>
      </c>
      <c r="AH5" s="75">
        <f t="shared" si="9"/>
        <v>588.22222222222217</v>
      </c>
      <c r="AI5" s="119">
        <f t="shared" si="10"/>
        <v>4.463743676222597</v>
      </c>
    </row>
    <row r="6" spans="1:35" ht="15">
      <c r="A6" s="72">
        <v>44746</v>
      </c>
      <c r="B6" s="60">
        <v>16</v>
      </c>
      <c r="C6" s="60">
        <v>2290</v>
      </c>
      <c r="D6" s="75">
        <f t="shared" si="11"/>
        <v>143.125</v>
      </c>
      <c r="E6" s="56">
        <v>10140</v>
      </c>
      <c r="F6" s="75">
        <f t="shared" si="0"/>
        <v>633.75</v>
      </c>
      <c r="G6" s="119">
        <f t="shared" si="1"/>
        <v>4.427947598253275</v>
      </c>
      <c r="H6" s="69"/>
      <c r="I6" s="60">
        <v>8</v>
      </c>
      <c r="J6" s="60">
        <v>842</v>
      </c>
      <c r="K6" s="75">
        <f t="shared" si="2"/>
        <v>105.25</v>
      </c>
      <c r="L6" s="60">
        <v>3751</v>
      </c>
      <c r="M6" s="75">
        <f t="shared" si="3"/>
        <v>468.875</v>
      </c>
      <c r="N6" s="119">
        <f t="shared" si="12"/>
        <v>4.4548693586698338</v>
      </c>
      <c r="O6" s="69"/>
      <c r="P6" s="60">
        <v>17</v>
      </c>
      <c r="Q6" s="60">
        <v>2244</v>
      </c>
      <c r="R6" s="75">
        <f t="shared" si="4"/>
        <v>132</v>
      </c>
      <c r="S6" s="60">
        <v>10777</v>
      </c>
      <c r="T6" s="75">
        <f t="shared" si="5"/>
        <v>633.94117647058829</v>
      </c>
      <c r="U6" s="119">
        <f t="shared" si="6"/>
        <v>4.8025846702317292</v>
      </c>
      <c r="V6" s="69"/>
      <c r="W6" s="60">
        <v>0</v>
      </c>
      <c r="X6" s="60">
        <v>0</v>
      </c>
      <c r="Y6" s="75" t="e">
        <f t="shared" si="13"/>
        <v>#DIV/0!</v>
      </c>
      <c r="Z6" s="60">
        <v>0</v>
      </c>
      <c r="AA6" s="75" t="e">
        <f t="shared" si="7"/>
        <v>#DIV/0!</v>
      </c>
      <c r="AB6" s="119" t="e">
        <f t="shared" si="14"/>
        <v>#DIV/0!</v>
      </c>
      <c r="AC6" s="69"/>
      <c r="AD6" s="60">
        <v>9</v>
      </c>
      <c r="AE6" s="60">
        <v>1026</v>
      </c>
      <c r="AF6" s="75">
        <f t="shared" si="8"/>
        <v>114</v>
      </c>
      <c r="AG6" s="60">
        <v>4402</v>
      </c>
      <c r="AH6" s="75">
        <f t="shared" si="9"/>
        <v>489.11111111111109</v>
      </c>
      <c r="AI6" s="119">
        <f t="shared" si="10"/>
        <v>4.2904483430799214</v>
      </c>
    </row>
    <row r="7" spans="1:35" ht="15">
      <c r="A7" s="72">
        <v>44747</v>
      </c>
      <c r="B7" s="60">
        <v>16</v>
      </c>
      <c r="C7" s="60">
        <v>2291</v>
      </c>
      <c r="D7" s="75">
        <f t="shared" si="11"/>
        <v>143.1875</v>
      </c>
      <c r="E7" s="56">
        <v>11010</v>
      </c>
      <c r="F7" s="75">
        <f t="shared" si="0"/>
        <v>688.125</v>
      </c>
      <c r="G7" s="119">
        <f t="shared" si="1"/>
        <v>4.8057616761239634</v>
      </c>
      <c r="H7" s="69"/>
      <c r="I7" s="60">
        <v>9</v>
      </c>
      <c r="J7" s="60">
        <v>941</v>
      </c>
      <c r="K7" s="75">
        <f t="shared" si="2"/>
        <v>104.55555555555556</v>
      </c>
      <c r="L7" s="60">
        <v>4008</v>
      </c>
      <c r="M7" s="75">
        <f t="shared" si="3"/>
        <v>445.33333333333331</v>
      </c>
      <c r="N7" s="119">
        <f t="shared" si="12"/>
        <v>4.2592986184909671</v>
      </c>
      <c r="O7" s="69"/>
      <c r="P7" s="60">
        <v>16</v>
      </c>
      <c r="Q7" s="60">
        <v>2266</v>
      </c>
      <c r="R7" s="75">
        <f t="shared" si="4"/>
        <v>141.625</v>
      </c>
      <c r="S7" s="60">
        <v>11026</v>
      </c>
      <c r="T7" s="75">
        <f t="shared" si="5"/>
        <v>689.125</v>
      </c>
      <c r="U7" s="119">
        <f t="shared" si="6"/>
        <v>4.8658428949691084</v>
      </c>
      <c r="V7" s="69"/>
      <c r="W7" s="60">
        <v>0</v>
      </c>
      <c r="X7" s="60">
        <v>0</v>
      </c>
      <c r="Y7" s="75" t="e">
        <f t="shared" si="13"/>
        <v>#DIV/0!</v>
      </c>
      <c r="Z7" s="60">
        <v>0</v>
      </c>
      <c r="AA7" s="75" t="e">
        <f t="shared" si="7"/>
        <v>#DIV/0!</v>
      </c>
      <c r="AB7" s="119" t="e">
        <f t="shared" si="14"/>
        <v>#DIV/0!</v>
      </c>
      <c r="AC7" s="69"/>
      <c r="AD7" s="60">
        <v>10</v>
      </c>
      <c r="AE7" s="60">
        <v>1098</v>
      </c>
      <c r="AF7" s="75">
        <f t="shared" si="8"/>
        <v>109.8</v>
      </c>
      <c r="AG7" s="60">
        <v>4852</v>
      </c>
      <c r="AH7" s="75">
        <f t="shared" si="9"/>
        <v>485.2</v>
      </c>
      <c r="AI7" s="119">
        <f t="shared" si="10"/>
        <v>4.4189435336976324</v>
      </c>
    </row>
    <row r="8" spans="1:35" ht="15">
      <c r="A8" s="72">
        <v>44748</v>
      </c>
      <c r="B8" s="60">
        <v>13</v>
      </c>
      <c r="C8" s="60">
        <v>1643</v>
      </c>
      <c r="D8" s="75">
        <f t="shared" si="11"/>
        <v>126.38461538461539</v>
      </c>
      <c r="E8" s="56">
        <v>6750</v>
      </c>
      <c r="F8" s="75">
        <f t="shared" si="0"/>
        <v>519.23076923076928</v>
      </c>
      <c r="G8" s="119">
        <f t="shared" si="1"/>
        <v>4.1083384053560561</v>
      </c>
      <c r="H8" s="69"/>
      <c r="I8" s="60">
        <v>9</v>
      </c>
      <c r="J8" s="60">
        <v>1140</v>
      </c>
      <c r="K8" s="75">
        <f t="shared" si="2"/>
        <v>126.66666666666667</v>
      </c>
      <c r="L8" s="60">
        <v>4907</v>
      </c>
      <c r="M8" s="75">
        <f t="shared" si="3"/>
        <v>545.22222222222217</v>
      </c>
      <c r="N8" s="119">
        <f t="shared" si="12"/>
        <v>4.3043859649122798</v>
      </c>
      <c r="O8" s="69"/>
      <c r="P8" s="60">
        <v>14</v>
      </c>
      <c r="Q8" s="60">
        <v>2013</v>
      </c>
      <c r="R8" s="75">
        <f t="shared" si="4"/>
        <v>143.78571428571428</v>
      </c>
      <c r="S8" s="60">
        <v>9453</v>
      </c>
      <c r="T8" s="75">
        <f t="shared" si="5"/>
        <v>675.21428571428567</v>
      </c>
      <c r="U8" s="119">
        <f t="shared" si="6"/>
        <v>4.6959761549925485</v>
      </c>
      <c r="V8" s="69"/>
      <c r="W8" s="60">
        <v>0</v>
      </c>
      <c r="X8" s="60">
        <v>0</v>
      </c>
      <c r="Y8" s="75" t="e">
        <f t="shared" si="13"/>
        <v>#DIV/0!</v>
      </c>
      <c r="Z8" s="60">
        <v>0</v>
      </c>
      <c r="AA8" s="75" t="e">
        <f t="shared" si="7"/>
        <v>#DIV/0!</v>
      </c>
      <c r="AB8" s="119" t="e">
        <f t="shared" si="14"/>
        <v>#DIV/0!</v>
      </c>
      <c r="AC8" s="69"/>
      <c r="AD8" s="60">
        <v>11</v>
      </c>
      <c r="AE8" s="60">
        <v>1683</v>
      </c>
      <c r="AF8" s="75">
        <f t="shared" si="8"/>
        <v>153</v>
      </c>
      <c r="AG8" s="60">
        <v>7658</v>
      </c>
      <c r="AH8" s="75">
        <f t="shared" si="9"/>
        <v>696.18181818181813</v>
      </c>
      <c r="AI8" s="119">
        <f t="shared" si="10"/>
        <v>4.5502079619726672</v>
      </c>
    </row>
    <row r="9" spans="1:35" ht="15">
      <c r="A9" s="72">
        <v>44749</v>
      </c>
      <c r="B9" s="60">
        <v>10</v>
      </c>
      <c r="C9" s="60">
        <v>1263</v>
      </c>
      <c r="D9" s="75">
        <f t="shared" si="11"/>
        <v>126.3</v>
      </c>
      <c r="E9" s="56">
        <v>5554</v>
      </c>
      <c r="F9" s="75">
        <f t="shared" si="0"/>
        <v>555.4</v>
      </c>
      <c r="G9" s="119">
        <f t="shared" si="1"/>
        <v>4.3974663499604114</v>
      </c>
      <c r="H9" s="69"/>
      <c r="I9" s="60">
        <v>10</v>
      </c>
      <c r="J9" s="60">
        <v>1252</v>
      </c>
      <c r="K9" s="75">
        <f t="shared" si="2"/>
        <v>125.2</v>
      </c>
      <c r="L9" s="60">
        <v>5574</v>
      </c>
      <c r="M9" s="75">
        <f t="shared" si="3"/>
        <v>557.4</v>
      </c>
      <c r="N9" s="119">
        <f t="shared" si="12"/>
        <v>4.4520766773162936</v>
      </c>
      <c r="O9" s="69"/>
      <c r="P9" s="60">
        <v>15</v>
      </c>
      <c r="Q9" s="60">
        <v>2206</v>
      </c>
      <c r="R9" s="75">
        <f t="shared" si="4"/>
        <v>147.06666666666666</v>
      </c>
      <c r="S9" s="60">
        <v>10535</v>
      </c>
      <c r="T9" s="75">
        <f t="shared" si="5"/>
        <v>702.33333333333337</v>
      </c>
      <c r="U9" s="119">
        <f t="shared" si="6"/>
        <v>4.7756119673617414</v>
      </c>
      <c r="V9" s="69"/>
      <c r="W9" s="60">
        <v>0</v>
      </c>
      <c r="X9" s="60">
        <v>0</v>
      </c>
      <c r="Y9" s="75" t="e">
        <f t="shared" si="13"/>
        <v>#DIV/0!</v>
      </c>
      <c r="Z9" s="60">
        <v>0</v>
      </c>
      <c r="AA9" s="75" t="e">
        <f t="shared" si="7"/>
        <v>#DIV/0!</v>
      </c>
      <c r="AB9" s="119" t="e">
        <f t="shared" si="14"/>
        <v>#DIV/0!</v>
      </c>
      <c r="AC9" s="69"/>
      <c r="AD9" s="60">
        <v>15</v>
      </c>
      <c r="AE9" s="60">
        <v>2224</v>
      </c>
      <c r="AF9" s="75">
        <f t="shared" si="8"/>
        <v>148.26666666666668</v>
      </c>
      <c r="AG9" s="60">
        <v>10513</v>
      </c>
      <c r="AH9" s="75">
        <f t="shared" si="9"/>
        <v>700.86666666666667</v>
      </c>
      <c r="AI9" s="119">
        <f t="shared" si="10"/>
        <v>4.7270683453237403</v>
      </c>
    </row>
    <row r="10" spans="1:35" ht="15">
      <c r="A10" s="72">
        <v>44750</v>
      </c>
      <c r="B10" s="60">
        <v>10</v>
      </c>
      <c r="C10" s="60">
        <v>1366</v>
      </c>
      <c r="D10" s="75">
        <f t="shared" si="11"/>
        <v>136.6</v>
      </c>
      <c r="E10" s="56">
        <v>5857</v>
      </c>
      <c r="F10" s="75">
        <f t="shared" si="0"/>
        <v>585.70000000000005</v>
      </c>
      <c r="G10" s="119">
        <f t="shared" si="1"/>
        <v>4.2877013177159595</v>
      </c>
      <c r="H10" s="69"/>
      <c r="I10" s="60">
        <v>10</v>
      </c>
      <c r="J10" s="60">
        <v>1243</v>
      </c>
      <c r="K10" s="75">
        <f t="shared" si="2"/>
        <v>124.3</v>
      </c>
      <c r="L10" s="60">
        <v>5593</v>
      </c>
      <c r="M10" s="75">
        <f t="shared" si="3"/>
        <v>559.29999999999995</v>
      </c>
      <c r="N10" s="119">
        <f t="shared" si="12"/>
        <v>4.4995977473853577</v>
      </c>
      <c r="O10" s="69"/>
      <c r="P10" s="60">
        <v>14</v>
      </c>
      <c r="Q10" s="60">
        <v>2112</v>
      </c>
      <c r="R10" s="75">
        <f t="shared" si="4"/>
        <v>150.85714285714286</v>
      </c>
      <c r="S10" s="60">
        <v>9935</v>
      </c>
      <c r="T10" s="75">
        <f t="shared" si="5"/>
        <v>709.64285714285711</v>
      </c>
      <c r="U10" s="119">
        <f t="shared" si="6"/>
        <v>4.7040719696969697</v>
      </c>
      <c r="V10" s="69"/>
      <c r="W10" s="60">
        <v>0</v>
      </c>
      <c r="X10" s="60">
        <v>0</v>
      </c>
      <c r="Y10" s="75" t="e">
        <f t="shared" si="13"/>
        <v>#DIV/0!</v>
      </c>
      <c r="Z10" s="60">
        <v>0</v>
      </c>
      <c r="AA10" s="75" t="e">
        <f t="shared" si="7"/>
        <v>#DIV/0!</v>
      </c>
      <c r="AB10" s="119" t="e">
        <f t="shared" si="14"/>
        <v>#DIV/0!</v>
      </c>
      <c r="AC10" s="69"/>
      <c r="AD10" s="60">
        <v>14</v>
      </c>
      <c r="AE10" s="60">
        <v>2111</v>
      </c>
      <c r="AF10" s="75">
        <f t="shared" si="8"/>
        <v>150.78571428571428</v>
      </c>
      <c r="AG10" s="60">
        <v>9950</v>
      </c>
      <c r="AH10" s="75">
        <f t="shared" si="9"/>
        <v>710.71428571428567</v>
      </c>
      <c r="AI10" s="119">
        <f t="shared" si="10"/>
        <v>4.7134059687351968</v>
      </c>
    </row>
    <row r="11" spans="1:35" ht="15">
      <c r="A11" s="72">
        <v>44751</v>
      </c>
      <c r="B11" s="60">
        <v>16</v>
      </c>
      <c r="C11" s="60">
        <v>2104</v>
      </c>
      <c r="D11" s="75">
        <f t="shared" si="11"/>
        <v>131.5</v>
      </c>
      <c r="E11" s="56">
        <v>9812</v>
      </c>
      <c r="F11" s="75">
        <f t="shared" si="0"/>
        <v>613.25</v>
      </c>
      <c r="G11" s="119">
        <f t="shared" si="1"/>
        <v>4.663498098859316</v>
      </c>
      <c r="H11" s="69"/>
      <c r="I11" s="60">
        <v>10</v>
      </c>
      <c r="J11" s="60">
        <v>1207</v>
      </c>
      <c r="K11" s="75">
        <f t="shared" si="2"/>
        <v>120.7</v>
      </c>
      <c r="L11" s="60">
        <v>5432</v>
      </c>
      <c r="M11" s="75">
        <f t="shared" si="3"/>
        <v>543.20000000000005</v>
      </c>
      <c r="N11" s="119">
        <f t="shared" si="12"/>
        <v>4.5004142502071254</v>
      </c>
      <c r="O11" s="69"/>
      <c r="P11" s="60">
        <v>9</v>
      </c>
      <c r="Q11" s="60">
        <v>1122</v>
      </c>
      <c r="R11" s="75">
        <f t="shared" si="4"/>
        <v>124.66666666666667</v>
      </c>
      <c r="S11" s="60">
        <v>5593</v>
      </c>
      <c r="T11" s="75">
        <f t="shared" si="5"/>
        <v>621.44444444444446</v>
      </c>
      <c r="U11" s="119">
        <f t="shared" si="6"/>
        <v>4.9848484848484844</v>
      </c>
      <c r="V11" s="69"/>
      <c r="W11" s="60">
        <v>0</v>
      </c>
      <c r="X11" s="60">
        <v>0</v>
      </c>
      <c r="Y11" s="75" t="e">
        <f t="shared" si="13"/>
        <v>#DIV/0!</v>
      </c>
      <c r="Z11" s="60">
        <v>0</v>
      </c>
      <c r="AA11" s="75" t="e">
        <f t="shared" si="7"/>
        <v>#DIV/0!</v>
      </c>
      <c r="AB11" s="119" t="e">
        <f t="shared" si="14"/>
        <v>#DIV/0!</v>
      </c>
      <c r="AC11" s="69"/>
      <c r="AD11" s="60">
        <v>15</v>
      </c>
      <c r="AE11" s="60">
        <v>2222</v>
      </c>
      <c r="AF11" s="75">
        <f t="shared" si="8"/>
        <v>148.13333333333333</v>
      </c>
      <c r="AG11" s="60">
        <v>10231</v>
      </c>
      <c r="AH11" s="75">
        <f t="shared" si="9"/>
        <v>682.06666666666672</v>
      </c>
      <c r="AI11" s="119">
        <f t="shared" si="10"/>
        <v>4.6044104410441049</v>
      </c>
    </row>
    <row r="12" spans="1:35" ht="15">
      <c r="A12" s="72">
        <v>44752</v>
      </c>
      <c r="B12" s="60">
        <v>10</v>
      </c>
      <c r="C12" s="60">
        <v>1212</v>
      </c>
      <c r="D12" s="75">
        <f t="shared" si="11"/>
        <v>121.2</v>
      </c>
      <c r="E12" s="56">
        <v>5304</v>
      </c>
      <c r="F12" s="75">
        <f t="shared" si="0"/>
        <v>530.4</v>
      </c>
      <c r="G12" s="119">
        <f t="shared" si="1"/>
        <v>4.3762376237623757</v>
      </c>
      <c r="H12" s="69"/>
      <c r="I12" s="60">
        <v>14</v>
      </c>
      <c r="J12" s="60">
        <v>2241</v>
      </c>
      <c r="K12" s="75">
        <f t="shared" si="2"/>
        <v>160.07142857142858</v>
      </c>
      <c r="L12" s="60">
        <v>10428</v>
      </c>
      <c r="M12" s="75">
        <f t="shared" si="3"/>
        <v>744.85714285714289</v>
      </c>
      <c r="N12" s="119">
        <f t="shared" si="12"/>
        <v>4.6532797858099064</v>
      </c>
      <c r="O12" s="69"/>
      <c r="P12" s="60">
        <v>14</v>
      </c>
      <c r="Q12" s="60">
        <v>2286</v>
      </c>
      <c r="R12" s="75">
        <f t="shared" si="4"/>
        <v>163.28571428571428</v>
      </c>
      <c r="S12" s="60">
        <v>10665</v>
      </c>
      <c r="T12" s="75">
        <f t="shared" si="5"/>
        <v>761.78571428571433</v>
      </c>
      <c r="U12" s="119">
        <f t="shared" si="6"/>
        <v>4.665354330708662</v>
      </c>
      <c r="V12" s="69"/>
      <c r="W12" s="60">
        <v>0</v>
      </c>
      <c r="X12" s="60">
        <v>0</v>
      </c>
      <c r="Y12" s="75" t="e">
        <f t="shared" si="13"/>
        <v>#DIV/0!</v>
      </c>
      <c r="Z12" s="60">
        <v>0</v>
      </c>
      <c r="AA12" s="75" t="e">
        <f t="shared" si="7"/>
        <v>#DIV/0!</v>
      </c>
      <c r="AB12" s="119" t="e">
        <f t="shared" si="14"/>
        <v>#DIV/0!</v>
      </c>
      <c r="AC12" s="69"/>
      <c r="AD12" s="60">
        <v>10</v>
      </c>
      <c r="AE12" s="60">
        <v>1207</v>
      </c>
      <c r="AF12" s="75">
        <f t="shared" si="8"/>
        <v>120.7</v>
      </c>
      <c r="AG12" s="60">
        <v>5236</v>
      </c>
      <c r="AH12" s="75">
        <f t="shared" si="9"/>
        <v>523.6</v>
      </c>
      <c r="AI12" s="119">
        <f t="shared" si="10"/>
        <v>4.3380281690140849</v>
      </c>
    </row>
    <row r="13" spans="1:35" ht="15">
      <c r="A13" s="72">
        <v>44753</v>
      </c>
      <c r="B13" s="60">
        <v>16</v>
      </c>
      <c r="C13" s="60">
        <v>2372</v>
      </c>
      <c r="D13" s="75">
        <f t="shared" si="11"/>
        <v>148.25</v>
      </c>
      <c r="E13" s="56">
        <v>10840</v>
      </c>
      <c r="F13" s="75">
        <f t="shared" si="0"/>
        <v>677.5</v>
      </c>
      <c r="G13" s="119">
        <f t="shared" si="1"/>
        <v>4.5699831365935921</v>
      </c>
      <c r="H13" s="69"/>
      <c r="I13" s="60">
        <v>25</v>
      </c>
      <c r="J13" s="60">
        <v>3392</v>
      </c>
      <c r="K13" s="75">
        <f t="shared" si="2"/>
        <v>135.68</v>
      </c>
      <c r="L13" s="60">
        <v>15499</v>
      </c>
      <c r="M13" s="75">
        <f t="shared" si="3"/>
        <v>619.96</v>
      </c>
      <c r="N13" s="119">
        <f t="shared" si="12"/>
        <v>4.5692806603773581</v>
      </c>
      <c r="O13" s="69"/>
      <c r="P13" s="60">
        <v>0</v>
      </c>
      <c r="Q13" s="60">
        <v>0</v>
      </c>
      <c r="R13" s="75" t="e">
        <f t="shared" si="4"/>
        <v>#DIV/0!</v>
      </c>
      <c r="S13" s="60">
        <v>0</v>
      </c>
      <c r="T13" s="75" t="e">
        <f t="shared" si="5"/>
        <v>#DIV/0!</v>
      </c>
      <c r="U13" s="119" t="e">
        <f t="shared" si="6"/>
        <v>#DIV/0!</v>
      </c>
      <c r="V13" s="69"/>
      <c r="W13" s="60">
        <v>0</v>
      </c>
      <c r="X13" s="60">
        <v>0</v>
      </c>
      <c r="Y13" s="75" t="e">
        <f t="shared" si="13"/>
        <v>#DIV/0!</v>
      </c>
      <c r="Z13" s="60">
        <v>0</v>
      </c>
      <c r="AA13" s="75" t="e">
        <f t="shared" si="7"/>
        <v>#DIV/0!</v>
      </c>
      <c r="AB13" s="119" t="e">
        <f t="shared" si="14"/>
        <v>#DIV/0!</v>
      </c>
      <c r="AC13" s="69"/>
      <c r="AD13" s="60">
        <v>9</v>
      </c>
      <c r="AE13" s="60">
        <v>930</v>
      </c>
      <c r="AF13" s="75">
        <f t="shared" si="8"/>
        <v>103.33333333333333</v>
      </c>
      <c r="AG13" s="60">
        <v>4539</v>
      </c>
      <c r="AH13" s="75">
        <f t="shared" si="9"/>
        <v>504.33333333333331</v>
      </c>
      <c r="AI13" s="119">
        <f t="shared" si="10"/>
        <v>4.8806451612903228</v>
      </c>
    </row>
    <row r="14" spans="1:35" ht="15">
      <c r="A14" s="72">
        <v>44754</v>
      </c>
      <c r="B14" s="60">
        <v>0</v>
      </c>
      <c r="C14" s="60">
        <v>0</v>
      </c>
      <c r="D14" s="75" t="e">
        <f t="shared" si="11"/>
        <v>#DIV/0!</v>
      </c>
      <c r="E14" s="56">
        <v>0</v>
      </c>
      <c r="F14" s="75" t="e">
        <f t="shared" si="0"/>
        <v>#DIV/0!</v>
      </c>
      <c r="G14" s="119" t="e">
        <f t="shared" si="1"/>
        <v>#DIV/0!</v>
      </c>
      <c r="H14" s="69"/>
      <c r="I14" s="60">
        <v>9</v>
      </c>
      <c r="J14" s="60">
        <v>1052</v>
      </c>
      <c r="K14" s="75">
        <f t="shared" si="2"/>
        <v>116.88888888888889</v>
      </c>
      <c r="L14" s="60">
        <v>4668</v>
      </c>
      <c r="M14" s="75">
        <f t="shared" si="3"/>
        <v>518.66666666666663</v>
      </c>
      <c r="N14" s="119">
        <f t="shared" si="12"/>
        <v>4.4372623574144487</v>
      </c>
      <c r="O14" s="69"/>
      <c r="P14" s="60">
        <v>16</v>
      </c>
      <c r="Q14" s="60">
        <v>2284</v>
      </c>
      <c r="R14" s="75">
        <f t="shared" si="4"/>
        <v>142.75</v>
      </c>
      <c r="S14" s="60">
        <v>10699</v>
      </c>
      <c r="T14" s="75">
        <f t="shared" si="5"/>
        <v>668.6875</v>
      </c>
      <c r="U14" s="119">
        <f t="shared" si="6"/>
        <v>4.6843257443082313</v>
      </c>
      <c r="V14" s="69"/>
      <c r="W14" s="60">
        <v>0</v>
      </c>
      <c r="X14" s="60">
        <v>0</v>
      </c>
      <c r="Y14" s="75" t="e">
        <f t="shared" si="13"/>
        <v>#DIV/0!</v>
      </c>
      <c r="Z14" s="60">
        <v>0</v>
      </c>
      <c r="AA14" s="75" t="e">
        <f t="shared" si="7"/>
        <v>#DIV/0!</v>
      </c>
      <c r="AB14" s="119" t="e">
        <f t="shared" si="14"/>
        <v>#DIV/0!</v>
      </c>
      <c r="AC14" s="69"/>
      <c r="AD14" s="60">
        <v>24</v>
      </c>
      <c r="AE14" s="60">
        <v>3320</v>
      </c>
      <c r="AF14" s="75">
        <f t="shared" si="8"/>
        <v>138.33333333333334</v>
      </c>
      <c r="AG14" s="60">
        <v>15287</v>
      </c>
      <c r="AH14" s="75">
        <f t="shared" si="9"/>
        <v>636.95833333333337</v>
      </c>
      <c r="AI14" s="119">
        <f t="shared" si="10"/>
        <v>4.6045180722891565</v>
      </c>
    </row>
    <row r="15" spans="1:35" ht="15">
      <c r="A15" s="72">
        <v>44755</v>
      </c>
      <c r="B15" s="60">
        <v>12</v>
      </c>
      <c r="C15" s="60">
        <v>1409</v>
      </c>
      <c r="D15" s="75">
        <f t="shared" si="11"/>
        <v>117.41666666666667</v>
      </c>
      <c r="E15" s="56">
        <v>5991</v>
      </c>
      <c r="F15" s="75">
        <f t="shared" si="0"/>
        <v>499.25</v>
      </c>
      <c r="G15" s="119">
        <f t="shared" si="1"/>
        <v>4.2519517388218597</v>
      </c>
      <c r="H15" s="69"/>
      <c r="I15" s="60">
        <v>15</v>
      </c>
      <c r="J15" s="60">
        <v>2249</v>
      </c>
      <c r="K15" s="75">
        <f t="shared" si="2"/>
        <v>149.93333333333334</v>
      </c>
      <c r="L15" s="60">
        <v>10265</v>
      </c>
      <c r="M15" s="75">
        <f t="shared" si="3"/>
        <v>684.33333333333337</v>
      </c>
      <c r="N15" s="119">
        <f t="shared" si="12"/>
        <v>4.5642507781236104</v>
      </c>
      <c r="O15" s="69"/>
      <c r="P15" s="60">
        <v>16</v>
      </c>
      <c r="Q15" s="60">
        <v>2072</v>
      </c>
      <c r="R15" s="75">
        <f t="shared" si="4"/>
        <v>129.5</v>
      </c>
      <c r="S15" s="60">
        <v>10122</v>
      </c>
      <c r="T15" s="75">
        <f t="shared" si="5"/>
        <v>632.625</v>
      </c>
      <c r="U15" s="119">
        <f t="shared" si="6"/>
        <v>4.8851351351351351</v>
      </c>
      <c r="V15" s="69"/>
      <c r="W15" s="60">
        <v>0</v>
      </c>
      <c r="X15" s="60">
        <v>0</v>
      </c>
      <c r="Y15" s="75" t="e">
        <f t="shared" si="13"/>
        <v>#DIV/0!</v>
      </c>
      <c r="Z15" s="60">
        <v>0</v>
      </c>
      <c r="AA15" s="75" t="e">
        <f t="shared" si="7"/>
        <v>#DIV/0!</v>
      </c>
      <c r="AB15" s="119" t="e">
        <f t="shared" si="14"/>
        <v>#DIV/0!</v>
      </c>
      <c r="AC15" s="69"/>
      <c r="AD15" s="60">
        <v>9</v>
      </c>
      <c r="AE15" s="60">
        <v>1021</v>
      </c>
      <c r="AF15" s="75">
        <f t="shared" si="8"/>
        <v>113.44444444444444</v>
      </c>
      <c r="AG15" s="60">
        <v>4597</v>
      </c>
      <c r="AH15" s="75">
        <f t="shared" si="9"/>
        <v>510.77777777777777</v>
      </c>
      <c r="AI15" s="119">
        <f t="shared" si="10"/>
        <v>4.5024485798237022</v>
      </c>
    </row>
    <row r="16" spans="1:35" ht="15">
      <c r="A16" s="72">
        <v>44756</v>
      </c>
      <c r="B16" s="60">
        <v>8</v>
      </c>
      <c r="C16" s="60">
        <v>896</v>
      </c>
      <c r="D16" s="75">
        <f t="shared" si="11"/>
        <v>112</v>
      </c>
      <c r="E16" s="56">
        <v>3920</v>
      </c>
      <c r="F16" s="75">
        <f t="shared" si="0"/>
        <v>490</v>
      </c>
      <c r="G16" s="119">
        <f t="shared" si="1"/>
        <v>4.375</v>
      </c>
      <c r="H16" s="69"/>
      <c r="I16" s="60">
        <v>17</v>
      </c>
      <c r="J16" s="60">
        <v>2361</v>
      </c>
      <c r="K16" s="75">
        <f t="shared" si="2"/>
        <v>138.88235294117646</v>
      </c>
      <c r="L16" s="60">
        <v>10913</v>
      </c>
      <c r="M16" s="75">
        <f t="shared" si="3"/>
        <v>641.94117647058829</v>
      </c>
      <c r="N16" s="119">
        <f t="shared" si="12"/>
        <v>4.6221939855993233</v>
      </c>
      <c r="O16" s="69"/>
      <c r="P16" s="60">
        <v>17</v>
      </c>
      <c r="Q16" s="60">
        <v>2258</v>
      </c>
      <c r="R16" s="75">
        <f t="shared" si="4"/>
        <v>132.8235294117647</v>
      </c>
      <c r="S16" s="60">
        <v>10920</v>
      </c>
      <c r="T16" s="75">
        <f t="shared" si="5"/>
        <v>642.35294117647061</v>
      </c>
      <c r="U16" s="119">
        <f t="shared" si="6"/>
        <v>4.8361381753764396</v>
      </c>
      <c r="V16" s="69"/>
      <c r="W16" s="60">
        <v>0</v>
      </c>
      <c r="X16" s="60">
        <v>0</v>
      </c>
      <c r="Y16" s="75" t="e">
        <f t="shared" si="13"/>
        <v>#DIV/0!</v>
      </c>
      <c r="Z16" s="60">
        <v>0</v>
      </c>
      <c r="AA16" s="75" t="e">
        <f t="shared" si="7"/>
        <v>#DIV/0!</v>
      </c>
      <c r="AB16" s="119" t="e">
        <f t="shared" si="14"/>
        <v>#DIV/0!</v>
      </c>
      <c r="AC16" s="69"/>
      <c r="AD16" s="60">
        <v>8</v>
      </c>
      <c r="AE16" s="60">
        <v>954</v>
      </c>
      <c r="AF16" s="75">
        <f t="shared" si="8"/>
        <v>119.25</v>
      </c>
      <c r="AG16" s="60">
        <v>3923</v>
      </c>
      <c r="AH16" s="75">
        <f t="shared" si="9"/>
        <v>490.375</v>
      </c>
      <c r="AI16" s="119">
        <f t="shared" si="10"/>
        <v>4.1121593291404608</v>
      </c>
    </row>
    <row r="17" spans="1:35" ht="15">
      <c r="A17" s="72">
        <v>44757</v>
      </c>
      <c r="B17" s="60">
        <v>8</v>
      </c>
      <c r="C17" s="60">
        <v>964</v>
      </c>
      <c r="D17" s="75">
        <f t="shared" si="11"/>
        <v>120.5</v>
      </c>
      <c r="E17" s="56">
        <v>4013</v>
      </c>
      <c r="F17" s="75">
        <f t="shared" si="0"/>
        <v>501.625</v>
      </c>
      <c r="G17" s="119">
        <f t="shared" si="1"/>
        <v>4.1628630705394194</v>
      </c>
      <c r="H17" s="69"/>
      <c r="I17" s="60">
        <v>16</v>
      </c>
      <c r="J17" s="60">
        <v>2405</v>
      </c>
      <c r="K17" s="75">
        <f t="shared" si="2"/>
        <v>150.3125</v>
      </c>
      <c r="L17" s="60">
        <v>11244</v>
      </c>
      <c r="M17" s="75">
        <f t="shared" si="3"/>
        <v>702.75</v>
      </c>
      <c r="N17" s="119">
        <f t="shared" si="12"/>
        <v>4.6752598752598749</v>
      </c>
      <c r="O17" s="69"/>
      <c r="P17" s="60">
        <v>17</v>
      </c>
      <c r="Q17" s="60">
        <v>2375</v>
      </c>
      <c r="R17" s="75">
        <f t="shared" si="4"/>
        <v>139.70588235294119</v>
      </c>
      <c r="S17" s="60">
        <v>11229</v>
      </c>
      <c r="T17" s="75">
        <f t="shared" si="5"/>
        <v>660.52941176470586</v>
      </c>
      <c r="U17" s="119">
        <f t="shared" si="6"/>
        <v>4.7279999999999998</v>
      </c>
      <c r="V17" s="69"/>
      <c r="W17" s="60">
        <v>0</v>
      </c>
      <c r="X17" s="60">
        <v>0</v>
      </c>
      <c r="Y17" s="75" t="e">
        <f t="shared" si="13"/>
        <v>#DIV/0!</v>
      </c>
      <c r="Z17" s="60">
        <v>0</v>
      </c>
      <c r="AA17" s="75" t="e">
        <f t="shared" si="7"/>
        <v>#DIV/0!</v>
      </c>
      <c r="AB17" s="119" t="e">
        <f t="shared" si="14"/>
        <v>#DIV/0!</v>
      </c>
      <c r="AC17" s="69"/>
      <c r="AD17" s="60">
        <v>8</v>
      </c>
      <c r="AE17" s="60">
        <v>872</v>
      </c>
      <c r="AF17" s="75">
        <f t="shared" si="8"/>
        <v>109</v>
      </c>
      <c r="AG17" s="60">
        <v>4000</v>
      </c>
      <c r="AH17" s="75">
        <f t="shared" si="9"/>
        <v>500</v>
      </c>
      <c r="AI17" s="119">
        <f t="shared" si="10"/>
        <v>4.5871559633027523</v>
      </c>
    </row>
    <row r="18" spans="1:35" ht="15">
      <c r="A18" s="72">
        <v>44758</v>
      </c>
      <c r="B18" s="60">
        <v>10</v>
      </c>
      <c r="C18" s="60">
        <v>1181</v>
      </c>
      <c r="D18" s="75">
        <f t="shared" si="11"/>
        <v>118.1</v>
      </c>
      <c r="E18" s="56">
        <v>5213</v>
      </c>
      <c r="F18" s="75">
        <f t="shared" si="0"/>
        <v>521.29999999999995</v>
      </c>
      <c r="G18" s="119">
        <f t="shared" si="1"/>
        <v>4.4140558848433527</v>
      </c>
      <c r="H18" s="69"/>
      <c r="I18" s="60">
        <v>15</v>
      </c>
      <c r="J18" s="60">
        <v>2269</v>
      </c>
      <c r="K18" s="75">
        <f t="shared" si="2"/>
        <v>151.26666666666668</v>
      </c>
      <c r="L18" s="60">
        <v>10403</v>
      </c>
      <c r="M18" s="75">
        <f t="shared" si="3"/>
        <v>693.5333333333333</v>
      </c>
      <c r="N18" s="119">
        <f t="shared" si="12"/>
        <v>4.5848391361833398</v>
      </c>
      <c r="O18" s="69"/>
      <c r="P18" s="60">
        <v>14</v>
      </c>
      <c r="Q18" s="60">
        <v>2133</v>
      </c>
      <c r="R18" s="75">
        <f t="shared" si="4"/>
        <v>152.35714285714286</v>
      </c>
      <c r="S18" s="60">
        <v>10142</v>
      </c>
      <c r="T18" s="75">
        <f t="shared" si="5"/>
        <v>724.42857142857144</v>
      </c>
      <c r="U18" s="119">
        <f t="shared" si="6"/>
        <v>4.7548054383497425</v>
      </c>
      <c r="V18" s="69"/>
      <c r="W18" s="60">
        <v>0</v>
      </c>
      <c r="X18" s="60">
        <v>0</v>
      </c>
      <c r="Y18" s="75" t="e">
        <f t="shared" si="13"/>
        <v>#DIV/0!</v>
      </c>
      <c r="Z18" s="60">
        <v>0</v>
      </c>
      <c r="AA18" s="75" t="e">
        <f t="shared" si="7"/>
        <v>#DIV/0!</v>
      </c>
      <c r="AB18" s="119" t="e">
        <f t="shared" si="14"/>
        <v>#DIV/0!</v>
      </c>
      <c r="AC18" s="69"/>
      <c r="AD18" s="60">
        <v>12</v>
      </c>
      <c r="AE18" s="60">
        <v>1447</v>
      </c>
      <c r="AF18" s="75">
        <f t="shared" si="8"/>
        <v>120.58333333333333</v>
      </c>
      <c r="AG18" s="60">
        <v>6289</v>
      </c>
      <c r="AH18" s="75">
        <f t="shared" si="9"/>
        <v>524.08333333333337</v>
      </c>
      <c r="AI18" s="119">
        <f t="shared" si="10"/>
        <v>4.3462335867311683</v>
      </c>
    </row>
    <row r="19" spans="1:35" ht="15">
      <c r="A19" s="72">
        <v>44759</v>
      </c>
      <c r="B19" s="60">
        <v>4</v>
      </c>
      <c r="C19" s="60">
        <v>555</v>
      </c>
      <c r="D19" s="75">
        <f t="shared" si="11"/>
        <v>138.75</v>
      </c>
      <c r="E19" s="56">
        <v>2452</v>
      </c>
      <c r="F19" s="75">
        <f t="shared" si="0"/>
        <v>613</v>
      </c>
      <c r="G19" s="119">
        <f t="shared" si="1"/>
        <v>4.4180180180180182</v>
      </c>
      <c r="H19" s="69"/>
      <c r="I19" s="60">
        <v>23</v>
      </c>
      <c r="J19" s="60">
        <v>3301</v>
      </c>
      <c r="K19" s="75">
        <f t="shared" si="2"/>
        <v>143.52173913043478</v>
      </c>
      <c r="L19" s="60">
        <v>15072</v>
      </c>
      <c r="M19" s="75">
        <f t="shared" si="3"/>
        <v>655.304347826087</v>
      </c>
      <c r="N19" s="119">
        <f t="shared" si="12"/>
        <v>4.5658891245077253</v>
      </c>
      <c r="O19" s="69"/>
      <c r="P19" s="60">
        <v>13</v>
      </c>
      <c r="Q19" s="60">
        <v>1768</v>
      </c>
      <c r="R19" s="75">
        <f t="shared" si="4"/>
        <v>136</v>
      </c>
      <c r="S19" s="60">
        <v>8264</v>
      </c>
      <c r="T19" s="75">
        <f t="shared" si="5"/>
        <v>635.69230769230774</v>
      </c>
      <c r="U19" s="119">
        <f t="shared" si="6"/>
        <v>4.6742081447963804</v>
      </c>
      <c r="V19" s="69"/>
      <c r="W19" s="60">
        <v>0</v>
      </c>
      <c r="X19" s="60">
        <v>0</v>
      </c>
      <c r="Y19" s="75" t="e">
        <f t="shared" si="13"/>
        <v>#DIV/0!</v>
      </c>
      <c r="Z19" s="60">
        <v>0</v>
      </c>
      <c r="AA19" s="75" t="e">
        <f t="shared" si="7"/>
        <v>#DIV/0!</v>
      </c>
      <c r="AB19" s="119" t="e">
        <f t="shared" si="14"/>
        <v>#DIV/0!</v>
      </c>
      <c r="AC19" s="69"/>
      <c r="AD19" s="60">
        <v>10</v>
      </c>
      <c r="AE19" s="60">
        <v>1475</v>
      </c>
      <c r="AF19" s="75">
        <f t="shared" si="8"/>
        <v>147.5</v>
      </c>
      <c r="AG19" s="60">
        <v>6915</v>
      </c>
      <c r="AH19" s="75">
        <f t="shared" si="9"/>
        <v>691.5</v>
      </c>
      <c r="AI19" s="119">
        <f t="shared" si="10"/>
        <v>4.6881355932203386</v>
      </c>
    </row>
    <row r="20" spans="1:35" ht="15">
      <c r="A20" s="72">
        <v>44760</v>
      </c>
      <c r="B20" s="60">
        <v>12</v>
      </c>
      <c r="C20" s="60">
        <v>1890</v>
      </c>
      <c r="D20" s="75">
        <f t="shared" si="11"/>
        <v>157.5</v>
      </c>
      <c r="E20" s="56">
        <v>8543</v>
      </c>
      <c r="F20" s="75">
        <f t="shared" si="0"/>
        <v>711.91666666666663</v>
      </c>
      <c r="G20" s="119">
        <f t="shared" si="1"/>
        <v>4.5201058201058197</v>
      </c>
      <c r="H20" s="69"/>
      <c r="I20" s="60">
        <v>14</v>
      </c>
      <c r="J20" s="60">
        <v>1770</v>
      </c>
      <c r="K20" s="75">
        <f t="shared" si="2"/>
        <v>126.42857142857143</v>
      </c>
      <c r="L20" s="60">
        <v>7996</v>
      </c>
      <c r="M20" s="75">
        <f t="shared" si="3"/>
        <v>571.14285714285711</v>
      </c>
      <c r="N20" s="119">
        <f t="shared" si="12"/>
        <v>4.5175141242937853</v>
      </c>
      <c r="O20" s="69"/>
      <c r="P20" s="60">
        <v>10</v>
      </c>
      <c r="Q20" s="60">
        <v>1427</v>
      </c>
      <c r="R20" s="75">
        <f t="shared" si="4"/>
        <v>142.69999999999999</v>
      </c>
      <c r="S20" s="60">
        <v>6918</v>
      </c>
      <c r="T20" s="75">
        <f t="shared" si="5"/>
        <v>691.8</v>
      </c>
      <c r="U20" s="119">
        <f t="shared" si="6"/>
        <v>4.8479327259985983</v>
      </c>
      <c r="V20" s="69"/>
      <c r="W20" s="60">
        <v>0</v>
      </c>
      <c r="X20" s="60">
        <v>0</v>
      </c>
      <c r="Y20" s="75" t="e">
        <f t="shared" si="13"/>
        <v>#DIV/0!</v>
      </c>
      <c r="Z20" s="60">
        <v>0</v>
      </c>
      <c r="AA20" s="75" t="e">
        <f t="shared" si="7"/>
        <v>#DIV/0!</v>
      </c>
      <c r="AB20" s="119" t="e">
        <f t="shared" si="14"/>
        <v>#DIV/0!</v>
      </c>
      <c r="AC20" s="69"/>
      <c r="AD20" s="60">
        <v>12</v>
      </c>
      <c r="AE20" s="60">
        <v>1431</v>
      </c>
      <c r="AF20" s="75">
        <f t="shared" si="8"/>
        <v>119.25</v>
      </c>
      <c r="AG20" s="60">
        <v>6649</v>
      </c>
      <c r="AH20" s="75">
        <f t="shared" si="9"/>
        <v>554.08333333333337</v>
      </c>
      <c r="AI20" s="119">
        <f t="shared" si="10"/>
        <v>4.6464011180992317</v>
      </c>
    </row>
    <row r="21" spans="1:35" ht="15">
      <c r="A21" s="72">
        <v>44761</v>
      </c>
      <c r="B21" s="60">
        <v>13</v>
      </c>
      <c r="C21" s="60">
        <v>2155</v>
      </c>
      <c r="D21" s="75">
        <f t="shared" si="11"/>
        <v>165.76923076923077</v>
      </c>
      <c r="E21" s="56">
        <v>9503</v>
      </c>
      <c r="F21" s="75">
        <f t="shared" si="0"/>
        <v>731</v>
      </c>
      <c r="G21" s="119">
        <f t="shared" si="1"/>
        <v>4.4097447795823665</v>
      </c>
      <c r="H21" s="69"/>
      <c r="I21" s="60">
        <v>12</v>
      </c>
      <c r="J21" s="60">
        <v>1508</v>
      </c>
      <c r="K21" s="75">
        <f t="shared" si="2"/>
        <v>125.66666666666667</v>
      </c>
      <c r="L21" s="60">
        <v>6728</v>
      </c>
      <c r="M21" s="75">
        <f t="shared" si="3"/>
        <v>560.66666666666663</v>
      </c>
      <c r="N21" s="119">
        <f t="shared" si="12"/>
        <v>4.4615384615384608</v>
      </c>
      <c r="O21" s="69"/>
      <c r="P21" s="60">
        <v>11</v>
      </c>
      <c r="Q21" s="60">
        <v>1479</v>
      </c>
      <c r="R21" s="75">
        <f t="shared" si="4"/>
        <v>134.45454545454547</v>
      </c>
      <c r="S21" s="60">
        <v>6854</v>
      </c>
      <c r="T21" s="75">
        <f t="shared" si="5"/>
        <v>623.09090909090912</v>
      </c>
      <c r="U21" s="119">
        <f t="shared" si="6"/>
        <v>4.6342123056119</v>
      </c>
      <c r="V21" s="69"/>
      <c r="W21" s="60">
        <v>13</v>
      </c>
      <c r="X21" s="60">
        <v>2312</v>
      </c>
      <c r="Y21" s="75">
        <f t="shared" si="13"/>
        <v>177.84615384615384</v>
      </c>
      <c r="Z21" s="60">
        <v>9365</v>
      </c>
      <c r="AA21" s="75">
        <f t="shared" si="7"/>
        <v>720.38461538461536</v>
      </c>
      <c r="AB21" s="119">
        <f t="shared" si="14"/>
        <v>4.0506055363321796</v>
      </c>
      <c r="AC21" s="69"/>
      <c r="AD21" s="60">
        <v>0</v>
      </c>
      <c r="AE21" s="60">
        <v>0</v>
      </c>
      <c r="AF21" s="75" t="e">
        <f t="shared" si="8"/>
        <v>#DIV/0!</v>
      </c>
      <c r="AG21" s="60">
        <v>0</v>
      </c>
      <c r="AH21" s="75" t="e">
        <f t="shared" si="9"/>
        <v>#DIV/0!</v>
      </c>
      <c r="AI21" s="119" t="e">
        <f t="shared" si="10"/>
        <v>#DIV/0!</v>
      </c>
    </row>
    <row r="22" spans="1:35" ht="15">
      <c r="A22" s="72">
        <v>44762</v>
      </c>
      <c r="B22" s="60">
        <v>15</v>
      </c>
      <c r="C22" s="60">
        <v>2292</v>
      </c>
      <c r="D22" s="75">
        <f t="shared" si="11"/>
        <v>152.80000000000001</v>
      </c>
      <c r="E22" s="56">
        <v>10347</v>
      </c>
      <c r="F22" s="75">
        <f t="shared" si="0"/>
        <v>689.8</v>
      </c>
      <c r="G22" s="119">
        <f t="shared" si="1"/>
        <v>4.5143979057591617</v>
      </c>
      <c r="H22" s="69"/>
      <c r="I22" s="60">
        <v>12</v>
      </c>
      <c r="J22" s="60">
        <v>1719</v>
      </c>
      <c r="K22" s="75">
        <f t="shared" si="2"/>
        <v>143.25</v>
      </c>
      <c r="L22" s="60">
        <v>7140</v>
      </c>
      <c r="M22" s="75">
        <f t="shared" si="3"/>
        <v>595</v>
      </c>
      <c r="N22" s="119">
        <f t="shared" si="12"/>
        <v>4.1535776614310649</v>
      </c>
      <c r="O22" s="69"/>
      <c r="P22" s="60">
        <v>9</v>
      </c>
      <c r="Q22" s="60">
        <v>1053</v>
      </c>
      <c r="R22" s="75">
        <f t="shared" si="4"/>
        <v>117</v>
      </c>
      <c r="S22" s="60">
        <v>4363</v>
      </c>
      <c r="T22" s="75">
        <f t="shared" si="5"/>
        <v>484.77777777777777</v>
      </c>
      <c r="U22" s="119">
        <f t="shared" si="6"/>
        <v>4.1433998100664766</v>
      </c>
      <c r="V22" s="69"/>
      <c r="W22" s="60">
        <v>15</v>
      </c>
      <c r="X22" s="60">
        <v>2619</v>
      </c>
      <c r="Y22" s="75">
        <f t="shared" si="13"/>
        <v>174.6</v>
      </c>
      <c r="Z22" s="60">
        <v>10285</v>
      </c>
      <c r="AA22" s="75">
        <f t="shared" si="7"/>
        <v>685.66666666666663</v>
      </c>
      <c r="AB22" s="119">
        <f t="shared" si="14"/>
        <v>3.9270714012982055</v>
      </c>
      <c r="AC22" s="69"/>
      <c r="AD22" s="60">
        <v>0</v>
      </c>
      <c r="AE22" s="60">
        <v>0</v>
      </c>
      <c r="AF22" s="75" t="e">
        <f t="shared" si="8"/>
        <v>#DIV/0!</v>
      </c>
      <c r="AG22" s="60">
        <v>0</v>
      </c>
      <c r="AH22" s="75" t="e">
        <f t="shared" si="9"/>
        <v>#DIV/0!</v>
      </c>
      <c r="AI22" s="119" t="e">
        <f t="shared" si="10"/>
        <v>#DIV/0!</v>
      </c>
    </row>
    <row r="23" spans="1:35" ht="15">
      <c r="A23" s="72">
        <v>44763</v>
      </c>
      <c r="B23" s="60">
        <v>11</v>
      </c>
      <c r="C23" s="60">
        <v>1525</v>
      </c>
      <c r="D23" s="75">
        <f t="shared" si="11"/>
        <v>138.63636363636363</v>
      </c>
      <c r="E23" s="56">
        <v>6778</v>
      </c>
      <c r="F23" s="75">
        <f t="shared" si="0"/>
        <v>616.18181818181813</v>
      </c>
      <c r="G23" s="119">
        <f>F23/D23</f>
        <v>4.4445901639344259</v>
      </c>
      <c r="H23" s="69"/>
      <c r="I23" s="60">
        <v>20</v>
      </c>
      <c r="J23" s="60">
        <v>2555</v>
      </c>
      <c r="K23" s="75">
        <f t="shared" si="2"/>
        <v>127.75</v>
      </c>
      <c r="L23" s="60">
        <v>12609</v>
      </c>
      <c r="M23" s="75">
        <f t="shared" si="3"/>
        <v>630.45000000000005</v>
      </c>
      <c r="N23" s="119">
        <f t="shared" si="12"/>
        <v>4.9350293542074368</v>
      </c>
      <c r="O23" s="69"/>
      <c r="P23" s="60">
        <v>11</v>
      </c>
      <c r="Q23" s="60">
        <v>1274</v>
      </c>
      <c r="R23" s="75">
        <f t="shared" si="4"/>
        <v>115.81818181818181</v>
      </c>
      <c r="S23" s="60">
        <v>6838</v>
      </c>
      <c r="T23" s="75">
        <f t="shared" si="5"/>
        <v>621.63636363636363</v>
      </c>
      <c r="U23" s="119">
        <f t="shared" si="6"/>
        <v>5.3673469387755102</v>
      </c>
      <c r="V23" s="69"/>
      <c r="W23" s="60">
        <v>15</v>
      </c>
      <c r="X23" s="60">
        <v>2630</v>
      </c>
      <c r="Y23" s="75">
        <f t="shared" si="13"/>
        <v>175.33333333333334</v>
      </c>
      <c r="Z23" s="60">
        <v>10444</v>
      </c>
      <c r="AA23" s="75">
        <f t="shared" si="7"/>
        <v>696.26666666666665</v>
      </c>
      <c r="AB23" s="119">
        <f t="shared" si="14"/>
        <v>3.9711026615969578</v>
      </c>
      <c r="AC23" s="69"/>
      <c r="AD23" s="60">
        <v>0</v>
      </c>
      <c r="AE23" s="60">
        <v>0</v>
      </c>
      <c r="AF23" s="75" t="e">
        <f t="shared" si="8"/>
        <v>#DIV/0!</v>
      </c>
      <c r="AG23" s="60">
        <v>0</v>
      </c>
      <c r="AH23" s="75" t="e">
        <f t="shared" si="9"/>
        <v>#DIV/0!</v>
      </c>
      <c r="AI23" s="119" t="e">
        <f t="shared" si="10"/>
        <v>#DIV/0!</v>
      </c>
    </row>
    <row r="24" spans="1:35" ht="15">
      <c r="A24" s="72">
        <v>44764</v>
      </c>
      <c r="B24" s="60">
        <v>15</v>
      </c>
      <c r="C24" s="60">
        <v>2318</v>
      </c>
      <c r="D24" s="75">
        <f t="shared" si="11"/>
        <v>154.53333333333333</v>
      </c>
      <c r="E24" s="56">
        <v>10301</v>
      </c>
      <c r="F24" s="75">
        <f t="shared" si="0"/>
        <v>686.73333333333335</v>
      </c>
      <c r="G24" s="119">
        <f t="shared" si="1"/>
        <v>4.4439171699741156</v>
      </c>
      <c r="H24" s="69"/>
      <c r="I24" s="60">
        <v>13</v>
      </c>
      <c r="J24" s="60">
        <v>2010</v>
      </c>
      <c r="K24" s="75">
        <f t="shared" si="2"/>
        <v>154.61538461538461</v>
      </c>
      <c r="L24" s="60">
        <v>9367</v>
      </c>
      <c r="M24" s="75">
        <f t="shared" si="3"/>
        <v>720.53846153846155</v>
      </c>
      <c r="N24" s="119">
        <f t="shared" si="12"/>
        <v>4.6601990049751247</v>
      </c>
      <c r="O24" s="69"/>
      <c r="P24" s="60">
        <v>14</v>
      </c>
      <c r="Q24" s="60">
        <v>1975</v>
      </c>
      <c r="R24" s="75">
        <f t="shared" si="4"/>
        <v>141.07142857142858</v>
      </c>
      <c r="S24" s="60">
        <v>9123</v>
      </c>
      <c r="T24" s="75">
        <f t="shared" si="5"/>
        <v>651.64285714285711</v>
      </c>
      <c r="U24" s="119">
        <f t="shared" si="6"/>
        <v>4.6192405063291133</v>
      </c>
      <c r="V24" s="69"/>
      <c r="W24" s="60">
        <v>2</v>
      </c>
      <c r="X24" s="60">
        <v>279</v>
      </c>
      <c r="Y24" s="75">
        <f t="shared" si="13"/>
        <v>139.5</v>
      </c>
      <c r="Z24" s="60">
        <v>1050</v>
      </c>
      <c r="AA24" s="75">
        <f t="shared" si="7"/>
        <v>525</v>
      </c>
      <c r="AB24" s="119">
        <f t="shared" si="14"/>
        <v>3.763440860215054</v>
      </c>
      <c r="AC24" s="69"/>
      <c r="AD24" s="60">
        <v>0</v>
      </c>
      <c r="AE24" s="60">
        <v>0</v>
      </c>
      <c r="AF24" s="75" t="e">
        <f t="shared" si="8"/>
        <v>#DIV/0!</v>
      </c>
      <c r="AG24" s="60">
        <v>0</v>
      </c>
      <c r="AH24" s="75" t="e">
        <f t="shared" si="9"/>
        <v>#DIV/0!</v>
      </c>
      <c r="AI24" s="119" t="e">
        <f t="shared" si="10"/>
        <v>#DIV/0!</v>
      </c>
    </row>
    <row r="25" spans="1:35" ht="15">
      <c r="A25" s="72">
        <v>44765</v>
      </c>
      <c r="B25" s="60">
        <v>14</v>
      </c>
      <c r="C25" s="60">
        <v>2267</v>
      </c>
      <c r="D25" s="75">
        <f t="shared" si="11"/>
        <v>161.92857142857142</v>
      </c>
      <c r="E25" s="56">
        <v>9998</v>
      </c>
      <c r="F25" s="75">
        <f t="shared" si="0"/>
        <v>714.14285714285711</v>
      </c>
      <c r="G25" s="119">
        <f t="shared" si="1"/>
        <v>4.4102337891486547</v>
      </c>
      <c r="H25" s="69"/>
      <c r="I25" s="60">
        <v>9</v>
      </c>
      <c r="J25" s="60">
        <v>1344</v>
      </c>
      <c r="K25" s="75">
        <f t="shared" si="2"/>
        <v>149.33333333333334</v>
      </c>
      <c r="L25" s="60">
        <v>6004</v>
      </c>
      <c r="M25" s="75">
        <f t="shared" si="3"/>
        <v>667.11111111111109</v>
      </c>
      <c r="N25" s="119">
        <f t="shared" si="12"/>
        <v>4.4672619047619042</v>
      </c>
      <c r="O25" s="69"/>
      <c r="P25" s="60">
        <v>0</v>
      </c>
      <c r="Q25" s="60">
        <v>0</v>
      </c>
      <c r="R25" s="75" t="e">
        <f t="shared" si="4"/>
        <v>#DIV/0!</v>
      </c>
      <c r="S25" s="60">
        <v>0</v>
      </c>
      <c r="T25" s="75" t="e">
        <f t="shared" si="5"/>
        <v>#DIV/0!</v>
      </c>
      <c r="U25" s="119" t="e">
        <f t="shared" si="6"/>
        <v>#DIV/0!</v>
      </c>
      <c r="V25" s="69"/>
      <c r="W25" s="60">
        <v>15</v>
      </c>
      <c r="X25" s="60">
        <v>2506</v>
      </c>
      <c r="Y25" s="75">
        <f t="shared" si="13"/>
        <v>167.06666666666666</v>
      </c>
      <c r="Z25" s="60">
        <v>9823</v>
      </c>
      <c r="AA25" s="75">
        <f t="shared" si="7"/>
        <v>654.86666666666667</v>
      </c>
      <c r="AB25" s="119">
        <f t="shared" si="14"/>
        <v>3.9197924980047887</v>
      </c>
      <c r="AC25" s="69"/>
      <c r="AD25" s="60">
        <v>18</v>
      </c>
      <c r="AE25" s="60">
        <v>2402</v>
      </c>
      <c r="AF25" s="75">
        <f t="shared" si="8"/>
        <v>133.44444444444446</v>
      </c>
      <c r="AG25" s="60">
        <v>10583</v>
      </c>
      <c r="AH25" s="75">
        <f t="shared" si="9"/>
        <v>587.94444444444446</v>
      </c>
      <c r="AI25" s="119">
        <f t="shared" si="10"/>
        <v>4.405911740216486</v>
      </c>
    </row>
    <row r="26" spans="1:35" ht="15">
      <c r="A26" s="72">
        <v>44766</v>
      </c>
      <c r="B26" s="60">
        <v>14</v>
      </c>
      <c r="C26" s="60">
        <v>2128</v>
      </c>
      <c r="D26" s="75">
        <f t="shared" si="11"/>
        <v>152</v>
      </c>
      <c r="E26" s="56">
        <v>9606</v>
      </c>
      <c r="F26" s="75">
        <f t="shared" si="0"/>
        <v>686.14285714285711</v>
      </c>
      <c r="G26" s="119">
        <f t="shared" si="1"/>
        <v>4.5140977443609023</v>
      </c>
      <c r="H26" s="69"/>
      <c r="I26" s="60">
        <v>17</v>
      </c>
      <c r="J26" s="60">
        <v>2096</v>
      </c>
      <c r="K26" s="75">
        <f t="shared" si="2"/>
        <v>123.29411764705883</v>
      </c>
      <c r="L26" s="60">
        <v>9488</v>
      </c>
      <c r="M26" s="75">
        <f t="shared" si="3"/>
        <v>558.11764705882354</v>
      </c>
      <c r="N26" s="119">
        <f t="shared" si="12"/>
        <v>4.5267175572519083</v>
      </c>
      <c r="O26" s="69"/>
      <c r="P26" s="60">
        <v>0</v>
      </c>
      <c r="Q26" s="60">
        <v>0</v>
      </c>
      <c r="R26" s="75" t="e">
        <f t="shared" si="4"/>
        <v>#DIV/0!</v>
      </c>
      <c r="S26" s="60">
        <v>0</v>
      </c>
      <c r="T26" s="75" t="e">
        <f t="shared" si="5"/>
        <v>#DIV/0!</v>
      </c>
      <c r="U26" s="119" t="e">
        <f t="shared" si="6"/>
        <v>#DIV/0!</v>
      </c>
      <c r="V26" s="69"/>
      <c r="W26" s="60">
        <v>14</v>
      </c>
      <c r="X26" s="60">
        <v>2455</v>
      </c>
      <c r="Y26" s="75">
        <f t="shared" si="13"/>
        <v>175.35714285714286</v>
      </c>
      <c r="Z26" s="60">
        <v>10025</v>
      </c>
      <c r="AA26" s="75">
        <f t="shared" si="7"/>
        <v>716.07142857142856</v>
      </c>
      <c r="AB26" s="119">
        <f t="shared" si="14"/>
        <v>4.0835030549898166</v>
      </c>
      <c r="AC26" s="69"/>
      <c r="AD26" s="60">
        <v>11</v>
      </c>
      <c r="AE26" s="60">
        <v>1301</v>
      </c>
      <c r="AF26" s="75">
        <f t="shared" si="8"/>
        <v>118.27272727272727</v>
      </c>
      <c r="AG26" s="60">
        <v>6236</v>
      </c>
      <c r="AH26" s="75">
        <f t="shared" si="9"/>
        <v>566.90909090909088</v>
      </c>
      <c r="AI26" s="119">
        <f t="shared" si="10"/>
        <v>4.7932359723289775</v>
      </c>
    </row>
    <row r="27" spans="1:35" ht="15">
      <c r="A27" s="72">
        <v>44767</v>
      </c>
      <c r="B27" s="60">
        <v>12</v>
      </c>
      <c r="C27" s="60">
        <v>1770</v>
      </c>
      <c r="D27" s="75">
        <f t="shared" si="11"/>
        <v>147.5</v>
      </c>
      <c r="E27" s="56">
        <v>6819</v>
      </c>
      <c r="F27" s="75">
        <f t="shared" si="0"/>
        <v>568.25</v>
      </c>
      <c r="G27" s="119">
        <f t="shared" si="1"/>
        <v>3.8525423728813561</v>
      </c>
      <c r="H27" s="69"/>
      <c r="I27" s="60">
        <v>7</v>
      </c>
      <c r="J27" s="60">
        <v>1012</v>
      </c>
      <c r="K27" s="75">
        <f t="shared" si="2"/>
        <v>144.57142857142858</v>
      </c>
      <c r="L27" s="60">
        <v>4609</v>
      </c>
      <c r="M27" s="75">
        <f t="shared" si="3"/>
        <v>658.42857142857144</v>
      </c>
      <c r="N27" s="119">
        <f t="shared" si="12"/>
        <v>4.5543478260869561</v>
      </c>
      <c r="O27" s="69"/>
      <c r="P27" s="60">
        <v>12</v>
      </c>
      <c r="Q27" s="60">
        <v>1916</v>
      </c>
      <c r="R27" s="75">
        <f t="shared" si="4"/>
        <v>159.66666666666666</v>
      </c>
      <c r="S27" s="60">
        <v>9162</v>
      </c>
      <c r="T27" s="75">
        <f t="shared" si="5"/>
        <v>763.5</v>
      </c>
      <c r="U27" s="119">
        <f t="shared" si="6"/>
        <v>4.7818371607515662</v>
      </c>
      <c r="V27" s="69"/>
      <c r="W27" s="60">
        <v>8</v>
      </c>
      <c r="X27" s="60">
        <v>1188</v>
      </c>
      <c r="Y27" s="75">
        <f t="shared" si="13"/>
        <v>148.5</v>
      </c>
      <c r="Z27" s="60">
        <v>4433</v>
      </c>
      <c r="AA27" s="75">
        <f t="shared" si="7"/>
        <v>554.125</v>
      </c>
      <c r="AB27" s="119">
        <f t="shared" si="14"/>
        <v>3.7314814814814814</v>
      </c>
      <c r="AC27" s="69"/>
      <c r="AD27" s="60">
        <v>12</v>
      </c>
      <c r="AE27" s="60">
        <v>1894</v>
      </c>
      <c r="AF27" s="75">
        <f t="shared" si="8"/>
        <v>157.83333333333334</v>
      </c>
      <c r="AG27" s="60">
        <v>8911</v>
      </c>
      <c r="AH27" s="75">
        <f t="shared" si="9"/>
        <v>742.58333333333337</v>
      </c>
      <c r="AI27" s="119">
        <f t="shared" si="10"/>
        <v>4.7048574445617737</v>
      </c>
    </row>
    <row r="28" spans="1:35" ht="15">
      <c r="A28" s="72">
        <v>44768</v>
      </c>
      <c r="B28" s="60">
        <v>15</v>
      </c>
      <c r="C28" s="60">
        <v>1994</v>
      </c>
      <c r="D28" s="75">
        <f>C28/B28</f>
        <v>132.93333333333334</v>
      </c>
      <c r="E28" s="56">
        <v>9387</v>
      </c>
      <c r="F28" s="75">
        <f>E28/B28</f>
        <v>625.79999999999995</v>
      </c>
      <c r="G28" s="119">
        <f>F28/D28</f>
        <v>4.7076228686058172</v>
      </c>
      <c r="H28" s="69"/>
      <c r="I28" s="60">
        <v>11</v>
      </c>
      <c r="J28" s="60">
        <v>1278</v>
      </c>
      <c r="K28" s="75">
        <f>J28/I28</f>
        <v>116.18181818181819</v>
      </c>
      <c r="L28" s="60">
        <v>5714</v>
      </c>
      <c r="M28" s="75">
        <f>L28/I28</f>
        <v>519.4545454545455</v>
      </c>
      <c r="N28" s="119">
        <f>M28/K28</f>
        <v>4.4710485133020343</v>
      </c>
      <c r="O28" s="69"/>
      <c r="P28" s="60">
        <v>11</v>
      </c>
      <c r="Q28" s="60">
        <v>1225</v>
      </c>
      <c r="R28" s="75">
        <f>Q28/P28</f>
        <v>111.36363636363636</v>
      </c>
      <c r="S28" s="60">
        <v>5694</v>
      </c>
      <c r="T28" s="75">
        <f>S28/P28</f>
        <v>517.63636363636363</v>
      </c>
      <c r="U28" s="119">
        <f>T28/R28</f>
        <v>4.6481632653061222</v>
      </c>
      <c r="V28" s="69"/>
      <c r="W28" s="60">
        <v>15</v>
      </c>
      <c r="X28" s="60">
        <v>2273</v>
      </c>
      <c r="Y28" s="75">
        <f>X28/W28</f>
        <v>151.53333333333333</v>
      </c>
      <c r="Z28" s="60">
        <v>9314</v>
      </c>
      <c r="AA28" s="75">
        <f>Z28/W28</f>
        <v>620.93333333333328</v>
      </c>
      <c r="AB28" s="119">
        <f>AA28/Y28</f>
        <v>4.097668279806423</v>
      </c>
      <c r="AC28" s="69"/>
      <c r="AD28" s="60">
        <v>17</v>
      </c>
      <c r="AE28" s="60">
        <v>1935</v>
      </c>
      <c r="AF28" s="75">
        <f>AE28/AD28</f>
        <v>113.82352941176471</v>
      </c>
      <c r="AG28" s="60">
        <v>8806</v>
      </c>
      <c r="AH28" s="75">
        <f>AG28/AD28</f>
        <v>518</v>
      </c>
      <c r="AI28" s="119">
        <f>AH28/AF28</f>
        <v>4.550904392764858</v>
      </c>
    </row>
    <row r="29" spans="1:35" ht="15">
      <c r="A29" s="72">
        <v>44769</v>
      </c>
      <c r="B29" s="60">
        <v>14</v>
      </c>
      <c r="C29" s="60">
        <v>2545</v>
      </c>
      <c r="D29" s="75">
        <f t="shared" ref="D29:D33" si="15">C29/B29</f>
        <v>181.78571428571428</v>
      </c>
      <c r="E29" s="56">
        <v>10908</v>
      </c>
      <c r="F29" s="75">
        <f t="shared" ref="F29:F33" si="16">E29/B29</f>
        <v>779.14285714285711</v>
      </c>
      <c r="G29" s="119">
        <f t="shared" ref="G29:G33" si="17">F29/D29</f>
        <v>4.2860510805500986</v>
      </c>
      <c r="H29" s="69"/>
      <c r="I29" s="60">
        <v>0</v>
      </c>
      <c r="J29" s="60">
        <v>0</v>
      </c>
      <c r="K29" s="75" t="e">
        <f t="shared" ref="K29:K33" si="18">J29/I29</f>
        <v>#DIV/0!</v>
      </c>
      <c r="L29" s="60">
        <v>0</v>
      </c>
      <c r="M29" s="75" t="e">
        <f t="shared" ref="M29:M33" si="19">L29/I29</f>
        <v>#DIV/0!</v>
      </c>
      <c r="N29" s="119" t="e">
        <f>M29/K29</f>
        <v>#DIV/0!</v>
      </c>
      <c r="O29" s="69"/>
      <c r="P29" s="60">
        <v>10</v>
      </c>
      <c r="Q29" s="60">
        <v>1091</v>
      </c>
      <c r="R29" s="75">
        <f t="shared" ref="R29:R33" si="20">Q29/P29</f>
        <v>109.1</v>
      </c>
      <c r="S29" s="60">
        <v>5069</v>
      </c>
      <c r="T29" s="75">
        <f t="shared" si="5"/>
        <v>506.9</v>
      </c>
      <c r="U29" s="119">
        <f t="shared" ref="U29:U33" si="21">T29/R29</f>
        <v>4.6461961503208062</v>
      </c>
      <c r="V29" s="69"/>
      <c r="W29" s="60">
        <v>15</v>
      </c>
      <c r="X29" s="60">
        <v>2761</v>
      </c>
      <c r="Y29" s="75">
        <f t="shared" ref="Y29:Y33" si="22">X29/W29</f>
        <v>184.06666666666666</v>
      </c>
      <c r="Z29" s="60">
        <v>10927</v>
      </c>
      <c r="AA29" s="75">
        <f>Z29/W29</f>
        <v>728.4666666666667</v>
      </c>
      <c r="AB29" s="119">
        <f t="shared" ref="AB29:AB33" si="23">AA29/Y29</f>
        <v>3.9576240492575154</v>
      </c>
      <c r="AC29" s="69"/>
      <c r="AD29" s="60">
        <v>11</v>
      </c>
      <c r="AE29" s="60">
        <v>1426</v>
      </c>
      <c r="AF29" s="75">
        <f t="shared" ref="AF29:AF33" si="24">AE29/AD29</f>
        <v>129.63636363636363</v>
      </c>
      <c r="AG29" s="60">
        <v>5999</v>
      </c>
      <c r="AH29" s="75">
        <f t="shared" ref="AH29:AH33" si="25">AG29/AD29</f>
        <v>545.36363636363637</v>
      </c>
      <c r="AI29" s="119">
        <f t="shared" ref="AI29:AI33" si="26">AH29/AF29</f>
        <v>4.2068723702664803</v>
      </c>
    </row>
    <row r="30" spans="1:35" ht="15">
      <c r="A30" s="72">
        <v>44770</v>
      </c>
      <c r="B30" s="60">
        <v>11</v>
      </c>
      <c r="C30" s="60">
        <v>1123</v>
      </c>
      <c r="D30" s="75">
        <f t="shared" si="15"/>
        <v>102.09090909090909</v>
      </c>
      <c r="E30" s="56">
        <v>5255</v>
      </c>
      <c r="F30" s="75">
        <f t="shared" si="16"/>
        <v>477.72727272727275</v>
      </c>
      <c r="G30" s="119">
        <f t="shared" si="17"/>
        <v>4.679430097951915</v>
      </c>
      <c r="H30" s="69"/>
      <c r="I30" s="60">
        <v>0</v>
      </c>
      <c r="J30" s="60">
        <v>0</v>
      </c>
      <c r="K30" s="75" t="e">
        <f t="shared" si="18"/>
        <v>#DIV/0!</v>
      </c>
      <c r="L30" s="60">
        <v>0</v>
      </c>
      <c r="M30" s="75" t="e">
        <f t="shared" si="19"/>
        <v>#DIV/0!</v>
      </c>
      <c r="N30" s="119" t="e">
        <f t="shared" ref="N30:N33" si="27">M30/K30</f>
        <v>#DIV/0!</v>
      </c>
      <c r="O30" s="69"/>
      <c r="P30" s="60">
        <v>15</v>
      </c>
      <c r="Q30" s="60">
        <v>1875</v>
      </c>
      <c r="R30" s="75">
        <f t="shared" si="20"/>
        <v>125</v>
      </c>
      <c r="S30" s="60">
        <v>8751</v>
      </c>
      <c r="T30" s="75">
        <f t="shared" si="5"/>
        <v>583.4</v>
      </c>
      <c r="U30" s="119">
        <f t="shared" si="21"/>
        <v>4.6672000000000002</v>
      </c>
      <c r="V30" s="69"/>
      <c r="W30" s="60">
        <v>12</v>
      </c>
      <c r="X30" s="60">
        <v>2310</v>
      </c>
      <c r="Y30" s="75">
        <f t="shared" si="22"/>
        <v>192.5</v>
      </c>
      <c r="Z30" s="60">
        <v>9233</v>
      </c>
      <c r="AA30" s="75">
        <f t="shared" si="7"/>
        <v>769.41666666666663</v>
      </c>
      <c r="AB30" s="119">
        <f t="shared" si="23"/>
        <v>3.9969696969696966</v>
      </c>
      <c r="AC30" s="69"/>
      <c r="AD30" s="60">
        <v>11</v>
      </c>
      <c r="AE30" s="60">
        <v>1734</v>
      </c>
      <c r="AF30" s="75">
        <f t="shared" si="24"/>
        <v>157.63636363636363</v>
      </c>
      <c r="AG30" s="60">
        <v>9312</v>
      </c>
      <c r="AH30" s="75">
        <f t="shared" si="25"/>
        <v>846.5454545454545</v>
      </c>
      <c r="AI30" s="119">
        <f t="shared" si="26"/>
        <v>5.3702422145328716</v>
      </c>
    </row>
    <row r="31" spans="1:35" ht="15">
      <c r="A31" s="72">
        <v>44771</v>
      </c>
      <c r="B31" s="60">
        <v>14</v>
      </c>
      <c r="C31" s="60">
        <v>2499</v>
      </c>
      <c r="D31" s="75">
        <f t="shared" si="15"/>
        <v>178.5</v>
      </c>
      <c r="E31" s="56">
        <v>11828</v>
      </c>
      <c r="F31" s="75">
        <f t="shared" si="16"/>
        <v>844.85714285714289</v>
      </c>
      <c r="G31" s="119">
        <f t="shared" si="17"/>
        <v>4.7330932372949182</v>
      </c>
      <c r="H31" s="69"/>
      <c r="I31" s="60">
        <v>10</v>
      </c>
      <c r="J31" s="60">
        <v>1319</v>
      </c>
      <c r="K31" s="75">
        <f t="shared" si="18"/>
        <v>131.9</v>
      </c>
      <c r="L31" s="60">
        <v>6177</v>
      </c>
      <c r="M31" s="75">
        <f t="shared" si="19"/>
        <v>617.70000000000005</v>
      </c>
      <c r="N31" s="119">
        <f t="shared" si="27"/>
        <v>4.6830932524639879</v>
      </c>
      <c r="O31" s="69"/>
      <c r="P31" s="60">
        <v>0</v>
      </c>
      <c r="Q31" s="60">
        <v>0</v>
      </c>
      <c r="R31" s="75" t="e">
        <f t="shared" si="20"/>
        <v>#DIV/0!</v>
      </c>
      <c r="S31" s="60">
        <v>0</v>
      </c>
      <c r="T31" s="75" t="e">
        <f t="shared" si="5"/>
        <v>#DIV/0!</v>
      </c>
      <c r="U31" s="119" t="e">
        <f t="shared" si="21"/>
        <v>#DIV/0!</v>
      </c>
      <c r="V31" s="69"/>
      <c r="W31" s="60">
        <v>17</v>
      </c>
      <c r="X31" s="60">
        <v>2111</v>
      </c>
      <c r="Y31" s="75">
        <f t="shared" si="22"/>
        <v>124.17647058823529</v>
      </c>
      <c r="Z31" s="60">
        <v>10097</v>
      </c>
      <c r="AA31" s="75">
        <f t="shared" si="7"/>
        <v>593.94117647058829</v>
      </c>
      <c r="AB31" s="119">
        <f t="shared" si="23"/>
        <v>4.7830412126954061</v>
      </c>
      <c r="AC31" s="69"/>
      <c r="AD31" s="60">
        <v>14</v>
      </c>
      <c r="AE31" s="60">
        <v>2279</v>
      </c>
      <c r="AF31" s="75">
        <f t="shared" si="24"/>
        <v>162.78571428571428</v>
      </c>
      <c r="AG31" s="60">
        <v>9307</v>
      </c>
      <c r="AH31" s="75">
        <f t="shared" si="25"/>
        <v>664.78571428571433</v>
      </c>
      <c r="AI31" s="119">
        <f t="shared" si="26"/>
        <v>4.0838086880210627</v>
      </c>
    </row>
    <row r="32" spans="1:35" ht="15">
      <c r="A32" s="72">
        <v>44772</v>
      </c>
      <c r="B32" s="60">
        <v>16</v>
      </c>
      <c r="C32" s="60">
        <v>2358</v>
      </c>
      <c r="D32" s="75">
        <f t="shared" si="15"/>
        <v>147.375</v>
      </c>
      <c r="E32" s="56">
        <v>10662</v>
      </c>
      <c r="F32" s="75">
        <f t="shared" si="16"/>
        <v>666.375</v>
      </c>
      <c r="G32" s="119">
        <f t="shared" si="17"/>
        <v>4.5216284987277353</v>
      </c>
      <c r="H32" s="69"/>
      <c r="I32" s="60">
        <v>9</v>
      </c>
      <c r="J32" s="60">
        <v>1134</v>
      </c>
      <c r="K32" s="75">
        <f t="shared" si="18"/>
        <v>126</v>
      </c>
      <c r="L32" s="60">
        <v>5147</v>
      </c>
      <c r="M32" s="75">
        <f t="shared" si="19"/>
        <v>571.88888888888891</v>
      </c>
      <c r="N32" s="119">
        <f t="shared" si="27"/>
        <v>4.5388007054673727</v>
      </c>
      <c r="O32" s="69"/>
      <c r="P32" s="60">
        <v>0</v>
      </c>
      <c r="Q32" s="60">
        <v>0</v>
      </c>
      <c r="R32" s="75" t="e">
        <f t="shared" si="20"/>
        <v>#DIV/0!</v>
      </c>
      <c r="S32" s="60">
        <v>0</v>
      </c>
      <c r="T32" s="75" t="e">
        <f t="shared" si="5"/>
        <v>#DIV/0!</v>
      </c>
      <c r="U32" s="119" t="e">
        <f t="shared" si="21"/>
        <v>#DIV/0!</v>
      </c>
      <c r="V32" s="69"/>
      <c r="W32" s="60">
        <v>15</v>
      </c>
      <c r="X32" s="60">
        <v>2154</v>
      </c>
      <c r="Y32" s="75">
        <f t="shared" si="22"/>
        <v>143.6</v>
      </c>
      <c r="Z32" s="60">
        <v>8670</v>
      </c>
      <c r="AA32" s="75">
        <f t="shared" si="7"/>
        <v>578</v>
      </c>
      <c r="AB32" s="119">
        <f t="shared" si="23"/>
        <v>4.0250696378830089</v>
      </c>
      <c r="AC32" s="69"/>
      <c r="AD32" s="60">
        <v>15</v>
      </c>
      <c r="AE32" s="60">
        <v>2228</v>
      </c>
      <c r="AF32" s="75">
        <f t="shared" si="24"/>
        <v>148.53333333333333</v>
      </c>
      <c r="AG32" s="60">
        <v>10735</v>
      </c>
      <c r="AH32" s="75">
        <f t="shared" si="25"/>
        <v>715.66666666666663</v>
      </c>
      <c r="AI32" s="119">
        <f t="shared" si="26"/>
        <v>4.8182226211849191</v>
      </c>
    </row>
    <row r="33" spans="1:35" ht="15">
      <c r="A33" s="72">
        <v>44773</v>
      </c>
      <c r="B33" s="61">
        <v>14</v>
      </c>
      <c r="C33" s="61">
        <v>2192</v>
      </c>
      <c r="D33" s="75">
        <f t="shared" si="15"/>
        <v>156.57142857142858</v>
      </c>
      <c r="E33" s="56">
        <v>10243</v>
      </c>
      <c r="F33" s="75">
        <f t="shared" si="16"/>
        <v>731.64285714285711</v>
      </c>
      <c r="G33" s="119">
        <f t="shared" si="17"/>
        <v>4.672901459854014</v>
      </c>
      <c r="H33" s="69"/>
      <c r="I33" s="61">
        <v>10</v>
      </c>
      <c r="J33" s="61">
        <v>1299</v>
      </c>
      <c r="K33" s="75">
        <f t="shared" si="18"/>
        <v>129.9</v>
      </c>
      <c r="L33" s="60">
        <v>5896</v>
      </c>
      <c r="M33" s="75">
        <f t="shared" si="19"/>
        <v>589.6</v>
      </c>
      <c r="N33" s="119">
        <f t="shared" si="27"/>
        <v>4.5388760585065437</v>
      </c>
      <c r="O33" s="69"/>
      <c r="P33" s="61">
        <v>0</v>
      </c>
      <c r="Q33" s="61">
        <v>0</v>
      </c>
      <c r="R33" s="75" t="e">
        <f t="shared" si="20"/>
        <v>#DIV/0!</v>
      </c>
      <c r="S33" s="60">
        <v>0</v>
      </c>
      <c r="T33" s="75" t="e">
        <f t="shared" si="5"/>
        <v>#DIV/0!</v>
      </c>
      <c r="U33" s="119" t="e">
        <f t="shared" si="21"/>
        <v>#DIV/0!</v>
      </c>
      <c r="V33" s="69"/>
      <c r="W33" s="61">
        <v>6</v>
      </c>
      <c r="X33" s="61">
        <v>749</v>
      </c>
      <c r="Y33" s="75">
        <f t="shared" si="22"/>
        <v>124.83333333333333</v>
      </c>
      <c r="Z33" s="60">
        <v>3421</v>
      </c>
      <c r="AA33" s="75">
        <f t="shared" si="7"/>
        <v>570.16666666666663</v>
      </c>
      <c r="AB33" s="119">
        <f t="shared" si="23"/>
        <v>4.567423230974633</v>
      </c>
      <c r="AC33" s="69"/>
      <c r="AD33" s="61">
        <v>15</v>
      </c>
      <c r="AE33" s="61">
        <v>2138</v>
      </c>
      <c r="AF33" s="75">
        <f t="shared" si="24"/>
        <v>142.53333333333333</v>
      </c>
      <c r="AG33" s="60">
        <v>10401</v>
      </c>
      <c r="AH33" s="75">
        <f t="shared" si="25"/>
        <v>693.4</v>
      </c>
      <c r="AI33" s="119">
        <f t="shared" si="26"/>
        <v>4.8648269410664176</v>
      </c>
    </row>
    <row r="34" spans="1:35" ht="27" customHeight="1">
      <c r="A34" s="95" t="s">
        <v>191</v>
      </c>
      <c r="B34" s="120">
        <f>SUM(B3:B33)</f>
        <v>374</v>
      </c>
      <c r="C34" s="120">
        <f t="shared" ref="C34:AI34" si="28">SUM(C3:C33)</f>
        <v>53420</v>
      </c>
      <c r="D34" s="120" t="e">
        <f t="shared" si="28"/>
        <v>#DIV/0!</v>
      </c>
      <c r="E34" s="120">
        <f t="shared" si="28"/>
        <v>238726</v>
      </c>
      <c r="F34" s="120" t="e">
        <f t="shared" si="28"/>
        <v>#DIV/0!</v>
      </c>
      <c r="G34" s="120" t="e">
        <f t="shared" si="28"/>
        <v>#DIV/0!</v>
      </c>
      <c r="H34" s="96"/>
      <c r="I34" s="120">
        <f t="shared" si="28"/>
        <v>369</v>
      </c>
      <c r="J34" s="120">
        <f t="shared" si="28"/>
        <v>49565</v>
      </c>
      <c r="K34" s="120" t="e">
        <f t="shared" si="28"/>
        <v>#DIV/0!</v>
      </c>
      <c r="L34" s="120">
        <f t="shared" si="28"/>
        <v>225208</v>
      </c>
      <c r="M34" s="120" t="e">
        <f t="shared" si="28"/>
        <v>#DIV/0!</v>
      </c>
      <c r="N34" s="120" t="e">
        <f t="shared" si="28"/>
        <v>#DIV/0!</v>
      </c>
      <c r="O34" s="96"/>
      <c r="P34" s="120"/>
      <c r="Q34" s="120"/>
      <c r="R34" s="120" t="e">
        <f t="shared" si="28"/>
        <v>#DIV/0!</v>
      </c>
      <c r="S34" s="120">
        <f t="shared" si="28"/>
        <v>203651</v>
      </c>
      <c r="T34" s="120" t="e">
        <f t="shared" si="28"/>
        <v>#DIV/0!</v>
      </c>
      <c r="U34" s="120" t="e">
        <f t="shared" si="28"/>
        <v>#DIV/0!</v>
      </c>
      <c r="V34" s="96"/>
      <c r="W34" s="120">
        <f t="shared" si="28"/>
        <v>184</v>
      </c>
      <c r="X34" s="120">
        <f t="shared" si="28"/>
        <v>28781</v>
      </c>
      <c r="Y34" s="120" t="e">
        <f t="shared" si="28"/>
        <v>#DIV/0!</v>
      </c>
      <c r="Z34" s="120">
        <f t="shared" si="28"/>
        <v>119812</v>
      </c>
      <c r="AA34" s="120" t="e">
        <f t="shared" si="28"/>
        <v>#DIV/0!</v>
      </c>
      <c r="AB34" s="120" t="e">
        <f t="shared" si="28"/>
        <v>#DIV/0!</v>
      </c>
      <c r="AC34" s="96"/>
      <c r="AD34" s="120">
        <f t="shared" si="28"/>
        <v>338</v>
      </c>
      <c r="AE34" s="120">
        <f t="shared" si="28"/>
        <v>45215</v>
      </c>
      <c r="AF34" s="120" t="e">
        <f t="shared" si="28"/>
        <v>#DIV/0!</v>
      </c>
      <c r="AG34" s="120">
        <f t="shared" si="28"/>
        <v>207794</v>
      </c>
      <c r="AH34" s="120" t="e">
        <f t="shared" si="28"/>
        <v>#DIV/0!</v>
      </c>
      <c r="AI34" s="120" t="e">
        <f t="shared" si="28"/>
        <v>#DIV/0!</v>
      </c>
    </row>
    <row r="35" spans="1:35" ht="27" customHeight="1">
      <c r="A35" s="123"/>
      <c r="B35" s="120"/>
      <c r="C35" s="120"/>
      <c r="D35" s="120"/>
      <c r="E35" s="120"/>
      <c r="F35" s="120"/>
      <c r="G35" s="120"/>
      <c r="H35" s="96"/>
      <c r="I35" s="120"/>
      <c r="J35" s="120"/>
      <c r="K35" s="120"/>
      <c r="L35" s="120"/>
      <c r="M35" s="120"/>
      <c r="N35" s="120"/>
      <c r="O35" s="96"/>
      <c r="P35" s="120"/>
      <c r="Q35" s="120"/>
      <c r="R35" s="120"/>
      <c r="S35" s="120"/>
      <c r="T35" s="120"/>
      <c r="U35" s="120"/>
      <c r="V35" s="96"/>
      <c r="W35" s="120"/>
      <c r="X35" s="120"/>
      <c r="Y35" s="120"/>
      <c r="Z35" s="120"/>
      <c r="AA35" s="120"/>
      <c r="AB35" s="120"/>
      <c r="AC35" s="96"/>
      <c r="AD35" s="120"/>
      <c r="AE35" s="120"/>
      <c r="AF35" s="120"/>
      <c r="AG35" s="120"/>
      <c r="AH35" s="120"/>
      <c r="AI35" s="120"/>
    </row>
    <row r="36" spans="1:35" ht="15">
      <c r="A36" s="124"/>
      <c r="B36" s="124" t="s">
        <v>192</v>
      </c>
      <c r="C36" s="124" t="s">
        <v>193</v>
      </c>
      <c r="D36" s="124" t="s">
        <v>194</v>
      </c>
      <c r="E36" s="124" t="s">
        <v>195</v>
      </c>
      <c r="F36" s="124" t="s">
        <v>196</v>
      </c>
      <c r="G36" s="124"/>
      <c r="U36" s="19"/>
    </row>
    <row r="37" spans="1:35" ht="15">
      <c r="A37" s="124" t="s">
        <v>197</v>
      </c>
      <c r="B37" s="125">
        <f>86-B22-B23-B24</f>
        <v>45</v>
      </c>
      <c r="C37" s="125">
        <f>169-I22-I23-I24-I25</f>
        <v>115</v>
      </c>
      <c r="D37" s="125">
        <f>112-P22-P23-P24</f>
        <v>78</v>
      </c>
      <c r="E37" s="125">
        <f>95-W22-W23-W24</f>
        <v>63</v>
      </c>
      <c r="F37" s="125">
        <f>237-AD23-AD24-AD25</f>
        <v>219</v>
      </c>
      <c r="G37" s="126" t="s">
        <v>198</v>
      </c>
    </row>
    <row r="45" spans="1:35">
      <c r="G45" s="86"/>
    </row>
    <row r="66" spans="5:5">
      <c r="E66">
        <v>0</v>
      </c>
    </row>
  </sheetData>
  <mergeCells count="5">
    <mergeCell ref="B1:G1"/>
    <mergeCell ref="I1:N1"/>
    <mergeCell ref="P1:U1"/>
    <mergeCell ref="W1:AB1"/>
    <mergeCell ref="AD1:AI1"/>
  </mergeCells>
  <pageMargins left="0.7" right="0.7" top="0.75" bottom="0.75" header="0.3" footer="0.3"/>
  <pageSetup paperSize="9" fitToHeight="0" orientation="landscape"/>
  <ignoredErrors>
    <ignoredError sqref="AF19 F27 D28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I65"/>
  <sheetViews>
    <sheetView showGridLines="0" workbookViewId="0">
      <pane ySplit="2" topLeftCell="A13" activePane="bottomLeft" state="frozen"/>
      <selection pane="bottomLeft" activeCell="I36" sqref="I36"/>
    </sheetView>
  </sheetViews>
  <sheetFormatPr defaultRowHeight="14.45"/>
  <cols>
    <col min="1" max="1" width="13.85546875" customWidth="1"/>
    <col min="4" max="4" width="10.42578125" bestFit="1" customWidth="1"/>
    <col min="5" max="5" width="12.85546875" customWidth="1"/>
    <col min="6" max="7" width="10.140625" customWidth="1"/>
  </cols>
  <sheetData>
    <row r="1" spans="1:9" ht="15">
      <c r="A1" s="102">
        <v>44743</v>
      </c>
      <c r="B1" s="158" t="s">
        <v>199</v>
      </c>
      <c r="C1" s="158"/>
      <c r="D1" s="158" t="s">
        <v>200</v>
      </c>
      <c r="E1" s="158"/>
      <c r="F1" s="158" t="s">
        <v>201</v>
      </c>
      <c r="G1" s="158"/>
      <c r="H1" s="158" t="s">
        <v>202</v>
      </c>
      <c r="I1" s="158"/>
    </row>
    <row r="2" spans="1:9" ht="15">
      <c r="A2" s="94" t="s">
        <v>203</v>
      </c>
      <c r="B2" s="93">
        <v>2019</v>
      </c>
      <c r="C2" s="93">
        <v>2022</v>
      </c>
      <c r="D2" s="93">
        <v>2019</v>
      </c>
      <c r="E2" s="93">
        <v>2022</v>
      </c>
      <c r="F2" s="93">
        <v>2019</v>
      </c>
      <c r="G2" s="93">
        <v>2022</v>
      </c>
      <c r="H2" s="93">
        <v>2019</v>
      </c>
      <c r="I2" s="93">
        <v>2022</v>
      </c>
    </row>
    <row r="3" spans="1:9" ht="15">
      <c r="A3" s="80">
        <v>1</v>
      </c>
      <c r="B3" s="89"/>
      <c r="C3" s="90">
        <f>'FS Seychelles'!B3</f>
        <v>64.5</v>
      </c>
      <c r="D3" s="91">
        <v>0</v>
      </c>
      <c r="E3" s="103">
        <f>SUM('FS Seychelles'!M3:Q3)</f>
        <v>26215</v>
      </c>
      <c r="F3" s="91">
        <v>0</v>
      </c>
      <c r="G3" s="92">
        <f>'FS Seychelles'!R3</f>
        <v>5877</v>
      </c>
      <c r="H3" s="91">
        <v>0</v>
      </c>
      <c r="I3" s="92">
        <f>SUM('FS Seychelles'!V3:Z3)</f>
        <v>350</v>
      </c>
    </row>
    <row r="4" spans="1:9" ht="15">
      <c r="A4" s="58">
        <v>2</v>
      </c>
      <c r="B4" s="79"/>
      <c r="C4" s="90">
        <f>'FS Seychelles'!B4</f>
        <v>65.8</v>
      </c>
      <c r="D4" s="88">
        <v>12131</v>
      </c>
      <c r="E4" s="88">
        <f>SUM('FS Seychelles'!M4:Q4)</f>
        <v>27379</v>
      </c>
      <c r="F4" s="88">
        <v>3140</v>
      </c>
      <c r="G4" s="105">
        <f>'FS Seychelles'!R4</f>
        <v>5498</v>
      </c>
      <c r="H4" s="88">
        <v>0</v>
      </c>
      <c r="I4" s="92">
        <f>SUM('FS Seychelles'!V4:Z4)</f>
        <v>256</v>
      </c>
    </row>
    <row r="5" spans="1:9" ht="15">
      <c r="A5" s="58">
        <v>3</v>
      </c>
      <c r="B5" s="79"/>
      <c r="C5" s="90">
        <f>'FS Seychelles'!B5</f>
        <v>69.7</v>
      </c>
      <c r="D5" s="88">
        <v>12788</v>
      </c>
      <c r="E5" s="88">
        <f>SUM('FS Seychelles'!M5:Q5)</f>
        <v>35381</v>
      </c>
      <c r="F5" s="88">
        <v>2953</v>
      </c>
      <c r="G5" s="105">
        <f>'FS Seychelles'!R5</f>
        <v>7827</v>
      </c>
      <c r="H5" s="88">
        <v>567</v>
      </c>
      <c r="I5" s="92">
        <f>SUM('FS Seychelles'!V5:Z5)</f>
        <v>393</v>
      </c>
    </row>
    <row r="6" spans="1:9" ht="15">
      <c r="A6" s="58">
        <v>4</v>
      </c>
      <c r="B6" s="79"/>
      <c r="C6" s="90">
        <f>'FS Seychelles'!B6</f>
        <v>65.8</v>
      </c>
      <c r="D6" s="88">
        <v>14786</v>
      </c>
      <c r="E6" s="88">
        <f>SUM('FS Seychelles'!M6:Q6)</f>
        <v>29070</v>
      </c>
      <c r="F6" s="88">
        <v>4089</v>
      </c>
      <c r="G6" s="105">
        <f>'FS Seychelles'!R6</f>
        <v>6402</v>
      </c>
      <c r="H6" s="88">
        <v>361</v>
      </c>
      <c r="I6" s="97">
        <f>SUM('FS Seychelles'!V6:Z6)</f>
        <v>436</v>
      </c>
    </row>
    <row r="7" spans="1:9" ht="15">
      <c r="A7" s="58">
        <v>5</v>
      </c>
      <c r="B7" s="79"/>
      <c r="C7" s="90">
        <f>'FS Seychelles'!B7</f>
        <v>51.3</v>
      </c>
      <c r="D7" s="88">
        <v>14523</v>
      </c>
      <c r="E7" s="88">
        <f>SUM('FS Seychelles'!M7:Q7)</f>
        <v>30896</v>
      </c>
      <c r="F7" s="88">
        <v>4257</v>
      </c>
      <c r="G7" s="105">
        <f>'FS Seychelles'!R7</f>
        <v>6596</v>
      </c>
      <c r="H7" s="88">
        <v>284</v>
      </c>
      <c r="I7" s="97">
        <f>SUM('FS Seychelles'!V7:Z7)</f>
        <v>414</v>
      </c>
    </row>
    <row r="8" spans="1:9" ht="15">
      <c r="A8" s="58">
        <v>6</v>
      </c>
      <c r="B8" s="79"/>
      <c r="C8" s="90">
        <f>'FS Seychelles'!B8</f>
        <v>55.3</v>
      </c>
      <c r="D8" s="88">
        <v>15778</v>
      </c>
      <c r="E8" s="88">
        <f>SUM('FS Seychelles'!M8:Q8)</f>
        <v>28768</v>
      </c>
      <c r="F8" s="88">
        <v>4323</v>
      </c>
      <c r="G8" s="78">
        <f>'FS Seychelles'!R8</f>
        <v>6479</v>
      </c>
      <c r="H8" s="88">
        <v>595</v>
      </c>
      <c r="I8" s="92">
        <f>SUM('FS Seychelles'!V8:Z8)</f>
        <v>420</v>
      </c>
    </row>
    <row r="9" spans="1:9" ht="15">
      <c r="A9" s="58">
        <v>7</v>
      </c>
      <c r="B9" s="79"/>
      <c r="C9" s="90">
        <f>'FS Seychelles'!B9</f>
        <v>61.8</v>
      </c>
      <c r="D9" s="88">
        <v>15518</v>
      </c>
      <c r="E9" s="88">
        <f>SUM('FS Seychelles'!M9:Q9)</f>
        <v>32176</v>
      </c>
      <c r="F9" s="88">
        <v>4549</v>
      </c>
      <c r="G9" s="105">
        <f>'FS Seychelles'!R9</f>
        <v>6945</v>
      </c>
      <c r="H9" s="88">
        <v>564</v>
      </c>
      <c r="I9" s="92">
        <f>SUM('FS Seychelles'!V9:Z9)</f>
        <v>367</v>
      </c>
    </row>
    <row r="10" spans="1:9" ht="15">
      <c r="A10" s="58">
        <v>8</v>
      </c>
      <c r="B10" s="79"/>
      <c r="C10" s="90">
        <f>'FS Seychelles'!B10</f>
        <v>63.2</v>
      </c>
      <c r="D10" s="88">
        <v>17408</v>
      </c>
      <c r="E10" s="88">
        <f>SUM('FS Seychelles'!M10:Q10)</f>
        <v>31335</v>
      </c>
      <c r="F10" s="88">
        <v>4675</v>
      </c>
      <c r="G10" s="78">
        <f>'FS Seychelles'!R10</f>
        <v>6832</v>
      </c>
      <c r="H10" s="88">
        <v>569</v>
      </c>
      <c r="I10" s="78">
        <f>SUM('FS Seychelles'!V10:Z10)</f>
        <v>398</v>
      </c>
    </row>
    <row r="11" spans="1:9" ht="15">
      <c r="A11" s="58">
        <v>9</v>
      </c>
      <c r="B11" s="79"/>
      <c r="C11" s="90">
        <f>'FS Seychelles'!B11</f>
        <v>63.2</v>
      </c>
      <c r="D11" s="88">
        <v>25133</v>
      </c>
      <c r="E11" s="88">
        <f>SUM('FS Seychelles'!M11:Q11)</f>
        <v>31068</v>
      </c>
      <c r="F11" s="88">
        <v>7484</v>
      </c>
      <c r="G11" s="78">
        <f>'FS Seychelles'!R11</f>
        <v>6655</v>
      </c>
      <c r="H11" s="88">
        <v>759</v>
      </c>
      <c r="I11" s="78">
        <f>SUM('FS Seychelles'!V11:Z11)</f>
        <v>369</v>
      </c>
    </row>
    <row r="12" spans="1:9" ht="15">
      <c r="A12" s="58">
        <v>10</v>
      </c>
      <c r="B12" s="79"/>
      <c r="C12" s="90">
        <f>'FS Seychelles'!B12</f>
        <v>67.099999999999994</v>
      </c>
      <c r="D12" s="88">
        <v>10438</v>
      </c>
      <c r="E12" s="104">
        <f>SUM('FS Seychelles'!M12:Q12)</f>
        <v>31633</v>
      </c>
      <c r="F12" s="88">
        <v>2955</v>
      </c>
      <c r="G12" s="105">
        <f>'FS Seychelles'!R12</f>
        <v>6946</v>
      </c>
      <c r="H12" s="88">
        <v>901</v>
      </c>
      <c r="I12" s="78">
        <f>SUM('FS Seychelles'!V12:Z12)</f>
        <v>391</v>
      </c>
    </row>
    <row r="13" spans="1:9" ht="15">
      <c r="A13" s="58">
        <v>11</v>
      </c>
      <c r="B13" s="79"/>
      <c r="C13" s="90">
        <f>'FS Seychelles'!B13</f>
        <v>69.7</v>
      </c>
      <c r="D13" s="88">
        <v>15086</v>
      </c>
      <c r="E13" s="88">
        <f>SUM('FS Seychelles'!M13:Q13)</f>
        <v>30878</v>
      </c>
      <c r="F13" s="88">
        <v>4104</v>
      </c>
      <c r="G13" s="78">
        <f>'FS Seychelles'!R13</f>
        <v>6694</v>
      </c>
      <c r="H13" s="88">
        <v>738</v>
      </c>
      <c r="I13" s="78">
        <f>SUM('FS Seychelles'!V13:Z13)</f>
        <v>395</v>
      </c>
    </row>
    <row r="14" spans="1:9" ht="15">
      <c r="A14" s="58">
        <v>12</v>
      </c>
      <c r="B14" s="79"/>
      <c r="C14" s="90">
        <f>'FS Seychelles'!B14</f>
        <v>68.400000000000006</v>
      </c>
      <c r="D14" s="88">
        <v>16641</v>
      </c>
      <c r="E14" s="88">
        <f>SUM('FS Seychelles'!M14:Q14)</f>
        <v>30654</v>
      </c>
      <c r="F14" s="88">
        <v>4719</v>
      </c>
      <c r="G14" s="105">
        <f>'FS Seychelles'!R14</f>
        <v>6656</v>
      </c>
      <c r="H14" s="88">
        <v>318</v>
      </c>
      <c r="I14" s="78">
        <f>SUM('FS Seychelles'!V14:Z14)</f>
        <v>355</v>
      </c>
    </row>
    <row r="15" spans="1:9" ht="15">
      <c r="A15" s="58">
        <v>13</v>
      </c>
      <c r="B15" s="79"/>
      <c r="C15" s="90">
        <f>'FS Seychelles'!B15</f>
        <v>64.5</v>
      </c>
      <c r="D15" s="88">
        <v>18204</v>
      </c>
      <c r="E15" s="88">
        <f>SUM('FS Seychelles'!M15:Q15)</f>
        <v>30975</v>
      </c>
      <c r="F15" s="88">
        <v>4780</v>
      </c>
      <c r="G15" s="105">
        <f>'FS Seychelles'!R15</f>
        <v>6751</v>
      </c>
      <c r="H15" s="88">
        <v>393</v>
      </c>
      <c r="I15" s="78">
        <f>SUM('FS Seychelles'!V15:Z15)</f>
        <v>357</v>
      </c>
    </row>
    <row r="16" spans="1:9" ht="15">
      <c r="A16" s="58">
        <v>14</v>
      </c>
      <c r="B16" s="79"/>
      <c r="C16" s="90">
        <f>'FS Seychelles'!B16</f>
        <v>72.400000000000006</v>
      </c>
      <c r="D16" s="88">
        <v>17217</v>
      </c>
      <c r="E16" s="88">
        <f>SUM('FS Seychelles'!M16:Q16)</f>
        <v>29676</v>
      </c>
      <c r="F16" s="88">
        <v>5202</v>
      </c>
      <c r="G16" s="105">
        <f>'FS Seychelles'!R16</f>
        <v>6469</v>
      </c>
      <c r="H16" s="88">
        <v>627</v>
      </c>
      <c r="I16" s="78">
        <f>SUM('FS Seychelles'!V16:Z16)</f>
        <v>341</v>
      </c>
    </row>
    <row r="17" spans="1:9" ht="15">
      <c r="A17" s="58">
        <v>15</v>
      </c>
      <c r="B17" s="79"/>
      <c r="C17" s="90">
        <f>'FS Seychelles'!B17</f>
        <v>68.400000000000006</v>
      </c>
      <c r="D17" s="88">
        <v>25307</v>
      </c>
      <c r="E17" s="88">
        <f>SUM('FS Seychelles'!M17:Q17)</f>
        <v>30486</v>
      </c>
      <c r="F17" s="88">
        <v>5966</v>
      </c>
      <c r="G17" s="78">
        <f>'FS Seychelles'!R17</f>
        <v>6616</v>
      </c>
      <c r="H17" s="88">
        <v>0</v>
      </c>
      <c r="I17" s="78">
        <f>SUM('FS Seychelles'!V17:Z17)</f>
        <v>376</v>
      </c>
    </row>
    <row r="18" spans="1:9" ht="15">
      <c r="A18" s="58">
        <v>16</v>
      </c>
      <c r="B18" s="79"/>
      <c r="C18" s="90">
        <f>'FS Seychelles'!B18</f>
        <v>71.099999999999994</v>
      </c>
      <c r="D18" s="88">
        <v>10718</v>
      </c>
      <c r="E18" s="88">
        <f>SUM('FS Seychelles'!M18:Q18)</f>
        <v>32047</v>
      </c>
      <c r="F18" s="88">
        <v>4534</v>
      </c>
      <c r="G18" s="78">
        <f>'FS Seychelles'!R18</f>
        <v>7030</v>
      </c>
      <c r="H18" s="88">
        <v>0</v>
      </c>
      <c r="I18" s="78">
        <f>SUM('FS Seychelles'!V18:Z18)</f>
        <v>365</v>
      </c>
    </row>
    <row r="19" spans="1:9" ht="15">
      <c r="A19" s="58">
        <v>17</v>
      </c>
      <c r="B19" s="79"/>
      <c r="C19" s="90">
        <f>'FS Seychelles'!B19</f>
        <v>64.5</v>
      </c>
      <c r="D19" s="88">
        <v>23234</v>
      </c>
      <c r="E19" s="88">
        <f>SUM('FS Seychelles'!M19:Q19)</f>
        <v>32703</v>
      </c>
      <c r="F19" s="88">
        <v>7211</v>
      </c>
      <c r="G19" s="78">
        <f>'FS Seychelles'!R19</f>
        <v>7099</v>
      </c>
      <c r="H19" s="88">
        <v>0</v>
      </c>
      <c r="I19" s="78">
        <f>SUM('FS Seychelles'!V19:Z19)</f>
        <v>387</v>
      </c>
    </row>
    <row r="20" spans="1:9" ht="15">
      <c r="A20" s="58">
        <v>18</v>
      </c>
      <c r="B20" s="79"/>
      <c r="C20" s="90">
        <f>'FS Seychelles'!B20</f>
        <v>59.2</v>
      </c>
      <c r="D20" s="88">
        <v>22938</v>
      </c>
      <c r="E20" s="88">
        <f>SUM('FS Seychelles'!M20:Q20)</f>
        <v>30106</v>
      </c>
      <c r="F20" s="88">
        <v>6164</v>
      </c>
      <c r="G20" s="78">
        <f>'FS Seychelles'!R20</f>
        <v>6518</v>
      </c>
      <c r="H20" s="88">
        <v>523</v>
      </c>
      <c r="I20" s="78">
        <f>SUM('FS Seychelles'!V20:Z20)</f>
        <v>289</v>
      </c>
    </row>
    <row r="21" spans="1:9" ht="15">
      <c r="A21" s="58">
        <v>19</v>
      </c>
      <c r="B21" s="79"/>
      <c r="C21" s="90">
        <f>'FS Seychelles'!B21</f>
        <v>69.7</v>
      </c>
      <c r="D21" s="88">
        <v>28283</v>
      </c>
      <c r="E21" s="88">
        <f>SUM('FS Seychelles'!M21:Q21)</f>
        <v>32450</v>
      </c>
      <c r="F21" s="88">
        <v>7830</v>
      </c>
      <c r="G21" s="78">
        <f>'FS Seychelles'!R21</f>
        <v>7454</v>
      </c>
      <c r="H21" s="88">
        <v>0</v>
      </c>
      <c r="I21" s="78">
        <f>SUM('FS Seychelles'!V21:Z21)</f>
        <v>377</v>
      </c>
    </row>
    <row r="22" spans="1:9" ht="15">
      <c r="A22" s="58">
        <v>20</v>
      </c>
      <c r="B22" s="79"/>
      <c r="C22" s="90">
        <f>'FS Seychelles'!B22</f>
        <v>65.8</v>
      </c>
      <c r="D22" s="88">
        <v>36791</v>
      </c>
      <c r="E22" s="88">
        <f>SUM('FS Seychelles'!M22:Q22)</f>
        <v>32135</v>
      </c>
      <c r="F22" s="88">
        <v>10181</v>
      </c>
      <c r="G22" s="78">
        <f>'FS Seychelles'!R22</f>
        <v>7683</v>
      </c>
      <c r="H22" s="88">
        <v>516</v>
      </c>
      <c r="I22" s="78">
        <f>SUM('FS Seychelles'!V22:Z22)</f>
        <v>358</v>
      </c>
    </row>
    <row r="23" spans="1:9" ht="15">
      <c r="A23" s="58">
        <v>21</v>
      </c>
      <c r="B23" s="79"/>
      <c r="C23" s="90">
        <f>'FS Seychelles'!B23</f>
        <v>67.099999999999994</v>
      </c>
      <c r="D23" s="88">
        <v>17459</v>
      </c>
      <c r="E23" s="88">
        <f>SUM('FS Seychelles'!M23:Q23)</f>
        <v>36669</v>
      </c>
      <c r="F23" s="88">
        <v>4860</v>
      </c>
      <c r="G23" s="78">
        <f>'FS Seychelles'!R23</f>
        <v>7984</v>
      </c>
      <c r="H23" s="88">
        <v>764</v>
      </c>
      <c r="I23" s="78">
        <f>SUM('FS Seychelles'!V23:Z23)</f>
        <v>323</v>
      </c>
    </row>
    <row r="24" spans="1:9" ht="15">
      <c r="A24" s="58">
        <v>22</v>
      </c>
      <c r="B24" s="79"/>
      <c r="C24" s="90">
        <f>'FS Seychelles'!B24</f>
        <v>65.8</v>
      </c>
      <c r="D24" s="88">
        <v>31670</v>
      </c>
      <c r="E24" s="88">
        <f>SUM('FS Seychelles'!M24:Q24)</f>
        <v>29841</v>
      </c>
      <c r="F24" s="88">
        <v>8136</v>
      </c>
      <c r="G24" s="78">
        <f>'FS Seychelles'!R24</f>
        <v>6582</v>
      </c>
      <c r="H24" s="88">
        <v>631</v>
      </c>
      <c r="I24" s="78">
        <f>SUM('FS Seychelles'!V24:Z24)</f>
        <v>337</v>
      </c>
    </row>
    <row r="25" spans="1:9" ht="15">
      <c r="A25" s="58">
        <v>23</v>
      </c>
      <c r="B25" s="79"/>
      <c r="C25" s="90">
        <f>'FS Seychelles'!B25</f>
        <v>59.2</v>
      </c>
      <c r="D25" s="88">
        <v>26631</v>
      </c>
      <c r="E25" s="88">
        <f>SUM('FS Seychelles'!M25:Q25)</f>
        <v>36408</v>
      </c>
      <c r="F25" s="88">
        <v>7266</v>
      </c>
      <c r="G25" s="78">
        <f>'FS Seychelles'!R25</f>
        <v>8519</v>
      </c>
      <c r="H25" s="88">
        <v>359</v>
      </c>
      <c r="I25" s="78">
        <f>SUM('FS Seychelles'!V25:Z25)</f>
        <v>340</v>
      </c>
    </row>
    <row r="26" spans="1:9" ht="15">
      <c r="A26" s="58">
        <v>24</v>
      </c>
      <c r="B26" s="79"/>
      <c r="C26" s="90">
        <f>'FS Seychelles'!B26</f>
        <v>51.3</v>
      </c>
      <c r="D26" s="88">
        <v>24244</v>
      </c>
      <c r="E26" s="88">
        <f>SUM('FS Seychelles'!M26:Q26)</f>
        <v>35355</v>
      </c>
      <c r="F26" s="88">
        <v>6462</v>
      </c>
      <c r="G26" s="78">
        <f>'FS Seychelles'!R26</f>
        <v>7980</v>
      </c>
      <c r="H26" s="88">
        <v>614</v>
      </c>
      <c r="I26" s="78">
        <f>SUM('FS Seychelles'!V26:Z26)</f>
        <v>354</v>
      </c>
    </row>
    <row r="27" spans="1:9" ht="15">
      <c r="A27" s="58">
        <v>25</v>
      </c>
      <c r="B27" s="79"/>
      <c r="C27" s="90">
        <f>'FS Seychelles'!B27</f>
        <v>73.7</v>
      </c>
      <c r="D27" s="88">
        <v>25253</v>
      </c>
      <c r="E27" s="88">
        <f>SUM('FS Seychelles'!M27:Q27)</f>
        <v>33934</v>
      </c>
      <c r="F27" s="88">
        <v>6791</v>
      </c>
      <c r="G27" s="78">
        <f>'FS Seychelles'!R27</f>
        <v>7780</v>
      </c>
      <c r="H27" s="88">
        <v>466</v>
      </c>
      <c r="I27" s="78">
        <f>SUM('FS Seychelles'!V27:Z27)</f>
        <v>262</v>
      </c>
    </row>
    <row r="28" spans="1:9" ht="15">
      <c r="A28" s="58">
        <v>26</v>
      </c>
      <c r="B28" s="79"/>
      <c r="C28" s="90">
        <f>'FS Seychelles'!B28</f>
        <v>77.599999999999994</v>
      </c>
      <c r="D28" s="88">
        <v>32450</v>
      </c>
      <c r="E28" s="88">
        <f>SUM('FS Seychelles'!M28:Q28)</f>
        <v>38915</v>
      </c>
      <c r="F28" s="88">
        <v>8828</v>
      </c>
      <c r="G28" s="78">
        <f>'FS Seychelles'!R28</f>
        <v>8705</v>
      </c>
      <c r="H28" s="88">
        <v>520</v>
      </c>
      <c r="I28" s="78">
        <f>SUM('FS Seychelles'!V29:Z29)</f>
        <v>275</v>
      </c>
    </row>
    <row r="29" spans="1:9" ht="15">
      <c r="A29" s="58">
        <v>27</v>
      </c>
      <c r="B29" s="79"/>
      <c r="C29" s="90">
        <f>'FS Seychelles'!B29</f>
        <v>81.599999999999994</v>
      </c>
      <c r="D29" s="88">
        <v>17746</v>
      </c>
      <c r="E29" s="88">
        <f>SUM('FS Seychelles'!M29:Q29)</f>
        <v>32903</v>
      </c>
      <c r="F29" s="88">
        <v>4836</v>
      </c>
      <c r="G29" s="78">
        <f>'FS Seychelles'!R29</f>
        <v>7823</v>
      </c>
      <c r="H29" s="88">
        <v>0</v>
      </c>
      <c r="I29" s="78">
        <f>SUM('FS Seychelles'!V29:Z29)</f>
        <v>275</v>
      </c>
    </row>
    <row r="30" spans="1:9" ht="15">
      <c r="A30" s="58">
        <v>28</v>
      </c>
      <c r="B30" s="79"/>
      <c r="C30" s="90">
        <f>'FS Seychelles'!B30</f>
        <v>78.900000000000006</v>
      </c>
      <c r="D30" s="88">
        <v>34289</v>
      </c>
      <c r="E30" s="88">
        <f>SUM('FS Seychelles'!M30:Q30)</f>
        <v>32551</v>
      </c>
      <c r="F30" s="88">
        <v>11717</v>
      </c>
      <c r="G30" s="78">
        <f>'FS Seychelles'!R30</f>
        <v>7042</v>
      </c>
      <c r="H30" s="88">
        <v>490</v>
      </c>
      <c r="I30" s="78">
        <f>SUM('FS Seychelles'!V30:Z30)</f>
        <v>324</v>
      </c>
    </row>
    <row r="31" spans="1:9" ht="15">
      <c r="A31" s="58">
        <v>29</v>
      </c>
      <c r="B31" s="79"/>
      <c r="C31" s="90">
        <f>'FS Seychelles'!B31</f>
        <v>77.599999999999994</v>
      </c>
      <c r="D31" s="88">
        <v>15723</v>
      </c>
      <c r="E31" s="88">
        <f>SUM('FS Seychelles'!M31:Q31)</f>
        <v>37409</v>
      </c>
      <c r="F31" s="88">
        <v>4386</v>
      </c>
      <c r="G31" s="78">
        <f>'FS Seychelles'!R31</f>
        <v>8208</v>
      </c>
      <c r="H31" s="88">
        <v>413</v>
      </c>
      <c r="I31" s="78">
        <f>SUM('FS Seychelles'!V31:Z31)</f>
        <v>300</v>
      </c>
    </row>
    <row r="32" spans="1:9" ht="15">
      <c r="A32" s="58">
        <v>30</v>
      </c>
      <c r="B32" s="79"/>
      <c r="C32" s="90">
        <f>'FS Seychelles'!B32</f>
        <v>80.3</v>
      </c>
      <c r="D32" s="88">
        <v>28752</v>
      </c>
      <c r="E32" s="88">
        <f>SUM('FS Seychelles'!M32:Q32)</f>
        <v>35214</v>
      </c>
      <c r="F32" s="88">
        <v>8369</v>
      </c>
      <c r="G32" s="78">
        <f>'FS Seychelles'!R32</f>
        <v>7874</v>
      </c>
      <c r="H32" s="88">
        <v>0</v>
      </c>
      <c r="I32" s="78">
        <f>SUM('FS Seychelles'!V32:Z32)</f>
        <v>258</v>
      </c>
    </row>
    <row r="33" spans="1:9" ht="15">
      <c r="A33" s="77">
        <v>31</v>
      </c>
      <c r="B33" s="82"/>
      <c r="C33" s="90">
        <f>'FS Seychelles'!B33</f>
        <v>0</v>
      </c>
      <c r="D33" s="88">
        <v>28024</v>
      </c>
      <c r="E33" s="88">
        <f>SUM('FS Seychelles'!M33:Q33)</f>
        <v>29961</v>
      </c>
      <c r="F33" s="88">
        <v>15222</v>
      </c>
      <c r="G33" s="78">
        <f>'FS Seychelles'!R33</f>
        <v>6378</v>
      </c>
      <c r="H33" s="88">
        <v>0</v>
      </c>
      <c r="I33" s="78">
        <f>SUM('FS Seychelles'!V33:Z33)</f>
        <v>347</v>
      </c>
    </row>
    <row r="34" spans="1:9" ht="15">
      <c r="A34" s="76" t="s">
        <v>204</v>
      </c>
      <c r="B34" s="83"/>
      <c r="C34" s="83"/>
      <c r="D34" s="61">
        <f>SUM(D3:D33)</f>
        <v>635163</v>
      </c>
      <c r="E34" s="61">
        <f>SUM(E3:E33)</f>
        <v>995191</v>
      </c>
      <c r="F34" s="61">
        <f t="shared" ref="E34:I34" si="0">SUM(F3:F33)</f>
        <v>185989</v>
      </c>
      <c r="G34" s="61">
        <f>SUM(G3:G33)</f>
        <v>219902</v>
      </c>
      <c r="H34" s="61">
        <f>SUM(H3:H33)</f>
        <v>11972</v>
      </c>
      <c r="I34" s="61">
        <f>SUM(I3:I33)</f>
        <v>10789</v>
      </c>
    </row>
    <row r="35" spans="1:9" ht="15">
      <c r="A35" s="76" t="s">
        <v>205</v>
      </c>
      <c r="B35" s="83"/>
      <c r="C35" s="83"/>
      <c r="D35" s="61"/>
      <c r="E35" s="61"/>
      <c r="F35" s="61"/>
      <c r="G35" s="61">
        <f>SUM(F42:F46)</f>
        <v>274120</v>
      </c>
      <c r="H35" s="61"/>
      <c r="I35" s="61"/>
    </row>
    <row r="36" spans="1:9" ht="15">
      <c r="A36" s="76" t="s">
        <v>206</v>
      </c>
      <c r="B36" s="83"/>
      <c r="C36" s="83"/>
      <c r="D36" s="58"/>
      <c r="E36" s="78"/>
      <c r="F36" s="58"/>
      <c r="G36" s="61">
        <v>270000</v>
      </c>
      <c r="H36" s="58"/>
      <c r="I36" s="58"/>
    </row>
    <row r="37" spans="1:9" ht="15">
      <c r="A37" s="76" t="s">
        <v>207</v>
      </c>
      <c r="B37" s="83"/>
      <c r="C37" s="83"/>
      <c r="D37" s="58"/>
      <c r="E37" s="78"/>
      <c r="F37" s="58"/>
      <c r="G37" s="61">
        <v>268000</v>
      </c>
      <c r="H37" s="58"/>
      <c r="I37" s="58"/>
    </row>
    <row r="38" spans="1:9" ht="15">
      <c r="A38" s="76" t="s">
        <v>208</v>
      </c>
      <c r="B38" s="83"/>
      <c r="C38" s="83"/>
      <c r="D38" s="58"/>
      <c r="E38" s="78"/>
      <c r="F38" s="58"/>
      <c r="G38" s="61">
        <f>20*3</f>
        <v>60</v>
      </c>
      <c r="H38" s="58"/>
      <c r="I38" s="58"/>
    </row>
    <row r="39" spans="1:9" ht="15">
      <c r="A39" s="81" t="s">
        <v>209</v>
      </c>
      <c r="B39" s="84"/>
      <c r="C39" s="84"/>
      <c r="D39" s="58"/>
      <c r="E39" s="78"/>
      <c r="F39" s="58"/>
      <c r="G39" s="61">
        <f>G35-G36-G38</f>
        <v>4060</v>
      </c>
      <c r="H39" s="58"/>
      <c r="I39" s="58"/>
    </row>
    <row r="40" spans="1:9" ht="15">
      <c r="E40" s="85"/>
      <c r="G40" s="86"/>
    </row>
    <row r="41" spans="1:9" ht="30.75">
      <c r="A41" s="9" t="s">
        <v>210</v>
      </c>
      <c r="B41" s="9" t="s">
        <v>211</v>
      </c>
      <c r="C41" s="9" t="s">
        <v>212</v>
      </c>
      <c r="D41" s="98" t="s">
        <v>213</v>
      </c>
      <c r="E41" s="98" t="s">
        <v>214</v>
      </c>
      <c r="F41" s="98" t="s">
        <v>215</v>
      </c>
      <c r="G41" s="114" t="s">
        <v>216</v>
      </c>
    </row>
    <row r="42" spans="1:9" ht="15">
      <c r="A42" s="9" t="s">
        <v>217</v>
      </c>
      <c r="B42" s="87">
        <v>3783268</v>
      </c>
      <c r="C42">
        <v>3850968</v>
      </c>
      <c r="D42">
        <f>C42-B42</f>
        <v>67700</v>
      </c>
      <c r="E42">
        <v>3912962</v>
      </c>
      <c r="F42" s="99">
        <f>E42-C42</f>
        <v>61994</v>
      </c>
      <c r="G42">
        <v>3970363</v>
      </c>
      <c r="H42">
        <f>G42-E42</f>
        <v>57401</v>
      </c>
    </row>
    <row r="43" spans="1:9" ht="15">
      <c r="A43" s="9" t="s">
        <v>218</v>
      </c>
      <c r="B43" s="87">
        <v>3912609</v>
      </c>
      <c r="C43">
        <v>3980358</v>
      </c>
      <c r="D43">
        <f t="shared" ref="D43:D46" si="1">C43-B43</f>
        <v>67749</v>
      </c>
      <c r="E43">
        <v>4035321</v>
      </c>
      <c r="F43" s="99">
        <f>E43-C43</f>
        <v>54963</v>
      </c>
      <c r="G43" s="115">
        <v>4085439</v>
      </c>
      <c r="H43">
        <f>G43-E43</f>
        <v>50118</v>
      </c>
    </row>
    <row r="44" spans="1:9" ht="15">
      <c r="A44" s="9" t="s">
        <v>219</v>
      </c>
      <c r="B44" s="87">
        <v>4270083</v>
      </c>
      <c r="C44">
        <v>4316382</v>
      </c>
      <c r="D44">
        <f t="shared" si="1"/>
        <v>46299</v>
      </c>
      <c r="E44">
        <v>4365819</v>
      </c>
      <c r="F44" s="99">
        <f>E44-C44</f>
        <v>49437</v>
      </c>
      <c r="G44">
        <v>4399232</v>
      </c>
      <c r="H44">
        <f>G44-E44</f>
        <v>33413</v>
      </c>
    </row>
    <row r="45" spans="1:9" ht="15">
      <c r="A45" s="9" t="s">
        <v>220</v>
      </c>
      <c r="B45" s="87">
        <v>1617768</v>
      </c>
      <c r="C45" s="87">
        <v>1664278</v>
      </c>
      <c r="D45">
        <f t="shared" si="1"/>
        <v>46510</v>
      </c>
      <c r="E45">
        <v>1719359</v>
      </c>
      <c r="F45" s="99">
        <f>E45-C45</f>
        <v>55081</v>
      </c>
      <c r="G45">
        <v>1740641</v>
      </c>
      <c r="H45">
        <f>G45-E45</f>
        <v>21282</v>
      </c>
    </row>
    <row r="46" spans="1:9" ht="15">
      <c r="A46" s="9" t="s">
        <v>221</v>
      </c>
      <c r="B46" s="87">
        <v>2845368</v>
      </c>
      <c r="C46">
        <v>2900436</v>
      </c>
      <c r="D46">
        <f t="shared" si="1"/>
        <v>55068</v>
      </c>
      <c r="E46">
        <v>2953081</v>
      </c>
      <c r="F46" s="99">
        <f>E46-C46</f>
        <v>52645</v>
      </c>
      <c r="G46">
        <v>3003984</v>
      </c>
      <c r="H46">
        <f>G46-E46</f>
        <v>50903</v>
      </c>
    </row>
    <row r="48" spans="1:9" ht="15.75">
      <c r="A48" s="159" t="s">
        <v>222</v>
      </c>
      <c r="B48" s="159"/>
      <c r="C48" s="159"/>
      <c r="D48" s="159"/>
      <c r="E48" s="159"/>
      <c r="F48" s="159"/>
      <c r="G48" s="159"/>
      <c r="H48" s="159"/>
      <c r="I48" s="159"/>
    </row>
    <row r="49" spans="1:9" ht="15">
      <c r="A49" s="160"/>
      <c r="B49" s="160"/>
      <c r="C49" s="160"/>
      <c r="D49" s="160"/>
      <c r="E49" s="160"/>
      <c r="F49" s="160"/>
      <c r="G49" s="160"/>
      <c r="H49" s="160"/>
      <c r="I49" s="160"/>
    </row>
    <row r="50" spans="1:9" ht="15">
      <c r="A50" s="161" t="s">
        <v>223</v>
      </c>
      <c r="B50" s="161"/>
      <c r="C50" s="161"/>
      <c r="D50" s="161"/>
      <c r="E50" s="161"/>
      <c r="F50" s="161"/>
      <c r="G50" s="161"/>
      <c r="H50" s="161"/>
      <c r="I50" s="161"/>
    </row>
    <row r="51" spans="1:9" ht="15">
      <c r="A51" s="160" t="s">
        <v>224</v>
      </c>
      <c r="B51" s="160"/>
      <c r="C51" s="160"/>
      <c r="D51" s="160"/>
      <c r="E51" s="160"/>
      <c r="F51" s="160"/>
      <c r="G51" s="160"/>
      <c r="H51" s="160"/>
      <c r="I51" s="160"/>
    </row>
    <row r="52" spans="1:9" ht="15">
      <c r="A52" s="160" t="s">
        <v>225</v>
      </c>
      <c r="B52" s="160"/>
      <c r="C52" s="160"/>
      <c r="D52" s="160"/>
      <c r="E52" s="160"/>
      <c r="F52" s="160"/>
      <c r="G52" s="160"/>
      <c r="H52" s="160"/>
      <c r="I52" s="160"/>
    </row>
    <row r="53" spans="1:9" ht="15">
      <c r="A53" s="160" t="s">
        <v>226</v>
      </c>
      <c r="B53" s="160"/>
      <c r="C53" s="160"/>
      <c r="D53" s="160"/>
      <c r="E53" s="160"/>
      <c r="F53" s="160"/>
      <c r="G53" s="160"/>
      <c r="H53" s="160"/>
      <c r="I53" s="160"/>
    </row>
    <row r="54" spans="1:9" ht="15">
      <c r="A54" s="160"/>
      <c r="B54" s="160"/>
      <c r="C54" s="160"/>
      <c r="D54" s="160"/>
      <c r="E54" s="160"/>
      <c r="F54" s="160"/>
      <c r="G54" s="160"/>
      <c r="H54" s="160"/>
      <c r="I54" s="160"/>
    </row>
    <row r="55" spans="1:9" ht="15">
      <c r="A55" s="162" t="s">
        <v>227</v>
      </c>
      <c r="B55" s="162"/>
      <c r="C55" s="162"/>
      <c r="D55" s="162"/>
      <c r="E55" s="162"/>
      <c r="F55" s="162"/>
      <c r="G55" s="162"/>
      <c r="H55" s="162"/>
      <c r="I55" s="162"/>
    </row>
    <row r="56" spans="1:9" ht="15">
      <c r="A56" s="157"/>
      <c r="B56" s="157"/>
      <c r="C56" s="157"/>
      <c r="D56" s="157"/>
      <c r="E56" s="157"/>
      <c r="F56" s="157"/>
      <c r="G56" s="157"/>
      <c r="H56" s="157"/>
      <c r="I56" s="157"/>
    </row>
    <row r="57" spans="1:9" ht="15">
      <c r="A57" s="163"/>
      <c r="B57" s="163"/>
      <c r="C57" s="163"/>
      <c r="D57" s="163"/>
      <c r="E57" s="163"/>
      <c r="F57" s="163"/>
      <c r="G57" s="163"/>
      <c r="H57" s="163"/>
      <c r="I57" s="163"/>
    </row>
    <row r="58" spans="1:9" ht="15">
      <c r="A58" s="161"/>
      <c r="B58" s="161"/>
      <c r="C58" s="161"/>
      <c r="D58" s="161"/>
      <c r="E58" s="161"/>
      <c r="F58" s="161"/>
      <c r="G58" s="161"/>
      <c r="H58" s="161"/>
      <c r="I58" s="161"/>
    </row>
    <row r="59" spans="1:9" ht="15">
      <c r="A59" s="164" t="s">
        <v>228</v>
      </c>
      <c r="B59" s="165"/>
      <c r="C59" s="165"/>
      <c r="D59" s="165"/>
      <c r="E59" s="165"/>
      <c r="F59" s="165"/>
      <c r="G59" s="165"/>
      <c r="H59" s="165"/>
      <c r="I59" s="165"/>
    </row>
    <row r="60" spans="1:9" ht="15">
      <c r="A60" s="160"/>
      <c r="B60" s="160"/>
      <c r="C60" s="160"/>
      <c r="D60" s="160"/>
      <c r="E60" s="160"/>
      <c r="F60" s="160"/>
      <c r="G60" s="160"/>
      <c r="H60" s="160"/>
      <c r="I60" s="160"/>
    </row>
    <row r="61" spans="1:9" ht="15">
      <c r="A61" s="160"/>
      <c r="B61" s="160"/>
      <c r="C61" s="160"/>
      <c r="D61" s="160"/>
      <c r="E61" s="160"/>
      <c r="F61" s="160"/>
      <c r="G61" s="160"/>
      <c r="H61" s="160"/>
      <c r="I61" s="160"/>
    </row>
    <row r="62" spans="1:9" ht="15">
      <c r="A62" s="161" t="s">
        <v>209</v>
      </c>
      <c r="B62" s="161"/>
      <c r="C62" s="161"/>
      <c r="D62" s="161"/>
      <c r="E62" s="161"/>
      <c r="F62" s="161"/>
      <c r="G62" s="161"/>
      <c r="H62" s="161"/>
      <c r="I62" s="161"/>
    </row>
    <row r="63" spans="1:9" ht="15">
      <c r="A63" s="160"/>
      <c r="B63" s="160"/>
      <c r="C63" s="160"/>
      <c r="D63" s="160"/>
      <c r="E63" s="160"/>
      <c r="F63" s="160"/>
      <c r="G63" s="160"/>
      <c r="H63" s="160"/>
      <c r="I63" s="160"/>
    </row>
    <row r="64" spans="1:9" ht="15">
      <c r="A64" s="160"/>
      <c r="B64" s="160"/>
      <c r="C64" s="160"/>
      <c r="D64" s="160"/>
      <c r="E64" s="160"/>
      <c r="F64" s="160"/>
      <c r="G64" s="160"/>
      <c r="H64" s="160"/>
      <c r="I64" s="160"/>
    </row>
    <row r="65" spans="1:9" ht="15">
      <c r="A65" s="160"/>
      <c r="B65" s="160"/>
      <c r="C65" s="160"/>
      <c r="D65" s="160"/>
      <c r="E65" s="160"/>
      <c r="F65" s="160"/>
      <c r="G65" s="160"/>
      <c r="H65" s="160"/>
      <c r="I65" s="160"/>
    </row>
  </sheetData>
  <mergeCells count="22">
    <mergeCell ref="B1:C1"/>
    <mergeCell ref="D1:E1"/>
    <mergeCell ref="F1:G1"/>
    <mergeCell ref="H1:I1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64:I64"/>
    <mergeCell ref="A65:I65"/>
    <mergeCell ref="A59:I59"/>
    <mergeCell ref="A60:I60"/>
    <mergeCell ref="A61:I61"/>
    <mergeCell ref="A62:I62"/>
    <mergeCell ref="A63:I63"/>
  </mergeCells>
  <conditionalFormatting sqref="C3:C33">
    <cfRule type="cellIs" dxfId="1" priority="3" operator="greaterThanOrEqual">
      <formula>$B$3</formula>
    </cfRule>
  </conditionalFormatting>
  <conditionalFormatting sqref="C3:C33">
    <cfRule type="cellIs" dxfId="0" priority="2" operator="lessThanOrEqual">
      <formula>$B$3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6" ma:contentTypeDescription="Create a new document." ma:contentTypeScope="" ma:versionID="f20891f0c12abe207bc8c62200ca650a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10e27d89594f1f3aacd0a2744d14e729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0F5833-E3D5-4465-B836-0DEADAE27D49}"/>
</file>

<file path=customXml/itemProps2.xml><?xml version="1.0" encoding="utf-8"?>
<ds:datastoreItem xmlns:ds="http://schemas.openxmlformats.org/officeDocument/2006/customXml" ds:itemID="{53C1FFEE-54E3-4891-B98C-21C3BE451C87}"/>
</file>

<file path=customXml/itemProps3.xml><?xml version="1.0" encoding="utf-8"?>
<ds:datastoreItem xmlns:ds="http://schemas.openxmlformats.org/officeDocument/2006/customXml" ds:itemID="{20818052-13F8-4E46-A0B5-936AA2DD28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2022-08-07T07:58:23Z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