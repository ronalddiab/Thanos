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<sst xmlns="http://schemas.openxmlformats.org/spreadsheetml/2006/main" count="313" uniqueCount="148">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</sst>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6870.0000000002556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71</v>
      </c>
      <c r="J12" s="11">
        <f t="shared" si="3"/>
        <v>10.487297712684205</v>
      </c>
      <c r="K12" s="13">
        <f>'FS Desroches Daily'!CN14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8749.9999999993979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61</v>
      </c>
      <c r="J13" s="11">
        <f t="shared" si="3"/>
        <v>10.487297712684205</v>
      </c>
      <c r="K13" s="13">
        <f>'FS Desroches Daily'!CN15</f>
        <v>10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9320.000000000502</v>
      </c>
      <c r="F14" s="11">
        <f t="shared" si="1"/>
        <v>0.58765030286592534</v>
      </c>
      <c r="G14" s="12">
        <f>(Submetering!AX14+Submetering!AY14+Submetering!AZ14+Submetering!BA14+Submetering!BB14)</f>
        <v>10201.455</v>
      </c>
      <c r="H14" s="11">
        <f t="shared" si="2"/>
        <v>0.99</v>
      </c>
      <c r="I14" s="12">
        <f>'FS Desroches Daily'!CM16</f>
        <v>66</v>
      </c>
      <c r="J14" s="11">
        <f t="shared" si="3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8700.0000000002183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55</v>
      </c>
      <c r="J15" s="11">
        <f t="shared" si="3"/>
        <v>10.487297712684205</v>
      </c>
      <c r="K15" s="13">
        <f>'FS Desroches Daily'!CN17</f>
        <v>12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9000.0000000000764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88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8269.9999999998799</v>
      </c>
      <c r="F17" s="11">
        <f t="shared" si="1"/>
        <v>0.58765030286592534</v>
      </c>
      <c r="G17" s="12">
        <f>(Submetering!AX17+Submetering!AY17+Submetering!AZ17+Submetering!BA17+Submetering!BB17)</f>
        <v>16.483499999999999</v>
      </c>
      <c r="H17" s="11">
        <f t="shared" si="2"/>
        <v>0.99</v>
      </c>
      <c r="I17" s="12">
        <f>'FS Desroches Daily'!CM19</f>
        <v>62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8099.9999999995425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63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 t="e">
        <f>Submetering!E19+Submetering!F19+Submetering!G19+Submetering!H19+Submetering!J19-Submetering!AV19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 t="e">
        <f>'FS Desroches Daily'!CM21</f>
        <v>#VALUE!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1900.0000000000127</v>
      </c>
      <c r="F12" s="32">
        <f>'FS Desroches Daily'!F14</f>
        <v>2400.0000000001796</v>
      </c>
      <c r="G12" s="31">
        <f>'FS Desroches Daily'!H14</f>
        <v>1199.9999999998679</v>
      </c>
      <c r="H12" s="32">
        <f>'FS Desroches Daily'!J14</f>
        <v>1200.0000000000898</v>
      </c>
      <c r="I12" s="31">
        <f>'FS Desroches Daily'!L14</f>
        <v>1999.9999999997797</v>
      </c>
      <c r="J12" s="32">
        <f>'FS Desroches Daily'!N14</f>
        <v>900.0000000001229</v>
      </c>
      <c r="K12" s="13">
        <f>'FS Desroches Daily'!P14</f>
        <v>1</v>
      </c>
      <c r="L12" s="31">
        <f>'FS Desroches Daily'!R14</f>
        <v>3</v>
      </c>
      <c r="M12" s="31">
        <f>'FS Desroches Daily'!T14</f>
        <v>0.8000000000001819</v>
      </c>
      <c r="N12" s="31">
        <f>'FS Desroches Daily'!V14</f>
        <v>309</v>
      </c>
      <c r="O12" s="31">
        <f>'FS Desroches Daily'!X14</f>
        <v>259.99999999999091</v>
      </c>
      <c r="P12" s="31">
        <f>'FS Desroches Daily'!Z14</f>
        <v>2099.9999999999909</v>
      </c>
      <c r="Q12" s="31">
        <f>'FS Desroches Daily'!AB14</f>
        <v>129.99999999999545</v>
      </c>
      <c r="R12" s="31">
        <f>'FS Desroches Daily'!AD14</f>
        <v>269.99999999998181</v>
      </c>
      <c r="S12" s="31">
        <f>'FS Desroches Daily'!AF14</f>
        <v>210.00000000003638</v>
      </c>
      <c r="T12" s="31">
        <f>'FS Desroches Daily'!AH14</f>
        <v>34</v>
      </c>
      <c r="U12" s="35">
        <f>'FS Desroches Daily'!AJ14</f>
        <v>500</v>
      </c>
      <c r="V12" s="35">
        <f>'FS Desroches Daily'!AL14</f>
        <v>210.00000000000796</v>
      </c>
      <c r="W12" s="35">
        <f>'FS Desroches Daily'!AN14</f>
        <v>139.99999999998636</v>
      </c>
      <c r="X12" s="35">
        <f>'FS Desroches Daily'!AP14</f>
        <v>159.99999999999659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109.9999999999568</v>
      </c>
      <c r="AC12" s="35">
        <f>'FS Desroches Daily'!AZ14</f>
        <v>50.000000000011369</v>
      </c>
      <c r="AD12" s="35">
        <f>'FS Desroches Daily'!BB14</f>
        <v>29.999999999972715</v>
      </c>
      <c r="AE12" s="35">
        <f>'FS Desroches Daily'!BD14</f>
        <v>29.999999999972715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19.99999999998181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22</v>
      </c>
      <c r="AM12" s="32">
        <f>'FS Desroches Daily'!BT14</f>
        <v>39.999999999992042</v>
      </c>
      <c r="AN12" s="32">
        <f>'FS Desroches Daily'!BV14</f>
        <v>38</v>
      </c>
      <c r="AO12" s="32">
        <f>'FS Desroches Daily'!BX14</f>
        <v>20.000000000010232</v>
      </c>
      <c r="AP12" s="32">
        <f>'FS Desroches Daily'!BZ14</f>
        <v>21</v>
      </c>
      <c r="AQ12" s="31">
        <f>'FS Desroches Daily'!CB14</f>
        <v>32.799999999995634</v>
      </c>
      <c r="AR12" s="31">
        <f>'FS Desroches Daily'!CD14</f>
        <v>6.8999999999996362</v>
      </c>
      <c r="AS12" s="31">
        <f>'FS Desroches Daily'!CF14</f>
        <v>9.3000000000001819</v>
      </c>
      <c r="AT12" s="31">
        <f>'FS Desroches Daily'!CH14</f>
        <v>43.099999999998545</v>
      </c>
      <c r="AU12" s="31">
        <f>'FS Desroches Daily'!CJ14</f>
        <v>327</v>
      </c>
      <c r="AV12" s="31">
        <f>'FS Desroches Daily'!CL14</f>
        <v>730.00000000001819</v>
      </c>
      <c r="AW12" s="31">
        <f>'FS Desroches Daily'!CM14</f>
        <v>71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10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1999.9999999997797</v>
      </c>
      <c r="F13" s="32">
        <f>'FS Desroches Daily'!F15</f>
        <v>2699.9999999999245</v>
      </c>
      <c r="G13" s="31">
        <f>'FS Desroches Daily'!H15</f>
        <v>2699.9999999999245</v>
      </c>
      <c r="H13" s="32">
        <f>'FS Desroches Daily'!J15</f>
        <v>1299.9999999998568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8</v>
      </c>
      <c r="L13" s="31">
        <f>'FS Desroches Daily'!R15</f>
        <v>3</v>
      </c>
      <c r="M13" s="31">
        <f>'FS Desroches Daily'!T15</f>
        <v>0.79999999999995453</v>
      </c>
      <c r="N13" s="31">
        <f>'FS Desroches Daily'!V15</f>
        <v>382.29999999998836</v>
      </c>
      <c r="O13" s="31">
        <f>'FS Desroches Daily'!X15</f>
        <v>290.00000000002046</v>
      </c>
      <c r="P13" s="31">
        <f>'FS Desroches Daily'!Z15</f>
        <v>2399.9999999997358</v>
      </c>
      <c r="Q13" s="31">
        <f>'FS Desroches Daily'!AB15</f>
        <v>230.00000000001819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559.99999999994543</v>
      </c>
      <c r="V13" s="35">
        <f>'FS Desroches Daily'!AL15</f>
        <v>230.00000000001819</v>
      </c>
      <c r="W13" s="35">
        <f>'FS Desroches Daily'!AN15</f>
        <v>150.00000000000568</v>
      </c>
      <c r="X13" s="35">
        <f>'FS Desroches Daily'!AP15</f>
        <v>140.00000000001478</v>
      </c>
      <c r="Y13" s="35">
        <f>'FS Desroches Daily'!AR15</f>
        <v>169.99999999998749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170.00000000001592</v>
      </c>
      <c r="AC13" s="35">
        <f>'FS Desroches Daily'!AZ15</f>
        <v>39.99999999996362</v>
      </c>
      <c r="AD13" s="35">
        <f>'FS Desroches Daily'!BB15</f>
        <v>20.000000000038654</v>
      </c>
      <c r="AE13" s="35">
        <f>'FS Desroches Daily'!BD15</f>
        <v>40.000000000020464</v>
      </c>
      <c r="AF13" s="31">
        <f>'FS Desroches Daily'!BF15</f>
        <v>29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23</v>
      </c>
      <c r="AM13" s="32">
        <f>'FS Desroches Daily'!BT15</f>
        <v>39.999999999992042</v>
      </c>
      <c r="AN13" s="32">
        <f>'FS Desroches Daily'!BV15</f>
        <v>49</v>
      </c>
      <c r="AO13" s="32">
        <f>'FS Desroches Daily'!BX15</f>
        <v>9.9999999999909051</v>
      </c>
      <c r="AP13" s="32">
        <f>'FS Desroches Daily'!BZ15</f>
        <v>36</v>
      </c>
      <c r="AQ13" s="31">
        <f>'FS Desroches Daily'!CB15</f>
        <v>31</v>
      </c>
      <c r="AR13" s="31">
        <f>'FS Desroches Daily'!CD15</f>
        <v>6.1000000000003638</v>
      </c>
      <c r="AS13" s="31">
        <f>'FS Desroches Daily'!CF15</f>
        <v>0.5</v>
      </c>
      <c r="AT13" s="31">
        <f>'FS Desroches Daily'!CH15</f>
        <v>57.700000000004366</v>
      </c>
      <c r="AU13" s="31">
        <f>'FS Desroches Daily'!CJ15</f>
        <v>265</v>
      </c>
      <c r="AV13" s="31">
        <f>'FS Desroches Daily'!CL15</f>
        <v>750</v>
      </c>
      <c r="AW13" s="31">
        <f>'FS Desroches Daily'!CM15</f>
        <v>61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2400.0000000001796</v>
      </c>
      <c r="F14" s="32">
        <f>'FS Desroches Daily'!F16</f>
        <v>2699.9999999999245</v>
      </c>
      <c r="G14" s="31">
        <f>'FS Desroches Daily'!H16</f>
        <v>2600.0000000001578</v>
      </c>
      <c r="H14" s="32">
        <f>'FS Desroches Daily'!J16</f>
        <v>1300.0000000000789</v>
      </c>
      <c r="I14" s="31">
        <f>'FS Desroches Daily'!L16</f>
        <v>2099.9999999999909</v>
      </c>
      <c r="J14" s="32">
        <f>'FS Desroches Daily'!N16</f>
        <v>1000.0000000001119</v>
      </c>
      <c r="K14" s="13">
        <f>'FS Desroches Daily'!P16</f>
        <v>11</v>
      </c>
      <c r="L14" s="31">
        <f>'FS Desroches Daily'!R16</f>
        <v>3</v>
      </c>
      <c r="M14" s="31">
        <f>'FS Desroches Daily'!T16</f>
        <v>0.70000000000004547</v>
      </c>
      <c r="N14" s="31">
        <f>'FS Desroches Daily'!V16</f>
        <v>312.90000000002328</v>
      </c>
      <c r="O14" s="31">
        <f>'FS Desroches Daily'!X16</f>
        <v>290.00000000002046</v>
      </c>
      <c r="P14" s="31">
        <f>'FS Desroches Daily'!Z16</f>
        <v>2400.0000000001796</v>
      </c>
      <c r="Q14" s="31">
        <f>'FS Desroches Daily'!AB16</f>
        <v>290.00000000002046</v>
      </c>
      <c r="R14" s="31">
        <f>'FS Desroches Daily'!AD16</f>
        <v>310.00000000000227</v>
      </c>
      <c r="S14" s="31">
        <f>'FS Desroches Daily'!AF16</f>
        <v>230.00000000001819</v>
      </c>
      <c r="T14" s="31">
        <f>'FS Desroches Daily'!AH16</f>
        <v>39</v>
      </c>
      <c r="U14" s="35">
        <f>'FS Desroches Daily'!AJ16</f>
        <v>740.00000000000909</v>
      </c>
      <c r="V14" s="35">
        <f>'FS Desroches Daily'!AL16</f>
        <v>239.99999999998067</v>
      </c>
      <c r="W14" s="35">
        <f>'FS Desroches Daily'!AN16</f>
        <v>159.99999999999659</v>
      </c>
      <c r="X14" s="35">
        <f>'FS Desroches Daily'!AP16</f>
        <v>169.99999999998749</v>
      </c>
      <c r="Y14" s="35">
        <f>'FS Desroches Daily'!AR16</f>
        <v>129.99999999999545</v>
      </c>
      <c r="Z14" s="35">
        <f>'FS Desroches Daily'!AT16</f>
        <v>209.99999999997954</v>
      </c>
      <c r="AA14" s="35">
        <f>'FS Desroches Daily'!AT16</f>
        <v>209.99999999997954</v>
      </c>
      <c r="AB14" s="35">
        <f>'FS Desroches Daily'!AV16</f>
        <v>240.00000000000909</v>
      </c>
      <c r="AC14" s="35">
        <f>'FS Desroches Daily'!AZ16</f>
        <v>40.000000000020464</v>
      </c>
      <c r="AD14" s="35">
        <f>'FS Desroches Daily'!BB16</f>
        <v>29.999999999972715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49.999999999982947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60.000000000002274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34</v>
      </c>
      <c r="AQ14" s="31">
        <f>'FS Desroches Daily'!CB16</f>
        <v>37.700000000004366</v>
      </c>
      <c r="AR14" s="31">
        <f>'FS Desroches Daily'!CD16</f>
        <v>3.3999999999996362</v>
      </c>
      <c r="AS14" s="31">
        <f>'FS Desroches Daily'!CF16</f>
        <v>5</v>
      </c>
      <c r="AT14" s="31">
        <f>'FS Desroches Daily'!CH16</f>
        <v>50.099999999998545</v>
      </c>
      <c r="AU14" s="31">
        <f>'FS Desroches Daily'!CJ16</f>
        <v>278</v>
      </c>
      <c r="AV14" s="31">
        <f>'FS Desroches Daily'!CL16</f>
        <v>679.99999999994998</v>
      </c>
      <c r="AW14" s="31">
        <f>'FS Desroches Daily'!CM16</f>
        <v>66</v>
      </c>
      <c r="AX14" s="31">
        <f>IF(LPG!F21-LPG!G21&lt;0,"0",(LPG!F21-LPG!G21)*1.8315)</f>
        <v>10175.814</v>
      </c>
      <c r="AY14" s="31">
        <f>IF(LPG!H21-LPG!H20&lt;0,"0",(LPG!H21-LPG!H20)*1.8315)</f>
        <v>14.651999999999999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2099.9999999999909</v>
      </c>
      <c r="F15" s="32">
        <f>'FS Desroches Daily'!F17</f>
        <v>2500.0000000003906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2099.9999999999909</v>
      </c>
      <c r="J15" s="32">
        <f>'FS Desroches Daily'!N17</f>
        <v>799.99999999991189</v>
      </c>
      <c r="K15" s="13">
        <f>'FS Desroches Daily'!P17</f>
        <v>9</v>
      </c>
      <c r="L15" s="31">
        <f>'FS Desroches Daily'!R17</f>
        <v>3</v>
      </c>
      <c r="M15" s="31">
        <f>'FS Desroches Daily'!T17</f>
        <v>0.79999999999995453</v>
      </c>
      <c r="N15" s="31">
        <f>'FS Desroches Daily'!V17</f>
        <v>324.89999999996508</v>
      </c>
      <c r="O15" s="31">
        <f>'FS Desroches Daily'!X17</f>
        <v>279.99999999997272</v>
      </c>
      <c r="P15" s="31">
        <f>'FS Desroches Daily'!Z17</f>
        <v>2199.9999999997576</v>
      </c>
      <c r="Q15" s="31">
        <f>'FS Desroches Daily'!AB17</f>
        <v>189.99999999999773</v>
      </c>
      <c r="R15" s="31">
        <f>'FS Desroches Daily'!AD17</f>
        <v>310.00000000000227</v>
      </c>
      <c r="S15" s="31">
        <f>'FS Desroches Daily'!AF17</f>
        <v>200.00000000004547</v>
      </c>
      <c r="T15" s="31">
        <f>'FS Desroches Daily'!AH17</f>
        <v>35</v>
      </c>
      <c r="U15" s="35">
        <f>'FS Desroches Daily'!AJ17</f>
        <v>529.99999999997272</v>
      </c>
      <c r="V15" s="35">
        <f>'FS Desroches Daily'!AL17</f>
        <v>260.00000000001933</v>
      </c>
      <c r="W15" s="35">
        <f>'FS Desroches Daily'!AN17</f>
        <v>139.99999999998636</v>
      </c>
      <c r="X15" s="35">
        <f>'FS Desroches Daily'!AP17</f>
        <v>170.00000000001592</v>
      </c>
      <c r="Y15" s="35">
        <f>'FS Desroches Daily'!AR17</f>
        <v>170.00000000001592</v>
      </c>
      <c r="Z15" s="35">
        <f>'FS Desroches Daily'!AT17</f>
        <v>200.00000000004547</v>
      </c>
      <c r="AA15" s="35">
        <f>'FS Desroches Daily'!AT17</f>
        <v>200.00000000004547</v>
      </c>
      <c r="AB15" s="35">
        <f>'FS Desroches Daily'!AV17</f>
        <v>209.99999999997954</v>
      </c>
      <c r="AC15" s="35">
        <f>'FS Desroches Daily'!AZ17</f>
        <v>29.999999999972715</v>
      </c>
      <c r="AD15" s="35">
        <f>'FS Desroches Daily'!BB17</f>
        <v>20.000000000038654</v>
      </c>
      <c r="AE15" s="35">
        <f>'FS Desroches Daily'!BD17</f>
        <v>30.000000000001137</v>
      </c>
      <c r="AF15" s="31">
        <f>'FS Desroches Daily'!BF17</f>
        <v>27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39.999999999992042</v>
      </c>
      <c r="AJ15" s="32">
        <f>'FS Desroches Daily'!BN17</f>
        <v>50.000000000011369</v>
      </c>
      <c r="AK15" s="32">
        <f>'FS Desroches Daily'!BP17</f>
        <v>60.000000000002274</v>
      </c>
      <c r="AL15" s="32">
        <f>'FS Desroches Daily'!BR17</f>
        <v>27</v>
      </c>
      <c r="AM15" s="32">
        <f>'FS Desroches Daily'!BT17</f>
        <v>40.000000000020464</v>
      </c>
      <c r="AN15" s="32">
        <f>'FS Desroches Daily'!BV17</f>
        <v>41</v>
      </c>
      <c r="AO15" s="32">
        <f>'FS Desroches Daily'!BX17</f>
        <v>9.9999999999909051</v>
      </c>
      <c r="AP15" s="32">
        <f>'FS Desroches Daily'!BZ17</f>
        <v>35</v>
      </c>
      <c r="AQ15" s="31">
        <f>'FS Desroches Daily'!CB17</f>
        <v>25.899999999994179</v>
      </c>
      <c r="AR15" s="31">
        <f>'FS Desroches Daily'!CD17</f>
        <v>7</v>
      </c>
      <c r="AS15" s="31">
        <f>'FS Desroches Daily'!CF17</f>
        <v>0.6000000000003638</v>
      </c>
      <c r="AT15" s="31">
        <f>'FS Desroches Daily'!CH17</f>
        <v>42.299999999995634</v>
      </c>
      <c r="AU15" s="31">
        <f>'FS Desroches Daily'!CJ17</f>
        <v>282</v>
      </c>
      <c r="AV15" s="31">
        <f>'FS Desroches Daily'!CL17</f>
        <v>800.00000000006821</v>
      </c>
      <c r="AW15" s="31">
        <f>'FS Desroches Daily'!CM17</f>
        <v>55</v>
      </c>
      <c r="AX15" s="31">
        <f>IF(LPG!F22-LPG!F21&lt;0,"0",(LPG!F22-LPG!F21)*1.8315)</f>
        <v>9.1574999999999989</v>
      </c>
      <c r="AY15" s="31" t="str">
        <f>IF(LPG!H22-LPG!H21&lt;0,"0",(LPG!H22-LPG!H21)*1.8315)</f>
        <v>0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9.1574999999999989</v>
      </c>
      <c r="BC15" s="13">
        <f>'FS Desroches Daily'!CN17</f>
        <v>12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2200.0000000002019</v>
      </c>
      <c r="F16" s="32">
        <f>'FS Desroches Daily'!F18</f>
        <v>2599.9999999997135</v>
      </c>
      <c r="G16" s="31">
        <f>'FS Desroches Daily'!H18</f>
        <v>2800.0000000001355</v>
      </c>
      <c r="H16" s="32">
        <f>'FS Desroches Daily'!J18</f>
        <v>1299.9999999998568</v>
      </c>
      <c r="I16" s="31">
        <f>'FS Desroches Daily'!L18</f>
        <v>2000.0000000002237</v>
      </c>
      <c r="J16" s="32">
        <f>'FS Desroches Daily'!N18</f>
        <v>900.0000000001229</v>
      </c>
      <c r="K16" s="13">
        <f>'FS Desroches Daily'!P18</f>
        <v>6</v>
      </c>
      <c r="L16" s="31">
        <f>'FS Desroches Daily'!R18</f>
        <v>3</v>
      </c>
      <c r="M16" s="31">
        <f>'FS Desroches Daily'!T18</f>
        <v>0.79999999999995453</v>
      </c>
      <c r="N16" s="31">
        <f>'FS Desroches Daily'!V18</f>
        <v>319.70000000001164</v>
      </c>
      <c r="O16" s="31">
        <f>'FS Desroches Daily'!X18</f>
        <v>310.00000000000227</v>
      </c>
      <c r="P16" s="31">
        <f>'FS Desroches Daily'!Z18</f>
        <v>2299.9999999999686</v>
      </c>
      <c r="Q16" s="31">
        <f>'FS Desroches Daily'!AB18</f>
        <v>339.99999999997499</v>
      </c>
      <c r="R16" s="31">
        <f>'FS Desroches Daily'!AD18</f>
        <v>280.00000000002956</v>
      </c>
      <c r="S16" s="31">
        <f>'FS Desroches Daily'!AF18</f>
        <v>199.99999999993179</v>
      </c>
      <c r="T16" s="31">
        <f>'FS Desroches Daily'!AH18</f>
        <v>35</v>
      </c>
      <c r="U16" s="35">
        <f>'FS Desroches Daily'!AJ18</f>
        <v>500</v>
      </c>
      <c r="V16" s="35">
        <f>'FS Desroches Daily'!AL18</f>
        <v>299.99999999998295</v>
      </c>
      <c r="W16" s="35">
        <f>'FS Desroches Daily'!AN18</f>
        <v>190.00000000002615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250</v>
      </c>
      <c r="AC16" s="35">
        <f>'FS Desroches Daily'!AZ18</f>
        <v>50.000000000011369</v>
      </c>
      <c r="AD16" s="35">
        <f>'FS Desroches Daily'!BB18</f>
        <v>19.99999999998181</v>
      </c>
      <c r="AE16" s="35">
        <f>'FS Desroches Daily'!BD18</f>
        <v>39.999999999992042</v>
      </c>
      <c r="AF16" s="31">
        <f>'FS Desroches Daily'!BF18</f>
        <v>21</v>
      </c>
      <c r="AG16" s="32">
        <f>'FS Desroches Daily'!BH18</f>
        <v>50.000000000011369</v>
      </c>
      <c r="AH16" s="32">
        <f>'FS Desroches Daily'!BJ18</f>
        <v>19.99999999998181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59.99999999994543</v>
      </c>
      <c r="AL16" s="32">
        <f>'FS Desroches Daily'!BR18</f>
        <v>25</v>
      </c>
      <c r="AM16" s="32">
        <f>'FS Desroches Daily'!BT18</f>
        <v>39.999999999992042</v>
      </c>
      <c r="AN16" s="32">
        <f>'FS Desroches Daily'!BV18</f>
        <v>44</v>
      </c>
      <c r="AO16" s="32">
        <f>'FS Desroches Daily'!BX18</f>
        <v>20.000000000010232</v>
      </c>
      <c r="AP16" s="32">
        <f>'FS Desroches Daily'!BZ18</f>
        <v>42</v>
      </c>
      <c r="AQ16" s="31">
        <f>'FS Desroches Daily'!CB18</f>
        <v>28.700000000004366</v>
      </c>
      <c r="AR16" s="31">
        <f>'FS Desroches Daily'!CD18</f>
        <v>5.5</v>
      </c>
      <c r="AS16" s="31">
        <f>'FS Desroches Daily'!CF18</f>
        <v>7</v>
      </c>
      <c r="AT16" s="31">
        <f>'FS Desroches Daily'!CH18</f>
        <v>56.5</v>
      </c>
      <c r="AU16" s="31">
        <f>'FS Desroches Daily'!CJ18</f>
        <v>285</v>
      </c>
      <c r="AV16" s="31">
        <f>'FS Desroches Daily'!CL18</f>
        <v>799.99999999995453</v>
      </c>
      <c r="AW16" s="31">
        <f>'FS Desroches Daily'!CM18</f>
        <v>88</v>
      </c>
      <c r="AX16" s="31">
        <f>IF(LPG!F23-LPG!F22&lt;0,"0",(LPG!F23-LPG!F22)*1.8315)</f>
        <v>14.651999999999999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1700.0000000000348</v>
      </c>
      <c r="F17" s="32">
        <f>'FS Desroches Daily'!F19</f>
        <v>2600.0000000001578</v>
      </c>
      <c r="G17" s="31">
        <f>'FS Desroches Daily'!H19</f>
        <v>2599.9999999997135</v>
      </c>
      <c r="H17" s="32">
        <f>'FS Desroches Daily'!J19</f>
        <v>1200.0000000000898</v>
      </c>
      <c r="I17" s="31">
        <f>'FS Desroches Daily'!L19</f>
        <v>1700.0000000000348</v>
      </c>
      <c r="J17" s="32">
        <f>'FS Desroches Daily'!N19</f>
        <v>899.99999999990087</v>
      </c>
      <c r="K17" s="13">
        <f>'FS Desroches Daily'!P19</f>
        <v>4</v>
      </c>
      <c r="L17" s="31">
        <f>'FS Desroches Daily'!R19</f>
        <v>2</v>
      </c>
      <c r="M17" s="31">
        <f>'FS Desroches Daily'!T19</f>
        <v>0.70000000000004547</v>
      </c>
      <c r="N17" s="31">
        <f>'FS Desroches Daily'!V19</f>
        <v>278</v>
      </c>
      <c r="O17" s="31">
        <f>'FS Desroches Daily'!X19</f>
        <v>220.00000000002728</v>
      </c>
      <c r="P17" s="31">
        <f>'FS Desroches Daily'!Z19</f>
        <v>2300.0000000004129</v>
      </c>
      <c r="Q17" s="31">
        <f>'FS Desroches Daily'!AB19</f>
        <v>319.99999999999318</v>
      </c>
      <c r="R17" s="31">
        <f>'FS Desroches Daily'!AD19</f>
        <v>219.99999999997044</v>
      </c>
      <c r="S17" s="31">
        <f>'FS Desroches Daily'!AF19</f>
        <v>210.00000000003638</v>
      </c>
      <c r="T17" s="31">
        <f>'FS Desroches Daily'!AH19</f>
        <v>32</v>
      </c>
      <c r="U17" s="35">
        <f>'FS Desroches Daily'!AJ19</f>
        <v>399.99999999997726</v>
      </c>
      <c r="V17" s="35">
        <f>'FS Desroches Daily'!AL19</f>
        <v>250</v>
      </c>
      <c r="W17" s="35">
        <f>'FS Desroches Daily'!AN19</f>
        <v>149.99999999997726</v>
      </c>
      <c r="X17" s="35">
        <f>'FS Desroches Daily'!AP19</f>
        <v>109.99999999998522</v>
      </c>
      <c r="Y17" s="35">
        <f>'FS Desroches Daily'!AR19</f>
        <v>109.99999999998522</v>
      </c>
      <c r="Z17" s="35">
        <f>'FS Desroches Daily'!AU20</f>
        <v>291.74</v>
      </c>
      <c r="AA17" s="35">
        <f>'FS Desroches Daily'!AU20</f>
        <v>291.74</v>
      </c>
      <c r="AB17" s="35">
        <f>'FS Desroches Daily'!AV19</f>
        <v>189.99999999999773</v>
      </c>
      <c r="AC17" s="35">
        <f>'FS Desroches Daily'!AZ19</f>
        <v>30.000000000029559</v>
      </c>
      <c r="AD17" s="35">
        <f>'FS Desroches Daily'!BB19</f>
        <v>29.999999999972715</v>
      </c>
      <c r="AE17" s="35">
        <f>'FS Desroches Daily'!BD19</f>
        <v>30.000000000001137</v>
      </c>
      <c r="AF17" s="31">
        <f>'FS Desroches Daily'!BF19</f>
        <v>35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16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36.400000000001455</v>
      </c>
      <c r="AR17" s="31">
        <f>'FS Desroches Daily'!CD19</f>
        <v>6</v>
      </c>
      <c r="AS17" s="31">
        <f>'FS Desroches Daily'!CF19</f>
        <v>5.3000000000001819</v>
      </c>
      <c r="AT17" s="31">
        <f>'FS Desroches Daily'!CH19</f>
        <v>50.200000000004366</v>
      </c>
      <c r="AU17" s="31">
        <f>'FS Desroches Daily'!CJ19</f>
        <v>269</v>
      </c>
      <c r="AV17" s="31">
        <f>'FS Desroches Daily'!CL19</f>
        <v>730.00000000001819</v>
      </c>
      <c r="AW17" s="31">
        <f>'FS Desroches Daily'!CM19</f>
        <v>62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1899.9999999995687</v>
      </c>
      <c r="F18" s="32">
        <f>'FS Desroches Daily'!F20</f>
        <v>2499.9999999999468</v>
      </c>
      <c r="G18" s="31">
        <f>'FS Desroches Daily'!H20</f>
        <v>2600.0000000001578</v>
      </c>
      <c r="H18" s="32">
        <f>'FS Desroches Daily'!J20</f>
        <v>1199.9999999998679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4</v>
      </c>
      <c r="L18" s="31">
        <f>'FS Desroches Daily'!R20</f>
        <v>2</v>
      </c>
      <c r="M18" s="31">
        <f>'FS Desroches Daily'!T20</f>
        <v>0.89999999999986358</v>
      </c>
      <c r="N18" s="31">
        <f>'FS Desroches Daily'!V20</f>
        <v>315</v>
      </c>
      <c r="O18" s="31">
        <f>'FS Desroches Daily'!X20</f>
        <v>229.99999999996135</v>
      </c>
      <c r="P18" s="31">
        <f>'FS Desroches Daily'!Z20</f>
        <v>2299.9999999999686</v>
      </c>
      <c r="Q18" s="31">
        <f>'FS Desroches Daily'!AB20</f>
        <v>160.00000000002501</v>
      </c>
      <c r="R18" s="31">
        <f>'FS Desroches Daily'!AD20</f>
        <v>199.99999999998863</v>
      </c>
      <c r="S18" s="31">
        <f>'FS Desroches Daily'!AF20</f>
        <v>179.99999999994998</v>
      </c>
      <c r="T18" s="31">
        <f>'FS Desroches Daily'!AH20</f>
        <v>34</v>
      </c>
      <c r="U18" s="35">
        <f>'FS Desroches Daily'!AJ20</f>
        <v>440.00000000005457</v>
      </c>
      <c r="V18" s="35">
        <f>'FS Desroches Daily'!AL20</f>
        <v>270.00000000001023</v>
      </c>
      <c r="W18" s="35">
        <f>'FS Desroches Daily'!AN20</f>
        <v>180.00000000000682</v>
      </c>
      <c r="X18" s="35">
        <f>'FS Desroches Daily'!AP20</f>
        <v>110.00000000001364</v>
      </c>
      <c r="Y18" s="35">
        <f>'FS Desroches Daily'!AR20</f>
        <v>110.00000000001364</v>
      </c>
      <c r="Z18" s="35">
        <f>'FS Desroches Daily'!AT20</f>
        <v>179.99999999994998</v>
      </c>
      <c r="AA18" s="35">
        <f>'FS Desroches Daily'!AT20</f>
        <v>179.99999999994998</v>
      </c>
      <c r="AB18" s="35">
        <f>'FS Desroches Daily'!AV20</f>
        <v>220.00000000002728</v>
      </c>
      <c r="AC18" s="35">
        <f>'FS Desroches Daily'!AZ20</f>
        <v>29.999999999972715</v>
      </c>
      <c r="AD18" s="35">
        <f>'FS Desroches Daily'!BB20</f>
        <v>20.000000000038654</v>
      </c>
      <c r="AE18" s="35">
        <f>'FS Desroches Daily'!BD20</f>
        <v>30.000000000001137</v>
      </c>
      <c r="AF18" s="31" t="str">
        <f>'FS Desroches Daily'!BF20</f>
        <v/>
      </c>
      <c r="AG18" s="32">
        <f>'FS Desroches Daily'!BH20</f>
        <v>39.999999999992042</v>
      </c>
      <c r="AH18" s="32">
        <f>'FS Desroches Daily'!BJ20</f>
        <v>19.99999999998181</v>
      </c>
      <c r="AI18" s="32">
        <f>'FS Desroches Daily'!BL20</f>
        <v>30.000000000001137</v>
      </c>
      <c r="AJ18" s="32">
        <f>'FS Desroches Daily'!BN20</f>
        <v>30.000000000001137</v>
      </c>
      <c r="AK18" s="32">
        <f>'FS Desroches Daily'!BP20</f>
        <v>40.000000000020464</v>
      </c>
      <c r="AL18" s="32">
        <f>'FS Desroches Daily'!BR20</f>
        <v>19</v>
      </c>
      <c r="AM18" s="32">
        <f>'FS Desroches Daily'!BT20</f>
        <v>39.999999999992042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36</v>
      </c>
      <c r="AQ18" s="31">
        <f>'FS Desroches Daily'!CB20</f>
        <v>27.19999999999709</v>
      </c>
      <c r="AR18" s="31">
        <f>'FS Desroches Daily'!CD20</f>
        <v>6.2999999999992724</v>
      </c>
      <c r="AS18" s="31">
        <f>'FS Desroches Daily'!CF20</f>
        <v>0.5999999999994543</v>
      </c>
      <c r="AT18" s="31">
        <f>'FS Desroches Daily'!CH20</f>
        <v>53.5</v>
      </c>
      <c r="AU18" s="31">
        <f>'FS Desroches Daily'!CJ20</f>
        <v>270</v>
      </c>
      <c r="AV18" s="31">
        <f>'FS Desroches Daily'!CL20</f>
        <v>699.99999999993179</v>
      </c>
      <c r="AW18" s="31">
        <f>'FS Desroches Daily'!CM20</f>
        <v>63</v>
      </c>
      <c r="AX18" s="31" t="str">
        <f>IF(LPG!F25-LPG!F24&lt;0,"0",(LPG!F25-LPG!F24)*1.8315)</f>
        <v>0</v>
      </c>
      <c r="AY18" s="31" t="str">
        <f>IF(LPG!H25-LPG!H24&lt;0,"0",(LPG!H25-LPG!H24)*1.8315)</f>
        <v>0</v>
      </c>
      <c r="AZ18" s="31" t="str">
        <f>IF(LPG!J25-LPG!J24&lt;0,"0",(LPG!J25-LPG!J24)*1.8315)</f>
        <v>0</v>
      </c>
      <c r="BA18" s="31" t="str">
        <f>IF(LPG!M25-LPG!M24&lt;0,"0",(LPG!M25-LPG!M24)*1.8315)</f>
        <v>0</v>
      </c>
      <c r="BB18" s="31" t="str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 t="str">
        <f>'FS Desroches Daily'!D21</f>
        <v>0</v>
      </c>
      <c r="F19" s="32" t="str">
        <f>'FS Desroches Daily'!F21</f>
        <v>0</v>
      </c>
      <c r="G19" s="31" t="str">
        <f>'FS Desroches Daily'!H21</f>
        <v>0</v>
      </c>
      <c r="H19" s="32" t="str">
        <f>'FS Desroches Daily'!J21</f>
        <v>0</v>
      </c>
      <c r="I19" s="31" t="str">
        <f>'FS Desroches Daily'!L21</f>
        <v>0</v>
      </c>
      <c r="J19" s="32" t="str">
        <f>'FS Desroches Daily'!N21</f>
        <v/>
      </c>
      <c r="K19" s="13" t="str">
        <f>'FS Desroches Daily'!P21</f>
        <v/>
      </c>
      <c r="L19" s="31" t="str">
        <f>'FS Desroches Daily'!R21</f>
        <v/>
      </c>
      <c r="M19" s="31" t="str">
        <f>'FS Desroches Daily'!T21</f>
        <v/>
      </c>
      <c r="N19" s="31" t="str">
        <f>'FS Desroches Daily'!V21</f>
        <v/>
      </c>
      <c r="O19" s="31" t="str">
        <f>'FS Desroches Daily'!X21</f>
        <v/>
      </c>
      <c r="P19" s="31" t="str">
        <f>'FS Desroches Daily'!Z21</f>
        <v/>
      </c>
      <c r="Q19" s="31" t="str">
        <f>'FS Desroches Daily'!AB21</f>
        <v/>
      </c>
      <c r="R19" s="31" t="str">
        <f>'FS Desroches Daily'!AD21</f>
        <v/>
      </c>
      <c r="S19" s="31" t="str">
        <f>'FS Desroches Daily'!AF21</f>
        <v/>
      </c>
      <c r="T19" s="31" t="str">
        <f>'FS Desroches Daily'!AH21</f>
        <v/>
      </c>
      <c r="U19" s="35" t="str">
        <f>'FS Desroches Daily'!AJ21</f>
        <v/>
      </c>
      <c r="V19" s="35" t="str">
        <f>'FS Desroches Daily'!AL21</f>
        <v/>
      </c>
      <c r="W19" s="35" t="str">
        <f>'FS Desroches Daily'!AN21</f>
        <v/>
      </c>
      <c r="X19" s="35" t="str">
        <f>'FS Desroches Daily'!AP21</f>
        <v/>
      </c>
      <c r="Y19" s="35" t="str">
        <f>'FS Desroches Daily'!AR21</f>
        <v/>
      </c>
      <c r="Z19" s="35" t="str">
        <f>'FS Desroches Daily'!AT21</f>
        <v/>
      </c>
      <c r="AA19" s="35" t="str">
        <f>'FS Desroches Daily'!AT21</f>
        <v/>
      </c>
      <c r="AB19" s="35" t="str">
        <f>'FS Desroches Daily'!AV21</f>
        <v/>
      </c>
      <c r="AC19" s="35" t="str">
        <f>'FS Desroches Daily'!AZ21</f>
        <v/>
      </c>
      <c r="AD19" s="35" t="str">
        <f>'FS Desroches Daily'!BB21</f>
        <v/>
      </c>
      <c r="AE19" s="35" t="str">
        <f>'FS Desroches Daily'!BD21</f>
        <v/>
      </c>
      <c r="AF19" s="31">
        <f>'FS Desroches Daily'!BF21</f>
        <v>0</v>
      </c>
      <c r="AG19" s="32" t="str">
        <f>'FS Desroches Daily'!BH21</f>
        <v/>
      </c>
      <c r="AH19" s="32" t="str">
        <f>'FS Desroches Daily'!BJ21</f>
        <v/>
      </c>
      <c r="AI19" s="32" t="str">
        <f>'FS Desroches Daily'!BL21</f>
        <v/>
      </c>
      <c r="AJ19" s="32" t="str">
        <f>'FS Desroches Daily'!BN21</f>
        <v/>
      </c>
      <c r="AK19" s="32" t="str">
        <f>'FS Desroches Daily'!BP21</f>
        <v/>
      </c>
      <c r="AL19" s="32" t="str">
        <f>'FS Desroches Daily'!BR21</f>
        <v/>
      </c>
      <c r="AM19" s="32" t="str">
        <f>'FS Desroches Daily'!BT21</f>
        <v/>
      </c>
      <c r="AN19" s="32" t="str">
        <f>'FS Desroches Daily'!BV21</f>
        <v/>
      </c>
      <c r="AO19" s="32" t="str">
        <f>'FS Desroches Daily'!BX21</f>
        <v/>
      </c>
      <c r="AP19" s="32" t="str">
        <f>'FS Desroches Daily'!BZ21</f>
        <v/>
      </c>
      <c r="AQ19" s="31" t="str">
        <f>'FS Desroches Daily'!CB21</f>
        <v/>
      </c>
      <c r="AR19" s="31" t="str">
        <f>'FS Desroches Daily'!CD21</f>
        <v/>
      </c>
      <c r="AS19" s="31" t="str">
        <f>'FS Desroches Daily'!CF21</f>
        <v/>
      </c>
      <c r="AT19" s="31" t="str">
        <f>'FS Desroches Daily'!CH21</f>
        <v/>
      </c>
      <c r="AU19" s="31" t="str">
        <f>'FS Desroches Daily'!CJ21</f>
        <v/>
      </c>
      <c r="AV19" s="31" t="str">
        <f>'FS Desroches Daily'!CL21</f>
        <v/>
      </c>
      <c r="AW19" s="31" t="e">
        <f>'FS Desroches Daily'!CM21</f>
        <v>#VALUE!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37899.999999999607</v>
      </c>
      <c r="F33" s="17">
        <f t="shared" ref="F33:BC33" si="1">SUM(F2:F32)</f>
        <v>43899.999999999833</v>
      </c>
      <c r="G33" s="17">
        <f t="shared" si="1"/>
        <v>45700.00000000008</v>
      </c>
      <c r="H33" s="17">
        <f t="shared" si="1"/>
        <v>21499.999999999854</v>
      </c>
      <c r="I33" s="17">
        <f t="shared" si="1"/>
        <v>33700.000000000065</v>
      </c>
      <c r="J33" s="17">
        <f t="shared" si="1"/>
        <v>14299.999999999985</v>
      </c>
      <c r="K33" s="17">
        <f t="shared" si="1"/>
        <v>94</v>
      </c>
      <c r="L33" s="17">
        <f t="shared" si="1"/>
        <v>43</v>
      </c>
      <c r="M33" s="17">
        <f t="shared" si="1"/>
        <v>13.999999999999886</v>
      </c>
      <c r="N33" s="17">
        <f t="shared" si="1"/>
        <v>5428.2999999999884</v>
      </c>
      <c r="O33" s="17">
        <f t="shared" si="1"/>
        <v>4509.9999999999909</v>
      </c>
      <c r="P33" s="17">
        <f t="shared" si="1"/>
        <v>39200.000000000124</v>
      </c>
      <c r="Q33" s="17">
        <f t="shared" si="1"/>
        <v>4580.0000000000418</v>
      </c>
      <c r="R33" s="17">
        <f t="shared" si="1"/>
        <v>4549.9999999999545</v>
      </c>
      <c r="S33" s="17">
        <f t="shared" si="1"/>
        <v>3339.9999999999181</v>
      </c>
      <c r="T33" s="17">
        <f t="shared" si="1"/>
        <v>585</v>
      </c>
      <c r="U33" s="35">
        <f t="shared" si="1"/>
        <v>12149.999999999978</v>
      </c>
      <c r="V33" s="35">
        <f t="shared" si="1"/>
        <v>3810.0000000000018</v>
      </c>
      <c r="W33" s="35">
        <f t="shared" si="1"/>
        <v>2990.0000000000095</v>
      </c>
      <c r="X33" s="35">
        <f t="shared" si="1"/>
        <v>2939.9999999999982</v>
      </c>
      <c r="Y33" s="35">
        <f t="shared" si="1"/>
        <v>2930.0000000000073</v>
      </c>
      <c r="Z33" s="35">
        <f t="shared" si="1"/>
        <v>2961.7399999999589</v>
      </c>
      <c r="AA33" s="35">
        <f t="shared" si="1"/>
        <v>2961.7399999999589</v>
      </c>
      <c r="AB33" s="35">
        <f t="shared" si="1"/>
        <v>2759.9999999999909</v>
      </c>
      <c r="AC33" s="35">
        <f t="shared" si="1"/>
        <v>669.99999999995907</v>
      </c>
      <c r="AD33" s="35">
        <f t="shared" si="1"/>
        <v>430.00000000000682</v>
      </c>
      <c r="AE33" s="35">
        <f t="shared" si="1"/>
        <v>979.99999999998977</v>
      </c>
      <c r="AF33" s="17">
        <f t="shared" si="1"/>
        <v>465</v>
      </c>
      <c r="AG33" s="32">
        <f t="shared" si="1"/>
        <v>729.99999999998977</v>
      </c>
      <c r="AH33" s="32">
        <f t="shared" si="1"/>
        <v>430.00000000000682</v>
      </c>
      <c r="AI33" s="32">
        <f t="shared" si="1"/>
        <v>530.00000000000114</v>
      </c>
      <c r="AJ33" s="32">
        <f t="shared" si="1"/>
        <v>689.99999999999773</v>
      </c>
      <c r="AK33" s="32">
        <f t="shared" si="1"/>
        <v>830.00000000004093</v>
      </c>
      <c r="AL33" s="32">
        <f t="shared" si="1"/>
        <v>394</v>
      </c>
      <c r="AM33" s="32">
        <f t="shared" si="1"/>
        <v>629.99999999999545</v>
      </c>
      <c r="AN33" s="32">
        <f t="shared" si="1"/>
        <v>683</v>
      </c>
      <c r="AO33" s="32">
        <f t="shared" si="1"/>
        <v>349.99999999999432</v>
      </c>
      <c r="AP33" s="32">
        <f t="shared" si="1"/>
        <v>638</v>
      </c>
      <c r="AQ33" s="17">
        <f t="shared" si="1"/>
        <v>552.5</v>
      </c>
      <c r="AR33" s="17">
        <f t="shared" si="1"/>
        <v>109.79999999999927</v>
      </c>
      <c r="AS33" s="17">
        <f t="shared" si="1"/>
        <v>88.800000000000182</v>
      </c>
      <c r="AT33" s="17">
        <f t="shared" si="1"/>
        <v>854.90000000000146</v>
      </c>
      <c r="AU33" s="17">
        <f t="shared" si="1"/>
        <v>4629</v>
      </c>
      <c r="AV33" s="17">
        <f t="shared" si="1"/>
        <v>12579.999999999927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117.21599999999998</v>
      </c>
      <c r="BC33" s="17">
        <f t="shared" si="1"/>
        <v>187</v>
      </c>
    </row>
    <row r="35" spans="5:55" x14ac:dyDescent="0.25">
      <c r="E35" s="38">
        <f>E33/E37</f>
        <v>0.24540592341263007</v>
      </c>
      <c r="G35" s="29">
        <f>G33-M36</f>
        <v>40257.700000000092</v>
      </c>
      <c r="AE35" s="35">
        <f>SUM(U33:AE33)</f>
        <v>35583.479999999858</v>
      </c>
      <c r="AG35" s="32">
        <f>SUM(AG33:AP33)</f>
        <v>5905.0000000000264</v>
      </c>
    </row>
    <row r="36" spans="5:55" x14ac:dyDescent="0.25">
      <c r="G36" s="29">
        <f>G35-633*14</f>
        <v>31395.700000000092</v>
      </c>
      <c r="M36" s="29">
        <f>M33+N33</f>
        <v>5442.2999999999884</v>
      </c>
    </row>
    <row r="37" spans="5:55" x14ac:dyDescent="0.25">
      <c r="E37" s="17">
        <f>E33+F33+G33+H33+J33-633*14</f>
        <v>154437.99999999936</v>
      </c>
      <c r="G37" s="37">
        <f>M36/E37</f>
        <v>3.5239384089408118E-2</v>
      </c>
      <c r="M37" s="35">
        <f>AE35</f>
        <v>35583.479999999858</v>
      </c>
    </row>
    <row r="38" spans="5:55" x14ac:dyDescent="0.25">
      <c r="L38" s="27">
        <f>M38/E37</f>
        <v>3.8235408383947282E-2</v>
      </c>
      <c r="M38" s="29">
        <f>AG35</f>
        <v>5905.0000000000264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N1" zoomScale="80" zoomScaleNormal="80" workbookViewId="0">
      <pane ySplit="1" topLeftCell="A5" activePane="bottomLeft" state="frozen"/>
      <selection pane="bottomLeft" activeCell="CU21" sqref="CU2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>
        <v>2.3828</v>
      </c>
      <c r="D14" s="64">
        <f t="shared" si="0"/>
        <v>1900.0000000000127</v>
      </c>
      <c r="E14" s="58">
        <v>3.3773</v>
      </c>
      <c r="F14" s="64">
        <f t="shared" si="1"/>
        <v>2400.0000000001796</v>
      </c>
      <c r="G14" s="58">
        <v>3.4354</v>
      </c>
      <c r="H14" s="64">
        <f t="shared" si="2"/>
        <v>1199.9999999998679</v>
      </c>
      <c r="I14" s="58">
        <v>1.6929000000000001</v>
      </c>
      <c r="J14" s="64">
        <f t="shared" si="3"/>
        <v>1200.0000000000898</v>
      </c>
      <c r="K14" s="58">
        <v>2.7343999999999999</v>
      </c>
      <c r="L14" s="64">
        <f t="shared" si="4"/>
        <v>1999.9999999997797</v>
      </c>
      <c r="M14" s="58">
        <v>1.4978</v>
      </c>
      <c r="N14" s="64">
        <f t="shared" si="5"/>
        <v>900.0000000001229</v>
      </c>
      <c r="O14" s="58">
        <v>14594</v>
      </c>
      <c r="P14" s="67">
        <f t="shared" si="44"/>
        <v>1</v>
      </c>
      <c r="Q14" s="58">
        <v>1120</v>
      </c>
      <c r="R14" s="67">
        <f t="shared" si="6"/>
        <v>3</v>
      </c>
      <c r="S14" s="58">
        <v>1029.4000000000001</v>
      </c>
      <c r="T14" s="67">
        <f t="shared" si="7"/>
        <v>0.8000000000001819</v>
      </c>
      <c r="U14" s="58">
        <v>431146.7</v>
      </c>
      <c r="V14" s="67">
        <f t="shared" si="8"/>
        <v>309</v>
      </c>
      <c r="W14" s="58">
        <v>409.34</v>
      </c>
      <c r="X14" s="65">
        <f t="shared" si="9"/>
        <v>259.99999999999091</v>
      </c>
      <c r="Y14" s="58">
        <v>2.9542000000000002</v>
      </c>
      <c r="Z14" s="65">
        <f t="shared" si="10"/>
        <v>2099.9999999999909</v>
      </c>
      <c r="AA14" s="58">
        <v>408.33</v>
      </c>
      <c r="AB14" s="65">
        <f t="shared" si="11"/>
        <v>129.99999999999545</v>
      </c>
      <c r="AC14" s="58">
        <v>381.71</v>
      </c>
      <c r="AD14" s="65">
        <f t="shared" si="12"/>
        <v>269.99999999998181</v>
      </c>
      <c r="AE14" s="58">
        <v>577.94000000000005</v>
      </c>
      <c r="AF14" s="65">
        <f t="shared" si="13"/>
        <v>210.00000000003638</v>
      </c>
      <c r="AG14" s="58">
        <v>5998</v>
      </c>
      <c r="AH14" s="67">
        <f t="shared" si="14"/>
        <v>34</v>
      </c>
      <c r="AI14" s="58">
        <v>643.32000000000005</v>
      </c>
      <c r="AJ14" s="65">
        <f t="shared" si="15"/>
        <v>500</v>
      </c>
      <c r="AK14" s="58">
        <v>212.38</v>
      </c>
      <c r="AL14" s="65">
        <f t="shared" si="15"/>
        <v>210.00000000000796</v>
      </c>
      <c r="AM14" s="58">
        <v>201.94</v>
      </c>
      <c r="AN14" s="65">
        <f t="shared" si="15"/>
        <v>139.99999999998636</v>
      </c>
      <c r="AO14" s="58">
        <v>195.13</v>
      </c>
      <c r="AP14" s="65">
        <f t="shared" si="15"/>
        <v>159.99999999999659</v>
      </c>
      <c r="AQ14" s="58">
        <v>254.46</v>
      </c>
      <c r="AR14" s="65">
        <f t="shared" si="16"/>
        <v>180.00000000000682</v>
      </c>
      <c r="AS14" s="58">
        <v>380.18</v>
      </c>
      <c r="AT14" s="65">
        <f t="shared" si="17"/>
        <v>189.99999999999773</v>
      </c>
      <c r="AU14" s="58">
        <v>290.45999999999998</v>
      </c>
      <c r="AV14" s="65">
        <f t="shared" si="18"/>
        <v>109.9999999999568</v>
      </c>
      <c r="AW14" s="58">
        <v>323.93</v>
      </c>
      <c r="AX14" s="65">
        <f t="shared" si="19"/>
        <v>60.000000000002274</v>
      </c>
      <c r="AY14" s="58">
        <v>363.42</v>
      </c>
      <c r="AZ14" s="65">
        <f t="shared" si="20"/>
        <v>50.000000000011369</v>
      </c>
      <c r="BA14" s="58">
        <v>382.34</v>
      </c>
      <c r="BB14" s="65">
        <f t="shared" si="21"/>
        <v>29.999999999972715</v>
      </c>
      <c r="BC14" s="58">
        <v>245.64</v>
      </c>
      <c r="BD14" s="65">
        <f t="shared" si="22"/>
        <v>29.999999999972715</v>
      </c>
      <c r="BE14" s="59">
        <v>41667</v>
      </c>
      <c r="BF14" s="67">
        <f t="shared" si="39"/>
        <v>39</v>
      </c>
      <c r="BG14" s="60">
        <v>235.81</v>
      </c>
      <c r="BH14" s="65">
        <f t="shared" si="23"/>
        <v>39.999999999992042</v>
      </c>
      <c r="BI14" s="60">
        <v>294.33999999999997</v>
      </c>
      <c r="BJ14" s="65">
        <f t="shared" si="40"/>
        <v>19.99999999998181</v>
      </c>
      <c r="BK14" s="60">
        <v>238.18</v>
      </c>
      <c r="BL14" s="65">
        <f t="shared" si="24"/>
        <v>30.000000000001137</v>
      </c>
      <c r="BM14" s="60">
        <v>225.51</v>
      </c>
      <c r="BN14" s="65">
        <f t="shared" si="25"/>
        <v>39.999999999992042</v>
      </c>
      <c r="BO14" s="60">
        <v>289.3</v>
      </c>
      <c r="BP14" s="65">
        <f t="shared" si="26"/>
        <v>50.000000000011369</v>
      </c>
      <c r="BQ14" s="60">
        <v>46453</v>
      </c>
      <c r="BR14" s="65">
        <f t="shared" si="27"/>
        <v>22</v>
      </c>
      <c r="BS14" s="60">
        <v>202.15</v>
      </c>
      <c r="BT14" s="65">
        <f t="shared" si="42"/>
        <v>39.999999999992042</v>
      </c>
      <c r="BU14" s="60">
        <v>42420</v>
      </c>
      <c r="BV14" s="65">
        <f t="shared" si="29"/>
        <v>38</v>
      </c>
      <c r="BW14" s="60">
        <v>232.96</v>
      </c>
      <c r="BX14" s="65">
        <f t="shared" si="30"/>
        <v>20.000000000010232</v>
      </c>
      <c r="BY14" s="60">
        <v>62194</v>
      </c>
      <c r="BZ14" s="67">
        <f t="shared" si="31"/>
        <v>21</v>
      </c>
      <c r="CA14" s="60">
        <v>33501.599999999999</v>
      </c>
      <c r="CB14" s="67">
        <f t="shared" si="32"/>
        <v>32.799999999995634</v>
      </c>
      <c r="CC14" s="60">
        <v>12531.1</v>
      </c>
      <c r="CD14" s="67">
        <f t="shared" si="33"/>
        <v>6.8999999999996362</v>
      </c>
      <c r="CE14" s="60">
        <v>6658.7</v>
      </c>
      <c r="CF14" s="67">
        <f t="shared" si="34"/>
        <v>9.3000000000001819</v>
      </c>
      <c r="CG14" s="60">
        <v>61280.1</v>
      </c>
      <c r="CH14" s="67">
        <f t="shared" si="35"/>
        <v>43.099999999998545</v>
      </c>
      <c r="CI14" s="60">
        <v>960937</v>
      </c>
      <c r="CJ14" s="67">
        <f t="shared" si="36"/>
        <v>327</v>
      </c>
      <c r="CK14" s="60">
        <v>793.84</v>
      </c>
      <c r="CL14" s="64">
        <f t="shared" si="37"/>
        <v>730.00000000001819</v>
      </c>
      <c r="CM14" s="65">
        <f t="shared" si="41"/>
        <v>71</v>
      </c>
      <c r="CN14" s="62">
        <v>10</v>
      </c>
      <c r="CO14" s="62">
        <v>29</v>
      </c>
      <c r="CP14" s="68">
        <v>11691</v>
      </c>
      <c r="CQ14" s="67">
        <f t="shared" si="38"/>
        <v>50</v>
      </c>
      <c r="CR14" s="68">
        <v>15314</v>
      </c>
      <c r="CS14" s="67">
        <f t="shared" si="38"/>
        <v>21</v>
      </c>
      <c r="CT14" s="75">
        <v>6976</v>
      </c>
      <c r="CU14" s="67">
        <f t="shared" si="38"/>
        <v>9</v>
      </c>
      <c r="CV14" s="68">
        <v>16917</v>
      </c>
      <c r="CW14" s="67">
        <f t="shared" si="38"/>
        <v>38</v>
      </c>
    </row>
    <row r="15" spans="1:102" ht="25.5" customHeight="1" thickBot="1" x14ac:dyDescent="0.45">
      <c r="A15" s="63">
        <v>44420</v>
      </c>
      <c r="B15" s="44"/>
      <c r="C15" s="58">
        <v>2.3847999999999998</v>
      </c>
      <c r="D15" s="64">
        <f t="shared" si="0"/>
        <v>1999.9999999997797</v>
      </c>
      <c r="E15" s="58">
        <v>3.38</v>
      </c>
      <c r="F15" s="64">
        <f t="shared" si="1"/>
        <v>2699.9999999999245</v>
      </c>
      <c r="G15" s="58">
        <v>3.4380999999999999</v>
      </c>
      <c r="H15" s="64">
        <f t="shared" si="2"/>
        <v>2699.9999999999245</v>
      </c>
      <c r="I15" s="58">
        <v>1.6941999999999999</v>
      </c>
      <c r="J15" s="64">
        <f t="shared" si="3"/>
        <v>1299.9999999998568</v>
      </c>
      <c r="K15" s="58">
        <v>2.7364999999999999</v>
      </c>
      <c r="L15" s="64">
        <f t="shared" si="4"/>
        <v>2099.9999999999909</v>
      </c>
      <c r="M15" s="58">
        <v>1.4985999999999999</v>
      </c>
      <c r="N15" s="64">
        <f t="shared" si="5"/>
        <v>799.99999999991189</v>
      </c>
      <c r="O15" s="58">
        <v>14602</v>
      </c>
      <c r="P15" s="67">
        <f t="shared" si="44"/>
        <v>8</v>
      </c>
      <c r="Q15" s="58">
        <v>1123</v>
      </c>
      <c r="R15" s="67">
        <f t="shared" si="6"/>
        <v>3</v>
      </c>
      <c r="S15" s="58">
        <v>1030.2</v>
      </c>
      <c r="T15" s="67">
        <f t="shared" si="7"/>
        <v>0.79999999999995453</v>
      </c>
      <c r="U15" s="58">
        <v>431529</v>
      </c>
      <c r="V15" s="67">
        <f t="shared" si="8"/>
        <v>382.29999999998836</v>
      </c>
      <c r="W15" s="58">
        <v>409.63</v>
      </c>
      <c r="X15" s="65">
        <f t="shared" si="9"/>
        <v>290.00000000002046</v>
      </c>
      <c r="Y15" s="58">
        <v>2.9565999999999999</v>
      </c>
      <c r="Z15" s="65">
        <f t="shared" si="10"/>
        <v>2399.9999999997358</v>
      </c>
      <c r="AA15" s="58">
        <v>408.56</v>
      </c>
      <c r="AB15" s="65">
        <f t="shared" si="11"/>
        <v>230.00000000001819</v>
      </c>
      <c r="AC15" s="58">
        <v>381.96</v>
      </c>
      <c r="AD15" s="65">
        <f t="shared" si="12"/>
        <v>250</v>
      </c>
      <c r="AE15" s="58">
        <v>578.14</v>
      </c>
      <c r="AF15" s="65">
        <f t="shared" si="13"/>
        <v>199.99999999993179</v>
      </c>
      <c r="AG15" s="58">
        <v>6032</v>
      </c>
      <c r="AH15" s="67">
        <f t="shared" si="14"/>
        <v>34</v>
      </c>
      <c r="AI15" s="58">
        <v>643.88</v>
      </c>
      <c r="AJ15" s="65">
        <f t="shared" si="15"/>
        <v>559.99999999994543</v>
      </c>
      <c r="AK15" s="58">
        <v>212.61</v>
      </c>
      <c r="AL15" s="65">
        <f t="shared" si="15"/>
        <v>230.00000000001819</v>
      </c>
      <c r="AM15" s="58">
        <v>202.09</v>
      </c>
      <c r="AN15" s="65">
        <f t="shared" si="15"/>
        <v>150.00000000000568</v>
      </c>
      <c r="AO15" s="58">
        <v>195.27</v>
      </c>
      <c r="AP15" s="65">
        <f t="shared" si="15"/>
        <v>140.00000000001478</v>
      </c>
      <c r="AQ15" s="58">
        <v>254.63</v>
      </c>
      <c r="AR15" s="65">
        <f t="shared" si="16"/>
        <v>169.99999999998749</v>
      </c>
      <c r="AS15" s="58">
        <v>380.38</v>
      </c>
      <c r="AT15" s="65">
        <f t="shared" si="17"/>
        <v>199.99999999998863</v>
      </c>
      <c r="AU15" s="58">
        <v>290.63</v>
      </c>
      <c r="AV15" s="65">
        <f t="shared" si="18"/>
        <v>170.00000000001592</v>
      </c>
      <c r="AW15" s="58">
        <v>323.99</v>
      </c>
      <c r="AX15" s="65">
        <f t="shared" si="19"/>
        <v>60.000000000002274</v>
      </c>
      <c r="AY15" s="58">
        <v>363.46</v>
      </c>
      <c r="AZ15" s="65">
        <f t="shared" si="20"/>
        <v>39.99999999996362</v>
      </c>
      <c r="BA15" s="58">
        <v>382.36</v>
      </c>
      <c r="BB15" s="65">
        <f t="shared" si="21"/>
        <v>20.000000000038654</v>
      </c>
      <c r="BC15" s="58">
        <v>245.68</v>
      </c>
      <c r="BD15" s="65">
        <f t="shared" si="22"/>
        <v>40.000000000020464</v>
      </c>
      <c r="BE15" s="59">
        <v>41696</v>
      </c>
      <c r="BF15" s="67">
        <f t="shared" si="39"/>
        <v>29</v>
      </c>
      <c r="BG15" s="60">
        <v>235.86</v>
      </c>
      <c r="BH15" s="65">
        <f t="shared" si="23"/>
        <v>50.000000000011369</v>
      </c>
      <c r="BI15" s="60">
        <v>294.37</v>
      </c>
      <c r="BJ15" s="65">
        <f t="shared" si="40"/>
        <v>30.000000000029559</v>
      </c>
      <c r="BK15" s="60">
        <v>238.22</v>
      </c>
      <c r="BL15" s="65">
        <f t="shared" si="24"/>
        <v>39.999999999992042</v>
      </c>
      <c r="BM15" s="60">
        <v>225.56</v>
      </c>
      <c r="BN15" s="65">
        <f t="shared" si="25"/>
        <v>50.000000000011369</v>
      </c>
      <c r="BO15" s="60">
        <v>289.35000000000002</v>
      </c>
      <c r="BP15" s="65">
        <f t="shared" si="26"/>
        <v>50.000000000011369</v>
      </c>
      <c r="BQ15" s="60">
        <v>46476</v>
      </c>
      <c r="BR15" s="65">
        <f t="shared" si="27"/>
        <v>23</v>
      </c>
      <c r="BS15" s="60">
        <v>202.19</v>
      </c>
      <c r="BT15" s="65">
        <f t="shared" si="42"/>
        <v>39.999999999992042</v>
      </c>
      <c r="BU15" s="60">
        <v>42469</v>
      </c>
      <c r="BV15" s="65">
        <f t="shared" si="29"/>
        <v>49</v>
      </c>
      <c r="BW15" s="60">
        <v>232.97</v>
      </c>
      <c r="BX15" s="65">
        <f t="shared" si="30"/>
        <v>9.9999999999909051</v>
      </c>
      <c r="BY15" s="60">
        <v>62230</v>
      </c>
      <c r="BZ15" s="67">
        <f t="shared" si="31"/>
        <v>36</v>
      </c>
      <c r="CA15" s="60">
        <v>33532.6</v>
      </c>
      <c r="CB15" s="67">
        <f t="shared" si="32"/>
        <v>31</v>
      </c>
      <c r="CC15" s="60">
        <v>12537.2</v>
      </c>
      <c r="CD15" s="67">
        <f t="shared" si="33"/>
        <v>6.1000000000003638</v>
      </c>
      <c r="CE15" s="60">
        <v>6659.2</v>
      </c>
      <c r="CF15" s="67">
        <f t="shared" si="34"/>
        <v>0.5</v>
      </c>
      <c r="CG15" s="60">
        <v>61337.8</v>
      </c>
      <c r="CH15" s="67">
        <f t="shared" si="35"/>
        <v>57.700000000004366</v>
      </c>
      <c r="CI15" s="60">
        <v>961202</v>
      </c>
      <c r="CJ15" s="67">
        <f t="shared" si="36"/>
        <v>265</v>
      </c>
      <c r="CK15" s="60">
        <v>794.59</v>
      </c>
      <c r="CL15" s="64">
        <f t="shared" si="37"/>
        <v>750</v>
      </c>
      <c r="CM15" s="65">
        <f t="shared" si="41"/>
        <v>61</v>
      </c>
      <c r="CN15" s="62">
        <v>10</v>
      </c>
      <c r="CO15" s="62">
        <v>29</v>
      </c>
      <c r="CP15" s="68">
        <v>11728</v>
      </c>
      <c r="CQ15" s="67">
        <f t="shared" si="38"/>
        <v>37</v>
      </c>
      <c r="CR15" s="68">
        <v>15338</v>
      </c>
      <c r="CS15" s="67">
        <f t="shared" si="38"/>
        <v>24</v>
      </c>
      <c r="CT15" s="75">
        <v>6986</v>
      </c>
      <c r="CU15" s="67">
        <f t="shared" si="38"/>
        <v>10</v>
      </c>
      <c r="CV15" s="68">
        <v>16942</v>
      </c>
      <c r="CW15" s="67">
        <f t="shared" si="38"/>
        <v>25</v>
      </c>
    </row>
    <row r="16" spans="1:102" ht="25.5" customHeight="1" thickBot="1" x14ac:dyDescent="0.45">
      <c r="A16" s="63">
        <v>44421</v>
      </c>
      <c r="B16" s="44"/>
      <c r="C16" s="58">
        <v>2.3872</v>
      </c>
      <c r="D16" s="64">
        <f t="shared" si="0"/>
        <v>2400.0000000001796</v>
      </c>
      <c r="E16" s="58">
        <v>3.3826999999999998</v>
      </c>
      <c r="F16" s="64">
        <f t="shared" si="1"/>
        <v>2699.9999999999245</v>
      </c>
      <c r="G16" s="58">
        <v>3.4407000000000001</v>
      </c>
      <c r="H16" s="64">
        <f t="shared" si="2"/>
        <v>2600.0000000001578</v>
      </c>
      <c r="I16" s="58">
        <v>1.6955</v>
      </c>
      <c r="J16" s="64">
        <f t="shared" si="3"/>
        <v>1300.0000000000789</v>
      </c>
      <c r="K16" s="58">
        <v>2.7385999999999999</v>
      </c>
      <c r="L16" s="64">
        <f t="shared" si="4"/>
        <v>2099.9999999999909</v>
      </c>
      <c r="M16" s="58">
        <v>1.4996</v>
      </c>
      <c r="N16" s="64">
        <f t="shared" si="5"/>
        <v>1000.0000000001119</v>
      </c>
      <c r="O16" s="58">
        <v>14613</v>
      </c>
      <c r="P16" s="67">
        <f t="shared" si="44"/>
        <v>11</v>
      </c>
      <c r="Q16" s="58">
        <v>1126</v>
      </c>
      <c r="R16" s="67">
        <f t="shared" si="6"/>
        <v>3</v>
      </c>
      <c r="S16" s="58">
        <v>1030.9000000000001</v>
      </c>
      <c r="T16" s="67">
        <f t="shared" si="7"/>
        <v>0.70000000000004547</v>
      </c>
      <c r="U16" s="58">
        <v>431841.9</v>
      </c>
      <c r="V16" s="67">
        <f t="shared" si="8"/>
        <v>312.90000000002328</v>
      </c>
      <c r="W16" s="58">
        <v>409.92</v>
      </c>
      <c r="X16" s="65">
        <f t="shared" si="9"/>
        <v>290.00000000002046</v>
      </c>
      <c r="Y16" s="58">
        <v>2.9590000000000001</v>
      </c>
      <c r="Z16" s="65">
        <f t="shared" si="10"/>
        <v>2400.0000000001796</v>
      </c>
      <c r="AA16" s="58">
        <v>408.85</v>
      </c>
      <c r="AB16" s="65">
        <f t="shared" si="11"/>
        <v>290.00000000002046</v>
      </c>
      <c r="AC16" s="58">
        <v>382.27</v>
      </c>
      <c r="AD16" s="65">
        <f t="shared" si="12"/>
        <v>310.00000000000227</v>
      </c>
      <c r="AE16" s="58">
        <v>578.37</v>
      </c>
      <c r="AF16" s="65">
        <f t="shared" si="13"/>
        <v>230.00000000001819</v>
      </c>
      <c r="AG16" s="58">
        <v>6071</v>
      </c>
      <c r="AH16" s="67">
        <f t="shared" si="14"/>
        <v>39</v>
      </c>
      <c r="AI16" s="58">
        <v>644.62</v>
      </c>
      <c r="AJ16" s="65">
        <f t="shared" si="15"/>
        <v>740.00000000000909</v>
      </c>
      <c r="AK16" s="58">
        <v>212.85</v>
      </c>
      <c r="AL16" s="65">
        <f t="shared" si="15"/>
        <v>239.99999999998067</v>
      </c>
      <c r="AM16" s="58">
        <v>202.25</v>
      </c>
      <c r="AN16" s="65">
        <f t="shared" si="15"/>
        <v>159.99999999999659</v>
      </c>
      <c r="AO16" s="58">
        <v>195.44</v>
      </c>
      <c r="AP16" s="65">
        <f t="shared" si="15"/>
        <v>169.99999999998749</v>
      </c>
      <c r="AQ16" s="58">
        <v>254.76</v>
      </c>
      <c r="AR16" s="65">
        <f t="shared" si="16"/>
        <v>129.99999999999545</v>
      </c>
      <c r="AS16" s="58">
        <v>380.59</v>
      </c>
      <c r="AT16" s="65">
        <f t="shared" si="17"/>
        <v>209.99999999997954</v>
      </c>
      <c r="AU16" s="58">
        <v>290.87</v>
      </c>
      <c r="AV16" s="65">
        <f t="shared" si="18"/>
        <v>240.00000000000909</v>
      </c>
      <c r="AW16" s="58">
        <v>324.05</v>
      </c>
      <c r="AX16" s="65">
        <f t="shared" si="19"/>
        <v>60.000000000002274</v>
      </c>
      <c r="AY16" s="58">
        <v>363.5</v>
      </c>
      <c r="AZ16" s="65">
        <f t="shared" si="20"/>
        <v>40.000000000020464</v>
      </c>
      <c r="BA16" s="58">
        <v>382.39</v>
      </c>
      <c r="BB16" s="65">
        <f t="shared" si="21"/>
        <v>29.999999999972715</v>
      </c>
      <c r="BC16" s="58">
        <v>245.71</v>
      </c>
      <c r="BD16" s="65">
        <f t="shared" si="22"/>
        <v>30.000000000001137</v>
      </c>
      <c r="BE16" s="59">
        <v>41725</v>
      </c>
      <c r="BF16" s="67">
        <f t="shared" si="39"/>
        <v>29</v>
      </c>
      <c r="BG16" s="60">
        <v>235.91</v>
      </c>
      <c r="BH16" s="65">
        <f t="shared" si="23"/>
        <v>49.999999999982947</v>
      </c>
      <c r="BI16" s="60">
        <v>294.39</v>
      </c>
      <c r="BJ16" s="65">
        <f t="shared" si="40"/>
        <v>19.99999999998181</v>
      </c>
      <c r="BK16" s="60">
        <v>238.25</v>
      </c>
      <c r="BL16" s="65">
        <f t="shared" si="24"/>
        <v>30.000000000001137</v>
      </c>
      <c r="BM16" s="60">
        <v>225.6</v>
      </c>
      <c r="BN16" s="65">
        <f t="shared" si="25"/>
        <v>39.999999999992042</v>
      </c>
      <c r="BO16" s="60">
        <v>289.41000000000003</v>
      </c>
      <c r="BP16" s="65">
        <f t="shared" si="26"/>
        <v>60.000000000002274</v>
      </c>
      <c r="BQ16" s="60">
        <v>46501</v>
      </c>
      <c r="BR16" s="65">
        <f t="shared" si="27"/>
        <v>25</v>
      </c>
      <c r="BS16" s="60">
        <v>202.23</v>
      </c>
      <c r="BT16" s="65">
        <f t="shared" si="42"/>
        <v>39.999999999992042</v>
      </c>
      <c r="BU16" s="60">
        <v>42508</v>
      </c>
      <c r="BV16" s="65">
        <f t="shared" si="29"/>
        <v>39</v>
      </c>
      <c r="BW16" s="60">
        <v>232.99</v>
      </c>
      <c r="BX16" s="65">
        <f t="shared" si="30"/>
        <v>20.000000000010232</v>
      </c>
      <c r="BY16" s="60">
        <v>62264</v>
      </c>
      <c r="BZ16" s="67">
        <f t="shared" si="31"/>
        <v>34</v>
      </c>
      <c r="CA16" s="60">
        <v>33570.300000000003</v>
      </c>
      <c r="CB16" s="67">
        <f t="shared" si="32"/>
        <v>37.700000000004366</v>
      </c>
      <c r="CC16" s="60">
        <v>12540.6</v>
      </c>
      <c r="CD16" s="67">
        <f t="shared" si="33"/>
        <v>3.3999999999996362</v>
      </c>
      <c r="CE16" s="60">
        <v>6664.2</v>
      </c>
      <c r="CF16" s="67">
        <f t="shared" si="34"/>
        <v>5</v>
      </c>
      <c r="CG16" s="60">
        <v>61387.9</v>
      </c>
      <c r="CH16" s="67">
        <f t="shared" si="35"/>
        <v>50.099999999998545</v>
      </c>
      <c r="CI16" s="60">
        <v>961480</v>
      </c>
      <c r="CJ16" s="67">
        <f t="shared" si="36"/>
        <v>278</v>
      </c>
      <c r="CK16" s="60">
        <v>795.27</v>
      </c>
      <c r="CL16" s="64">
        <f t="shared" si="37"/>
        <v>679.99999999994998</v>
      </c>
      <c r="CM16" s="65">
        <f t="shared" si="41"/>
        <v>66</v>
      </c>
      <c r="CN16" s="62">
        <v>12</v>
      </c>
      <c r="CO16" s="62">
        <v>32</v>
      </c>
      <c r="CP16" s="68">
        <v>11775</v>
      </c>
      <c r="CQ16" s="67">
        <f t="shared" si="38"/>
        <v>47</v>
      </c>
      <c r="CR16" s="68">
        <v>15357</v>
      </c>
      <c r="CS16" s="67">
        <f t="shared" si="38"/>
        <v>19</v>
      </c>
      <c r="CT16" s="75">
        <v>7000</v>
      </c>
      <c r="CU16" s="67">
        <f t="shared" si="38"/>
        <v>14</v>
      </c>
      <c r="CV16" s="68">
        <v>16967</v>
      </c>
      <c r="CW16" s="67">
        <f t="shared" si="38"/>
        <v>25</v>
      </c>
    </row>
    <row r="17" spans="1:101" ht="25.5" customHeight="1" thickBot="1" x14ac:dyDescent="0.45">
      <c r="A17" s="63">
        <v>44422</v>
      </c>
      <c r="B17" s="44"/>
      <c r="C17" s="58">
        <v>2.3893</v>
      </c>
      <c r="D17" s="64">
        <f t="shared" si="0"/>
        <v>2099.9999999999909</v>
      </c>
      <c r="E17" s="58">
        <v>3.3852000000000002</v>
      </c>
      <c r="F17" s="64">
        <f t="shared" si="1"/>
        <v>2500.0000000003906</v>
      </c>
      <c r="G17" s="58">
        <v>3.4434</v>
      </c>
      <c r="H17" s="64">
        <f t="shared" si="2"/>
        <v>2699.9999999999245</v>
      </c>
      <c r="I17" s="58">
        <v>1.6969000000000001</v>
      </c>
      <c r="J17" s="64">
        <f t="shared" si="3"/>
        <v>1400.0000000000678</v>
      </c>
      <c r="K17" s="58">
        <v>2.7406999999999999</v>
      </c>
      <c r="L17" s="64">
        <f t="shared" si="4"/>
        <v>2099.9999999999909</v>
      </c>
      <c r="M17" s="58">
        <v>1.5004</v>
      </c>
      <c r="N17" s="64">
        <f t="shared" si="5"/>
        <v>799.99999999991189</v>
      </c>
      <c r="O17" s="58">
        <v>14622</v>
      </c>
      <c r="P17" s="67">
        <f t="shared" si="44"/>
        <v>9</v>
      </c>
      <c r="Q17" s="58">
        <v>1129</v>
      </c>
      <c r="R17" s="67">
        <f t="shared" si="6"/>
        <v>3</v>
      </c>
      <c r="S17" s="58">
        <v>1031.7</v>
      </c>
      <c r="T17" s="67">
        <f t="shared" si="7"/>
        <v>0.79999999999995453</v>
      </c>
      <c r="U17" s="58">
        <v>432166.8</v>
      </c>
      <c r="V17" s="67">
        <f t="shared" si="8"/>
        <v>324.89999999996508</v>
      </c>
      <c r="W17" s="58">
        <v>410.2</v>
      </c>
      <c r="X17" s="65">
        <f t="shared" si="9"/>
        <v>279.99999999997272</v>
      </c>
      <c r="Y17" s="58">
        <v>2.9611999999999998</v>
      </c>
      <c r="Z17" s="65">
        <f t="shared" si="10"/>
        <v>2199.9999999997576</v>
      </c>
      <c r="AA17" s="58">
        <v>409.04</v>
      </c>
      <c r="AB17" s="65">
        <f t="shared" si="11"/>
        <v>189.99999999999773</v>
      </c>
      <c r="AC17" s="58">
        <v>382.58</v>
      </c>
      <c r="AD17" s="65">
        <f t="shared" si="12"/>
        <v>310.00000000000227</v>
      </c>
      <c r="AE17" s="58">
        <v>578.57000000000005</v>
      </c>
      <c r="AF17" s="65">
        <f t="shared" si="13"/>
        <v>200.00000000004547</v>
      </c>
      <c r="AG17" s="58">
        <v>6106</v>
      </c>
      <c r="AH17" s="67">
        <f t="shared" si="14"/>
        <v>35</v>
      </c>
      <c r="AI17" s="58">
        <v>645.15</v>
      </c>
      <c r="AJ17" s="65">
        <f t="shared" si="15"/>
        <v>529.99999999997272</v>
      </c>
      <c r="AK17" s="58">
        <v>213.11</v>
      </c>
      <c r="AL17" s="65">
        <f t="shared" si="15"/>
        <v>260.00000000001933</v>
      </c>
      <c r="AM17" s="58">
        <v>202.39</v>
      </c>
      <c r="AN17" s="65">
        <f t="shared" si="15"/>
        <v>139.99999999998636</v>
      </c>
      <c r="AO17" s="58">
        <v>195.61</v>
      </c>
      <c r="AP17" s="65">
        <f t="shared" si="15"/>
        <v>170.00000000001592</v>
      </c>
      <c r="AQ17" s="58">
        <v>254.93</v>
      </c>
      <c r="AR17" s="65">
        <f t="shared" si="16"/>
        <v>170.00000000001592</v>
      </c>
      <c r="AS17" s="58">
        <v>380.79</v>
      </c>
      <c r="AT17" s="65">
        <f t="shared" si="17"/>
        <v>200.00000000004547</v>
      </c>
      <c r="AU17" s="58">
        <v>291.08</v>
      </c>
      <c r="AV17" s="65">
        <f t="shared" si="18"/>
        <v>209.99999999997954</v>
      </c>
      <c r="AW17" s="58">
        <v>324.11</v>
      </c>
      <c r="AX17" s="65">
        <f t="shared" si="19"/>
        <v>60.000000000002274</v>
      </c>
      <c r="AY17" s="58">
        <v>363.53</v>
      </c>
      <c r="AZ17" s="65">
        <f t="shared" si="20"/>
        <v>29.999999999972715</v>
      </c>
      <c r="BA17" s="58">
        <v>382.41</v>
      </c>
      <c r="BB17" s="65">
        <f t="shared" si="21"/>
        <v>20.000000000038654</v>
      </c>
      <c r="BC17" s="58">
        <v>245.74</v>
      </c>
      <c r="BD17" s="65">
        <f t="shared" si="22"/>
        <v>30.000000000001137</v>
      </c>
      <c r="BE17" s="59">
        <v>41752</v>
      </c>
      <c r="BF17" s="67">
        <f t="shared" si="39"/>
        <v>27</v>
      </c>
      <c r="BG17" s="60">
        <v>235.95</v>
      </c>
      <c r="BH17" s="65">
        <f t="shared" si="23"/>
        <v>39.999999999992042</v>
      </c>
      <c r="BI17" s="60">
        <v>294.42</v>
      </c>
      <c r="BJ17" s="65">
        <f t="shared" si="40"/>
        <v>30.000000000029559</v>
      </c>
      <c r="BK17" s="60">
        <v>238.29</v>
      </c>
      <c r="BL17" s="65">
        <f t="shared" si="24"/>
        <v>39.999999999992042</v>
      </c>
      <c r="BM17" s="60">
        <v>225.65</v>
      </c>
      <c r="BN17" s="65">
        <f t="shared" si="25"/>
        <v>50.000000000011369</v>
      </c>
      <c r="BO17" s="60">
        <v>289.47000000000003</v>
      </c>
      <c r="BP17" s="65">
        <f t="shared" si="26"/>
        <v>60.000000000002274</v>
      </c>
      <c r="BQ17" s="60">
        <v>46528</v>
      </c>
      <c r="BR17" s="65">
        <f t="shared" si="27"/>
        <v>27</v>
      </c>
      <c r="BS17" s="60">
        <v>202.27</v>
      </c>
      <c r="BT17" s="65">
        <f t="shared" si="42"/>
        <v>40.000000000020464</v>
      </c>
      <c r="BU17" s="60">
        <v>42549</v>
      </c>
      <c r="BV17" s="65">
        <f t="shared" si="29"/>
        <v>41</v>
      </c>
      <c r="BW17" s="60">
        <v>233</v>
      </c>
      <c r="BX17" s="65">
        <f t="shared" si="30"/>
        <v>9.9999999999909051</v>
      </c>
      <c r="BY17" s="60">
        <v>62299</v>
      </c>
      <c r="BZ17" s="67">
        <f t="shared" si="31"/>
        <v>35</v>
      </c>
      <c r="CA17" s="60">
        <v>33596.199999999997</v>
      </c>
      <c r="CB17" s="67">
        <f t="shared" si="32"/>
        <v>25.899999999994179</v>
      </c>
      <c r="CC17" s="60">
        <v>12547.6</v>
      </c>
      <c r="CD17" s="67">
        <f t="shared" si="33"/>
        <v>7</v>
      </c>
      <c r="CE17" s="60">
        <v>6664.8</v>
      </c>
      <c r="CF17" s="67">
        <f t="shared" si="34"/>
        <v>0.6000000000003638</v>
      </c>
      <c r="CG17" s="60">
        <v>61430.2</v>
      </c>
      <c r="CH17" s="67">
        <f t="shared" si="35"/>
        <v>42.299999999995634</v>
      </c>
      <c r="CI17" s="60">
        <v>961762</v>
      </c>
      <c r="CJ17" s="67">
        <f t="shared" si="36"/>
        <v>282</v>
      </c>
      <c r="CK17" s="60">
        <v>796.07</v>
      </c>
      <c r="CL17" s="64">
        <f t="shared" si="37"/>
        <v>800.00000000006821</v>
      </c>
      <c r="CM17" s="65">
        <f t="shared" si="41"/>
        <v>55</v>
      </c>
      <c r="CN17" s="62">
        <v>12</v>
      </c>
      <c r="CO17" s="62">
        <v>32</v>
      </c>
      <c r="CP17" s="68">
        <v>11806</v>
      </c>
      <c r="CQ17" s="67">
        <f t="shared" si="38"/>
        <v>31</v>
      </c>
      <c r="CR17" s="68">
        <v>15381</v>
      </c>
      <c r="CS17" s="67">
        <f t="shared" si="38"/>
        <v>24</v>
      </c>
      <c r="CT17" s="75">
        <v>7010</v>
      </c>
      <c r="CU17" s="67">
        <f t="shared" si="38"/>
        <v>10</v>
      </c>
      <c r="CV17" s="68">
        <v>16986</v>
      </c>
      <c r="CW17" s="67">
        <f t="shared" si="38"/>
        <v>19</v>
      </c>
    </row>
    <row r="18" spans="1:101" ht="25.5" customHeight="1" thickBot="1" x14ac:dyDescent="0.45">
      <c r="A18" s="63">
        <v>44423</v>
      </c>
      <c r="B18" s="44"/>
      <c r="C18" s="58">
        <v>2.3915000000000002</v>
      </c>
      <c r="D18" s="64">
        <f t="shared" si="0"/>
        <v>2200.0000000002019</v>
      </c>
      <c r="E18" s="58">
        <v>3.3877999999999999</v>
      </c>
      <c r="F18" s="64">
        <f t="shared" si="1"/>
        <v>2599.9999999997135</v>
      </c>
      <c r="G18" s="58">
        <v>3.4462000000000002</v>
      </c>
      <c r="H18" s="64">
        <f t="shared" si="2"/>
        <v>2800.0000000001355</v>
      </c>
      <c r="I18" s="58">
        <v>1.6981999999999999</v>
      </c>
      <c r="J18" s="64">
        <f t="shared" si="3"/>
        <v>1299.9999999998568</v>
      </c>
      <c r="K18" s="58">
        <v>2.7427000000000001</v>
      </c>
      <c r="L18" s="64">
        <f t="shared" si="4"/>
        <v>2000.0000000002237</v>
      </c>
      <c r="M18" s="58">
        <v>1.5013000000000001</v>
      </c>
      <c r="N18" s="64">
        <f t="shared" si="5"/>
        <v>900.0000000001229</v>
      </c>
      <c r="O18" s="58">
        <v>14628</v>
      </c>
      <c r="P18" s="67">
        <f t="shared" si="44"/>
        <v>6</v>
      </c>
      <c r="Q18" s="58">
        <v>1132</v>
      </c>
      <c r="R18" s="67">
        <f t="shared" si="6"/>
        <v>3</v>
      </c>
      <c r="S18" s="58">
        <v>1032.5</v>
      </c>
      <c r="T18" s="67">
        <f t="shared" si="7"/>
        <v>0.79999999999995453</v>
      </c>
      <c r="U18" s="58">
        <v>432486.5</v>
      </c>
      <c r="V18" s="67">
        <f t="shared" si="8"/>
        <v>319.70000000001164</v>
      </c>
      <c r="W18" s="58">
        <v>410.51</v>
      </c>
      <c r="X18" s="65">
        <f t="shared" si="9"/>
        <v>310.00000000000227</v>
      </c>
      <c r="Y18" s="58">
        <v>2.9634999999999998</v>
      </c>
      <c r="Z18" s="65">
        <f t="shared" si="10"/>
        <v>2299.9999999999686</v>
      </c>
      <c r="AA18" s="58">
        <v>409.38</v>
      </c>
      <c r="AB18" s="65">
        <f t="shared" si="11"/>
        <v>339.99999999997499</v>
      </c>
      <c r="AC18" s="58">
        <v>382.86</v>
      </c>
      <c r="AD18" s="65">
        <f t="shared" si="12"/>
        <v>280.00000000002956</v>
      </c>
      <c r="AE18" s="58">
        <v>578.77</v>
      </c>
      <c r="AF18" s="65">
        <f t="shared" si="13"/>
        <v>199.99999999993179</v>
      </c>
      <c r="AG18" s="58">
        <v>6141</v>
      </c>
      <c r="AH18" s="67">
        <f t="shared" si="14"/>
        <v>35</v>
      </c>
      <c r="AI18" s="58">
        <v>645.65</v>
      </c>
      <c r="AJ18" s="65">
        <f t="shared" si="15"/>
        <v>500</v>
      </c>
      <c r="AK18" s="58">
        <v>213.41</v>
      </c>
      <c r="AL18" s="65">
        <f t="shared" si="15"/>
        <v>299.99999999998295</v>
      </c>
      <c r="AM18" s="58">
        <v>202.58</v>
      </c>
      <c r="AN18" s="65">
        <f t="shared" si="15"/>
        <v>190.00000000002615</v>
      </c>
      <c r="AO18" s="58">
        <v>195.78</v>
      </c>
      <c r="AP18" s="65">
        <f t="shared" si="15"/>
        <v>169.99999999998749</v>
      </c>
      <c r="AQ18" s="58">
        <v>255.11</v>
      </c>
      <c r="AR18" s="65">
        <f t="shared" si="16"/>
        <v>180.00000000000682</v>
      </c>
      <c r="AS18" s="58">
        <v>380.99</v>
      </c>
      <c r="AT18" s="65">
        <f t="shared" si="17"/>
        <v>199.99999999998863</v>
      </c>
      <c r="AU18" s="58">
        <v>291.33</v>
      </c>
      <c r="AV18" s="65">
        <f t="shared" si="18"/>
        <v>250</v>
      </c>
      <c r="AW18" s="58">
        <v>324.19</v>
      </c>
      <c r="AX18" s="65">
        <f t="shared" si="19"/>
        <v>79.999999999984084</v>
      </c>
      <c r="AY18" s="58">
        <v>363.58</v>
      </c>
      <c r="AZ18" s="65">
        <f t="shared" si="20"/>
        <v>50.000000000011369</v>
      </c>
      <c r="BA18" s="58">
        <v>382.43</v>
      </c>
      <c r="BB18" s="65">
        <f t="shared" si="21"/>
        <v>19.99999999998181</v>
      </c>
      <c r="BC18" s="58">
        <v>245.78</v>
      </c>
      <c r="BD18" s="65">
        <f t="shared" si="22"/>
        <v>39.999999999992042</v>
      </c>
      <c r="BE18" s="59">
        <v>41773</v>
      </c>
      <c r="BF18" s="67">
        <f t="shared" si="39"/>
        <v>21</v>
      </c>
      <c r="BG18" s="60">
        <v>236</v>
      </c>
      <c r="BH18" s="65">
        <f t="shared" si="23"/>
        <v>50.000000000011369</v>
      </c>
      <c r="BI18" s="60">
        <v>294.44</v>
      </c>
      <c r="BJ18" s="65">
        <f t="shared" si="40"/>
        <v>19.99999999998181</v>
      </c>
      <c r="BK18" s="60">
        <v>238.34</v>
      </c>
      <c r="BL18" s="65">
        <f t="shared" si="24"/>
        <v>50.000000000011369</v>
      </c>
      <c r="BM18" s="60">
        <v>225.69</v>
      </c>
      <c r="BN18" s="65">
        <f t="shared" si="25"/>
        <v>39.999999999992042</v>
      </c>
      <c r="BO18" s="60">
        <v>289.52999999999997</v>
      </c>
      <c r="BP18" s="65">
        <f t="shared" si="26"/>
        <v>59.99999999994543</v>
      </c>
      <c r="BQ18" s="60">
        <v>46553</v>
      </c>
      <c r="BR18" s="65">
        <f t="shared" si="27"/>
        <v>25</v>
      </c>
      <c r="BS18" s="60">
        <v>202.31</v>
      </c>
      <c r="BT18" s="65">
        <f t="shared" si="42"/>
        <v>39.999999999992042</v>
      </c>
      <c r="BU18" s="60">
        <v>42593</v>
      </c>
      <c r="BV18" s="65">
        <f t="shared" si="29"/>
        <v>44</v>
      </c>
      <c r="BW18" s="60">
        <v>233.02</v>
      </c>
      <c r="BX18" s="65">
        <f t="shared" si="30"/>
        <v>20.000000000010232</v>
      </c>
      <c r="BY18" s="60">
        <v>62341</v>
      </c>
      <c r="BZ18" s="67">
        <f t="shared" si="31"/>
        <v>42</v>
      </c>
      <c r="CA18" s="60">
        <v>33624.9</v>
      </c>
      <c r="CB18" s="67">
        <f t="shared" si="32"/>
        <v>28.700000000004366</v>
      </c>
      <c r="CC18" s="60">
        <v>12553.1</v>
      </c>
      <c r="CD18" s="67">
        <f t="shared" si="33"/>
        <v>5.5</v>
      </c>
      <c r="CE18" s="60">
        <v>6671.8</v>
      </c>
      <c r="CF18" s="67">
        <f t="shared" si="34"/>
        <v>7</v>
      </c>
      <c r="CG18" s="60">
        <v>61486.7</v>
      </c>
      <c r="CH18" s="67">
        <f t="shared" si="35"/>
        <v>56.5</v>
      </c>
      <c r="CI18" s="60">
        <v>962047</v>
      </c>
      <c r="CJ18" s="67">
        <f t="shared" si="36"/>
        <v>285</v>
      </c>
      <c r="CK18" s="60">
        <v>796.87</v>
      </c>
      <c r="CL18" s="64">
        <f t="shared" si="37"/>
        <v>799.99999999995453</v>
      </c>
      <c r="CM18" s="65">
        <f t="shared" si="41"/>
        <v>88</v>
      </c>
      <c r="CN18" s="62">
        <v>16</v>
      </c>
      <c r="CO18" s="62">
        <v>40</v>
      </c>
      <c r="CP18" s="68">
        <v>11870</v>
      </c>
      <c r="CQ18" s="67">
        <f t="shared" si="38"/>
        <v>64</v>
      </c>
      <c r="CR18" s="68">
        <v>15405</v>
      </c>
      <c r="CS18" s="67">
        <f t="shared" si="38"/>
        <v>24</v>
      </c>
      <c r="CT18" s="75">
        <v>7020</v>
      </c>
      <c r="CU18" s="67">
        <f t="shared" si="38"/>
        <v>10</v>
      </c>
      <c r="CV18" s="68">
        <v>17005</v>
      </c>
      <c r="CW18" s="67">
        <f t="shared" si="38"/>
        <v>19</v>
      </c>
    </row>
    <row r="19" spans="1:101" ht="25.5" customHeight="1" thickBot="1" x14ac:dyDescent="0.45">
      <c r="A19" s="63">
        <v>44424</v>
      </c>
      <c r="B19" s="44"/>
      <c r="C19" s="58">
        <v>2.3932000000000002</v>
      </c>
      <c r="D19" s="64">
        <f t="shared" si="0"/>
        <v>1700.0000000000348</v>
      </c>
      <c r="E19" s="58">
        <v>3.3904000000000001</v>
      </c>
      <c r="F19" s="64">
        <f t="shared" si="1"/>
        <v>2600.0000000001578</v>
      </c>
      <c r="G19" s="58">
        <v>3.4487999999999999</v>
      </c>
      <c r="H19" s="64">
        <f t="shared" si="2"/>
        <v>2599.9999999997135</v>
      </c>
      <c r="I19" s="58">
        <v>1.6994</v>
      </c>
      <c r="J19" s="64">
        <f t="shared" si="3"/>
        <v>1200.0000000000898</v>
      </c>
      <c r="K19" s="58">
        <v>2.7444000000000002</v>
      </c>
      <c r="L19" s="64">
        <f t="shared" si="4"/>
        <v>1700.0000000000348</v>
      </c>
      <c r="M19" s="58">
        <v>1.5022</v>
      </c>
      <c r="N19" s="64">
        <f t="shared" si="5"/>
        <v>899.99999999990087</v>
      </c>
      <c r="O19" s="58">
        <v>14632</v>
      </c>
      <c r="P19" s="67">
        <f t="shared" si="44"/>
        <v>4</v>
      </c>
      <c r="Q19" s="58">
        <v>1134</v>
      </c>
      <c r="R19" s="67">
        <f t="shared" si="6"/>
        <v>2</v>
      </c>
      <c r="S19" s="58">
        <v>1033.2</v>
      </c>
      <c r="T19" s="67">
        <f t="shared" si="7"/>
        <v>0.70000000000004547</v>
      </c>
      <c r="U19" s="58">
        <v>432764.5</v>
      </c>
      <c r="V19" s="67">
        <f t="shared" si="8"/>
        <v>278</v>
      </c>
      <c r="W19" s="58">
        <v>410.73</v>
      </c>
      <c r="X19" s="65">
        <f t="shared" si="9"/>
        <v>220.00000000002728</v>
      </c>
      <c r="Y19" s="58">
        <v>2.9658000000000002</v>
      </c>
      <c r="Z19" s="65">
        <f t="shared" si="10"/>
        <v>2300.0000000004129</v>
      </c>
      <c r="AA19" s="58">
        <v>409.7</v>
      </c>
      <c r="AB19" s="65">
        <f t="shared" si="11"/>
        <v>319.99999999999318</v>
      </c>
      <c r="AC19" s="58">
        <v>383.08</v>
      </c>
      <c r="AD19" s="65">
        <f t="shared" si="12"/>
        <v>219.99999999997044</v>
      </c>
      <c r="AE19" s="58">
        <v>578.98</v>
      </c>
      <c r="AF19" s="65">
        <f t="shared" si="13"/>
        <v>210.00000000003638</v>
      </c>
      <c r="AG19" s="58">
        <v>6173</v>
      </c>
      <c r="AH19" s="67">
        <f t="shared" si="14"/>
        <v>32</v>
      </c>
      <c r="AI19" s="58">
        <v>646.04999999999995</v>
      </c>
      <c r="AJ19" s="65">
        <f t="shared" si="15"/>
        <v>399.99999999997726</v>
      </c>
      <c r="AK19" s="58">
        <v>213.66</v>
      </c>
      <c r="AL19" s="65">
        <f t="shared" si="15"/>
        <v>250</v>
      </c>
      <c r="AM19" s="58">
        <v>202.73</v>
      </c>
      <c r="AN19" s="65">
        <f t="shared" si="15"/>
        <v>149.99999999997726</v>
      </c>
      <c r="AO19" s="58">
        <v>195.89</v>
      </c>
      <c r="AP19" s="65">
        <f t="shared" si="15"/>
        <v>109.99999999998522</v>
      </c>
      <c r="AQ19" s="58">
        <v>255.22</v>
      </c>
      <c r="AR19" s="65">
        <f t="shared" si="16"/>
        <v>109.99999999998522</v>
      </c>
      <c r="AS19" s="58">
        <v>381.16</v>
      </c>
      <c r="AT19" s="65">
        <f t="shared" si="17"/>
        <v>170.00000000001592</v>
      </c>
      <c r="AU19" s="58">
        <v>291.52</v>
      </c>
      <c r="AV19" s="65">
        <f t="shared" si="18"/>
        <v>189.99999999999773</v>
      </c>
      <c r="AW19" s="58">
        <v>324.25</v>
      </c>
      <c r="AX19" s="65">
        <f t="shared" si="19"/>
        <v>60.000000000002274</v>
      </c>
      <c r="AY19" s="58">
        <v>363.61</v>
      </c>
      <c r="AZ19" s="65">
        <f t="shared" si="20"/>
        <v>30.000000000029559</v>
      </c>
      <c r="BA19" s="58">
        <v>382.46</v>
      </c>
      <c r="BB19" s="65">
        <f t="shared" si="21"/>
        <v>29.999999999972715</v>
      </c>
      <c r="BC19" s="58">
        <v>245.81</v>
      </c>
      <c r="BD19" s="65">
        <f t="shared" si="22"/>
        <v>30.000000000001137</v>
      </c>
      <c r="BE19" s="59">
        <v>41808</v>
      </c>
      <c r="BF19" s="67">
        <f t="shared" si="39"/>
        <v>35</v>
      </c>
      <c r="BG19" s="60">
        <v>236.03</v>
      </c>
      <c r="BH19" s="65">
        <f t="shared" si="23"/>
        <v>30.000000000001137</v>
      </c>
      <c r="BI19" s="60">
        <v>294.47000000000003</v>
      </c>
      <c r="BJ19" s="65">
        <f t="shared" si="40"/>
        <v>30.000000000029559</v>
      </c>
      <c r="BK19" s="60">
        <v>238.37</v>
      </c>
      <c r="BL19" s="65">
        <f t="shared" si="24"/>
        <v>30.000000000001137</v>
      </c>
      <c r="BM19" s="60">
        <v>225.73</v>
      </c>
      <c r="BN19" s="65">
        <f t="shared" si="25"/>
        <v>39.999999999992042</v>
      </c>
      <c r="BO19" s="60">
        <v>289.57</v>
      </c>
      <c r="BP19" s="65">
        <f t="shared" si="26"/>
        <v>40.000000000020464</v>
      </c>
      <c r="BQ19" s="60">
        <v>46569</v>
      </c>
      <c r="BR19" s="65">
        <f t="shared" si="27"/>
        <v>16</v>
      </c>
      <c r="BS19" s="60">
        <v>202.34</v>
      </c>
      <c r="BT19" s="65">
        <f t="shared" si="42"/>
        <v>30.000000000001137</v>
      </c>
      <c r="BU19" s="60">
        <v>42628</v>
      </c>
      <c r="BV19" s="65">
        <f t="shared" si="29"/>
        <v>35</v>
      </c>
      <c r="BW19" s="60">
        <v>233.04</v>
      </c>
      <c r="BX19" s="65">
        <f t="shared" si="30"/>
        <v>19.99999999998181</v>
      </c>
      <c r="BY19" s="60">
        <v>62372</v>
      </c>
      <c r="BZ19" s="67">
        <f t="shared" si="31"/>
        <v>31</v>
      </c>
      <c r="CA19" s="60">
        <v>33661.300000000003</v>
      </c>
      <c r="CB19" s="67">
        <f t="shared" si="32"/>
        <v>36.400000000001455</v>
      </c>
      <c r="CC19" s="60">
        <v>12559.1</v>
      </c>
      <c r="CD19" s="67">
        <f t="shared" si="33"/>
        <v>6</v>
      </c>
      <c r="CE19" s="60">
        <v>6677.1</v>
      </c>
      <c r="CF19" s="67">
        <f t="shared" si="34"/>
        <v>5.3000000000001819</v>
      </c>
      <c r="CG19" s="60">
        <v>61536.9</v>
      </c>
      <c r="CH19" s="67">
        <f t="shared" si="35"/>
        <v>50.200000000004366</v>
      </c>
      <c r="CI19" s="60">
        <v>962316</v>
      </c>
      <c r="CJ19" s="67">
        <f t="shared" si="36"/>
        <v>269</v>
      </c>
      <c r="CK19" s="60">
        <v>797.6</v>
      </c>
      <c r="CL19" s="64">
        <f t="shared" si="37"/>
        <v>730.00000000001819</v>
      </c>
      <c r="CM19" s="65">
        <f t="shared" si="41"/>
        <v>62</v>
      </c>
      <c r="CN19" s="62">
        <v>16</v>
      </c>
      <c r="CO19" s="62">
        <v>42</v>
      </c>
      <c r="CP19" s="68">
        <v>11910</v>
      </c>
      <c r="CQ19" s="67">
        <f t="shared" si="38"/>
        <v>40</v>
      </c>
      <c r="CR19" s="68">
        <v>15427</v>
      </c>
      <c r="CS19" s="67">
        <f t="shared" si="38"/>
        <v>22</v>
      </c>
      <c r="CT19" s="75">
        <v>7030</v>
      </c>
      <c r="CU19" s="67">
        <f t="shared" si="38"/>
        <v>10</v>
      </c>
      <c r="CV19" s="68">
        <v>17022</v>
      </c>
      <c r="CW19" s="67">
        <f t="shared" si="38"/>
        <v>17</v>
      </c>
    </row>
    <row r="20" spans="1:101" ht="25.5" customHeight="1" thickBot="1" x14ac:dyDescent="0.45">
      <c r="A20" s="63">
        <v>44425</v>
      </c>
      <c r="B20" s="44"/>
      <c r="C20" s="58">
        <v>2.3950999999999998</v>
      </c>
      <c r="D20" s="64">
        <f t="shared" si="0"/>
        <v>1899.9999999995687</v>
      </c>
      <c r="E20" s="58">
        <v>3.3929</v>
      </c>
      <c r="F20" s="64">
        <f t="shared" si="1"/>
        <v>2499.9999999999468</v>
      </c>
      <c r="G20" s="58">
        <v>3.4514</v>
      </c>
      <c r="H20" s="64">
        <f t="shared" si="2"/>
        <v>2600.0000000001578</v>
      </c>
      <c r="I20" s="58">
        <v>1.7005999999999999</v>
      </c>
      <c r="J20" s="64">
        <f t="shared" si="3"/>
        <v>1199.9999999998679</v>
      </c>
      <c r="K20" s="58">
        <v>2.7463000000000002</v>
      </c>
      <c r="L20" s="64">
        <f t="shared" si="4"/>
        <v>1900.0000000000127</v>
      </c>
      <c r="M20" s="58">
        <v>1.5027999999999999</v>
      </c>
      <c r="N20" s="64">
        <f t="shared" si="5"/>
        <v>599.99999999993395</v>
      </c>
      <c r="O20" s="58">
        <v>14636</v>
      </c>
      <c r="P20" s="67">
        <f t="shared" si="44"/>
        <v>4</v>
      </c>
      <c r="Q20" s="58">
        <v>1136</v>
      </c>
      <c r="R20" s="67">
        <f t="shared" si="6"/>
        <v>2</v>
      </c>
      <c r="S20" s="58">
        <v>1034.0999999999999</v>
      </c>
      <c r="T20" s="67">
        <f t="shared" si="7"/>
        <v>0.89999999999986358</v>
      </c>
      <c r="U20" s="58">
        <v>433079.5</v>
      </c>
      <c r="V20" s="67">
        <f t="shared" si="8"/>
        <v>315</v>
      </c>
      <c r="W20" s="58">
        <v>410.96</v>
      </c>
      <c r="X20" s="65">
        <f t="shared" si="9"/>
        <v>229.99999999996135</v>
      </c>
      <c r="Y20" s="58">
        <v>2.9681000000000002</v>
      </c>
      <c r="Z20" s="65">
        <f t="shared" si="10"/>
        <v>2299.9999999999686</v>
      </c>
      <c r="AA20" s="58">
        <v>409.86</v>
      </c>
      <c r="AB20" s="65">
        <f t="shared" si="11"/>
        <v>160.00000000002501</v>
      </c>
      <c r="AC20" s="58">
        <v>383.28</v>
      </c>
      <c r="AD20" s="65">
        <f t="shared" si="12"/>
        <v>199.99999999998863</v>
      </c>
      <c r="AE20" s="58">
        <v>579.16</v>
      </c>
      <c r="AF20" s="65">
        <f t="shared" si="13"/>
        <v>179.99999999994998</v>
      </c>
      <c r="AG20" s="58">
        <v>6207</v>
      </c>
      <c r="AH20" s="67">
        <f t="shared" si="14"/>
        <v>34</v>
      </c>
      <c r="AI20" s="58">
        <v>646.49</v>
      </c>
      <c r="AJ20" s="65">
        <f t="shared" si="15"/>
        <v>440.00000000005457</v>
      </c>
      <c r="AK20" s="58">
        <v>213.93</v>
      </c>
      <c r="AL20" s="65">
        <f t="shared" si="15"/>
        <v>270.00000000001023</v>
      </c>
      <c r="AM20" s="58">
        <v>202.91</v>
      </c>
      <c r="AN20" s="65">
        <f t="shared" si="15"/>
        <v>180.00000000000682</v>
      </c>
      <c r="AO20" s="58">
        <v>196</v>
      </c>
      <c r="AP20" s="65">
        <f t="shared" si="15"/>
        <v>110.00000000001364</v>
      </c>
      <c r="AQ20" s="58">
        <v>255.33</v>
      </c>
      <c r="AR20" s="65">
        <f t="shared" si="16"/>
        <v>110.00000000001364</v>
      </c>
      <c r="AS20" s="58">
        <v>381.34</v>
      </c>
      <c r="AT20" s="65">
        <f t="shared" si="17"/>
        <v>179.99999999994998</v>
      </c>
      <c r="AU20" s="58">
        <v>291.74</v>
      </c>
      <c r="AV20" s="65">
        <f t="shared" si="18"/>
        <v>220.00000000002728</v>
      </c>
      <c r="AW20" s="58">
        <v>324.3</v>
      </c>
      <c r="AX20" s="65">
        <f t="shared" si="19"/>
        <v>50.000000000011369</v>
      </c>
      <c r="AY20" s="58">
        <v>363.64</v>
      </c>
      <c r="AZ20" s="65">
        <f t="shared" si="20"/>
        <v>29.999999999972715</v>
      </c>
      <c r="BA20" s="58">
        <v>382.48</v>
      </c>
      <c r="BB20" s="65">
        <f t="shared" si="21"/>
        <v>20.000000000038654</v>
      </c>
      <c r="BC20" s="58">
        <v>245.84</v>
      </c>
      <c r="BD20" s="65">
        <f t="shared" si="22"/>
        <v>30.000000000001137</v>
      </c>
      <c r="BE20" s="59"/>
      <c r="BF20" s="67" t="str">
        <f t="shared" si="39"/>
        <v/>
      </c>
      <c r="BG20" s="60">
        <v>236.07</v>
      </c>
      <c r="BH20" s="65">
        <f t="shared" si="23"/>
        <v>39.999999999992042</v>
      </c>
      <c r="BI20" s="60">
        <v>294.49</v>
      </c>
      <c r="BJ20" s="65">
        <f t="shared" si="40"/>
        <v>19.99999999998181</v>
      </c>
      <c r="BK20" s="60">
        <v>238.4</v>
      </c>
      <c r="BL20" s="65">
        <f t="shared" si="24"/>
        <v>30.000000000001137</v>
      </c>
      <c r="BM20" s="60">
        <v>225.76</v>
      </c>
      <c r="BN20" s="65">
        <f t="shared" si="25"/>
        <v>30.000000000001137</v>
      </c>
      <c r="BO20" s="60">
        <v>289.61</v>
      </c>
      <c r="BP20" s="65">
        <f t="shared" si="26"/>
        <v>40.000000000020464</v>
      </c>
      <c r="BQ20" s="60">
        <v>46588</v>
      </c>
      <c r="BR20" s="65">
        <f t="shared" si="27"/>
        <v>19</v>
      </c>
      <c r="BS20" s="60">
        <v>202.38</v>
      </c>
      <c r="BT20" s="65">
        <f t="shared" si="42"/>
        <v>39.999999999992042</v>
      </c>
      <c r="BU20" s="60">
        <v>42666</v>
      </c>
      <c r="BV20" s="65">
        <f t="shared" si="29"/>
        <v>38</v>
      </c>
      <c r="BW20" s="60">
        <v>233.06</v>
      </c>
      <c r="BX20" s="65">
        <f t="shared" si="30"/>
        <v>20.000000000010232</v>
      </c>
      <c r="BY20" s="60">
        <v>62408</v>
      </c>
      <c r="BZ20" s="67">
        <f t="shared" si="31"/>
        <v>36</v>
      </c>
      <c r="CA20" s="60">
        <v>33688.5</v>
      </c>
      <c r="CB20" s="67">
        <f t="shared" si="32"/>
        <v>27.19999999999709</v>
      </c>
      <c r="CC20" s="60">
        <v>12565.4</v>
      </c>
      <c r="CD20" s="67">
        <f t="shared" si="33"/>
        <v>6.2999999999992724</v>
      </c>
      <c r="CE20" s="60">
        <v>6677.7</v>
      </c>
      <c r="CF20" s="67">
        <f t="shared" si="34"/>
        <v>0.5999999999994543</v>
      </c>
      <c r="CG20" s="60">
        <v>61590.400000000001</v>
      </c>
      <c r="CH20" s="67">
        <f t="shared" si="35"/>
        <v>53.5</v>
      </c>
      <c r="CI20" s="60">
        <v>962586</v>
      </c>
      <c r="CJ20" s="67">
        <f t="shared" si="36"/>
        <v>270</v>
      </c>
      <c r="CK20" s="60">
        <v>798.3</v>
      </c>
      <c r="CL20" s="64">
        <f t="shared" si="37"/>
        <v>699.99999999993179</v>
      </c>
      <c r="CM20" s="65">
        <f t="shared" si="41"/>
        <v>63</v>
      </c>
      <c r="CN20" s="62">
        <v>0</v>
      </c>
      <c r="CO20" s="62">
        <v>0</v>
      </c>
      <c r="CP20" s="68">
        <v>11952</v>
      </c>
      <c r="CQ20" s="67">
        <f t="shared" si="38"/>
        <v>42</v>
      </c>
      <c r="CR20" s="68">
        <v>15448</v>
      </c>
      <c r="CS20" s="67">
        <f t="shared" si="38"/>
        <v>21</v>
      </c>
      <c r="CT20" s="75">
        <v>7040</v>
      </c>
      <c r="CU20" s="67">
        <f t="shared" si="38"/>
        <v>10</v>
      </c>
      <c r="CV20" s="68">
        <v>17038</v>
      </c>
      <c r="CW20" s="67">
        <f t="shared" si="38"/>
        <v>16</v>
      </c>
    </row>
    <row r="21" spans="1:101" ht="25.5" customHeight="1" thickBot="1" x14ac:dyDescent="0.45">
      <c r="A21" s="63">
        <v>44426</v>
      </c>
      <c r="B21" s="44"/>
      <c r="C21" s="58"/>
      <c r="D21" s="64" t="str">
        <f t="shared" si="0"/>
        <v>0</v>
      </c>
      <c r="E21" s="58"/>
      <c r="F21" s="64" t="str">
        <f t="shared" si="1"/>
        <v>0</v>
      </c>
      <c r="G21" s="58"/>
      <c r="H21" s="64" t="str">
        <f t="shared" si="2"/>
        <v>0</v>
      </c>
      <c r="I21" s="58"/>
      <c r="J21" s="64" t="str">
        <f t="shared" si="3"/>
        <v>0</v>
      </c>
      <c r="K21" s="58"/>
      <c r="L21" s="64" t="str">
        <f t="shared" si="4"/>
        <v>0</v>
      </c>
      <c r="M21" s="58"/>
      <c r="N21" s="64" t="str">
        <f t="shared" si="5"/>
        <v/>
      </c>
      <c r="O21" s="58"/>
      <c r="P21" s="67" t="str">
        <f t="shared" si="44"/>
        <v/>
      </c>
      <c r="Q21" s="58"/>
      <c r="R21" s="67" t="str">
        <f t="shared" si="6"/>
        <v/>
      </c>
      <c r="S21" s="58"/>
      <c r="T21" s="67" t="str">
        <f t="shared" si="7"/>
        <v/>
      </c>
      <c r="U21" s="58"/>
      <c r="V21" s="67" t="str">
        <f t="shared" si="8"/>
        <v/>
      </c>
      <c r="W21" s="58"/>
      <c r="X21" s="65" t="str">
        <f t="shared" si="9"/>
        <v/>
      </c>
      <c r="Y21" s="58"/>
      <c r="Z21" s="65" t="str">
        <f t="shared" si="10"/>
        <v/>
      </c>
      <c r="AA21" s="58"/>
      <c r="AB21" s="65" t="str">
        <f t="shared" si="11"/>
        <v/>
      </c>
      <c r="AC21" s="58"/>
      <c r="AD21" s="65" t="str">
        <f t="shared" si="12"/>
        <v/>
      </c>
      <c r="AE21" s="58"/>
      <c r="AF21" s="65" t="str">
        <f t="shared" si="13"/>
        <v/>
      </c>
      <c r="AG21" s="58"/>
      <c r="AH21" s="67" t="str">
        <f t="shared" si="14"/>
        <v/>
      </c>
      <c r="AI21" s="58"/>
      <c r="AJ21" s="65" t="str">
        <f t="shared" si="15"/>
        <v/>
      </c>
      <c r="AK21" s="58"/>
      <c r="AL21" s="65" t="str">
        <f t="shared" si="15"/>
        <v/>
      </c>
      <c r="AM21" s="58"/>
      <c r="AN21" s="65" t="str">
        <f t="shared" si="15"/>
        <v/>
      </c>
      <c r="AO21" s="58"/>
      <c r="AP21" s="65" t="str">
        <f t="shared" si="15"/>
        <v/>
      </c>
      <c r="AQ21" s="58"/>
      <c r="AR21" s="65" t="str">
        <f t="shared" si="16"/>
        <v/>
      </c>
      <c r="AS21" s="58"/>
      <c r="AT21" s="65" t="str">
        <f t="shared" si="17"/>
        <v/>
      </c>
      <c r="AU21" s="58"/>
      <c r="AV21" s="65" t="str">
        <f t="shared" si="18"/>
        <v/>
      </c>
      <c r="AW21" s="58"/>
      <c r="AX21" s="65" t="str">
        <f t="shared" si="19"/>
        <v/>
      </c>
      <c r="AY21" s="58"/>
      <c r="AZ21" s="65" t="str">
        <f t="shared" si="20"/>
        <v/>
      </c>
      <c r="BA21" s="58"/>
      <c r="BB21" s="65" t="str">
        <f t="shared" si="21"/>
        <v/>
      </c>
      <c r="BC21" s="58"/>
      <c r="BD21" s="65" t="str">
        <f t="shared" si="22"/>
        <v/>
      </c>
      <c r="BE21" s="59"/>
      <c r="BF21" s="67">
        <f t="shared" si="39"/>
        <v>0</v>
      </c>
      <c r="BG21" s="60"/>
      <c r="BH21" s="65" t="str">
        <f t="shared" si="23"/>
        <v/>
      </c>
      <c r="BI21" s="60"/>
      <c r="BJ21" s="65" t="str">
        <f t="shared" si="40"/>
        <v/>
      </c>
      <c r="BK21" s="60"/>
      <c r="BL21" s="65" t="str">
        <f t="shared" si="24"/>
        <v/>
      </c>
      <c r="BM21" s="60"/>
      <c r="BN21" s="65" t="str">
        <f t="shared" si="25"/>
        <v/>
      </c>
      <c r="BO21" s="60"/>
      <c r="BP21" s="65" t="str">
        <f t="shared" si="26"/>
        <v/>
      </c>
      <c r="BQ21" s="60"/>
      <c r="BR21" s="65" t="str">
        <f t="shared" si="27"/>
        <v/>
      </c>
      <c r="BS21" s="60"/>
      <c r="BT21" s="65" t="str">
        <f t="shared" si="42"/>
        <v/>
      </c>
      <c r="BU21" s="60"/>
      <c r="BV21" s="65" t="str">
        <f t="shared" si="29"/>
        <v/>
      </c>
      <c r="BW21" s="60"/>
      <c r="BX21" s="65" t="str">
        <f t="shared" si="30"/>
        <v/>
      </c>
      <c r="BY21" s="60"/>
      <c r="BZ21" s="67" t="str">
        <f t="shared" si="31"/>
        <v/>
      </c>
      <c r="CA21" s="60"/>
      <c r="CB21" s="67" t="str">
        <f t="shared" si="32"/>
        <v/>
      </c>
      <c r="CC21" s="60"/>
      <c r="CD21" s="67" t="str">
        <f t="shared" si="33"/>
        <v/>
      </c>
      <c r="CE21" s="60"/>
      <c r="CF21" s="67" t="str">
        <f t="shared" si="34"/>
        <v/>
      </c>
      <c r="CG21" s="60"/>
      <c r="CH21" s="67" t="str">
        <f t="shared" si="35"/>
        <v/>
      </c>
      <c r="CI21" s="60"/>
      <c r="CJ21" s="67" t="str">
        <f t="shared" si="36"/>
        <v/>
      </c>
      <c r="CK21" s="60"/>
      <c r="CL21" s="64" t="str">
        <f t="shared" si="37"/>
        <v/>
      </c>
      <c r="CM21" s="65" t="e">
        <f t="shared" si="41"/>
        <v>#VALUE!</v>
      </c>
      <c r="CN21" s="62">
        <v>0</v>
      </c>
      <c r="CO21" s="62">
        <v>0</v>
      </c>
      <c r="CP21" s="68"/>
      <c r="CQ21" s="67" t="str">
        <f t="shared" si="38"/>
        <v/>
      </c>
      <c r="CR21" s="68"/>
      <c r="CS21" s="67" t="str">
        <f t="shared" si="38"/>
        <v/>
      </c>
      <c r="CT21" s="75"/>
      <c r="CU21" s="67" t="str">
        <f t="shared" si="38"/>
        <v/>
      </c>
      <c r="CV21" s="68"/>
      <c r="CW21" s="67" t="str">
        <f t="shared" si="38"/>
        <v/>
      </c>
    </row>
    <row r="22" spans="1:101" ht="25.5" customHeight="1" thickBot="1" x14ac:dyDescent="0.45">
      <c r="A22" s="63">
        <v>44427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44428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44429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44430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Q27" sqref="Q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10</v>
      </c>
      <c r="D18" s="40">
        <v>29</v>
      </c>
      <c r="E18" s="41">
        <v>30</v>
      </c>
      <c r="F18" s="41">
        <v>5597</v>
      </c>
      <c r="G18" s="41">
        <v>0</v>
      </c>
      <c r="H18" s="41">
        <v>1653</v>
      </c>
      <c r="I18" s="41">
        <v>0</v>
      </c>
      <c r="J18" s="41">
        <v>398</v>
      </c>
      <c r="K18" s="42">
        <v>85</v>
      </c>
      <c r="L18" s="42">
        <v>20</v>
      </c>
      <c r="M18" s="42">
        <v>1392</v>
      </c>
      <c r="N18" s="39">
        <v>0</v>
      </c>
      <c r="O18" s="39">
        <v>0</v>
      </c>
      <c r="P18" s="39">
        <v>60</v>
      </c>
      <c r="Q18" s="39">
        <v>4042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10</v>
      </c>
      <c r="D19" s="40">
        <v>29</v>
      </c>
      <c r="E19" s="41">
        <v>25</v>
      </c>
      <c r="F19" s="41">
        <v>5602</v>
      </c>
      <c r="G19" s="41">
        <v>85</v>
      </c>
      <c r="H19" s="41">
        <v>1656</v>
      </c>
      <c r="I19" s="41">
        <v>0</v>
      </c>
      <c r="J19" s="41">
        <v>400</v>
      </c>
      <c r="K19" s="42">
        <v>85</v>
      </c>
      <c r="L19" s="42">
        <v>20</v>
      </c>
      <c r="M19" s="42">
        <v>1392</v>
      </c>
      <c r="N19" s="39">
        <v>0</v>
      </c>
      <c r="O19" s="39">
        <v>0</v>
      </c>
      <c r="P19" s="39">
        <v>55</v>
      </c>
      <c r="Q19" s="39">
        <v>4045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12</v>
      </c>
      <c r="D20" s="40">
        <v>32</v>
      </c>
      <c r="E20" s="41">
        <v>25</v>
      </c>
      <c r="F20" s="41">
        <v>5610</v>
      </c>
      <c r="G20" s="41">
        <v>70</v>
      </c>
      <c r="H20" s="41">
        <v>1658</v>
      </c>
      <c r="I20" s="41">
        <v>0</v>
      </c>
      <c r="J20" s="41">
        <v>401</v>
      </c>
      <c r="K20" s="42">
        <v>85</v>
      </c>
      <c r="L20" s="42">
        <v>20</v>
      </c>
      <c r="M20" s="42">
        <v>1393</v>
      </c>
      <c r="N20" s="39">
        <v>0</v>
      </c>
      <c r="O20" s="39">
        <v>0</v>
      </c>
      <c r="P20" s="39">
        <v>55</v>
      </c>
      <c r="Q20" s="39">
        <v>4049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12</v>
      </c>
      <c r="D21" s="40">
        <v>32</v>
      </c>
      <c r="E21" s="41">
        <v>25</v>
      </c>
      <c r="F21" s="41">
        <v>5616</v>
      </c>
      <c r="G21" s="41">
        <v>60</v>
      </c>
      <c r="H21" s="41">
        <v>1666</v>
      </c>
      <c r="I21" s="41">
        <v>0</v>
      </c>
      <c r="J21" s="41">
        <v>402</v>
      </c>
      <c r="K21" s="42">
        <v>85</v>
      </c>
      <c r="L21" s="42">
        <v>20</v>
      </c>
      <c r="M21" s="42">
        <v>1393</v>
      </c>
      <c r="N21" s="39">
        <v>0</v>
      </c>
      <c r="O21" s="39">
        <v>0</v>
      </c>
      <c r="P21" s="39">
        <v>50</v>
      </c>
      <c r="Q21" s="39">
        <v>4054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16</v>
      </c>
      <c r="D22" s="40">
        <v>40</v>
      </c>
      <c r="E22" s="41">
        <v>20</v>
      </c>
      <c r="F22" s="41">
        <v>5621</v>
      </c>
      <c r="G22" s="41">
        <v>45</v>
      </c>
      <c r="H22" s="41">
        <v>1662</v>
      </c>
      <c r="I22" s="41">
        <v>0</v>
      </c>
      <c r="J22" s="41">
        <v>403</v>
      </c>
      <c r="K22" s="42">
        <v>85</v>
      </c>
      <c r="L22" s="42">
        <v>19</v>
      </c>
      <c r="M22" s="42">
        <v>1395</v>
      </c>
      <c r="N22" s="39">
        <v>0</v>
      </c>
      <c r="O22" s="39">
        <v>0</v>
      </c>
      <c r="P22" s="39">
        <v>45</v>
      </c>
      <c r="Q22" s="39">
        <v>4059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16</v>
      </c>
      <c r="D23" s="40">
        <v>42</v>
      </c>
      <c r="E23" s="41">
        <v>20</v>
      </c>
      <c r="F23" s="41">
        <v>5629</v>
      </c>
      <c r="G23" s="41">
        <v>35</v>
      </c>
      <c r="H23" s="41">
        <v>1664</v>
      </c>
      <c r="I23" s="41">
        <v>0</v>
      </c>
      <c r="J23" s="41">
        <v>403</v>
      </c>
      <c r="K23" s="42">
        <v>85</v>
      </c>
      <c r="L23" s="42">
        <v>15</v>
      </c>
      <c r="M23" s="42">
        <v>1395</v>
      </c>
      <c r="N23" s="39">
        <v>0</v>
      </c>
      <c r="O23" s="39">
        <v>0</v>
      </c>
      <c r="P23" s="39">
        <v>35</v>
      </c>
      <c r="Q23" s="39">
        <v>4064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16</v>
      </c>
      <c r="D24" s="40">
        <v>42</v>
      </c>
      <c r="E24" s="41">
        <v>20</v>
      </c>
      <c r="F24" s="41">
        <v>5633</v>
      </c>
      <c r="G24" s="41">
        <v>25</v>
      </c>
      <c r="H24" s="41">
        <v>1666</v>
      </c>
      <c r="I24" s="41">
        <v>0</v>
      </c>
      <c r="J24" s="41">
        <v>403</v>
      </c>
      <c r="K24" s="42">
        <v>85</v>
      </c>
      <c r="L24" s="42">
        <v>15</v>
      </c>
      <c r="M24" s="42">
        <v>1395</v>
      </c>
      <c r="N24" s="39">
        <v>0</v>
      </c>
      <c r="O24" s="39">
        <v>0</v>
      </c>
      <c r="P24" s="39">
        <v>30</v>
      </c>
      <c r="Q24" s="39">
        <v>4067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-217</v>
      </c>
    </row>
    <row r="26" spans="1:20" x14ac:dyDescent="0.25">
      <c r="A26" s="73">
        <v>44427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2021-08-18T19:51:12Z</dcterms:modified>
</cp:coreProperties>
</file>