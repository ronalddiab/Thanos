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0\Monthly Spread Sheet HEP\"/>
    </mc:Choice>
  </mc:AlternateContent>
  <bookViews>
    <workbookView xWindow="0" yWindow="0" windowWidth="25200" windowHeight="11985" activeTab="4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  <c r="H32" i="4" l="1"/>
  <c r="F37" i="2"/>
  <c r="G37" i="2" s="1"/>
  <c r="F38" i="2"/>
  <c r="G38" i="2" s="1"/>
  <c r="I19" i="1"/>
  <c r="I18" i="1"/>
  <c r="I17" i="1"/>
  <c r="G22" i="4"/>
  <c r="I14" i="1"/>
  <c r="I13" i="1"/>
  <c r="G19" i="4"/>
  <c r="J12" i="1" s="1"/>
  <c r="I11" i="1"/>
  <c r="I9" i="1"/>
  <c r="I6" i="1"/>
  <c r="I5" i="1"/>
  <c r="G10" i="4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I40" i="5"/>
  <c r="G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K10" i="5" s="1"/>
  <c r="L10" i="5" s="1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3" i="4"/>
  <c r="J16" i="1" s="1"/>
  <c r="G17" i="4"/>
  <c r="J10" i="1" s="1"/>
  <c r="G15" i="4"/>
  <c r="J8" i="1" s="1"/>
  <c r="G14" i="4"/>
  <c r="H14" i="4" s="1"/>
  <c r="G11" i="4"/>
  <c r="H11" i="4" s="1"/>
  <c r="G9" i="4"/>
  <c r="J2" i="1" s="1"/>
  <c r="O40" i="3"/>
  <c r="F40" i="3"/>
  <c r="O41" i="3" s="1"/>
  <c r="G39" i="3"/>
  <c r="J8" i="3"/>
  <c r="J38" i="3" s="1"/>
  <c r="G38" i="3"/>
  <c r="G37" i="3"/>
  <c r="G36" i="3"/>
  <c r="J35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U8" i="3"/>
  <c r="D39" i="2"/>
  <c r="C39" i="2"/>
  <c r="I38" i="2"/>
  <c r="J38" i="2" s="1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 s="1"/>
  <c r="I27" i="2"/>
  <c r="J27" i="2" s="1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 s="1"/>
  <c r="F16" i="2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J5" i="1" s="1"/>
  <c r="G20" i="4"/>
  <c r="J13" i="1" s="1"/>
  <c r="G13" i="4"/>
  <c r="J6" i="1" s="1"/>
  <c r="G21" i="4"/>
  <c r="J14" i="1" s="1"/>
  <c r="G29" i="4"/>
  <c r="J22" i="1" s="1"/>
  <c r="G27" i="4"/>
  <c r="J20" i="1" s="1"/>
  <c r="J34" i="3"/>
  <c r="J23" i="3"/>
  <c r="J9" i="3"/>
  <c r="J15" i="3"/>
  <c r="J17" i="3"/>
  <c r="K24" i="5" l="1"/>
  <c r="L24" i="5" s="1"/>
  <c r="K15" i="5"/>
  <c r="L8" i="1" s="1"/>
  <c r="K18" i="5"/>
  <c r="L18" i="5" s="1"/>
  <c r="K26" i="5"/>
  <c r="L26" i="5" s="1"/>
  <c r="J7" i="1"/>
  <c r="E10" i="1"/>
  <c r="E16" i="1"/>
  <c r="E18" i="1"/>
  <c r="E15" i="1"/>
  <c r="K11" i="5"/>
  <c r="L11" i="5" s="1"/>
  <c r="K27" i="5"/>
  <c r="L27" i="5" s="1"/>
  <c r="K9" i="5"/>
  <c r="L9" i="5" s="1"/>
  <c r="K25" i="5"/>
  <c r="L25" i="5" s="1"/>
  <c r="K38" i="5"/>
  <c r="L38" i="5" s="1"/>
  <c r="K31" i="5"/>
  <c r="L24" i="1" s="1"/>
  <c r="G16" i="2"/>
  <c r="K16" i="2" s="1"/>
  <c r="L16" i="2" s="1"/>
  <c r="K14" i="5"/>
  <c r="L14" i="5" s="1"/>
  <c r="K22" i="5"/>
  <c r="L22" i="5" s="1"/>
  <c r="K33" i="5"/>
  <c r="L33" i="5" s="1"/>
  <c r="K28" i="5"/>
  <c r="L21" i="1" s="1"/>
  <c r="K36" i="5"/>
  <c r="L29" i="1" s="1"/>
  <c r="K34" i="5"/>
  <c r="L34" i="5" s="1"/>
  <c r="K30" i="5"/>
  <c r="L30" i="5" s="1"/>
  <c r="K35" i="5"/>
  <c r="L35" i="5" s="1"/>
  <c r="H9" i="4"/>
  <c r="J16" i="3"/>
  <c r="J26" i="3"/>
  <c r="J19" i="3"/>
  <c r="J29" i="3"/>
  <c r="J14" i="3"/>
  <c r="J39" i="3"/>
  <c r="J20" i="3"/>
  <c r="J30" i="3"/>
  <c r="J24" i="3"/>
  <c r="J13" i="3"/>
  <c r="J31" i="3"/>
  <c r="J33" i="3"/>
  <c r="J36" i="3"/>
  <c r="J12" i="3"/>
  <c r="M8" i="3"/>
  <c r="J21" i="3"/>
  <c r="J11" i="3"/>
  <c r="J18" i="3"/>
  <c r="J32" i="3"/>
  <c r="J25" i="3"/>
  <c r="J10" i="3"/>
  <c r="P8" i="3"/>
  <c r="J22" i="3"/>
  <c r="J28" i="3"/>
  <c r="J27" i="3"/>
  <c r="E8" i="1"/>
  <c r="E11" i="1"/>
  <c r="E25" i="1"/>
  <c r="G22" i="2"/>
  <c r="K22" i="2" s="1"/>
  <c r="L22" i="2" s="1"/>
  <c r="M22" i="2" s="1"/>
  <c r="E29" i="1"/>
  <c r="D40" i="3"/>
  <c r="K17" i="5"/>
  <c r="L10" i="1" s="1"/>
  <c r="K13" i="5"/>
  <c r="L6" i="1" s="1"/>
  <c r="K32" i="5"/>
  <c r="L25" i="1" s="1"/>
  <c r="K19" i="5"/>
  <c r="L19" i="5" s="1"/>
  <c r="K20" i="5"/>
  <c r="L20" i="5" s="1"/>
  <c r="K21" i="5"/>
  <c r="L14" i="1" s="1"/>
  <c r="K29" i="5"/>
  <c r="L29" i="5" s="1"/>
  <c r="K37" i="5"/>
  <c r="L37" i="5" s="1"/>
  <c r="K16" i="5"/>
  <c r="L9" i="1" s="1"/>
  <c r="I12" i="1"/>
  <c r="H26" i="4"/>
  <c r="J37" i="3"/>
  <c r="I39" i="2"/>
  <c r="K38" i="2"/>
  <c r="L38" i="2" s="1"/>
  <c r="M38" i="2" s="1"/>
  <c r="E6" i="1"/>
  <c r="E32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K24" i="2" s="1"/>
  <c r="L24" i="2" s="1"/>
  <c r="E23" i="1"/>
  <c r="G12" i="2"/>
  <c r="K12" i="2" s="1"/>
  <c r="L12" i="2" s="1"/>
  <c r="M12" i="2" s="1"/>
  <c r="E3" i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G8" i="2"/>
  <c r="K26" i="2"/>
  <c r="L26" i="2" s="1"/>
  <c r="M26" i="2" s="1"/>
  <c r="K20" i="2"/>
  <c r="L20" i="2" s="1"/>
  <c r="M20" i="2" s="1"/>
  <c r="E19" i="1"/>
  <c r="F39" i="2"/>
  <c r="K12" i="5"/>
  <c r="L12" i="5" s="1"/>
  <c r="K23" i="5"/>
  <c r="L23" i="5" s="1"/>
  <c r="K39" i="5"/>
  <c r="L32" i="1" s="1"/>
  <c r="I41" i="5"/>
  <c r="L17" i="1"/>
  <c r="J40" i="5"/>
  <c r="L3" i="1"/>
  <c r="K33" i="1"/>
  <c r="H34" i="4"/>
  <c r="H31" i="4"/>
  <c r="H39" i="4"/>
  <c r="H30" i="4"/>
  <c r="H38" i="4"/>
  <c r="H29" i="4"/>
  <c r="H35" i="4"/>
  <c r="H37" i="4"/>
  <c r="H28" i="4"/>
  <c r="H36" i="4"/>
  <c r="H27" i="4"/>
  <c r="H33" i="4"/>
  <c r="J15" i="1"/>
  <c r="H22" i="4"/>
  <c r="J3" i="1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J4" i="1"/>
  <c r="H20" i="4"/>
  <c r="H12" i="4"/>
  <c r="H19" i="4"/>
  <c r="G3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K27" i="2"/>
  <c r="L27" i="2" s="1"/>
  <c r="M27" i="2" s="1"/>
  <c r="K29" i="2"/>
  <c r="L29" i="2" s="1"/>
  <c r="M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M30" i="2" s="1"/>
  <c r="E14" i="1"/>
  <c r="K33" i="2"/>
  <c r="L33" i="2" s="1"/>
  <c r="M33" i="2" s="1"/>
  <c r="E22" i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E9" i="1"/>
  <c r="E26" i="1"/>
  <c r="E28" i="1"/>
  <c r="E24" i="1"/>
  <c r="N33" i="1"/>
  <c r="D14" i="4"/>
  <c r="D14" i="5" s="1"/>
  <c r="C40" i="3"/>
  <c r="M33" i="1"/>
  <c r="C10" i="4"/>
  <c r="C10" i="5" s="1"/>
  <c r="C40" i="5" s="1"/>
  <c r="D9" i="5"/>
  <c r="L4" i="1" l="1"/>
  <c r="F18" i="1"/>
  <c r="L31" i="5"/>
  <c r="L15" i="5"/>
  <c r="L18" i="1"/>
  <c r="L11" i="1"/>
  <c r="L19" i="1"/>
  <c r="F10" i="1"/>
  <c r="L27" i="1"/>
  <c r="L36" i="5"/>
  <c r="L28" i="5"/>
  <c r="L15" i="1"/>
  <c r="L2" i="1"/>
  <c r="L31" i="1"/>
  <c r="L30" i="1"/>
  <c r="L20" i="1"/>
  <c r="L26" i="1"/>
  <c r="F19" i="1"/>
  <c r="F29" i="1"/>
  <c r="F22" i="1"/>
  <c r="F32" i="1"/>
  <c r="D40" i="4"/>
  <c r="D40" i="5"/>
  <c r="L13" i="5"/>
  <c r="L17" i="5"/>
  <c r="L7" i="1"/>
  <c r="L32" i="5"/>
  <c r="L23" i="1"/>
  <c r="L12" i="1"/>
  <c r="L5" i="1"/>
  <c r="L22" i="1"/>
  <c r="L28" i="1"/>
  <c r="L21" i="5"/>
  <c r="M38" i="3"/>
  <c r="M37" i="3"/>
  <c r="M19" i="3"/>
  <c r="M15" i="3"/>
  <c r="M17" i="3"/>
  <c r="M31" i="3"/>
  <c r="M36" i="3"/>
  <c r="M26" i="3"/>
  <c r="M20" i="3"/>
  <c r="M10" i="3"/>
  <c r="M29" i="3"/>
  <c r="M28" i="3"/>
  <c r="M25" i="3"/>
  <c r="M16" i="3"/>
  <c r="M32" i="3"/>
  <c r="M39" i="3"/>
  <c r="M23" i="3"/>
  <c r="M30" i="3"/>
  <c r="M13" i="3"/>
  <c r="M35" i="3"/>
  <c r="M22" i="3"/>
  <c r="M21" i="3"/>
  <c r="M12" i="3"/>
  <c r="M18" i="3"/>
  <c r="M14" i="3"/>
  <c r="M34" i="3"/>
  <c r="M24" i="3"/>
  <c r="M33" i="3"/>
  <c r="M11" i="3"/>
  <c r="M27" i="3"/>
  <c r="M9" i="3"/>
  <c r="P14" i="3"/>
  <c r="P34" i="3"/>
  <c r="P10" i="3"/>
  <c r="P35" i="3"/>
  <c r="P27" i="3"/>
  <c r="P38" i="3"/>
  <c r="P37" i="3"/>
  <c r="P19" i="3"/>
  <c r="P30" i="3"/>
  <c r="P26" i="3"/>
  <c r="Q26" i="3" s="1"/>
  <c r="P21" i="3"/>
  <c r="P15" i="3"/>
  <c r="P25" i="3"/>
  <c r="P17" i="3"/>
  <c r="P31" i="3"/>
  <c r="P18" i="3"/>
  <c r="P12" i="3"/>
  <c r="P29" i="3"/>
  <c r="P28" i="3"/>
  <c r="P16" i="3"/>
  <c r="P36" i="3"/>
  <c r="P9" i="3"/>
  <c r="P22" i="3"/>
  <c r="Q22" i="3" s="1"/>
  <c r="P39" i="3"/>
  <c r="P23" i="3"/>
  <c r="P13" i="3"/>
  <c r="P33" i="3"/>
  <c r="P32" i="3"/>
  <c r="P20" i="3"/>
  <c r="P11" i="3"/>
  <c r="Q11" i="3" s="1"/>
  <c r="P24" i="3"/>
  <c r="F30" i="1"/>
  <c r="M16" i="2"/>
  <c r="L16" i="5"/>
  <c r="L16" i="1"/>
  <c r="L13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L39" i="5"/>
  <c r="J9" i="1"/>
  <c r="H16" i="4"/>
  <c r="J17" i="1"/>
  <c r="H24" i="4"/>
  <c r="J11" i="1"/>
  <c r="H18" i="4"/>
  <c r="I33" i="1"/>
  <c r="M37" i="2"/>
  <c r="F31" i="1"/>
  <c r="F4" i="1"/>
  <c r="F7" i="1"/>
  <c r="F15" i="1"/>
  <c r="M23" i="2"/>
  <c r="E33" i="1"/>
  <c r="C40" i="4"/>
  <c r="Q10" i="3" l="1"/>
  <c r="R10" i="3" s="1"/>
  <c r="Q20" i="3"/>
  <c r="Q32" i="3"/>
  <c r="R32" i="3" s="1"/>
  <c r="Q21" i="3"/>
  <c r="H14" i="1" s="1"/>
  <c r="L33" i="1"/>
  <c r="Q18" i="3"/>
  <c r="H11" i="1" s="1"/>
  <c r="Q12" i="3"/>
  <c r="R12" i="3" s="1"/>
  <c r="Q36" i="3"/>
  <c r="R36" i="3" s="1"/>
  <c r="Q31" i="3"/>
  <c r="H24" i="1" s="1"/>
  <c r="Q33" i="3"/>
  <c r="Q39" i="3"/>
  <c r="R39" i="3" s="1"/>
  <c r="Q13" i="3"/>
  <c r="R13" i="3" s="1"/>
  <c r="Q19" i="3"/>
  <c r="R19" i="3" s="1"/>
  <c r="Q30" i="3"/>
  <c r="H23" i="1" s="1"/>
  <c r="Q14" i="3"/>
  <c r="Q37" i="3"/>
  <c r="H30" i="1" s="1"/>
  <c r="L40" i="5"/>
  <c r="Q9" i="3"/>
  <c r="Q29" i="3"/>
  <c r="H22" i="1" s="1"/>
  <c r="Q28" i="3"/>
  <c r="R28" i="3" s="1"/>
  <c r="R11" i="3"/>
  <c r="H4" i="1"/>
  <c r="R22" i="3"/>
  <c r="H15" i="1"/>
  <c r="R31" i="3"/>
  <c r="H25" i="1"/>
  <c r="R20" i="3"/>
  <c r="H13" i="1"/>
  <c r="R21" i="3"/>
  <c r="R33" i="3"/>
  <c r="H26" i="1"/>
  <c r="Q27" i="3"/>
  <c r="Q16" i="3"/>
  <c r="Q25" i="3"/>
  <c r="Q17" i="3"/>
  <c r="H32" i="1"/>
  <c r="Q35" i="3"/>
  <c r="Q15" i="3"/>
  <c r="H19" i="1"/>
  <c r="R26" i="3"/>
  <c r="Q24" i="3"/>
  <c r="Q34" i="3"/>
  <c r="R9" i="3"/>
  <c r="H2" i="1"/>
  <c r="Q23" i="3"/>
  <c r="Q38" i="3"/>
  <c r="H40" i="4"/>
  <c r="M8" i="2"/>
  <c r="M39" i="2" s="1"/>
  <c r="F2" i="1"/>
  <c r="F33" i="1" s="1"/>
  <c r="H3" i="1" l="1"/>
  <c r="R30" i="3"/>
  <c r="R18" i="3"/>
  <c r="H5" i="1"/>
  <c r="H29" i="1"/>
  <c r="H21" i="1"/>
  <c r="R29" i="3"/>
  <c r="R37" i="3"/>
  <c r="H6" i="1"/>
  <c r="H12" i="1"/>
  <c r="R14" i="3"/>
  <c r="H7" i="1"/>
  <c r="R23" i="3"/>
  <c r="H16" i="1"/>
  <c r="H10" i="1"/>
  <c r="R17" i="3"/>
  <c r="R38" i="3"/>
  <c r="H31" i="1"/>
  <c r="R25" i="3"/>
  <c r="H18" i="1"/>
  <c r="H20" i="1"/>
  <c r="R27" i="3"/>
  <c r="R15" i="3"/>
  <c r="H8" i="1"/>
  <c r="H28" i="1"/>
  <c r="R35" i="3"/>
  <c r="R34" i="3"/>
  <c r="H27" i="1"/>
  <c r="R16" i="3"/>
  <c r="H9" i="1"/>
  <c r="R24" i="3"/>
  <c r="H17" i="1"/>
  <c r="R40" i="3" l="1"/>
  <c r="H33" i="1"/>
</calcChain>
</file>

<file path=xl/sharedStrings.xml><?xml version="1.0" encoding="utf-8"?>
<sst xmlns="http://schemas.openxmlformats.org/spreadsheetml/2006/main" count="118" uniqueCount="60">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</sst>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_);_(@_)"/>
    <numFmt numFmtId="169" formatCode="[$$-409]#,##0.00"/>
    <numFmt numFmtId="170" formatCode="[$IDR]\ #,##0_);\([$IDR]\ #,##0\)"/>
    <numFmt numFmtId="171" formatCode="_(* #,##0.00_);_(* \(#,##0.00\);_(* &quot;-&quot;_);_(@_)"/>
    <numFmt numFmtId="172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8" fontId="1" fillId="0" borderId="1" xfId="4" applyNumberFormat="1" applyFont="1" applyBorder="1"/>
    <xf numFmtId="43" fontId="11" fillId="0" borderId="1" xfId="1" applyFont="1" applyFill="1" applyBorder="1" applyAlignment="1">
      <alignment horizontal="center" shrinkToFit="1"/>
    </xf>
    <xf numFmtId="168" fontId="11" fillId="0" borderId="1" xfId="1" applyNumberFormat="1" applyFont="1" applyFill="1" applyBorder="1" applyAlignment="1">
      <alignment horizontal="center" shrinkToFit="1"/>
    </xf>
    <xf numFmtId="43" fontId="10" fillId="0" borderId="1" xfId="1" applyFont="1" applyFill="1" applyBorder="1" applyAlignment="1">
      <alignment horizontal="center" shrinkToFit="1"/>
    </xf>
    <xf numFmtId="43" fontId="10" fillId="0" borderId="1" xfId="0" applyNumberFormat="1" applyFont="1" applyFill="1" applyBorder="1" applyAlignment="1">
      <alignment shrinkToFit="1"/>
    </xf>
    <xf numFmtId="169" fontId="0" fillId="0" borderId="1" xfId="0" applyNumberFormat="1" applyBorder="1"/>
    <xf numFmtId="169" fontId="0" fillId="0" borderId="3" xfId="0" applyNumberFormat="1" applyBorder="1"/>
    <xf numFmtId="41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70" fontId="9" fillId="0" borderId="0" xfId="2" applyNumberFormat="1" applyFont="1" applyFill="1" applyBorder="1" applyAlignment="1">
      <alignment shrinkToFit="1"/>
    </xf>
    <xf numFmtId="169" fontId="12" fillId="0" borderId="0" xfId="2" applyNumberFormat="1" applyFont="1" applyFill="1" applyBorder="1" applyAlignment="1">
      <alignment shrinkToFit="1"/>
    </xf>
    <xf numFmtId="169" fontId="0" fillId="0" borderId="0" xfId="0" applyNumberFormat="1" applyBorder="1"/>
    <xf numFmtId="44" fontId="0" fillId="0" borderId="0" xfId="3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shrinkToFit="1"/>
    </xf>
    <xf numFmtId="168" fontId="10" fillId="0" borderId="0" xfId="1" applyNumberFormat="1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1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8" fontId="10" fillId="0" borderId="1" xfId="1" applyNumberFormat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41" fontId="11" fillId="0" borderId="1" xfId="2" applyFont="1" applyFill="1" applyBorder="1" applyAlignment="1">
      <alignment horizontal="center" vertical="center" shrinkToFit="1"/>
    </xf>
    <xf numFmtId="166" fontId="11" fillId="0" borderId="1" xfId="1" applyNumberFormat="1" applyFont="1" applyFill="1" applyBorder="1" applyAlignment="1">
      <alignment horizontal="center" shrinkToFit="1"/>
    </xf>
    <xf numFmtId="41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43" fontId="11" fillId="0" borderId="0" xfId="1" applyFont="1" applyFill="1" applyBorder="1" applyAlignment="1">
      <alignment horizontal="center" shrinkToFit="1"/>
    </xf>
    <xf numFmtId="168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165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8" fontId="7" fillId="0" borderId="0" xfId="1" applyNumberFormat="1" applyFont="1" applyAlignment="1">
      <alignment vertical="center"/>
    </xf>
    <xf numFmtId="167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168" fontId="10" fillId="0" borderId="0" xfId="1" applyNumberFormat="1" applyFont="1" applyFill="1" applyBorder="1" applyAlignment="1">
      <alignment horizontal="center" vertical="center" shrinkToFit="1"/>
    </xf>
    <xf numFmtId="43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43" fontId="13" fillId="0" borderId="1" xfId="1" applyFont="1" applyBorder="1"/>
    <xf numFmtId="0" fontId="14" fillId="0" borderId="1" xfId="0" applyFont="1" applyBorder="1"/>
    <xf numFmtId="172" fontId="9" fillId="0" borderId="0" xfId="2" applyNumberFormat="1" applyFont="1" applyFill="1" applyBorder="1" applyAlignment="1">
      <alignment shrinkToFit="1"/>
    </xf>
    <xf numFmtId="43" fontId="9" fillId="0" borderId="0" xfId="1" applyFont="1" applyFill="1" applyBorder="1" applyAlignment="1">
      <alignment shrinkToFit="1"/>
    </xf>
    <xf numFmtId="43" fontId="7" fillId="0" borderId="0" xfId="1" applyFont="1" applyAlignment="1">
      <alignment vertical="center"/>
    </xf>
    <xf numFmtId="43" fontId="0" fillId="0" borderId="0" xfId="1" applyFont="1" applyAlignment="1">
      <alignment horizontal="center" vertical="center"/>
    </xf>
    <xf numFmtId="172" fontId="0" fillId="0" borderId="1" xfId="0" applyNumberFormat="1" applyBorder="1"/>
    <xf numFmtId="168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1" fontId="11" fillId="3" borderId="6" xfId="2" applyNumberFormat="1" applyFont="1" applyFill="1" applyBorder="1" applyAlignment="1">
      <alignment horizontal="center" vertical="center" shrinkToFit="1"/>
    </xf>
    <xf numFmtId="171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164" fontId="11" fillId="0" borderId="1" xfId="1" applyNumberFormat="1" applyFont="1" applyFill="1" applyBorder="1" applyAlignment="1">
      <alignment horizontal="center" shrinkToFit="1"/>
    </xf>
    <xf numFmtId="172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165" fontId="15" fillId="0" borderId="0" xfId="0" applyNumberFormat="1" applyFont="1" applyAlignment="1"/>
    <xf numFmtId="165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8" fontId="16" fillId="0" borderId="0" xfId="1" applyNumberFormat="1" applyFont="1" applyFill="1" applyBorder="1" applyAlignment="1">
      <alignment horizontal="center" shrinkToFit="1"/>
    </xf>
    <xf numFmtId="166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Fill="1" applyBorder="1" applyAlignment="1">
      <alignment horizontal="center" vertical="center" shrinkToFit="1"/>
    </xf>
    <xf numFmtId="167" fontId="10" fillId="0" borderId="1" xfId="1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43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:C32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11</v>
      </c>
      <c r="D2" s="7">
        <v>2020</v>
      </c>
      <c r="E2" s="9">
        <f>Electricity!F8+Electricity!I8</f>
        <v>6419.9999999999873</v>
      </c>
      <c r="F2" s="10">
        <f>Electricity!L8/TOTAL!E2</f>
        <v>1231.3095015576321</v>
      </c>
      <c r="G2" s="9">
        <f>Gas!F9+Gas!I9+Gas!L9+Gas!O9</f>
        <v>19.87299999999972</v>
      </c>
      <c r="H2" s="10">
        <f>Gas!Q9/TOTAL!G2</f>
        <v>10630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116</v>
      </c>
      <c r="L2" s="10">
        <f>Water!K9/TOTAL!K2</f>
        <v>4000</v>
      </c>
      <c r="M2" s="9">
        <f>Electricity!C8</f>
        <v>8</v>
      </c>
      <c r="N2" s="9">
        <f>Electricity!D8</f>
        <v>70</v>
      </c>
    </row>
    <row r="3" spans="1:14" x14ac:dyDescent="0.25">
      <c r="A3" s="6" t="s">
        <v>14</v>
      </c>
      <c r="B3" s="7">
        <f>B2+1</f>
        <v>2</v>
      </c>
      <c r="C3" s="8">
        <v>11</v>
      </c>
      <c r="D3" s="7">
        <v>2020</v>
      </c>
      <c r="E3" s="9">
        <f>Electricity!F9+Electricity!I9</f>
        <v>6320.0000000000218</v>
      </c>
      <c r="F3" s="10">
        <f>Electricity!L9/TOTAL!E3</f>
        <v>1225.5601265822788</v>
      </c>
      <c r="G3" s="9">
        <f>Gas!F10+Gas!I10+Gas!L10+Gas!O10</f>
        <v>22.186000000000277</v>
      </c>
      <c r="H3" s="10">
        <f>Gas!Q10/TOTAL!G3</f>
        <v>10630</v>
      </c>
      <c r="I3" s="9">
        <f>'Fuel Diesel'!F10</f>
        <v>48</v>
      </c>
      <c r="J3" s="11">
        <f>'Fuel Diesel'!G10/'Fuel Diesel'!F10</f>
        <v>10700</v>
      </c>
      <c r="K3" s="9">
        <f>Water!E10+Water!G10+Water!I10</f>
        <v>134</v>
      </c>
      <c r="L3" s="10">
        <f>Water!K10/TOTAL!K3</f>
        <v>4000</v>
      </c>
      <c r="M3" s="9">
        <f>Electricity!C9</f>
        <v>5</v>
      </c>
      <c r="N3" s="9">
        <f>Electricity!D9</f>
        <v>26</v>
      </c>
    </row>
    <row r="4" spans="1:14" x14ac:dyDescent="0.25">
      <c r="A4" s="6" t="s">
        <v>14</v>
      </c>
      <c r="B4" s="7">
        <f t="shared" ref="B4:B30" si="0">B3+1</f>
        <v>3</v>
      </c>
      <c r="C4" s="8">
        <v>11</v>
      </c>
      <c r="D4" s="7">
        <v>2020</v>
      </c>
      <c r="E4" s="9">
        <f>Electricity!F10+Electricity!I10</f>
        <v>5160.0000000000246</v>
      </c>
      <c r="F4" s="10">
        <f>Electricity!L10/TOTAL!E4</f>
        <v>1236.1782945736425</v>
      </c>
      <c r="G4" s="9">
        <f>Gas!F11+Gas!I11+Gas!L11+Gas!O11</f>
        <v>21.133999999999688</v>
      </c>
      <c r="H4" s="10">
        <f>Gas!Q11/TOTAL!G4</f>
        <v>10630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116</v>
      </c>
      <c r="L4" s="10">
        <f>Water!K11/TOTAL!K4</f>
        <v>4000</v>
      </c>
      <c r="M4" s="9">
        <f>Electricity!C10</f>
        <v>3</v>
      </c>
      <c r="N4" s="9">
        <f>Electricity!D10</f>
        <v>14</v>
      </c>
    </row>
    <row r="5" spans="1:14" x14ac:dyDescent="0.25">
      <c r="A5" s="6" t="s">
        <v>14</v>
      </c>
      <c r="B5" s="7">
        <f t="shared" si="0"/>
        <v>4</v>
      </c>
      <c r="C5" s="8">
        <v>11</v>
      </c>
      <c r="D5" s="7">
        <v>2020</v>
      </c>
      <c r="E5" s="9">
        <f>Electricity!F11+Electricity!I11</f>
        <v>5339.9999999999891</v>
      </c>
      <c r="F5" s="10">
        <f>Electricity!L11/TOTAL!E5</f>
        <v>1220.1059925093641</v>
      </c>
      <c r="G5" s="9">
        <f>Gas!F12+Gas!I12+Gas!L12+Gas!O12</f>
        <v>16.509999999999891</v>
      </c>
      <c r="H5" s="10">
        <f>Gas!Q12/TOTAL!G5</f>
        <v>10629.999999999998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133</v>
      </c>
      <c r="L5" s="10">
        <f>Water!K12/TOTAL!K5</f>
        <v>4000</v>
      </c>
      <c r="M5" s="9">
        <f>Electricity!C11</f>
        <v>4</v>
      </c>
      <c r="N5" s="9">
        <f>Electricity!D11</f>
        <v>18</v>
      </c>
    </row>
    <row r="6" spans="1:14" x14ac:dyDescent="0.25">
      <c r="A6" s="6" t="s">
        <v>14</v>
      </c>
      <c r="B6" s="7">
        <f t="shared" si="0"/>
        <v>5</v>
      </c>
      <c r="C6" s="8">
        <v>11</v>
      </c>
      <c r="D6" s="7">
        <v>2020</v>
      </c>
      <c r="E6" s="9">
        <f>Electricity!F12+Electricity!I12</f>
        <v>4819.9999999999791</v>
      </c>
      <c r="F6" s="10">
        <f>Electricity!L12/TOTAL!E6</f>
        <v>1233.576970954357</v>
      </c>
      <c r="G6" s="9">
        <f>Gas!F13+Gas!I13+Gas!L13+Gas!O13</f>
        <v>17.566000000000386</v>
      </c>
      <c r="H6" s="10">
        <f>Gas!Q13/TOTAL!G6</f>
        <v>10630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111</v>
      </c>
      <c r="L6" s="10">
        <f>Water!K13/TOTAL!K6</f>
        <v>4000</v>
      </c>
      <c r="M6" s="9">
        <f>Electricity!C12</f>
        <v>4</v>
      </c>
      <c r="N6" s="9">
        <f>Electricity!D12</f>
        <v>24</v>
      </c>
    </row>
    <row r="7" spans="1:14" x14ac:dyDescent="0.25">
      <c r="A7" s="6" t="s">
        <v>14</v>
      </c>
      <c r="B7" s="7">
        <f t="shared" si="0"/>
        <v>6</v>
      </c>
      <c r="C7" s="8">
        <v>11</v>
      </c>
      <c r="D7" s="7">
        <v>2020</v>
      </c>
      <c r="E7" s="9">
        <f>Electricity!F13+Electricity!I13</f>
        <v>4840.0000000000318</v>
      </c>
      <c r="F7" s="10">
        <f>Electricity!L13/TOTAL!E7</f>
        <v>1235.5397727272716</v>
      </c>
      <c r="G7" s="9">
        <f>Gas!F14+Gas!I14+Gas!L14+Gas!O14</f>
        <v>17.886999999999844</v>
      </c>
      <c r="H7" s="10">
        <f>Gas!Q14/TOTAL!G7</f>
        <v>10630</v>
      </c>
      <c r="I7" s="9">
        <f>'Fuel Diesel'!F14</f>
        <v>74</v>
      </c>
      <c r="J7" s="11">
        <f>'Fuel Diesel'!G14/'Fuel Diesel'!F14</f>
        <v>10700</v>
      </c>
      <c r="K7" s="9">
        <f>Water!E14+Water!G14+Water!I14</f>
        <v>126</v>
      </c>
      <c r="L7" s="10">
        <f>Water!K14/TOTAL!K7</f>
        <v>4000</v>
      </c>
      <c r="M7" s="9">
        <f>Electricity!C13</f>
        <v>2</v>
      </c>
      <c r="N7" s="9">
        <f>Electricity!D13</f>
        <v>16</v>
      </c>
    </row>
    <row r="8" spans="1:14" x14ac:dyDescent="0.25">
      <c r="A8" s="6" t="s">
        <v>14</v>
      </c>
      <c r="B8" s="7">
        <f t="shared" si="0"/>
        <v>7</v>
      </c>
      <c r="C8" s="8">
        <v>11</v>
      </c>
      <c r="D8" s="7">
        <v>2020</v>
      </c>
      <c r="E8" s="9">
        <f>Electricity!F14+Electricity!I14</f>
        <v>4960.0000000000082</v>
      </c>
      <c r="F8" s="10">
        <f>Electricity!L14/TOTAL!E8</f>
        <v>1235.5018145161293</v>
      </c>
      <c r="G8" s="9">
        <f>Gas!F15+Gas!I15+Gas!L15+Gas!O15</f>
        <v>17.500000000000128</v>
      </c>
      <c r="H8" s="10">
        <f>Gas!Q15/TOTAL!G8</f>
        <v>10629.999999999998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132</v>
      </c>
      <c r="L8" s="10">
        <f>Water!K15/TOTAL!K8</f>
        <v>4000</v>
      </c>
      <c r="M8" s="9">
        <f>Electricity!C14</f>
        <v>4</v>
      </c>
      <c r="N8" s="9">
        <f>Electricity!D14</f>
        <v>14</v>
      </c>
    </row>
    <row r="9" spans="1:14" x14ac:dyDescent="0.25">
      <c r="A9" s="6" t="s">
        <v>14</v>
      </c>
      <c r="B9" s="7">
        <f t="shared" si="0"/>
        <v>8</v>
      </c>
      <c r="C9" s="8">
        <v>11</v>
      </c>
      <c r="D9" s="7">
        <v>2020</v>
      </c>
      <c r="E9" s="9">
        <f>Electricity!F15+Electricity!I15</f>
        <v>4819.9999999999791</v>
      </c>
      <c r="F9" s="10">
        <f>Electricity!L15/TOTAL!E9</f>
        <v>1233.576970954357</v>
      </c>
      <c r="G9" s="9">
        <f>Gas!F16+Gas!I16+Gas!L16+Gas!O16</f>
        <v>17.993999999999815</v>
      </c>
      <c r="H9" s="10">
        <f>Gas!Q16/TOTAL!G9</f>
        <v>10630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146</v>
      </c>
      <c r="L9" s="10">
        <f>Water!K16/TOTAL!K9</f>
        <v>4000</v>
      </c>
      <c r="M9" s="9">
        <f>Electricity!C15</f>
        <v>6</v>
      </c>
      <c r="N9" s="9">
        <f>Electricity!D15</f>
        <v>30</v>
      </c>
    </row>
    <row r="10" spans="1:14" x14ac:dyDescent="0.25">
      <c r="A10" s="6" t="s">
        <v>14</v>
      </c>
      <c r="B10" s="7">
        <f t="shared" si="0"/>
        <v>9</v>
      </c>
      <c r="C10" s="8">
        <v>11</v>
      </c>
      <c r="D10" s="7">
        <v>2020</v>
      </c>
      <c r="E10" s="9">
        <f>Electricity!F16+Electricity!I16</f>
        <v>4980.0000000000182</v>
      </c>
      <c r="F10" s="10">
        <f>Electricity!L16/TOTAL!E10</f>
        <v>1230.5399598393585</v>
      </c>
      <c r="G10" s="9">
        <f>Gas!F17+Gas!I17+Gas!L17+Gas!O17</f>
        <v>17.585000000000164</v>
      </c>
      <c r="H10" s="10">
        <f>Gas!Q17/TOTAL!G10</f>
        <v>10630</v>
      </c>
      <c r="I10" s="9">
        <f>'Fuel Diesel'!F17</f>
        <v>53</v>
      </c>
      <c r="J10" s="11">
        <f>'Fuel Diesel'!G17/'Fuel Diesel'!F17</f>
        <v>10700</v>
      </c>
      <c r="K10" s="9">
        <f>Water!E17+Water!G17+Water!I17</f>
        <v>160</v>
      </c>
      <c r="L10" s="10">
        <f>Water!K17/TOTAL!K10</f>
        <v>4000</v>
      </c>
      <c r="M10" s="9">
        <f>Electricity!C16</f>
        <v>1</v>
      </c>
      <c r="N10" s="9">
        <f>Electricity!D16</f>
        <v>19</v>
      </c>
    </row>
    <row r="11" spans="1:14" x14ac:dyDescent="0.25">
      <c r="A11" s="6" t="s">
        <v>14</v>
      </c>
      <c r="B11" s="7">
        <f t="shared" si="0"/>
        <v>10</v>
      </c>
      <c r="C11" s="8">
        <v>11</v>
      </c>
      <c r="D11" s="7">
        <v>2020</v>
      </c>
      <c r="E11" s="9">
        <f>Electricity!F17+Electricity!I17</f>
        <v>5059.9999999999882</v>
      </c>
      <c r="F11" s="10">
        <f>Electricity!L17/TOTAL!E11</f>
        <v>1235.846739130435</v>
      </c>
      <c r="G11" s="9">
        <f>Gas!F18+Gas!I18+Gas!L18+Gas!O18</f>
        <v>18.685999999999822</v>
      </c>
      <c r="H11" s="10">
        <f>Gas!Q18/TOTAL!G11</f>
        <v>10630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180</v>
      </c>
      <c r="L11" s="10">
        <f>Water!K18/TOTAL!K11</f>
        <v>4000</v>
      </c>
      <c r="M11" s="9">
        <f>Electricity!C17</f>
        <v>5</v>
      </c>
      <c r="N11" s="9">
        <f>Electricity!D17</f>
        <v>6</v>
      </c>
    </row>
    <row r="12" spans="1:14" x14ac:dyDescent="0.25">
      <c r="A12" s="6" t="s">
        <v>14</v>
      </c>
      <c r="B12" s="7">
        <f t="shared" si="0"/>
        <v>11</v>
      </c>
      <c r="C12" s="8">
        <v>11</v>
      </c>
      <c r="D12" s="7">
        <v>2020</v>
      </c>
      <c r="E12" s="9">
        <f>Electricity!F18+Electricity!I18</f>
        <v>5279.9999999999873</v>
      </c>
      <c r="F12" s="10">
        <f>Electricity!L18/TOTAL!E12</f>
        <v>1236.1281249999995</v>
      </c>
      <c r="G12" s="9">
        <f>Gas!F19+Gas!I19+Gas!L19+Gas!O19</f>
        <v>16.509000000000142</v>
      </c>
      <c r="H12" s="10">
        <f>Gas!Q19/TOTAL!G12</f>
        <v>10629.999999999998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207</v>
      </c>
      <c r="L12" s="10">
        <f>Water!K19/TOTAL!K12</f>
        <v>4000</v>
      </c>
      <c r="M12" s="9">
        <f>Electricity!C18</f>
        <v>6</v>
      </c>
      <c r="N12" s="9">
        <f>Electricity!D18</f>
        <v>18</v>
      </c>
    </row>
    <row r="13" spans="1:14" x14ac:dyDescent="0.25">
      <c r="A13" s="6" t="s">
        <v>14</v>
      </c>
      <c r="B13" s="7">
        <f t="shared" si="0"/>
        <v>12</v>
      </c>
      <c r="C13" s="8">
        <v>11</v>
      </c>
      <c r="D13" s="7">
        <v>2020</v>
      </c>
      <c r="E13" s="9">
        <f>Electricity!F19+Electricity!I19</f>
        <v>5640</v>
      </c>
      <c r="F13" s="10">
        <f>Electricity!L19/TOTAL!E13</f>
        <v>1235.990425531915</v>
      </c>
      <c r="G13" s="9">
        <f>Gas!F20+Gas!I20+Gas!L20+Gas!O20</f>
        <v>18.754999999999782</v>
      </c>
      <c r="H13" s="10">
        <f>Gas!Q20/TOTAL!G13</f>
        <v>10630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228</v>
      </c>
      <c r="L13" s="10">
        <f>Water!K20/TOTAL!K13</f>
        <v>4000</v>
      </c>
      <c r="M13" s="9">
        <f>Electricity!C19</f>
        <v>6</v>
      </c>
      <c r="N13" s="9">
        <f>Electricity!D19</f>
        <v>28</v>
      </c>
    </row>
    <row r="14" spans="1:14" x14ac:dyDescent="0.25">
      <c r="A14" s="6" t="s">
        <v>14</v>
      </c>
      <c r="B14" s="7">
        <f t="shared" si="0"/>
        <v>13</v>
      </c>
      <c r="C14" s="8">
        <v>11</v>
      </c>
      <c r="D14" s="7">
        <v>2020</v>
      </c>
      <c r="E14" s="9">
        <f>Electricity!F20+Electricity!I20</f>
        <v>5720</v>
      </c>
      <c r="F14" s="10">
        <f>Electricity!L20/TOTAL!E14</f>
        <v>1236.6259615384618</v>
      </c>
      <c r="G14" s="9">
        <f>Gas!F21+Gas!I21+Gas!L21+Gas!O21</f>
        <v>18.83900000000007</v>
      </c>
      <c r="H14" s="10">
        <f>Gas!Q21/TOTAL!G14</f>
        <v>10630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181</v>
      </c>
      <c r="L14" s="10">
        <f>Water!K21/TOTAL!K14</f>
        <v>4000</v>
      </c>
      <c r="M14" s="9">
        <f>Electricity!C20</f>
        <v>7</v>
      </c>
      <c r="N14" s="9">
        <f>Electricity!D20</f>
        <v>23</v>
      </c>
    </row>
    <row r="15" spans="1:14" x14ac:dyDescent="0.25">
      <c r="A15" s="6" t="s">
        <v>14</v>
      </c>
      <c r="B15" s="7">
        <f t="shared" si="0"/>
        <v>14</v>
      </c>
      <c r="C15" s="8">
        <v>11</v>
      </c>
      <c r="D15" s="7">
        <v>2020</v>
      </c>
      <c r="E15" s="9">
        <f>Electricity!F21+Electricity!I21</f>
        <v>5660</v>
      </c>
      <c r="F15" s="10">
        <f>Electricity!L21/TOTAL!E15</f>
        <v>1237.6603356890462</v>
      </c>
      <c r="G15" s="9">
        <f>Gas!F22+Gas!I22+Gas!L22+Gas!O22</f>
        <v>18.205000000000055</v>
      </c>
      <c r="H15" s="10">
        <f>Gas!Q22/TOTAL!G15</f>
        <v>10630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164</v>
      </c>
      <c r="L15" s="10">
        <f>Water!K22/TOTAL!K15</f>
        <v>4000</v>
      </c>
      <c r="M15" s="9">
        <f>Electricity!C21</f>
        <v>9</v>
      </c>
      <c r="N15" s="9">
        <f>Electricity!D21</f>
        <v>52</v>
      </c>
    </row>
    <row r="16" spans="1:14" x14ac:dyDescent="0.25">
      <c r="A16" s="6" t="s">
        <v>14</v>
      </c>
      <c r="B16" s="7">
        <f t="shared" si="0"/>
        <v>15</v>
      </c>
      <c r="C16" s="8">
        <v>11</v>
      </c>
      <c r="D16" s="7">
        <v>2020</v>
      </c>
      <c r="E16" s="9">
        <f>Electricity!F22+Electricity!I22</f>
        <v>5840</v>
      </c>
      <c r="F16" s="10">
        <f>Electricity!L22/TOTAL!E16</f>
        <v>1234.6209760273973</v>
      </c>
      <c r="G16" s="9">
        <f>Gas!F23+Gas!I23+Gas!L23+Gas!O23</f>
        <v>22.413000000000139</v>
      </c>
      <c r="H16" s="10">
        <f>Gas!Q23/TOTAL!G16</f>
        <v>10630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196</v>
      </c>
      <c r="L16" s="10">
        <f>Water!K23/TOTAL!K16</f>
        <v>4000</v>
      </c>
      <c r="M16" s="9">
        <f>Electricity!C22</f>
        <v>10</v>
      </c>
      <c r="N16" s="9">
        <f>Electricity!D22</f>
        <v>35</v>
      </c>
    </row>
    <row r="17" spans="1:14" x14ac:dyDescent="0.25">
      <c r="A17" s="6" t="s">
        <v>14</v>
      </c>
      <c r="B17" s="7">
        <f t="shared" si="0"/>
        <v>16</v>
      </c>
      <c r="C17" s="8">
        <v>11</v>
      </c>
      <c r="D17" s="7">
        <v>2020</v>
      </c>
      <c r="E17" s="9">
        <f>Electricity!F23+Electricity!I23</f>
        <v>6080</v>
      </c>
      <c r="F17" s="10">
        <f>Electricity!L23/TOTAL!E17</f>
        <v>1230.8484375</v>
      </c>
      <c r="G17" s="9">
        <f>Gas!F24+Gas!I24+Gas!L24+Gas!O24</f>
        <v>18.687999999999775</v>
      </c>
      <c r="H17" s="10">
        <f>Gas!Q24/TOTAL!G17</f>
        <v>10630</v>
      </c>
      <c r="I17" s="9">
        <f>'Fuel Diesel'!F24</f>
        <v>52</v>
      </c>
      <c r="J17" s="11">
        <f>'Fuel Diesel'!G24/'Fuel Diesel'!F24</f>
        <v>10700</v>
      </c>
      <c r="K17" s="9">
        <f>Water!E24+Water!G24+Water!I24</f>
        <v>202</v>
      </c>
      <c r="L17" s="10">
        <f>Water!K24/TOTAL!K17</f>
        <v>4000</v>
      </c>
      <c r="M17" s="9">
        <f>Electricity!C23</f>
        <v>5</v>
      </c>
      <c r="N17" s="9">
        <f>Electricity!D23</f>
        <v>29</v>
      </c>
    </row>
    <row r="18" spans="1:14" x14ac:dyDescent="0.25">
      <c r="A18" s="6" t="s">
        <v>14</v>
      </c>
      <c r="B18" s="7">
        <f t="shared" si="0"/>
        <v>17</v>
      </c>
      <c r="C18" s="8">
        <v>11</v>
      </c>
      <c r="D18" s="7">
        <v>2020</v>
      </c>
      <c r="E18" s="9">
        <f>Electricity!F24+Electricity!I24</f>
        <v>6080</v>
      </c>
      <c r="F18" s="10">
        <f>Electricity!L24/TOTAL!E18</f>
        <v>1234.5953125000001</v>
      </c>
      <c r="G18" s="9">
        <f>Gas!F25+Gas!I25+Gas!L25+Gas!O25</f>
        <v>22.915000000000092</v>
      </c>
      <c r="H18" s="10">
        <f>Gas!Q25/TOTAL!G18</f>
        <v>10629.999999999998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196</v>
      </c>
      <c r="L18" s="10">
        <f>Water!K25/TOTAL!K18</f>
        <v>4000</v>
      </c>
      <c r="M18" s="9">
        <f>Electricity!C24</f>
        <v>12</v>
      </c>
      <c r="N18" s="9">
        <f>Electricity!D24</f>
        <v>28</v>
      </c>
    </row>
    <row r="19" spans="1:14" x14ac:dyDescent="0.25">
      <c r="A19" s="6" t="s">
        <v>14</v>
      </c>
      <c r="B19" s="7">
        <f t="shared" si="0"/>
        <v>18</v>
      </c>
      <c r="C19" s="8">
        <v>11</v>
      </c>
      <c r="D19" s="7">
        <v>2020</v>
      </c>
      <c r="E19" s="9">
        <f>Electricity!F25+Electricity!I25</f>
        <v>6080</v>
      </c>
      <c r="F19" s="10">
        <f>Electricity!L25/TOTAL!E19</f>
        <v>1242.0890625000002</v>
      </c>
      <c r="G19" s="9">
        <f>Gas!F26+Gas!I26+Gas!L26+Gas!O26</f>
        <v>17.942000000000135</v>
      </c>
      <c r="H19" s="10">
        <f>Gas!Q26/TOTAL!G19</f>
        <v>10629.999999999998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186</v>
      </c>
      <c r="L19" s="10">
        <f>Water!K26/TOTAL!K19</f>
        <v>4000</v>
      </c>
      <c r="M19" s="9">
        <f>Electricity!C25</f>
        <v>17</v>
      </c>
      <c r="N19" s="9">
        <f>Electricity!D25</f>
        <v>52</v>
      </c>
    </row>
    <row r="20" spans="1:14" x14ac:dyDescent="0.25">
      <c r="A20" s="6" t="s">
        <v>14</v>
      </c>
      <c r="B20" s="7">
        <f t="shared" si="0"/>
        <v>19</v>
      </c>
      <c r="C20" s="8">
        <v>11</v>
      </c>
      <c r="D20" s="7">
        <v>2020</v>
      </c>
      <c r="E20" s="9">
        <f>Electricity!F26+Electricity!I26</f>
        <v>6540</v>
      </c>
      <c r="F20" s="10">
        <f>Electricity!L26/TOTAL!E20</f>
        <v>1226.1333333333334</v>
      </c>
      <c r="G20" s="9">
        <f>Gas!F27+Gas!I27+Gas!L27+Gas!O27</f>
        <v>7.1499999999997632</v>
      </c>
      <c r="H20" s="10">
        <f>Gas!Q27/TOTAL!G20</f>
        <v>10630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184</v>
      </c>
      <c r="L20" s="10">
        <f>Water!K27/TOTAL!K20</f>
        <v>4000</v>
      </c>
      <c r="M20" s="9">
        <f>Electricity!C26</f>
        <v>10</v>
      </c>
      <c r="N20" s="9">
        <f>Electricity!D26</f>
        <v>54</v>
      </c>
    </row>
    <row r="21" spans="1:14" x14ac:dyDescent="0.25">
      <c r="A21" s="6" t="s">
        <v>14</v>
      </c>
      <c r="B21" s="7">
        <f t="shared" si="0"/>
        <v>20</v>
      </c>
      <c r="C21" s="8">
        <v>11</v>
      </c>
      <c r="D21" s="7">
        <v>2020</v>
      </c>
      <c r="E21" s="9">
        <f>Electricity!F27+Electricity!I27</f>
        <v>6240</v>
      </c>
      <c r="F21" s="10">
        <f>Electricity!L27/TOTAL!E21</f>
        <v>1235.7962339743592</v>
      </c>
      <c r="G21" s="9">
        <f>Gas!F28+Gas!I28+Gas!L28+Gas!O28</f>
        <v>34.891000000000204</v>
      </c>
      <c r="H21" s="10">
        <f>Gas!Q28/TOTAL!G21</f>
        <v>10630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193</v>
      </c>
      <c r="L21" s="10">
        <f>Water!K28/TOTAL!K21</f>
        <v>4000</v>
      </c>
      <c r="M21" s="9">
        <f>Electricity!C27</f>
        <v>14</v>
      </c>
      <c r="N21" s="9">
        <f>Electricity!D27</f>
        <v>48</v>
      </c>
    </row>
    <row r="22" spans="1:14" x14ac:dyDescent="0.25">
      <c r="A22" s="6" t="s">
        <v>14</v>
      </c>
      <c r="B22" s="7">
        <f t="shared" si="0"/>
        <v>21</v>
      </c>
      <c r="C22" s="8">
        <v>11</v>
      </c>
      <c r="D22" s="7">
        <v>2020</v>
      </c>
      <c r="E22" s="9">
        <f>Electricity!F28+Electricity!I28</f>
        <v>6300</v>
      </c>
      <c r="F22" s="10">
        <f>Electricity!L28/TOTAL!E22</f>
        <v>1236.6828571428573</v>
      </c>
      <c r="G22" s="9">
        <f>Gas!F29+Gas!I29+Gas!L29+Gas!O29</f>
        <v>23.543999999999997</v>
      </c>
      <c r="H22" s="10">
        <f>Gas!Q29/TOTAL!G22</f>
        <v>10630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209</v>
      </c>
      <c r="L22" s="10">
        <f>Water!K29/TOTAL!K22</f>
        <v>4000</v>
      </c>
      <c r="M22" s="9">
        <f>Electricity!C28</f>
        <v>14</v>
      </c>
      <c r="N22" s="9">
        <f>Electricity!D28</f>
        <v>67</v>
      </c>
    </row>
    <row r="23" spans="1:14" x14ac:dyDescent="0.25">
      <c r="A23" s="6" t="s">
        <v>14</v>
      </c>
      <c r="B23" s="7">
        <f t="shared" si="0"/>
        <v>22</v>
      </c>
      <c r="C23" s="8">
        <v>11</v>
      </c>
      <c r="D23" s="7">
        <v>2020</v>
      </c>
      <c r="E23" s="9">
        <f>Electricity!F29+Electricity!I29</f>
        <v>6400</v>
      </c>
      <c r="F23" s="10">
        <f>Electricity!L29/TOTAL!E23</f>
        <v>1235.1573437500001</v>
      </c>
      <c r="G23" s="9">
        <f>Gas!F30+Gas!I30+Gas!L30+Gas!O30</f>
        <v>17.969999999999928</v>
      </c>
      <c r="H23" s="10">
        <f>Gas!Q30/TOTAL!G23</f>
        <v>10630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216</v>
      </c>
      <c r="L23" s="10">
        <f>Water!K30/TOTAL!K23</f>
        <v>4000</v>
      </c>
      <c r="M23" s="9">
        <f>Electricity!C29</f>
        <v>18</v>
      </c>
      <c r="N23" s="9">
        <f>Electricity!D29</f>
        <v>57</v>
      </c>
    </row>
    <row r="24" spans="1:14" x14ac:dyDescent="0.25">
      <c r="A24" s="6" t="s">
        <v>14</v>
      </c>
      <c r="B24" s="7">
        <f t="shared" si="0"/>
        <v>23</v>
      </c>
      <c r="C24" s="8">
        <v>11</v>
      </c>
      <c r="D24" s="7">
        <v>2020</v>
      </c>
      <c r="E24" s="9">
        <f>Electricity!F30+Electricity!I30</f>
        <v>6640</v>
      </c>
      <c r="F24" s="10">
        <f>Electricity!L30/TOTAL!E24</f>
        <v>1231.6835843373494</v>
      </c>
      <c r="G24" s="9">
        <f>Gas!F31+Gas!I31+Gas!L31+Gas!O31</f>
        <v>21.90800000000003</v>
      </c>
      <c r="H24" s="10">
        <f>Gas!Q31/TOTAL!G24</f>
        <v>10630</v>
      </c>
      <c r="I24" s="9">
        <f>'Fuel Diesel'!F31</f>
        <v>49</v>
      </c>
      <c r="J24" s="11">
        <f>'Fuel Diesel'!G31/'Fuel Diesel'!F31</f>
        <v>10700</v>
      </c>
      <c r="K24" s="9">
        <f>Water!E31+Water!G31+Water!I31</f>
        <v>215</v>
      </c>
      <c r="L24" s="10">
        <f>Water!K31/TOTAL!K24</f>
        <v>4000</v>
      </c>
      <c r="M24" s="9">
        <f>Electricity!C30</f>
        <v>15</v>
      </c>
      <c r="N24" s="9">
        <f>Electricity!D30</f>
        <v>64</v>
      </c>
    </row>
    <row r="25" spans="1:14" x14ac:dyDescent="0.25">
      <c r="A25" s="6" t="s">
        <v>14</v>
      </c>
      <c r="B25" s="7">
        <f t="shared" si="0"/>
        <v>24</v>
      </c>
      <c r="C25" s="8">
        <v>11</v>
      </c>
      <c r="D25" s="7">
        <v>2020</v>
      </c>
      <c r="E25" s="9">
        <f>Electricity!F31+Electricity!I31</f>
        <v>5860</v>
      </c>
      <c r="F25" s="10">
        <f>Electricity!L31/TOTAL!E25</f>
        <v>1228.463481228669</v>
      </c>
      <c r="G25" s="9">
        <f>Gas!F32+Gas!I32+Gas!L32+Gas!O32</f>
        <v>21.330000000000055</v>
      </c>
      <c r="H25" s="10">
        <f>Gas!Q32/TOTAL!G25</f>
        <v>10630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196</v>
      </c>
      <c r="L25" s="10">
        <f>Water!K32/TOTAL!K25</f>
        <v>4000</v>
      </c>
      <c r="M25" s="9">
        <f>Electricity!C31</f>
        <v>6</v>
      </c>
      <c r="N25" s="9">
        <f>Electricity!D31</f>
        <v>41</v>
      </c>
    </row>
    <row r="26" spans="1:14" x14ac:dyDescent="0.25">
      <c r="A26" s="6" t="s">
        <v>14</v>
      </c>
      <c r="B26" s="7">
        <f>B25+1</f>
        <v>25</v>
      </c>
      <c r="C26" s="8">
        <v>11</v>
      </c>
      <c r="D26" s="7">
        <v>2020</v>
      </c>
      <c r="E26" s="9">
        <f>Electricity!F32+Electricity!I32</f>
        <v>5440</v>
      </c>
      <c r="F26" s="10">
        <f>Electricity!L32/TOTAL!E26</f>
        <v>1222.8036764705885</v>
      </c>
      <c r="G26" s="9">
        <f>Gas!F33+Gas!I33+Gas!L33+Gas!O33</f>
        <v>16.892999999999702</v>
      </c>
      <c r="H26" s="10">
        <f>Gas!Q33/TOTAL!G26</f>
        <v>10630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206</v>
      </c>
      <c r="L26" s="10">
        <f>Water!K33/TOTAL!K26</f>
        <v>4000</v>
      </c>
      <c r="M26" s="9">
        <f>Electricity!C32</f>
        <v>4</v>
      </c>
      <c r="N26" s="9">
        <f>Electricity!D32</f>
        <v>33</v>
      </c>
    </row>
    <row r="27" spans="1:14" x14ac:dyDescent="0.25">
      <c r="A27" s="6" t="s">
        <v>14</v>
      </c>
      <c r="B27" s="7">
        <f t="shared" si="0"/>
        <v>26</v>
      </c>
      <c r="C27" s="8">
        <v>11</v>
      </c>
      <c r="D27" s="7">
        <v>2020</v>
      </c>
      <c r="E27" s="9">
        <f>Electricity!F33+Electricity!I33</f>
        <v>5200</v>
      </c>
      <c r="F27" s="10">
        <f>Electricity!L33/TOTAL!E27</f>
        <v>1237.6216346153849</v>
      </c>
      <c r="G27" s="9">
        <f>Gas!F34+Gas!I34+Gas!L34+Gas!O34</f>
        <v>21.31300000000023</v>
      </c>
      <c r="H27" s="10">
        <f>Gas!Q34/TOTAL!G27</f>
        <v>10630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201</v>
      </c>
      <c r="L27" s="10">
        <f>Water!K34/TOTAL!K27</f>
        <v>4000</v>
      </c>
      <c r="M27" s="9">
        <f>Electricity!C33</f>
        <v>6</v>
      </c>
      <c r="N27" s="9">
        <f>Electricity!D33</f>
        <v>19</v>
      </c>
    </row>
    <row r="28" spans="1:14" x14ac:dyDescent="0.25">
      <c r="A28" s="6" t="s">
        <v>14</v>
      </c>
      <c r="B28" s="7">
        <f t="shared" si="0"/>
        <v>27</v>
      </c>
      <c r="C28" s="8">
        <v>11</v>
      </c>
      <c r="D28" s="7">
        <v>2020</v>
      </c>
      <c r="E28" s="9">
        <f>Electricity!F34+Electricity!I34</f>
        <v>5380</v>
      </c>
      <c r="F28" s="10">
        <f>Electricity!L34/TOTAL!E28</f>
        <v>1232.2065055762084</v>
      </c>
      <c r="G28" s="9">
        <f>Gas!F35+Gas!I35+Gas!L35+Gas!O35</f>
        <v>19.837000000000117</v>
      </c>
      <c r="H28" s="10">
        <f>Gas!Q35/TOTAL!G28</f>
        <v>10629.999999999998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202</v>
      </c>
      <c r="L28" s="10">
        <f>Water!K35/TOTAL!K28</f>
        <v>4000</v>
      </c>
      <c r="M28" s="9">
        <f>Electricity!C34</f>
        <v>6</v>
      </c>
      <c r="N28" s="9">
        <f>Electricity!D34</f>
        <v>32</v>
      </c>
    </row>
    <row r="29" spans="1:14" x14ac:dyDescent="0.25">
      <c r="A29" s="6" t="s">
        <v>14</v>
      </c>
      <c r="B29" s="7">
        <f t="shared" si="0"/>
        <v>28</v>
      </c>
      <c r="C29" s="8">
        <v>11</v>
      </c>
      <c r="D29" s="7">
        <v>2020</v>
      </c>
      <c r="E29" s="9">
        <f>Electricity!F35+Electricity!I35</f>
        <v>5260</v>
      </c>
      <c r="F29" s="10">
        <f>Electricity!L35/TOTAL!E29</f>
        <v>1234.3317490494298</v>
      </c>
      <c r="G29" s="9">
        <f>Gas!F36+Gas!I36+Gas!L36+Gas!O36</f>
        <v>20.754000000000033</v>
      </c>
      <c r="H29" s="10">
        <f>Gas!Q36/TOTAL!G29</f>
        <v>10630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157</v>
      </c>
      <c r="L29" s="10">
        <f>Water!K36/TOTAL!K29</f>
        <v>4000</v>
      </c>
      <c r="M29" s="9">
        <f>Electricity!C35</f>
        <v>7</v>
      </c>
      <c r="N29" s="9">
        <f>Electricity!D35</f>
        <v>41</v>
      </c>
    </row>
    <row r="30" spans="1:14" x14ac:dyDescent="0.25">
      <c r="A30" s="6" t="s">
        <v>14</v>
      </c>
      <c r="B30" s="7">
        <f t="shared" si="0"/>
        <v>29</v>
      </c>
      <c r="C30" s="8">
        <v>11</v>
      </c>
      <c r="D30" s="7">
        <v>2020</v>
      </c>
      <c r="E30" s="9">
        <f>Electricity!F36+Electricity!I36</f>
        <v>5400</v>
      </c>
      <c r="F30" s="10">
        <f>Electricity!L36/TOTAL!E30</f>
        <v>1238.1895370370371</v>
      </c>
      <c r="G30" s="9">
        <f>Gas!F37+Gas!I37+Gas!L37+Gas!O37</f>
        <v>17.17099999999995</v>
      </c>
      <c r="H30" s="10">
        <f>Gas!Q37/TOTAL!G30</f>
        <v>10630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177</v>
      </c>
      <c r="L30" s="10">
        <f>Water!K37/TOTAL!K30</f>
        <v>4000</v>
      </c>
      <c r="M30" s="9">
        <f>Electricity!C36</f>
        <v>7</v>
      </c>
      <c r="N30" s="9">
        <f>Electricity!D36</f>
        <v>48</v>
      </c>
    </row>
    <row r="31" spans="1:14" x14ac:dyDescent="0.25">
      <c r="A31" s="6" t="s">
        <v>14</v>
      </c>
      <c r="B31" s="7">
        <v>30</v>
      </c>
      <c r="C31" s="8">
        <v>11</v>
      </c>
      <c r="D31" s="7">
        <v>2020</v>
      </c>
      <c r="E31" s="9">
        <f>Electricity!F37+Electricity!I37</f>
        <v>5520</v>
      </c>
      <c r="F31" s="10">
        <f>Electricity!L37/TOTAL!E31</f>
        <v>1233.9708333333335</v>
      </c>
      <c r="G31" s="9">
        <f>Gas!F38+Gas!I38+Gas!L38+Gas!O38</f>
        <v>18.043999999999997</v>
      </c>
      <c r="H31" s="10">
        <f>Gas!Q38/TOTAL!G31</f>
        <v>10630</v>
      </c>
      <c r="I31" s="9">
        <f>'Fuel Diesel'!F38</f>
        <v>49</v>
      </c>
      <c r="J31" s="11">
        <f>'Fuel Diesel'!G38/'Fuel Diesel'!F38</f>
        <v>10700</v>
      </c>
      <c r="K31" s="9">
        <f>Water!E38+Water!G38+Water!I38</f>
        <v>189</v>
      </c>
      <c r="L31" s="10">
        <f>Water!K38/TOTAL!K31</f>
        <v>4000</v>
      </c>
      <c r="M31" s="9">
        <f>Electricity!C37</f>
        <v>7</v>
      </c>
      <c r="N31" s="9">
        <f>Electricity!D37</f>
        <v>37</v>
      </c>
    </row>
    <row r="32" spans="1:14" x14ac:dyDescent="0.25">
      <c r="A32" s="6" t="s">
        <v>14</v>
      </c>
      <c r="B32" s="7">
        <v>31</v>
      </c>
      <c r="C32" s="8">
        <v>11</v>
      </c>
      <c r="D32" s="7">
        <v>2020</v>
      </c>
      <c r="E32" s="9">
        <f>Electricity!F38+Electricity!I38</f>
        <v>0</v>
      </c>
      <c r="F32" s="10" t="e">
        <f>Electricity!L38/TOTAL!E32</f>
        <v>#DIV/0!</v>
      </c>
      <c r="G32" s="9">
        <f>Gas!F39+Gas!I39+Gas!L39+Gas!O39</f>
        <v>17.220999999999677</v>
      </c>
      <c r="H32" s="10">
        <f>Gas!Q39/TOTAL!G32</f>
        <v>10629.999999999998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0</v>
      </c>
      <c r="L32" s="10" t="e">
        <f>Water!K39/TOTAL!K32</f>
        <v>#DIV/0!</v>
      </c>
      <c r="M32" s="9" t="str">
        <f>Electricity!C38</f>
        <v xml:space="preserve"> -   </v>
      </c>
      <c r="N32" s="9" t="str">
        <f>Electricity!D38</f>
        <v xml:space="preserve"> -   </v>
      </c>
    </row>
    <row r="33" spans="5:14" x14ac:dyDescent="0.25">
      <c r="E33" s="86">
        <f>SUM(E2:E32)</f>
        <v>169280</v>
      </c>
      <c r="F33" s="86" t="e">
        <f>SUM(F2:F32)/31</f>
        <v>#DIV/0!</v>
      </c>
      <c r="G33" s="86">
        <f>SUM(G2:G32)</f>
        <v>599.21299999999928</v>
      </c>
      <c r="H33" s="96">
        <f>SUM(H2:H32)/31</f>
        <v>10630</v>
      </c>
      <c r="I33" s="86">
        <f>SUM(I2:I32)</f>
        <v>325</v>
      </c>
      <c r="J33" s="96" t="e">
        <f>J26</f>
        <v>#DIV/0!</v>
      </c>
      <c r="K33" s="86">
        <f>SUM(K2:K32)</f>
        <v>5259</v>
      </c>
      <c r="L33" s="96" t="e">
        <f>SUM(L2:L32)/31</f>
        <v>#DIV/0!</v>
      </c>
      <c r="M33" s="86">
        <f t="shared" ref="M33:N33" si="1">SUM(M2:M32)</f>
        <v>228</v>
      </c>
      <c r="N33" s="86">
        <f t="shared" si="1"/>
        <v>1043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4" workbookViewId="0">
      <selection activeCell="D8" sqref="D8:D38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100" t="s">
        <v>15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3"/>
      <c r="N1" s="14"/>
    </row>
    <row r="2" spans="1:14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101">
        <v>44136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8"/>
    </row>
    <row r="5" spans="1:14" x14ac:dyDescent="0.25">
      <c r="A5" s="19"/>
      <c r="B5" s="99" t="s">
        <v>17</v>
      </c>
      <c r="C5" s="99" t="s">
        <v>18</v>
      </c>
      <c r="D5" s="99" t="s">
        <v>13</v>
      </c>
      <c r="E5" s="102" t="s">
        <v>19</v>
      </c>
      <c r="F5" s="102"/>
      <c r="G5" s="102"/>
      <c r="H5" s="103" t="s">
        <v>20</v>
      </c>
      <c r="I5" s="103"/>
      <c r="J5" s="103"/>
      <c r="K5" s="99" t="s">
        <v>21</v>
      </c>
      <c r="L5" s="99" t="s">
        <v>22</v>
      </c>
      <c r="M5" s="99" t="s">
        <v>23</v>
      </c>
      <c r="N5" s="20"/>
    </row>
    <row r="6" spans="1:14" s="21" customFormat="1" x14ac:dyDescent="0.25">
      <c r="A6" s="19"/>
      <c r="B6" s="99"/>
      <c r="C6" s="99"/>
      <c r="D6" s="99"/>
      <c r="E6" s="99" t="s">
        <v>24</v>
      </c>
      <c r="F6" s="99" t="s">
        <v>25</v>
      </c>
      <c r="G6" s="99" t="s">
        <v>26</v>
      </c>
      <c r="H6" s="99" t="s">
        <v>24</v>
      </c>
      <c r="I6" s="99" t="s">
        <v>25</v>
      </c>
      <c r="J6" s="99" t="s">
        <v>27</v>
      </c>
      <c r="K6" s="99"/>
      <c r="L6" s="99"/>
      <c r="M6" s="99"/>
      <c r="N6" s="20"/>
    </row>
    <row r="7" spans="1:14" x14ac:dyDescent="0.25">
      <c r="A7" s="22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23"/>
    </row>
    <row r="8" spans="1:14" x14ac:dyDescent="0.25">
      <c r="A8" s="22"/>
      <c r="B8" s="24">
        <v>1</v>
      </c>
      <c r="C8" s="25">
        <v>8</v>
      </c>
      <c r="D8" s="25">
        <v>70</v>
      </c>
      <c r="E8" s="26">
        <v>2.6899999999999977</v>
      </c>
      <c r="F8" s="27">
        <f t="shared" ref="F8:F38" si="0">E8*2000</f>
        <v>5379.9999999999955</v>
      </c>
      <c r="G8" s="28">
        <f t="shared" ref="G8:G38" si="1">F8*1035.5</f>
        <v>5570989.9999999953</v>
      </c>
      <c r="H8" s="26">
        <v>0.51999999999999602</v>
      </c>
      <c r="I8" s="27">
        <f t="shared" ref="I8:I38" si="2">H8*2000</f>
        <v>1039.999999999992</v>
      </c>
      <c r="J8" s="28">
        <f t="shared" ref="J8:J38" si="3">I8*1553.25</f>
        <v>1615379.9999999877</v>
      </c>
      <c r="K8" s="26">
        <f t="shared" ref="K8:K38" si="4">G8+J8</f>
        <v>7186369.9999999832</v>
      </c>
      <c r="L8" s="29">
        <f t="shared" ref="L8:L38" si="5">K8*1.1</f>
        <v>7905006.9999999823</v>
      </c>
      <c r="M8" s="30">
        <f>L8/14381</f>
        <v>549.68409707252499</v>
      </c>
      <c r="N8" s="31"/>
    </row>
    <row r="9" spans="1:14" x14ac:dyDescent="0.25">
      <c r="A9" s="22"/>
      <c r="B9" s="24">
        <v>2</v>
      </c>
      <c r="C9" s="25">
        <v>5</v>
      </c>
      <c r="D9" s="25">
        <v>26</v>
      </c>
      <c r="E9" s="26">
        <v>2.6800000000000068</v>
      </c>
      <c r="F9" s="27">
        <f t="shared" si="0"/>
        <v>5360.0000000000136</v>
      </c>
      <c r="G9" s="28">
        <f t="shared" si="1"/>
        <v>5550280.000000014</v>
      </c>
      <c r="H9" s="26">
        <v>0.48000000000000398</v>
      </c>
      <c r="I9" s="27">
        <f t="shared" si="2"/>
        <v>960.00000000000796</v>
      </c>
      <c r="J9" s="28">
        <f t="shared" si="3"/>
        <v>1491120.0000000123</v>
      </c>
      <c r="K9" s="26">
        <f t="shared" si="4"/>
        <v>7041400.0000000261</v>
      </c>
      <c r="L9" s="29">
        <f t="shared" si="5"/>
        <v>7745540.0000000289</v>
      </c>
      <c r="M9" s="30">
        <f t="shared" ref="M9:M38" si="6">L9/14381</f>
        <v>538.59536888950902</v>
      </c>
      <c r="N9" s="31"/>
    </row>
    <row r="10" spans="1:14" x14ac:dyDescent="0.25">
      <c r="A10" s="22"/>
      <c r="B10" s="24">
        <v>3</v>
      </c>
      <c r="C10" s="25">
        <v>3</v>
      </c>
      <c r="D10" s="25">
        <v>14</v>
      </c>
      <c r="E10" s="26">
        <v>2.1400000000000148</v>
      </c>
      <c r="F10" s="27">
        <f t="shared" si="0"/>
        <v>4280.0000000000291</v>
      </c>
      <c r="G10" s="28">
        <f t="shared" si="1"/>
        <v>4431940.0000000298</v>
      </c>
      <c r="H10" s="26">
        <v>0.43999999999999773</v>
      </c>
      <c r="I10" s="27">
        <f t="shared" si="2"/>
        <v>879.99999999999545</v>
      </c>
      <c r="J10" s="28">
        <f t="shared" si="3"/>
        <v>1366859.999999993</v>
      </c>
      <c r="K10" s="26">
        <f t="shared" si="4"/>
        <v>5798800.0000000224</v>
      </c>
      <c r="L10" s="29">
        <f t="shared" si="5"/>
        <v>6378680.0000000251</v>
      </c>
      <c r="M10" s="30">
        <f t="shared" si="6"/>
        <v>443.54912732077219</v>
      </c>
      <c r="N10" s="31"/>
    </row>
    <row r="11" spans="1:14" x14ac:dyDescent="0.25">
      <c r="A11" s="22"/>
      <c r="B11" s="24">
        <v>4</v>
      </c>
      <c r="C11" s="25">
        <v>4</v>
      </c>
      <c r="D11" s="25">
        <v>18</v>
      </c>
      <c r="E11" s="26">
        <v>2.289999999999992</v>
      </c>
      <c r="F11" s="27">
        <f t="shared" si="0"/>
        <v>4579.9999999999836</v>
      </c>
      <c r="G11" s="28">
        <f t="shared" si="1"/>
        <v>4742589.9999999832</v>
      </c>
      <c r="H11" s="26">
        <v>0.38000000000000256</v>
      </c>
      <c r="I11" s="27">
        <f t="shared" si="2"/>
        <v>760.00000000000512</v>
      </c>
      <c r="J11" s="28">
        <f t="shared" si="3"/>
        <v>1180470.0000000079</v>
      </c>
      <c r="K11" s="26">
        <f t="shared" si="4"/>
        <v>5923059.9999999907</v>
      </c>
      <c r="L11" s="29">
        <f t="shared" si="5"/>
        <v>6515365.9999999907</v>
      </c>
      <c r="M11" s="30">
        <f t="shared" si="6"/>
        <v>453.05375147764346</v>
      </c>
      <c r="N11" s="31"/>
    </row>
    <row r="12" spans="1:14" x14ac:dyDescent="0.25">
      <c r="A12" s="22"/>
      <c r="B12" s="24">
        <v>5</v>
      </c>
      <c r="C12" s="25">
        <v>4</v>
      </c>
      <c r="D12" s="25">
        <v>24</v>
      </c>
      <c r="E12" s="26">
        <v>2.0099999999999909</v>
      </c>
      <c r="F12" s="27">
        <f t="shared" si="0"/>
        <v>4019.9999999999818</v>
      </c>
      <c r="G12" s="28">
        <f t="shared" si="1"/>
        <v>4162709.9999999814</v>
      </c>
      <c r="H12" s="26">
        <v>0.39999999999999858</v>
      </c>
      <c r="I12" s="27">
        <f t="shared" si="2"/>
        <v>799.99999999999716</v>
      </c>
      <c r="J12" s="28">
        <f t="shared" si="3"/>
        <v>1242599.9999999956</v>
      </c>
      <c r="K12" s="26">
        <f t="shared" si="4"/>
        <v>5405309.9999999767</v>
      </c>
      <c r="L12" s="29">
        <f t="shared" si="5"/>
        <v>5945840.9999999749</v>
      </c>
      <c r="M12" s="30">
        <f t="shared" si="6"/>
        <v>413.45115082400213</v>
      </c>
      <c r="N12" s="31"/>
    </row>
    <row r="13" spans="1:14" x14ac:dyDescent="0.25">
      <c r="A13" s="22"/>
      <c r="B13" s="24">
        <v>6</v>
      </c>
      <c r="C13" s="25">
        <v>2</v>
      </c>
      <c r="D13" s="25">
        <v>16</v>
      </c>
      <c r="E13" s="26">
        <v>2.0100000000000193</v>
      </c>
      <c r="F13" s="27">
        <f t="shared" si="0"/>
        <v>4020.0000000000387</v>
      </c>
      <c r="G13" s="28">
        <f t="shared" si="1"/>
        <v>4162710.00000004</v>
      </c>
      <c r="H13" s="26">
        <v>0.40999999999999659</v>
      </c>
      <c r="I13" s="27">
        <f t="shared" si="2"/>
        <v>819.99999999999318</v>
      </c>
      <c r="J13" s="28">
        <f t="shared" si="3"/>
        <v>1273664.9999999893</v>
      </c>
      <c r="K13" s="26">
        <f t="shared" si="4"/>
        <v>5436375.0000000298</v>
      </c>
      <c r="L13" s="29">
        <f t="shared" si="5"/>
        <v>5980012.5000000335</v>
      </c>
      <c r="M13" s="30">
        <f t="shared" si="6"/>
        <v>415.82730686322463</v>
      </c>
      <c r="N13" s="31"/>
    </row>
    <row r="14" spans="1:14" x14ac:dyDescent="0.25">
      <c r="A14" s="22"/>
      <c r="B14" s="24">
        <v>7</v>
      </c>
      <c r="C14" s="25">
        <v>4</v>
      </c>
      <c r="D14" s="25">
        <v>14</v>
      </c>
      <c r="E14" s="26">
        <v>2.0600000000000023</v>
      </c>
      <c r="F14" s="27">
        <f t="shared" si="0"/>
        <v>4120.0000000000045</v>
      </c>
      <c r="G14" s="28">
        <f t="shared" si="1"/>
        <v>4266260.0000000047</v>
      </c>
      <c r="H14" s="26">
        <v>0.42000000000000171</v>
      </c>
      <c r="I14" s="27">
        <f t="shared" si="2"/>
        <v>840.00000000000341</v>
      </c>
      <c r="J14" s="28">
        <f t="shared" si="3"/>
        <v>1304730.0000000054</v>
      </c>
      <c r="K14" s="26">
        <f t="shared" si="4"/>
        <v>5570990.0000000102</v>
      </c>
      <c r="L14" s="29">
        <f t="shared" si="5"/>
        <v>6128089.0000000121</v>
      </c>
      <c r="M14" s="30">
        <f t="shared" si="6"/>
        <v>426.12398303316962</v>
      </c>
      <c r="N14" s="31"/>
    </row>
    <row r="15" spans="1:14" x14ac:dyDescent="0.25">
      <c r="A15" s="22"/>
      <c r="B15" s="24">
        <v>8</v>
      </c>
      <c r="C15" s="25">
        <v>6</v>
      </c>
      <c r="D15" s="25">
        <v>30</v>
      </c>
      <c r="E15" s="26">
        <v>2.0099999999999909</v>
      </c>
      <c r="F15" s="27">
        <f t="shared" si="0"/>
        <v>4019.9999999999818</v>
      </c>
      <c r="G15" s="28">
        <f t="shared" si="1"/>
        <v>4162709.9999999814</v>
      </c>
      <c r="H15" s="26">
        <v>0.39999999999999858</v>
      </c>
      <c r="I15" s="27">
        <f t="shared" si="2"/>
        <v>799.99999999999716</v>
      </c>
      <c r="J15" s="28">
        <f t="shared" si="3"/>
        <v>1242599.9999999956</v>
      </c>
      <c r="K15" s="26">
        <f t="shared" si="4"/>
        <v>5405309.9999999767</v>
      </c>
      <c r="L15" s="29">
        <f t="shared" si="5"/>
        <v>5945840.9999999749</v>
      </c>
      <c r="M15" s="30">
        <f t="shared" si="6"/>
        <v>413.45115082400213</v>
      </c>
      <c r="N15" s="31"/>
    </row>
    <row r="16" spans="1:14" x14ac:dyDescent="0.25">
      <c r="A16" s="22"/>
      <c r="B16" s="24">
        <v>9</v>
      </c>
      <c r="C16" s="25">
        <v>1</v>
      </c>
      <c r="D16" s="25">
        <v>19</v>
      </c>
      <c r="E16" s="26">
        <v>2.0900000000000034</v>
      </c>
      <c r="F16" s="27">
        <f t="shared" si="0"/>
        <v>4180.0000000000073</v>
      </c>
      <c r="G16" s="28">
        <f t="shared" si="1"/>
        <v>4328390.0000000075</v>
      </c>
      <c r="H16" s="26">
        <v>0.40000000000000568</v>
      </c>
      <c r="I16" s="27">
        <f t="shared" si="2"/>
        <v>800.00000000001137</v>
      </c>
      <c r="J16" s="28">
        <f t="shared" si="3"/>
        <v>1242600.0000000177</v>
      </c>
      <c r="K16" s="26">
        <f t="shared" si="4"/>
        <v>5570990.0000000251</v>
      </c>
      <c r="L16" s="29">
        <f t="shared" si="5"/>
        <v>6128089.0000000279</v>
      </c>
      <c r="M16" s="30">
        <f t="shared" si="6"/>
        <v>426.1239830331707</v>
      </c>
      <c r="N16" s="31"/>
    </row>
    <row r="17" spans="1:14" x14ac:dyDescent="0.25">
      <c r="A17" s="22"/>
      <c r="B17" s="24">
        <v>10</v>
      </c>
      <c r="C17" s="25">
        <v>5</v>
      </c>
      <c r="D17" s="25">
        <v>6</v>
      </c>
      <c r="E17" s="26">
        <v>2.0999999999999943</v>
      </c>
      <c r="F17" s="27">
        <f t="shared" si="0"/>
        <v>4199.9999999999891</v>
      </c>
      <c r="G17" s="28">
        <f t="shared" si="1"/>
        <v>4349099.9999999888</v>
      </c>
      <c r="H17" s="26">
        <v>0.42999999999999972</v>
      </c>
      <c r="I17" s="27">
        <f t="shared" si="2"/>
        <v>859.99999999999943</v>
      </c>
      <c r="J17" s="28">
        <f t="shared" si="3"/>
        <v>1335794.9999999991</v>
      </c>
      <c r="K17" s="26">
        <f t="shared" si="4"/>
        <v>5684894.9999999879</v>
      </c>
      <c r="L17" s="29">
        <f t="shared" si="5"/>
        <v>6253384.499999987</v>
      </c>
      <c r="M17" s="30">
        <f t="shared" si="6"/>
        <v>434.83655517696872</v>
      </c>
      <c r="N17" s="31"/>
    </row>
    <row r="18" spans="1:14" x14ac:dyDescent="0.25">
      <c r="A18" s="22"/>
      <c r="B18" s="24">
        <v>11</v>
      </c>
      <c r="C18" s="25">
        <v>6</v>
      </c>
      <c r="D18" s="25">
        <v>18</v>
      </c>
      <c r="E18" s="26">
        <v>2.1899999999999977</v>
      </c>
      <c r="F18" s="27">
        <f t="shared" si="0"/>
        <v>4379.9999999999955</v>
      </c>
      <c r="G18" s="28">
        <f t="shared" si="1"/>
        <v>4535489.9999999953</v>
      </c>
      <c r="H18" s="26">
        <v>0.44999999999999574</v>
      </c>
      <c r="I18" s="27">
        <f t="shared" si="2"/>
        <v>899.99999999999147</v>
      </c>
      <c r="J18" s="28">
        <f t="shared" si="3"/>
        <v>1397924.9999999867</v>
      </c>
      <c r="K18" s="26">
        <f t="shared" si="4"/>
        <v>5933414.9999999823</v>
      </c>
      <c r="L18" s="29">
        <f t="shared" si="5"/>
        <v>6526756.4999999814</v>
      </c>
      <c r="M18" s="30">
        <f t="shared" si="6"/>
        <v>453.84580349071564</v>
      </c>
      <c r="N18" s="31"/>
    </row>
    <row r="19" spans="1:14" x14ac:dyDescent="0.25">
      <c r="A19" s="22"/>
      <c r="B19" s="24">
        <v>12</v>
      </c>
      <c r="C19" s="25">
        <v>6</v>
      </c>
      <c r="D19" s="25">
        <v>28</v>
      </c>
      <c r="E19" s="26">
        <v>2.34</v>
      </c>
      <c r="F19" s="27">
        <f t="shared" si="0"/>
        <v>4680</v>
      </c>
      <c r="G19" s="28">
        <f t="shared" si="1"/>
        <v>4846140</v>
      </c>
      <c r="H19" s="26">
        <v>0.48</v>
      </c>
      <c r="I19" s="27">
        <f t="shared" si="2"/>
        <v>960</v>
      </c>
      <c r="J19" s="28">
        <f t="shared" si="3"/>
        <v>1491120</v>
      </c>
      <c r="K19" s="26">
        <f t="shared" si="4"/>
        <v>6337260</v>
      </c>
      <c r="L19" s="29">
        <f t="shared" si="5"/>
        <v>6970986.0000000009</v>
      </c>
      <c r="M19" s="30">
        <f t="shared" si="6"/>
        <v>484.73583200055634</v>
      </c>
      <c r="N19" s="31"/>
    </row>
    <row r="20" spans="1:14" x14ac:dyDescent="0.25">
      <c r="A20" s="22"/>
      <c r="B20" s="24">
        <v>13</v>
      </c>
      <c r="C20" s="25">
        <v>7</v>
      </c>
      <c r="D20" s="25">
        <v>23</v>
      </c>
      <c r="E20" s="26">
        <v>2.37</v>
      </c>
      <c r="F20" s="27">
        <f t="shared" si="0"/>
        <v>4740</v>
      </c>
      <c r="G20" s="28">
        <f t="shared" si="1"/>
        <v>4908270</v>
      </c>
      <c r="H20" s="26">
        <v>0.49</v>
      </c>
      <c r="I20" s="27">
        <f t="shared" si="2"/>
        <v>980</v>
      </c>
      <c r="J20" s="28">
        <f t="shared" si="3"/>
        <v>1522185</v>
      </c>
      <c r="K20" s="26">
        <f t="shared" si="4"/>
        <v>6430455</v>
      </c>
      <c r="L20" s="29">
        <f t="shared" si="5"/>
        <v>7073500.5000000009</v>
      </c>
      <c r="M20" s="30">
        <f t="shared" si="6"/>
        <v>491.86430011821159</v>
      </c>
      <c r="N20" s="31"/>
    </row>
    <row r="21" spans="1:14" x14ac:dyDescent="0.25">
      <c r="A21" s="22"/>
      <c r="B21" s="24">
        <v>14</v>
      </c>
      <c r="C21" s="25">
        <v>9</v>
      </c>
      <c r="D21" s="25">
        <v>52</v>
      </c>
      <c r="E21" s="26">
        <v>2.34</v>
      </c>
      <c r="F21" s="27">
        <f t="shared" si="0"/>
        <v>4680</v>
      </c>
      <c r="G21" s="28">
        <f t="shared" si="1"/>
        <v>4846140</v>
      </c>
      <c r="H21" s="26">
        <v>0.49</v>
      </c>
      <c r="I21" s="27">
        <f t="shared" si="2"/>
        <v>980</v>
      </c>
      <c r="J21" s="28">
        <f t="shared" si="3"/>
        <v>1522185</v>
      </c>
      <c r="K21" s="26">
        <f t="shared" si="4"/>
        <v>6368325</v>
      </c>
      <c r="L21" s="29">
        <f t="shared" si="5"/>
        <v>7005157.5000000009</v>
      </c>
      <c r="M21" s="30">
        <f t="shared" si="6"/>
        <v>487.11198803977476</v>
      </c>
      <c r="N21" s="31"/>
    </row>
    <row r="22" spans="1:14" x14ac:dyDescent="0.25">
      <c r="A22" s="22"/>
      <c r="B22" s="24">
        <v>15</v>
      </c>
      <c r="C22" s="25">
        <v>10</v>
      </c>
      <c r="D22" s="25">
        <v>35</v>
      </c>
      <c r="E22" s="26">
        <v>2.4300000000000002</v>
      </c>
      <c r="F22" s="27">
        <f t="shared" si="0"/>
        <v>4860</v>
      </c>
      <c r="G22" s="28">
        <f t="shared" si="1"/>
        <v>5032530</v>
      </c>
      <c r="H22" s="26">
        <v>0.49</v>
      </c>
      <c r="I22" s="27">
        <f t="shared" si="2"/>
        <v>980</v>
      </c>
      <c r="J22" s="28">
        <f t="shared" si="3"/>
        <v>1522185</v>
      </c>
      <c r="K22" s="26">
        <f t="shared" si="4"/>
        <v>6554715</v>
      </c>
      <c r="L22" s="29">
        <f t="shared" si="5"/>
        <v>7210186.5000000009</v>
      </c>
      <c r="M22" s="30">
        <f t="shared" si="6"/>
        <v>501.36892427508525</v>
      </c>
      <c r="N22" s="31"/>
    </row>
    <row r="23" spans="1:14" x14ac:dyDescent="0.25">
      <c r="A23" s="22"/>
      <c r="B23" s="24">
        <v>16</v>
      </c>
      <c r="C23" s="25">
        <v>5</v>
      </c>
      <c r="D23" s="25">
        <v>29</v>
      </c>
      <c r="E23" s="26">
        <v>2.5499999999999998</v>
      </c>
      <c r="F23" s="27">
        <f t="shared" si="0"/>
        <v>5100</v>
      </c>
      <c r="G23" s="28">
        <f t="shared" si="1"/>
        <v>5281050</v>
      </c>
      <c r="H23" s="26">
        <v>0.49</v>
      </c>
      <c r="I23" s="27">
        <f t="shared" si="2"/>
        <v>980</v>
      </c>
      <c r="J23" s="28">
        <f t="shared" si="3"/>
        <v>1522185</v>
      </c>
      <c r="K23" s="26">
        <f t="shared" si="4"/>
        <v>6803235</v>
      </c>
      <c r="L23" s="29">
        <f t="shared" si="5"/>
        <v>7483558.5000000009</v>
      </c>
      <c r="M23" s="30">
        <f t="shared" si="6"/>
        <v>520.37817258883251</v>
      </c>
      <c r="N23" s="31"/>
    </row>
    <row r="24" spans="1:14" x14ac:dyDescent="0.25">
      <c r="A24" s="22"/>
      <c r="B24" s="24">
        <v>17</v>
      </c>
      <c r="C24" s="25">
        <v>12</v>
      </c>
      <c r="D24" s="25">
        <v>28</v>
      </c>
      <c r="E24" s="26">
        <v>2.5299999999999998</v>
      </c>
      <c r="F24" s="27">
        <f t="shared" si="0"/>
        <v>5060</v>
      </c>
      <c r="G24" s="28">
        <f t="shared" si="1"/>
        <v>5239630</v>
      </c>
      <c r="H24" s="26">
        <v>0.51</v>
      </c>
      <c r="I24" s="27">
        <f t="shared" si="2"/>
        <v>1020</v>
      </c>
      <c r="J24" s="28">
        <f t="shared" si="3"/>
        <v>1584315</v>
      </c>
      <c r="K24" s="26">
        <f t="shared" si="4"/>
        <v>6823945</v>
      </c>
      <c r="L24" s="29">
        <f t="shared" si="5"/>
        <v>7506339.5000000009</v>
      </c>
      <c r="M24" s="30">
        <f t="shared" si="6"/>
        <v>521.96227661497812</v>
      </c>
      <c r="N24" s="31"/>
    </row>
    <row r="25" spans="1:14" x14ac:dyDescent="0.25">
      <c r="A25" s="22"/>
      <c r="B25" s="24">
        <v>18</v>
      </c>
      <c r="C25" s="25">
        <v>17</v>
      </c>
      <c r="D25" s="25">
        <v>52</v>
      </c>
      <c r="E25" s="26">
        <v>2.4900000000000002</v>
      </c>
      <c r="F25" s="27">
        <f t="shared" si="0"/>
        <v>4980</v>
      </c>
      <c r="G25" s="28">
        <f t="shared" si="1"/>
        <v>5156790</v>
      </c>
      <c r="H25" s="26">
        <v>0.55000000000000004</v>
      </c>
      <c r="I25" s="27">
        <f t="shared" si="2"/>
        <v>1100</v>
      </c>
      <c r="J25" s="28">
        <f t="shared" si="3"/>
        <v>1708575</v>
      </c>
      <c r="K25" s="26">
        <f t="shared" si="4"/>
        <v>6865365</v>
      </c>
      <c r="L25" s="29">
        <f t="shared" si="5"/>
        <v>7551901.5000000009</v>
      </c>
      <c r="M25" s="30">
        <f t="shared" si="6"/>
        <v>525.13048466726934</v>
      </c>
      <c r="N25" s="31"/>
    </row>
    <row r="26" spans="1:14" x14ac:dyDescent="0.25">
      <c r="A26" s="22"/>
      <c r="B26" s="24">
        <v>19</v>
      </c>
      <c r="C26" s="25">
        <v>10</v>
      </c>
      <c r="D26" s="25">
        <v>54</v>
      </c>
      <c r="E26" s="26">
        <v>2.77</v>
      </c>
      <c r="F26" s="27">
        <f t="shared" si="0"/>
        <v>5540</v>
      </c>
      <c r="G26" s="28">
        <f t="shared" si="1"/>
        <v>5736670</v>
      </c>
      <c r="H26" s="26">
        <v>0.5</v>
      </c>
      <c r="I26" s="27">
        <f t="shared" si="2"/>
        <v>1000</v>
      </c>
      <c r="J26" s="28">
        <f t="shared" si="3"/>
        <v>1553250</v>
      </c>
      <c r="K26" s="26">
        <f t="shared" si="4"/>
        <v>7289920</v>
      </c>
      <c r="L26" s="29">
        <f t="shared" si="5"/>
        <v>8018912.0000000009</v>
      </c>
      <c r="M26" s="30">
        <f t="shared" si="6"/>
        <v>557.60461720325441</v>
      </c>
      <c r="N26" s="31"/>
    </row>
    <row r="27" spans="1:14" x14ac:dyDescent="0.25">
      <c r="A27" s="22"/>
      <c r="B27" s="24">
        <v>20</v>
      </c>
      <c r="C27" s="25">
        <v>14</v>
      </c>
      <c r="D27" s="25">
        <v>48</v>
      </c>
      <c r="E27" s="26">
        <v>2.59</v>
      </c>
      <c r="F27" s="27">
        <f t="shared" si="0"/>
        <v>5180</v>
      </c>
      <c r="G27" s="28">
        <f t="shared" si="1"/>
        <v>5363890</v>
      </c>
      <c r="H27" s="26">
        <v>0.53</v>
      </c>
      <c r="I27" s="27">
        <f t="shared" si="2"/>
        <v>1060</v>
      </c>
      <c r="J27" s="28">
        <f t="shared" si="3"/>
        <v>1646445</v>
      </c>
      <c r="K27" s="26">
        <f t="shared" si="4"/>
        <v>7010335</v>
      </c>
      <c r="L27" s="29">
        <f t="shared" si="5"/>
        <v>7711368.5000000009</v>
      </c>
      <c r="M27" s="30">
        <f t="shared" si="6"/>
        <v>536.21921285028861</v>
      </c>
      <c r="N27" s="31"/>
    </row>
    <row r="28" spans="1:14" x14ac:dyDescent="0.25">
      <c r="A28" s="22"/>
      <c r="B28" s="24">
        <v>21</v>
      </c>
      <c r="C28" s="25">
        <v>14</v>
      </c>
      <c r="D28" s="25">
        <v>67</v>
      </c>
      <c r="E28" s="26">
        <v>2.61</v>
      </c>
      <c r="F28" s="27">
        <f t="shared" si="0"/>
        <v>5220</v>
      </c>
      <c r="G28" s="28">
        <f t="shared" si="1"/>
        <v>5405310</v>
      </c>
      <c r="H28" s="26">
        <v>0.54</v>
      </c>
      <c r="I28" s="27">
        <f t="shared" si="2"/>
        <v>1080</v>
      </c>
      <c r="J28" s="28">
        <f t="shared" si="3"/>
        <v>1677510</v>
      </c>
      <c r="K28" s="26">
        <f t="shared" si="4"/>
        <v>7082820</v>
      </c>
      <c r="L28" s="29">
        <f t="shared" si="5"/>
        <v>7791102.0000000009</v>
      </c>
      <c r="M28" s="30">
        <f t="shared" si="6"/>
        <v>541.76357694179831</v>
      </c>
      <c r="N28" s="31"/>
    </row>
    <row r="29" spans="1:14" x14ac:dyDescent="0.25">
      <c r="A29" s="22"/>
      <c r="B29" s="24">
        <v>22</v>
      </c>
      <c r="C29" s="25">
        <v>18</v>
      </c>
      <c r="D29" s="25">
        <v>57</v>
      </c>
      <c r="E29" s="26">
        <v>2.66</v>
      </c>
      <c r="F29" s="27">
        <f t="shared" si="0"/>
        <v>5320</v>
      </c>
      <c r="G29" s="28">
        <f t="shared" si="1"/>
        <v>5508860</v>
      </c>
      <c r="H29" s="26">
        <v>0.54</v>
      </c>
      <c r="I29" s="27">
        <f t="shared" si="2"/>
        <v>1080</v>
      </c>
      <c r="J29" s="28">
        <f t="shared" si="3"/>
        <v>1677510</v>
      </c>
      <c r="K29" s="26">
        <f t="shared" si="4"/>
        <v>7186370</v>
      </c>
      <c r="L29" s="29">
        <f t="shared" si="5"/>
        <v>7905007.0000000009</v>
      </c>
      <c r="M29" s="30">
        <f t="shared" si="6"/>
        <v>549.68409707252636</v>
      </c>
      <c r="N29" s="31"/>
    </row>
    <row r="30" spans="1:14" x14ac:dyDescent="0.25">
      <c r="A30" s="22"/>
      <c r="B30" s="24">
        <v>23</v>
      </c>
      <c r="C30" s="25">
        <v>15</v>
      </c>
      <c r="D30" s="25">
        <v>64</v>
      </c>
      <c r="E30" s="26">
        <v>2.78</v>
      </c>
      <c r="F30" s="27">
        <f t="shared" si="0"/>
        <v>5560</v>
      </c>
      <c r="G30" s="28">
        <f t="shared" si="1"/>
        <v>5757380</v>
      </c>
      <c r="H30" s="26">
        <v>0.54</v>
      </c>
      <c r="I30" s="27">
        <f t="shared" si="2"/>
        <v>1080</v>
      </c>
      <c r="J30" s="28">
        <f t="shared" si="3"/>
        <v>1677510</v>
      </c>
      <c r="K30" s="26">
        <f t="shared" si="4"/>
        <v>7434890</v>
      </c>
      <c r="L30" s="29">
        <f t="shared" si="5"/>
        <v>8178379.0000000009</v>
      </c>
      <c r="M30" s="30">
        <f t="shared" si="6"/>
        <v>568.69334538627368</v>
      </c>
      <c r="N30" s="31"/>
    </row>
    <row r="31" spans="1:14" x14ac:dyDescent="0.25">
      <c r="A31" s="22"/>
      <c r="B31" s="24">
        <v>24</v>
      </c>
      <c r="C31" s="25">
        <v>6</v>
      </c>
      <c r="D31" s="25">
        <v>41</v>
      </c>
      <c r="E31" s="26">
        <v>2.4700000000000002</v>
      </c>
      <c r="F31" s="27">
        <f t="shared" si="0"/>
        <v>4940</v>
      </c>
      <c r="G31" s="28">
        <f t="shared" si="1"/>
        <v>5115370</v>
      </c>
      <c r="H31" s="26">
        <v>0.46</v>
      </c>
      <c r="I31" s="27">
        <f t="shared" si="2"/>
        <v>920</v>
      </c>
      <c r="J31" s="28">
        <f t="shared" si="3"/>
        <v>1428990</v>
      </c>
      <c r="K31" s="26">
        <f t="shared" si="4"/>
        <v>6544360</v>
      </c>
      <c r="L31" s="29">
        <f t="shared" si="5"/>
        <v>7198796.0000000009</v>
      </c>
      <c r="M31" s="30">
        <f t="shared" si="6"/>
        <v>500.57687226201244</v>
      </c>
      <c r="N31" s="31"/>
    </row>
    <row r="32" spans="1:14" x14ac:dyDescent="0.25">
      <c r="A32" s="22"/>
      <c r="B32" s="24">
        <v>25</v>
      </c>
      <c r="C32" s="25">
        <v>4</v>
      </c>
      <c r="D32" s="25">
        <v>33</v>
      </c>
      <c r="E32" s="26">
        <v>2.3199999999999998</v>
      </c>
      <c r="F32" s="27">
        <f t="shared" si="0"/>
        <v>4640</v>
      </c>
      <c r="G32" s="28">
        <f t="shared" si="1"/>
        <v>4804720</v>
      </c>
      <c r="H32" s="26">
        <v>0.4</v>
      </c>
      <c r="I32" s="27">
        <f t="shared" si="2"/>
        <v>800</v>
      </c>
      <c r="J32" s="28">
        <f t="shared" si="3"/>
        <v>1242600</v>
      </c>
      <c r="K32" s="26">
        <f t="shared" si="4"/>
        <v>6047320</v>
      </c>
      <c r="L32" s="29">
        <f t="shared" si="5"/>
        <v>6652052.0000000009</v>
      </c>
      <c r="M32" s="30">
        <f t="shared" si="6"/>
        <v>462.55837563451786</v>
      </c>
      <c r="N32" s="31"/>
    </row>
    <row r="33" spans="1:16" x14ac:dyDescent="0.25">
      <c r="A33" s="22"/>
      <c r="B33" s="24">
        <v>26</v>
      </c>
      <c r="C33" s="25">
        <v>6</v>
      </c>
      <c r="D33" s="25">
        <v>19</v>
      </c>
      <c r="E33" s="26">
        <v>2.15</v>
      </c>
      <c r="F33" s="27">
        <f t="shared" si="0"/>
        <v>4300</v>
      </c>
      <c r="G33" s="28">
        <f t="shared" si="1"/>
        <v>4452650</v>
      </c>
      <c r="H33" s="26">
        <v>0.45</v>
      </c>
      <c r="I33" s="27">
        <f t="shared" si="2"/>
        <v>900</v>
      </c>
      <c r="J33" s="28">
        <f t="shared" si="3"/>
        <v>1397925</v>
      </c>
      <c r="K33" s="26">
        <f t="shared" si="4"/>
        <v>5850575</v>
      </c>
      <c r="L33" s="29">
        <f t="shared" si="5"/>
        <v>6435632.5000000009</v>
      </c>
      <c r="M33" s="30">
        <f t="shared" si="6"/>
        <v>447.50938738613456</v>
      </c>
      <c r="N33" s="31"/>
    </row>
    <row r="34" spans="1:16" x14ac:dyDescent="0.25">
      <c r="A34" s="22"/>
      <c r="B34" s="24">
        <v>27</v>
      </c>
      <c r="C34" s="25">
        <v>6</v>
      </c>
      <c r="D34" s="25">
        <v>32</v>
      </c>
      <c r="E34" s="26">
        <v>2.25</v>
      </c>
      <c r="F34" s="27">
        <f t="shared" si="0"/>
        <v>4500</v>
      </c>
      <c r="G34" s="28">
        <f t="shared" si="1"/>
        <v>4659750</v>
      </c>
      <c r="H34" s="26">
        <v>0.44</v>
      </c>
      <c r="I34" s="27">
        <f t="shared" si="2"/>
        <v>880</v>
      </c>
      <c r="J34" s="28">
        <f t="shared" si="3"/>
        <v>1366860</v>
      </c>
      <c r="K34" s="26">
        <f t="shared" si="4"/>
        <v>6026610</v>
      </c>
      <c r="L34" s="29">
        <f t="shared" si="5"/>
        <v>6629271.0000000009</v>
      </c>
      <c r="M34" s="30">
        <f t="shared" si="6"/>
        <v>460.97427160837225</v>
      </c>
      <c r="N34" s="31"/>
    </row>
    <row r="35" spans="1:16" x14ac:dyDescent="0.25">
      <c r="A35" s="22"/>
      <c r="B35" s="24">
        <v>28</v>
      </c>
      <c r="C35" s="25">
        <v>7</v>
      </c>
      <c r="D35" s="25">
        <v>41</v>
      </c>
      <c r="E35" s="26">
        <v>2.19</v>
      </c>
      <c r="F35" s="27">
        <f t="shared" si="0"/>
        <v>4380</v>
      </c>
      <c r="G35" s="28">
        <f t="shared" si="1"/>
        <v>4535490</v>
      </c>
      <c r="H35" s="26">
        <v>0.44</v>
      </c>
      <c r="I35" s="27">
        <f t="shared" si="2"/>
        <v>880</v>
      </c>
      <c r="J35" s="28">
        <f t="shared" si="3"/>
        <v>1366860</v>
      </c>
      <c r="K35" s="26">
        <f t="shared" si="4"/>
        <v>5902350</v>
      </c>
      <c r="L35" s="29">
        <f t="shared" si="5"/>
        <v>6492585.0000000009</v>
      </c>
      <c r="M35" s="30">
        <f t="shared" si="6"/>
        <v>451.46964745149859</v>
      </c>
      <c r="N35" s="31"/>
    </row>
    <row r="36" spans="1:16" x14ac:dyDescent="0.25">
      <c r="A36" s="22"/>
      <c r="B36" s="24">
        <v>29</v>
      </c>
      <c r="C36" s="25">
        <v>7</v>
      </c>
      <c r="D36" s="25">
        <v>48</v>
      </c>
      <c r="E36" s="26">
        <v>2.23</v>
      </c>
      <c r="F36" s="27">
        <f t="shared" si="0"/>
        <v>4460</v>
      </c>
      <c r="G36" s="28">
        <f t="shared" si="1"/>
        <v>4618330</v>
      </c>
      <c r="H36" s="26">
        <v>0.47</v>
      </c>
      <c r="I36" s="27">
        <f t="shared" si="2"/>
        <v>940</v>
      </c>
      <c r="J36" s="28">
        <f t="shared" si="3"/>
        <v>1460055</v>
      </c>
      <c r="K36" s="26">
        <f t="shared" si="4"/>
        <v>6078385</v>
      </c>
      <c r="L36" s="29">
        <f t="shared" si="5"/>
        <v>6686223.5000000009</v>
      </c>
      <c r="M36" s="30">
        <f t="shared" si="6"/>
        <v>464.93453167373622</v>
      </c>
      <c r="N36" s="31"/>
    </row>
    <row r="37" spans="1:16" x14ac:dyDescent="0.25">
      <c r="A37" s="22"/>
      <c r="B37" s="24">
        <v>30</v>
      </c>
      <c r="C37" s="25">
        <v>7</v>
      </c>
      <c r="D37" s="25">
        <v>37</v>
      </c>
      <c r="E37" s="26">
        <v>2.2999999999999998</v>
      </c>
      <c r="F37" s="27">
        <f t="shared" si="0"/>
        <v>4600</v>
      </c>
      <c r="G37" s="28">
        <f>F37*1035.5</f>
        <v>4763300</v>
      </c>
      <c r="H37" s="26">
        <v>0.46</v>
      </c>
      <c r="I37" s="27">
        <f t="shared" si="2"/>
        <v>920</v>
      </c>
      <c r="J37" s="28">
        <f t="shared" si="3"/>
        <v>1428990</v>
      </c>
      <c r="K37" s="26">
        <f t="shared" si="4"/>
        <v>6192290</v>
      </c>
      <c r="L37" s="29">
        <f t="shared" si="5"/>
        <v>6811519.0000000009</v>
      </c>
      <c r="M37" s="30">
        <f t="shared" si="6"/>
        <v>473.64710381753707</v>
      </c>
      <c r="N37" s="31"/>
    </row>
    <row r="38" spans="1:16" x14ac:dyDescent="0.25">
      <c r="A38" s="22"/>
      <c r="B38" s="24">
        <v>31</v>
      </c>
      <c r="C38" s="25" t="s">
        <v>59</v>
      </c>
      <c r="D38" s="25" t="s">
        <v>59</v>
      </c>
      <c r="E38" s="26"/>
      <c r="F38" s="27">
        <f t="shared" si="0"/>
        <v>0</v>
      </c>
      <c r="G38" s="28">
        <f t="shared" si="1"/>
        <v>0</v>
      </c>
      <c r="H38" s="26"/>
      <c r="I38" s="27">
        <f t="shared" si="2"/>
        <v>0</v>
      </c>
      <c r="J38" s="28">
        <f t="shared" si="3"/>
        <v>0</v>
      </c>
      <c r="K38" s="26">
        <f t="shared" si="4"/>
        <v>0</v>
      </c>
      <c r="L38" s="29">
        <f t="shared" si="5"/>
        <v>0</v>
      </c>
      <c r="M38" s="30">
        <f t="shared" si="6"/>
        <v>0</v>
      </c>
      <c r="N38" s="31"/>
    </row>
    <row r="39" spans="1:16" x14ac:dyDescent="0.25">
      <c r="C39" s="32">
        <f>SUM(C8:C38)</f>
        <v>228</v>
      </c>
      <c r="D39" s="32">
        <f>SUM(D8:D38)</f>
        <v>1043</v>
      </c>
      <c r="E39" s="33">
        <v>3.2799999999999727</v>
      </c>
      <c r="F39" s="32">
        <f>SUM(F8:F38)</f>
        <v>141280.00000000003</v>
      </c>
      <c r="I39" s="32">
        <f>SUM(I8:I38)</f>
        <v>27999.999999999993</v>
      </c>
      <c r="L39" s="34">
        <f>SUM(L8:L38)</f>
        <v>208765084.00000003</v>
      </c>
      <c r="M39" s="35">
        <f>SUM(M8:M38)</f>
        <v>14516.729295598359</v>
      </c>
      <c r="N39" s="36"/>
      <c r="P39" s="37"/>
    </row>
    <row r="41" spans="1:16" x14ac:dyDescent="0.25">
      <c r="G41" s="89" t="s">
        <v>28</v>
      </c>
      <c r="H41" s="90"/>
      <c r="I41" s="91">
        <f>F39+I39</f>
        <v>169280.00000000003</v>
      </c>
      <c r="M41" s="38"/>
      <c r="P41" s="39"/>
    </row>
    <row r="42" spans="1:16" x14ac:dyDescent="0.25">
      <c r="M42" s="40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selection activeCell="B5" sqref="B5:B8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100" t="s">
        <v>29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</row>
    <row r="2" spans="1:21" ht="15.75" x14ac:dyDescent="0.25">
      <c r="B2" s="100" t="s">
        <v>16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4">
        <v>44136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8"/>
    </row>
    <row r="5" spans="1:21" x14ac:dyDescent="0.25">
      <c r="A5" s="19"/>
      <c r="B5" s="99" t="s">
        <v>17</v>
      </c>
      <c r="C5" s="99" t="s">
        <v>18</v>
      </c>
      <c r="D5" s="99" t="s">
        <v>13</v>
      </c>
      <c r="E5" s="105" t="s">
        <v>30</v>
      </c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6" t="s">
        <v>31</v>
      </c>
      <c r="R5" s="106"/>
      <c r="S5" s="20"/>
    </row>
    <row r="6" spans="1:21" s="21" customFormat="1" x14ac:dyDescent="0.25">
      <c r="A6" s="19"/>
      <c r="B6" s="99"/>
      <c r="C6" s="99"/>
      <c r="D6" s="99"/>
      <c r="E6" s="105" t="s">
        <v>32</v>
      </c>
      <c r="F6" s="105"/>
      <c r="G6" s="105"/>
      <c r="H6" s="105" t="s">
        <v>33</v>
      </c>
      <c r="I6" s="105"/>
      <c r="J6" s="105"/>
      <c r="K6" s="105" t="s">
        <v>34</v>
      </c>
      <c r="L6" s="105"/>
      <c r="M6" s="105"/>
      <c r="N6" s="107" t="s">
        <v>35</v>
      </c>
      <c r="O6" s="107"/>
      <c r="P6" s="107"/>
      <c r="Q6" s="106"/>
      <c r="R6" s="106"/>
      <c r="S6" s="20"/>
    </row>
    <row r="7" spans="1:21" ht="22.5" x14ac:dyDescent="0.25">
      <c r="A7" s="22"/>
      <c r="B7" s="99"/>
      <c r="C7" s="99"/>
      <c r="D7" s="99"/>
      <c r="E7" s="99" t="s">
        <v>36</v>
      </c>
      <c r="F7" s="108" t="s">
        <v>37</v>
      </c>
      <c r="G7" s="45" t="s">
        <v>38</v>
      </c>
      <c r="H7" s="99" t="s">
        <v>39</v>
      </c>
      <c r="I7" s="99" t="s">
        <v>37</v>
      </c>
      <c r="J7" s="45" t="s">
        <v>38</v>
      </c>
      <c r="K7" s="99" t="s">
        <v>36</v>
      </c>
      <c r="L7" s="99" t="s">
        <v>37</v>
      </c>
      <c r="M7" s="45" t="s">
        <v>40</v>
      </c>
      <c r="N7" s="99" t="s">
        <v>41</v>
      </c>
      <c r="O7" s="99" t="s">
        <v>37</v>
      </c>
      <c r="P7" s="45" t="s">
        <v>40</v>
      </c>
      <c r="Q7" s="106"/>
      <c r="R7" s="106"/>
      <c r="S7" s="23"/>
    </row>
    <row r="8" spans="1:21" x14ac:dyDescent="0.25">
      <c r="A8" s="22"/>
      <c r="B8" s="99"/>
      <c r="C8" s="99"/>
      <c r="D8" s="99"/>
      <c r="E8" s="99"/>
      <c r="F8" s="109"/>
      <c r="G8" s="46">
        <v>10630</v>
      </c>
      <c r="H8" s="99"/>
      <c r="I8" s="99"/>
      <c r="J8" s="46">
        <f>G8</f>
        <v>10630</v>
      </c>
      <c r="K8" s="99"/>
      <c r="L8" s="99"/>
      <c r="M8" s="46">
        <f>J8</f>
        <v>10630</v>
      </c>
      <c r="N8" s="99"/>
      <c r="O8" s="99"/>
      <c r="P8" s="46">
        <f>J8</f>
        <v>10630</v>
      </c>
      <c r="Q8" s="47" t="s">
        <v>42</v>
      </c>
      <c r="R8" s="45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8</v>
      </c>
      <c r="D9" s="49">
        <f>Electricity!D8</f>
        <v>70</v>
      </c>
      <c r="E9" s="97"/>
      <c r="F9" s="26">
        <v>12.73299999999972</v>
      </c>
      <c r="G9" s="51">
        <f>F9*$G$8</f>
        <v>135351.78999999701</v>
      </c>
      <c r="H9" s="50"/>
      <c r="I9" s="98"/>
      <c r="J9" s="51">
        <f>I9*$J$8</f>
        <v>0</v>
      </c>
      <c r="K9" s="50"/>
      <c r="L9" s="26"/>
      <c r="M9" s="27">
        <f>L9*$M$8</f>
        <v>0</v>
      </c>
      <c r="N9" s="50"/>
      <c r="O9" s="26">
        <v>7.14</v>
      </c>
      <c r="P9" s="52">
        <f>O9*$P$8</f>
        <v>75898.2</v>
      </c>
      <c r="Q9" s="53">
        <f>P9+G9+J9+M9</f>
        <v>211249.98999999702</v>
      </c>
      <c r="R9" s="54">
        <f>Q9/14381</f>
        <v>14.689520200264031</v>
      </c>
      <c r="S9" s="23"/>
    </row>
    <row r="10" spans="1:21" x14ac:dyDescent="0.25">
      <c r="A10" s="22"/>
      <c r="B10" s="24">
        <v>2</v>
      </c>
      <c r="C10" s="48">
        <f>Electricity!C9</f>
        <v>5</v>
      </c>
      <c r="D10" s="49">
        <f>Electricity!D9</f>
        <v>26</v>
      </c>
      <c r="E10" s="97"/>
      <c r="F10" s="26">
        <v>15.046000000000276</v>
      </c>
      <c r="G10" s="51">
        <f>F10*$G$8</f>
        <v>159938.98000000295</v>
      </c>
      <c r="H10" s="50"/>
      <c r="I10" s="98"/>
      <c r="J10" s="51">
        <f>I10*$J$8</f>
        <v>0</v>
      </c>
      <c r="K10" s="50"/>
      <c r="L10" s="26"/>
      <c r="M10" s="27">
        <f t="shared" ref="M10:M39" si="0">L10*$M$8</f>
        <v>0</v>
      </c>
      <c r="N10" s="50"/>
      <c r="O10" s="26">
        <v>7.14</v>
      </c>
      <c r="P10" s="52">
        <f>O10*$P$8</f>
        <v>75898.2</v>
      </c>
      <c r="Q10" s="53">
        <f>J10+M10+G10+P10</f>
        <v>235837.18000000296</v>
      </c>
      <c r="R10" s="54">
        <f t="shared" ref="R10:R39" si="1">Q10/14381</f>
        <v>16.399219803908139</v>
      </c>
      <c r="S10" s="23"/>
    </row>
    <row r="11" spans="1:21" x14ac:dyDescent="0.25">
      <c r="A11" s="22"/>
      <c r="B11" s="24">
        <v>3</v>
      </c>
      <c r="C11" s="48">
        <f>Electricity!C10</f>
        <v>3</v>
      </c>
      <c r="D11" s="49">
        <f>Electricity!D10</f>
        <v>14</v>
      </c>
      <c r="E11" s="97"/>
      <c r="F11" s="26">
        <v>13.993999999999687</v>
      </c>
      <c r="G11" s="51">
        <f t="shared" ref="G11:G39" si="2">F11*$G$8</f>
        <v>148756.21999999668</v>
      </c>
      <c r="H11" s="50"/>
      <c r="I11" s="98"/>
      <c r="J11" s="51">
        <f t="shared" ref="J11:J39" si="3">I11*$J$8</f>
        <v>0</v>
      </c>
      <c r="K11" s="50"/>
      <c r="L11" s="26"/>
      <c r="M11" s="27">
        <f t="shared" si="0"/>
        <v>0</v>
      </c>
      <c r="N11" s="50"/>
      <c r="O11" s="26">
        <v>7.14</v>
      </c>
      <c r="P11" s="52">
        <f t="shared" ref="P11:P39" si="4">O11*$P$8</f>
        <v>75898.2</v>
      </c>
      <c r="Q11" s="53">
        <f t="shared" ref="Q11:Q39" si="5">J11+M11+G11+P11</f>
        <v>224654.41999999667</v>
      </c>
      <c r="R11" s="54">
        <f t="shared" si="1"/>
        <v>15.621613239691028</v>
      </c>
      <c r="S11" s="23"/>
    </row>
    <row r="12" spans="1:21" x14ac:dyDescent="0.25">
      <c r="A12" s="22"/>
      <c r="B12" s="24">
        <v>4</v>
      </c>
      <c r="C12" s="48">
        <f>Electricity!C11</f>
        <v>4</v>
      </c>
      <c r="D12" s="49">
        <f>Electricity!D11</f>
        <v>18</v>
      </c>
      <c r="E12" s="97"/>
      <c r="F12" s="26">
        <v>9.3699999999998909</v>
      </c>
      <c r="G12" s="51">
        <f t="shared" si="2"/>
        <v>99603.099999998842</v>
      </c>
      <c r="H12" s="50"/>
      <c r="I12" s="98"/>
      <c r="J12" s="51">
        <f t="shared" si="3"/>
        <v>0</v>
      </c>
      <c r="K12" s="50"/>
      <c r="L12" s="26"/>
      <c r="M12" s="27">
        <f t="shared" si="0"/>
        <v>0</v>
      </c>
      <c r="N12" s="50"/>
      <c r="O12" s="26">
        <v>7.14</v>
      </c>
      <c r="P12" s="52">
        <f t="shared" si="4"/>
        <v>75898.2</v>
      </c>
      <c r="Q12" s="53">
        <f t="shared" si="5"/>
        <v>175501.29999999882</v>
      </c>
      <c r="R12" s="54">
        <f t="shared" si="1"/>
        <v>12.203692371879482</v>
      </c>
      <c r="S12" s="23"/>
    </row>
    <row r="13" spans="1:21" x14ac:dyDescent="0.25">
      <c r="A13" s="22"/>
      <c r="B13" s="24">
        <v>5</v>
      </c>
      <c r="C13" s="48">
        <f>Electricity!C12</f>
        <v>4</v>
      </c>
      <c r="D13" s="49">
        <f>Electricity!D12</f>
        <v>24</v>
      </c>
      <c r="E13" s="97"/>
      <c r="F13" s="26">
        <v>10.426000000000386</v>
      </c>
      <c r="G13" s="51">
        <f t="shared" si="2"/>
        <v>110828.38000000409</v>
      </c>
      <c r="H13" s="50"/>
      <c r="I13" s="98"/>
      <c r="J13" s="51">
        <f t="shared" si="3"/>
        <v>0</v>
      </c>
      <c r="K13" s="50"/>
      <c r="L13" s="26"/>
      <c r="M13" s="27">
        <f t="shared" si="0"/>
        <v>0</v>
      </c>
      <c r="N13" s="50"/>
      <c r="O13" s="26">
        <v>7.14</v>
      </c>
      <c r="P13" s="52">
        <f t="shared" si="4"/>
        <v>75898.2</v>
      </c>
      <c r="Q13" s="53">
        <f t="shared" si="5"/>
        <v>186726.58000000409</v>
      </c>
      <c r="R13" s="54">
        <f t="shared" si="1"/>
        <v>12.984255615047918</v>
      </c>
      <c r="S13" s="23"/>
    </row>
    <row r="14" spans="1:21" x14ac:dyDescent="0.25">
      <c r="A14" s="22"/>
      <c r="B14" s="24">
        <v>6</v>
      </c>
      <c r="C14" s="48">
        <f>Electricity!C13</f>
        <v>2</v>
      </c>
      <c r="D14" s="49">
        <f>Electricity!D13</f>
        <v>16</v>
      </c>
      <c r="E14" s="97"/>
      <c r="F14" s="26">
        <v>10.746999999999844</v>
      </c>
      <c r="G14" s="51">
        <f t="shared" si="2"/>
        <v>114240.60999999834</v>
      </c>
      <c r="H14" s="50"/>
      <c r="I14" s="98"/>
      <c r="J14" s="51">
        <f t="shared" si="3"/>
        <v>0</v>
      </c>
      <c r="K14" s="50"/>
      <c r="L14" s="26"/>
      <c r="M14" s="27">
        <f t="shared" si="0"/>
        <v>0</v>
      </c>
      <c r="N14" s="50"/>
      <c r="O14" s="26">
        <v>7.14</v>
      </c>
      <c r="P14" s="52">
        <f t="shared" si="4"/>
        <v>75898.2</v>
      </c>
      <c r="Q14" s="53">
        <f t="shared" si="5"/>
        <v>190138.80999999834</v>
      </c>
      <c r="R14" s="54">
        <f t="shared" si="1"/>
        <v>13.221529100896902</v>
      </c>
      <c r="S14" s="23"/>
    </row>
    <row r="15" spans="1:21" x14ac:dyDescent="0.25">
      <c r="A15" s="22"/>
      <c r="B15" s="24">
        <v>7</v>
      </c>
      <c r="C15" s="48">
        <f>Electricity!C14</f>
        <v>4</v>
      </c>
      <c r="D15" s="49">
        <f>Electricity!D14</f>
        <v>14</v>
      </c>
      <c r="E15" s="97"/>
      <c r="F15" s="26">
        <v>10.360000000000127</v>
      </c>
      <c r="G15" s="51">
        <f t="shared" si="2"/>
        <v>110126.80000000136</v>
      </c>
      <c r="H15" s="50"/>
      <c r="I15" s="98"/>
      <c r="J15" s="51">
        <f t="shared" si="3"/>
        <v>0</v>
      </c>
      <c r="K15" s="50"/>
      <c r="L15" s="26"/>
      <c r="M15" s="27">
        <f t="shared" si="0"/>
        <v>0</v>
      </c>
      <c r="N15" s="50"/>
      <c r="O15" s="26">
        <v>7.14</v>
      </c>
      <c r="P15" s="52">
        <f t="shared" si="4"/>
        <v>75898.2</v>
      </c>
      <c r="Q15" s="53">
        <f t="shared" si="5"/>
        <v>186025.00000000134</v>
      </c>
      <c r="R15" s="54">
        <f t="shared" si="1"/>
        <v>12.935470412349721</v>
      </c>
      <c r="S15" s="23"/>
    </row>
    <row r="16" spans="1:21" x14ac:dyDescent="0.25">
      <c r="A16" s="22"/>
      <c r="B16" s="24">
        <v>8</v>
      </c>
      <c r="C16" s="48">
        <f>Electricity!C15</f>
        <v>6</v>
      </c>
      <c r="D16" s="49">
        <f>Electricity!D15</f>
        <v>30</v>
      </c>
      <c r="E16" s="97"/>
      <c r="F16" s="26">
        <v>10.853999999999814</v>
      </c>
      <c r="G16" s="51">
        <f t="shared" si="2"/>
        <v>115378.01999999803</v>
      </c>
      <c r="H16" s="50"/>
      <c r="I16" s="98"/>
      <c r="J16" s="51">
        <f t="shared" si="3"/>
        <v>0</v>
      </c>
      <c r="K16" s="50"/>
      <c r="L16" s="26"/>
      <c r="M16" s="27">
        <f t="shared" si="0"/>
        <v>0</v>
      </c>
      <c r="N16" s="50"/>
      <c r="O16" s="26">
        <v>7.14</v>
      </c>
      <c r="P16" s="52">
        <f t="shared" si="4"/>
        <v>75898.2</v>
      </c>
      <c r="Q16" s="53">
        <f t="shared" si="5"/>
        <v>191276.21999999802</v>
      </c>
      <c r="R16" s="54">
        <f t="shared" si="1"/>
        <v>13.300620262846675</v>
      </c>
      <c r="S16" s="23"/>
    </row>
    <row r="17" spans="1:19" x14ac:dyDescent="0.25">
      <c r="A17" s="22"/>
      <c r="B17" s="24">
        <v>9</v>
      </c>
      <c r="C17" s="48">
        <f>Electricity!C16</f>
        <v>1</v>
      </c>
      <c r="D17" s="49">
        <f>Electricity!D16</f>
        <v>19</v>
      </c>
      <c r="E17" s="85"/>
      <c r="F17" s="26">
        <v>10.445000000000164</v>
      </c>
      <c r="G17" s="51">
        <f t="shared" si="2"/>
        <v>111030.35000000174</v>
      </c>
      <c r="H17" s="50"/>
      <c r="I17" s="98"/>
      <c r="J17" s="51">
        <f t="shared" si="3"/>
        <v>0</v>
      </c>
      <c r="K17" s="50"/>
      <c r="L17" s="26"/>
      <c r="M17" s="27">
        <f t="shared" si="0"/>
        <v>0</v>
      </c>
      <c r="N17" s="50"/>
      <c r="O17" s="26">
        <v>7.14</v>
      </c>
      <c r="P17" s="52">
        <f t="shared" si="4"/>
        <v>75898.2</v>
      </c>
      <c r="Q17" s="53">
        <f t="shared" si="5"/>
        <v>186928.55000000173</v>
      </c>
      <c r="R17" s="54">
        <f t="shared" si="1"/>
        <v>12.998299840066876</v>
      </c>
      <c r="S17" s="23"/>
    </row>
    <row r="18" spans="1:19" x14ac:dyDescent="0.25">
      <c r="A18" s="22"/>
      <c r="B18" s="24">
        <v>10</v>
      </c>
      <c r="C18" s="48">
        <f>Electricity!C17</f>
        <v>5</v>
      </c>
      <c r="D18" s="49">
        <f>Electricity!D17</f>
        <v>6</v>
      </c>
      <c r="E18" s="97"/>
      <c r="F18" s="26">
        <v>11.545999999999822</v>
      </c>
      <c r="G18" s="51">
        <f t="shared" si="2"/>
        <v>122733.9799999981</v>
      </c>
      <c r="H18" s="50"/>
      <c r="I18" s="98"/>
      <c r="J18" s="51">
        <f t="shared" si="3"/>
        <v>0</v>
      </c>
      <c r="K18" s="50"/>
      <c r="L18" s="26"/>
      <c r="M18" s="27">
        <f t="shared" si="0"/>
        <v>0</v>
      </c>
      <c r="N18" s="50"/>
      <c r="O18" s="26">
        <v>7.14</v>
      </c>
      <c r="P18" s="52">
        <f t="shared" si="4"/>
        <v>75898.2</v>
      </c>
      <c r="Q18" s="53">
        <f t="shared" si="5"/>
        <v>198632.1799999981</v>
      </c>
      <c r="R18" s="54">
        <f t="shared" si="1"/>
        <v>13.812125721437877</v>
      </c>
      <c r="S18" s="23"/>
    </row>
    <row r="19" spans="1:19" x14ac:dyDescent="0.25">
      <c r="A19" s="22"/>
      <c r="B19" s="24">
        <v>11</v>
      </c>
      <c r="C19" s="48">
        <f>Electricity!C18</f>
        <v>6</v>
      </c>
      <c r="D19" s="49">
        <f>Electricity!D18</f>
        <v>18</v>
      </c>
      <c r="E19" s="97"/>
      <c r="F19" s="26">
        <v>9.3690000000001419</v>
      </c>
      <c r="G19" s="51">
        <f t="shared" si="2"/>
        <v>99592.470000001515</v>
      </c>
      <c r="H19" s="50"/>
      <c r="I19" s="98"/>
      <c r="J19" s="51">
        <f t="shared" si="3"/>
        <v>0</v>
      </c>
      <c r="K19" s="50"/>
      <c r="L19" s="26"/>
      <c r="M19" s="27">
        <f t="shared" si="0"/>
        <v>0</v>
      </c>
      <c r="N19" s="50"/>
      <c r="O19" s="26">
        <v>7.14</v>
      </c>
      <c r="P19" s="52">
        <f t="shared" si="4"/>
        <v>75898.2</v>
      </c>
      <c r="Q19" s="53">
        <f t="shared" si="5"/>
        <v>175490.6700000015</v>
      </c>
      <c r="R19" s="54">
        <f t="shared" si="1"/>
        <v>12.202953202141819</v>
      </c>
      <c r="S19" s="23"/>
    </row>
    <row r="20" spans="1:19" x14ac:dyDescent="0.25">
      <c r="A20" s="22"/>
      <c r="B20" s="24">
        <v>12</v>
      </c>
      <c r="C20" s="48">
        <f>Electricity!C19</f>
        <v>6</v>
      </c>
      <c r="D20" s="49">
        <f>Electricity!D19</f>
        <v>28</v>
      </c>
      <c r="E20" s="97"/>
      <c r="F20" s="26">
        <v>11.614999999999782</v>
      </c>
      <c r="G20" s="51">
        <f t="shared" si="2"/>
        <v>123467.44999999768</v>
      </c>
      <c r="H20" s="50"/>
      <c r="I20" s="98"/>
      <c r="J20" s="51">
        <f t="shared" si="3"/>
        <v>0</v>
      </c>
      <c r="K20" s="50"/>
      <c r="L20" s="26"/>
      <c r="M20" s="27">
        <f t="shared" si="0"/>
        <v>0</v>
      </c>
      <c r="N20" s="50"/>
      <c r="O20" s="26">
        <v>7.14</v>
      </c>
      <c r="P20" s="52">
        <f t="shared" si="4"/>
        <v>75898.2</v>
      </c>
      <c r="Q20" s="53">
        <f t="shared" si="5"/>
        <v>199365.64999999769</v>
      </c>
      <c r="R20" s="54">
        <f t="shared" si="1"/>
        <v>13.863128433349399</v>
      </c>
      <c r="S20" s="23"/>
    </row>
    <row r="21" spans="1:19" x14ac:dyDescent="0.25">
      <c r="A21" s="22"/>
      <c r="B21" s="24">
        <v>13</v>
      </c>
      <c r="C21" s="48">
        <f>Electricity!C20</f>
        <v>7</v>
      </c>
      <c r="D21" s="49">
        <f>Electricity!D20</f>
        <v>23</v>
      </c>
      <c r="E21" s="97"/>
      <c r="F21" s="26">
        <v>11.699000000000069</v>
      </c>
      <c r="G21" s="51">
        <f t="shared" si="2"/>
        <v>124360.37000000074</v>
      </c>
      <c r="H21" s="50"/>
      <c r="I21" s="98"/>
      <c r="J21" s="51">
        <f t="shared" si="3"/>
        <v>0</v>
      </c>
      <c r="K21" s="50"/>
      <c r="L21" s="26"/>
      <c r="M21" s="27">
        <f t="shared" si="0"/>
        <v>0</v>
      </c>
      <c r="N21" s="50"/>
      <c r="O21" s="26">
        <v>7.14</v>
      </c>
      <c r="P21" s="52">
        <f t="shared" si="4"/>
        <v>75898.2</v>
      </c>
      <c r="Q21" s="53">
        <f t="shared" si="5"/>
        <v>200258.57000000073</v>
      </c>
      <c r="R21" s="54">
        <f t="shared" si="1"/>
        <v>13.925218691328888</v>
      </c>
      <c r="S21" s="23"/>
    </row>
    <row r="22" spans="1:19" x14ac:dyDescent="0.25">
      <c r="A22" s="22"/>
      <c r="B22" s="24">
        <v>14</v>
      </c>
      <c r="C22" s="48">
        <f>Electricity!C21</f>
        <v>9</v>
      </c>
      <c r="D22" s="49">
        <f>Electricity!D21</f>
        <v>52</v>
      </c>
      <c r="E22" s="97"/>
      <c r="F22" s="26">
        <v>11.065000000000055</v>
      </c>
      <c r="G22" s="51">
        <f t="shared" si="2"/>
        <v>117620.95000000058</v>
      </c>
      <c r="H22" s="50"/>
      <c r="I22" s="98"/>
      <c r="J22" s="51">
        <f t="shared" si="3"/>
        <v>0</v>
      </c>
      <c r="K22" s="50"/>
      <c r="L22" s="26"/>
      <c r="M22" s="27">
        <f t="shared" si="0"/>
        <v>0</v>
      </c>
      <c r="N22" s="50"/>
      <c r="O22" s="26">
        <v>7.14</v>
      </c>
      <c r="P22" s="52">
        <f t="shared" si="4"/>
        <v>75898.2</v>
      </c>
      <c r="Q22" s="53">
        <f t="shared" si="5"/>
        <v>193519.15000000058</v>
      </c>
      <c r="R22" s="54">
        <f t="shared" si="1"/>
        <v>13.456585077532896</v>
      </c>
      <c r="S22" s="23"/>
    </row>
    <row r="23" spans="1:19" x14ac:dyDescent="0.25">
      <c r="A23" s="22"/>
      <c r="B23" s="24">
        <v>15</v>
      </c>
      <c r="C23" s="48">
        <f>Electricity!C22</f>
        <v>10</v>
      </c>
      <c r="D23" s="49">
        <f>Electricity!D22</f>
        <v>35</v>
      </c>
      <c r="E23" s="97"/>
      <c r="F23" s="26">
        <v>15.273000000000138</v>
      </c>
      <c r="G23" s="51">
        <f t="shared" si="2"/>
        <v>162351.99000000147</v>
      </c>
      <c r="H23" s="50"/>
      <c r="I23" s="98"/>
      <c r="J23" s="51">
        <f t="shared" si="3"/>
        <v>0</v>
      </c>
      <c r="K23" s="50"/>
      <c r="L23" s="26"/>
      <c r="M23" s="27">
        <f t="shared" si="0"/>
        <v>0</v>
      </c>
      <c r="N23" s="50"/>
      <c r="O23" s="26">
        <v>7.14</v>
      </c>
      <c r="P23" s="52">
        <f t="shared" si="4"/>
        <v>75898.2</v>
      </c>
      <c r="Q23" s="53">
        <f t="shared" si="5"/>
        <v>238250.19000000146</v>
      </c>
      <c r="R23" s="54">
        <f t="shared" si="1"/>
        <v>16.567011334399655</v>
      </c>
      <c r="S23" s="23"/>
    </row>
    <row r="24" spans="1:19" x14ac:dyDescent="0.25">
      <c r="A24" s="22"/>
      <c r="B24" s="24">
        <v>16</v>
      </c>
      <c r="C24" s="48">
        <f>Electricity!C23</f>
        <v>5</v>
      </c>
      <c r="D24" s="49">
        <f>Electricity!D23</f>
        <v>29</v>
      </c>
      <c r="E24" s="97"/>
      <c r="F24" s="26">
        <v>11.547999999999774</v>
      </c>
      <c r="G24" s="51">
        <f t="shared" si="2"/>
        <v>122755.2399999976</v>
      </c>
      <c r="H24" s="50"/>
      <c r="I24" s="98"/>
      <c r="J24" s="51">
        <f t="shared" si="3"/>
        <v>0</v>
      </c>
      <c r="K24" s="50"/>
      <c r="L24" s="26"/>
      <c r="M24" s="27">
        <f t="shared" si="0"/>
        <v>0</v>
      </c>
      <c r="N24" s="50"/>
      <c r="O24" s="26">
        <v>7.14</v>
      </c>
      <c r="P24" s="52">
        <f t="shared" si="4"/>
        <v>75898.2</v>
      </c>
      <c r="Q24" s="53">
        <f t="shared" si="5"/>
        <v>198653.43999999762</v>
      </c>
      <c r="R24" s="54">
        <f t="shared" si="1"/>
        <v>13.813604060913541</v>
      </c>
      <c r="S24" s="23"/>
    </row>
    <row r="25" spans="1:19" x14ac:dyDescent="0.25">
      <c r="A25" s="22"/>
      <c r="B25" s="24">
        <v>17</v>
      </c>
      <c r="C25" s="48">
        <f>Electricity!C24</f>
        <v>12</v>
      </c>
      <c r="D25" s="49">
        <f>Electricity!D24</f>
        <v>28</v>
      </c>
      <c r="E25" s="97"/>
      <c r="F25" s="26">
        <v>15.775000000000091</v>
      </c>
      <c r="G25" s="51">
        <f t="shared" si="2"/>
        <v>167688.25000000096</v>
      </c>
      <c r="H25" s="50"/>
      <c r="I25" s="98"/>
      <c r="J25" s="51">
        <f t="shared" si="3"/>
        <v>0</v>
      </c>
      <c r="K25" s="50"/>
      <c r="L25" s="26"/>
      <c r="M25" s="27">
        <f t="shared" si="0"/>
        <v>0</v>
      </c>
      <c r="N25" s="50"/>
      <c r="O25" s="26">
        <v>7.14</v>
      </c>
      <c r="P25" s="52">
        <f t="shared" si="4"/>
        <v>75898.2</v>
      </c>
      <c r="Q25" s="53">
        <f t="shared" si="5"/>
        <v>243586.45000000094</v>
      </c>
      <c r="R25" s="54">
        <f t="shared" si="1"/>
        <v>16.938074542799594</v>
      </c>
      <c r="S25" s="23"/>
    </row>
    <row r="26" spans="1:19" x14ac:dyDescent="0.25">
      <c r="A26" s="22"/>
      <c r="B26" s="24">
        <v>18</v>
      </c>
      <c r="C26" s="48">
        <f>Electricity!C25</f>
        <v>17</v>
      </c>
      <c r="D26" s="49">
        <f>Electricity!D25</f>
        <v>52</v>
      </c>
      <c r="E26" s="97"/>
      <c r="F26" s="26">
        <v>10.802000000000135</v>
      </c>
      <c r="G26" s="51">
        <f t="shared" si="2"/>
        <v>114825.26000000144</v>
      </c>
      <c r="H26" s="50"/>
      <c r="I26" s="98"/>
      <c r="J26" s="51">
        <f t="shared" si="3"/>
        <v>0</v>
      </c>
      <c r="K26" s="50"/>
      <c r="L26" s="26"/>
      <c r="M26" s="27">
        <f t="shared" si="0"/>
        <v>0</v>
      </c>
      <c r="N26" s="50"/>
      <c r="O26" s="26">
        <v>7.14</v>
      </c>
      <c r="P26" s="52">
        <f t="shared" si="4"/>
        <v>75898.2</v>
      </c>
      <c r="Q26" s="53">
        <f t="shared" si="5"/>
        <v>190723.46000000142</v>
      </c>
      <c r="R26" s="54">
        <f t="shared" si="1"/>
        <v>13.262183436478786</v>
      </c>
      <c r="S26" s="23"/>
    </row>
    <row r="27" spans="1:19" x14ac:dyDescent="0.25">
      <c r="A27" s="22"/>
      <c r="B27" s="24">
        <v>19</v>
      </c>
      <c r="C27" s="48">
        <f>Electricity!C26</f>
        <v>10</v>
      </c>
      <c r="D27" s="49">
        <f>Electricity!D26</f>
        <v>54</v>
      </c>
      <c r="E27" s="84"/>
      <c r="F27" s="26">
        <v>9.9999999997635314E-3</v>
      </c>
      <c r="G27" s="51">
        <f t="shared" si="2"/>
        <v>106.29999999748634</v>
      </c>
      <c r="H27" s="50"/>
      <c r="I27" s="51"/>
      <c r="J27" s="51">
        <f t="shared" si="3"/>
        <v>0</v>
      </c>
      <c r="K27" s="50"/>
      <c r="L27" s="26"/>
      <c r="M27" s="27">
        <f t="shared" si="0"/>
        <v>0</v>
      </c>
      <c r="N27" s="50"/>
      <c r="O27" s="26">
        <v>7.14</v>
      </c>
      <c r="P27" s="52">
        <f t="shared" si="4"/>
        <v>75898.2</v>
      </c>
      <c r="Q27" s="53">
        <f t="shared" si="5"/>
        <v>76004.499999997483</v>
      </c>
      <c r="R27" s="54">
        <f t="shared" si="1"/>
        <v>5.2850636256169583</v>
      </c>
      <c r="S27" s="23"/>
    </row>
    <row r="28" spans="1:19" x14ac:dyDescent="0.25">
      <c r="A28" s="22"/>
      <c r="B28" s="24">
        <v>20</v>
      </c>
      <c r="C28" s="48">
        <f>Electricity!C27</f>
        <v>14</v>
      </c>
      <c r="D28" s="49">
        <f>Electricity!D27</f>
        <v>48</v>
      </c>
      <c r="E28" s="84"/>
      <c r="F28" s="26">
        <v>27.751000000000204</v>
      </c>
      <c r="G28" s="51">
        <f t="shared" si="2"/>
        <v>294993.13000000216</v>
      </c>
      <c r="H28" s="50"/>
      <c r="I28" s="51"/>
      <c r="J28" s="51">
        <f t="shared" si="3"/>
        <v>0</v>
      </c>
      <c r="K28" s="50"/>
      <c r="L28" s="26"/>
      <c r="M28" s="27">
        <f t="shared" si="0"/>
        <v>0</v>
      </c>
      <c r="N28" s="50"/>
      <c r="O28" s="26">
        <v>7.14</v>
      </c>
      <c r="P28" s="52">
        <f t="shared" si="4"/>
        <v>75898.2</v>
      </c>
      <c r="Q28" s="53">
        <f t="shared" si="5"/>
        <v>370891.33000000217</v>
      </c>
      <c r="R28" s="54">
        <f t="shared" si="1"/>
        <v>25.790371323273916</v>
      </c>
      <c r="S28" s="23"/>
    </row>
    <row r="29" spans="1:19" x14ac:dyDescent="0.25">
      <c r="A29" s="22"/>
      <c r="B29" s="24">
        <v>21</v>
      </c>
      <c r="C29" s="48">
        <f>Electricity!C28</f>
        <v>14</v>
      </c>
      <c r="D29" s="49">
        <f>Electricity!D28</f>
        <v>67</v>
      </c>
      <c r="E29" s="84"/>
      <c r="F29" s="26">
        <v>16.403999999999996</v>
      </c>
      <c r="G29" s="51">
        <f t="shared" si="2"/>
        <v>174374.51999999996</v>
      </c>
      <c r="H29" s="50"/>
      <c r="I29" s="51"/>
      <c r="J29" s="51">
        <f t="shared" si="3"/>
        <v>0</v>
      </c>
      <c r="K29" s="50"/>
      <c r="L29" s="26"/>
      <c r="M29" s="27">
        <f t="shared" si="0"/>
        <v>0</v>
      </c>
      <c r="N29" s="50"/>
      <c r="O29" s="26">
        <v>7.14</v>
      </c>
      <c r="P29" s="52">
        <f t="shared" si="4"/>
        <v>75898.2</v>
      </c>
      <c r="Q29" s="53">
        <f t="shared" si="5"/>
        <v>250272.71999999997</v>
      </c>
      <c r="R29" s="54">
        <f t="shared" si="1"/>
        <v>17.403012307906263</v>
      </c>
      <c r="S29" s="23"/>
    </row>
    <row r="30" spans="1:19" x14ac:dyDescent="0.25">
      <c r="A30" s="22"/>
      <c r="B30" s="24">
        <v>22</v>
      </c>
      <c r="C30" s="48">
        <f>Electricity!C29</f>
        <v>18</v>
      </c>
      <c r="D30" s="49">
        <f>Electricity!D29</f>
        <v>57</v>
      </c>
      <c r="E30" s="84"/>
      <c r="F30" s="26">
        <v>10.829999999999927</v>
      </c>
      <c r="G30" s="51">
        <f t="shared" si="2"/>
        <v>115122.89999999922</v>
      </c>
      <c r="H30" s="50"/>
      <c r="I30" s="51"/>
      <c r="J30" s="51">
        <f t="shared" si="3"/>
        <v>0</v>
      </c>
      <c r="K30" s="50"/>
      <c r="L30" s="26"/>
      <c r="M30" s="27">
        <f t="shared" si="0"/>
        <v>0</v>
      </c>
      <c r="N30" s="50"/>
      <c r="O30" s="26">
        <v>7.14</v>
      </c>
      <c r="P30" s="52">
        <f t="shared" si="4"/>
        <v>75898.2</v>
      </c>
      <c r="Q30" s="53">
        <f t="shared" si="5"/>
        <v>191021.09999999922</v>
      </c>
      <c r="R30" s="54">
        <f t="shared" si="1"/>
        <v>13.282880189138393</v>
      </c>
      <c r="S30" s="23"/>
    </row>
    <row r="31" spans="1:19" x14ac:dyDescent="0.25">
      <c r="A31" s="22"/>
      <c r="B31" s="24">
        <v>23</v>
      </c>
      <c r="C31" s="48">
        <f>Electricity!C30</f>
        <v>15</v>
      </c>
      <c r="D31" s="49">
        <f>Electricity!D30</f>
        <v>64</v>
      </c>
      <c r="E31" s="84"/>
      <c r="F31" s="26">
        <v>14.768000000000029</v>
      </c>
      <c r="G31" s="51">
        <f t="shared" si="2"/>
        <v>156983.84000000032</v>
      </c>
      <c r="H31" s="50"/>
      <c r="I31" s="51"/>
      <c r="J31" s="51">
        <f t="shared" si="3"/>
        <v>0</v>
      </c>
      <c r="K31" s="50"/>
      <c r="L31" s="26"/>
      <c r="M31" s="27">
        <f t="shared" si="0"/>
        <v>0</v>
      </c>
      <c r="N31" s="50"/>
      <c r="O31" s="26">
        <v>7.14</v>
      </c>
      <c r="P31" s="52">
        <f t="shared" si="4"/>
        <v>75898.2</v>
      </c>
      <c r="Q31" s="53">
        <f t="shared" si="5"/>
        <v>232882.04000000033</v>
      </c>
      <c r="R31" s="54">
        <f t="shared" si="1"/>
        <v>16.193730616786059</v>
      </c>
      <c r="S31" s="23"/>
    </row>
    <row r="32" spans="1:19" x14ac:dyDescent="0.25">
      <c r="A32" s="22"/>
      <c r="B32" s="24">
        <v>24</v>
      </c>
      <c r="C32" s="48">
        <f>Electricity!C31</f>
        <v>6</v>
      </c>
      <c r="D32" s="49">
        <f>Electricity!D31</f>
        <v>41</v>
      </c>
      <c r="E32" s="84"/>
      <c r="F32" s="83">
        <v>14.190000000000055</v>
      </c>
      <c r="G32" s="51">
        <f t="shared" si="2"/>
        <v>150839.70000000059</v>
      </c>
      <c r="H32" s="50"/>
      <c r="I32" s="51"/>
      <c r="J32" s="51">
        <f t="shared" si="3"/>
        <v>0</v>
      </c>
      <c r="K32" s="50"/>
      <c r="L32" s="26"/>
      <c r="M32" s="27">
        <f t="shared" si="0"/>
        <v>0</v>
      </c>
      <c r="N32" s="50"/>
      <c r="O32" s="26">
        <v>7.14</v>
      </c>
      <c r="P32" s="52">
        <f t="shared" si="4"/>
        <v>75898.2</v>
      </c>
      <c r="Q32" s="53">
        <f t="shared" si="5"/>
        <v>226737.90000000061</v>
      </c>
      <c r="R32" s="54">
        <f t="shared" si="1"/>
        <v>15.766490508309618</v>
      </c>
      <c r="S32" s="23"/>
    </row>
    <row r="33" spans="1:21" x14ac:dyDescent="0.25">
      <c r="A33" s="22"/>
      <c r="B33" s="24">
        <v>25</v>
      </c>
      <c r="C33" s="48">
        <f>Electricity!C32</f>
        <v>4</v>
      </c>
      <c r="D33" s="49">
        <f>Electricity!D32</f>
        <v>33</v>
      </c>
      <c r="E33" s="84"/>
      <c r="F33" s="83">
        <v>9.7529999999997017</v>
      </c>
      <c r="G33" s="51">
        <f t="shared" si="2"/>
        <v>103674.38999999683</v>
      </c>
      <c r="H33" s="50"/>
      <c r="I33" s="51"/>
      <c r="J33" s="51">
        <f t="shared" si="3"/>
        <v>0</v>
      </c>
      <c r="K33" s="50"/>
      <c r="L33" s="26"/>
      <c r="M33" s="27">
        <f t="shared" si="0"/>
        <v>0</v>
      </c>
      <c r="N33" s="50"/>
      <c r="O33" s="26">
        <v>7.14</v>
      </c>
      <c r="P33" s="52">
        <f t="shared" si="4"/>
        <v>75898.2</v>
      </c>
      <c r="Q33" s="53">
        <f t="shared" si="5"/>
        <v>179572.58999999682</v>
      </c>
      <c r="R33" s="54">
        <f t="shared" si="1"/>
        <v>12.486794381475336</v>
      </c>
      <c r="S33" s="23"/>
    </row>
    <row r="34" spans="1:21" x14ac:dyDescent="0.25">
      <c r="A34" s="22"/>
      <c r="B34" s="24">
        <v>26</v>
      </c>
      <c r="C34" s="48">
        <f>Electricity!C33</f>
        <v>6</v>
      </c>
      <c r="D34" s="49">
        <f>Electricity!D33</f>
        <v>19</v>
      </c>
      <c r="E34" s="84"/>
      <c r="F34" s="83">
        <v>14.173000000000229</v>
      </c>
      <c r="G34" s="51">
        <f t="shared" si="2"/>
        <v>150658.99000000244</v>
      </c>
      <c r="H34" s="50"/>
      <c r="I34" s="51"/>
      <c r="J34" s="51">
        <f t="shared" si="3"/>
        <v>0</v>
      </c>
      <c r="K34" s="50"/>
      <c r="L34" s="26"/>
      <c r="M34" s="27">
        <f t="shared" si="0"/>
        <v>0</v>
      </c>
      <c r="N34" s="50"/>
      <c r="O34" s="26">
        <v>7.14</v>
      </c>
      <c r="P34" s="52">
        <f t="shared" si="4"/>
        <v>75898.2</v>
      </c>
      <c r="Q34" s="53">
        <f t="shared" si="5"/>
        <v>226557.19000000245</v>
      </c>
      <c r="R34" s="54">
        <f t="shared" si="1"/>
        <v>15.75392462276632</v>
      </c>
      <c r="S34" s="23"/>
    </row>
    <row r="35" spans="1:21" x14ac:dyDescent="0.25">
      <c r="A35" s="22"/>
      <c r="B35" s="24">
        <v>27</v>
      </c>
      <c r="C35" s="48">
        <f>Electricity!C34</f>
        <v>6</v>
      </c>
      <c r="D35" s="49">
        <f>Electricity!D34</f>
        <v>32</v>
      </c>
      <c r="E35" s="84"/>
      <c r="F35" s="83">
        <v>12.697000000000116</v>
      </c>
      <c r="G35" s="51">
        <f t="shared" si="2"/>
        <v>134969.11000000124</v>
      </c>
      <c r="H35" s="50"/>
      <c r="I35" s="51"/>
      <c r="J35" s="51">
        <f t="shared" si="3"/>
        <v>0</v>
      </c>
      <c r="K35" s="50"/>
      <c r="L35" s="26"/>
      <c r="M35" s="27">
        <f t="shared" si="0"/>
        <v>0</v>
      </c>
      <c r="N35" s="50"/>
      <c r="O35" s="26">
        <v>7.14</v>
      </c>
      <c r="P35" s="52">
        <f t="shared" si="4"/>
        <v>75898.2</v>
      </c>
      <c r="Q35" s="53">
        <f t="shared" si="5"/>
        <v>210867.31000000122</v>
      </c>
      <c r="R35" s="54">
        <f t="shared" si="1"/>
        <v>14.662910089701775</v>
      </c>
      <c r="S35" s="23"/>
    </row>
    <row r="36" spans="1:21" x14ac:dyDescent="0.25">
      <c r="A36" s="22"/>
      <c r="B36" s="24">
        <v>28</v>
      </c>
      <c r="C36" s="48">
        <f>Electricity!C35</f>
        <v>7</v>
      </c>
      <c r="D36" s="49">
        <f>Electricity!D35</f>
        <v>41</v>
      </c>
      <c r="E36" s="84"/>
      <c r="F36" s="83">
        <v>13.614000000000033</v>
      </c>
      <c r="G36" s="51">
        <f t="shared" si="2"/>
        <v>144716.82000000036</v>
      </c>
      <c r="H36" s="50"/>
      <c r="I36" s="51"/>
      <c r="J36" s="51">
        <f t="shared" si="3"/>
        <v>0</v>
      </c>
      <c r="K36" s="50"/>
      <c r="L36" s="26"/>
      <c r="M36" s="27">
        <f t="shared" si="0"/>
        <v>0</v>
      </c>
      <c r="N36" s="50"/>
      <c r="O36" s="26">
        <v>7.14</v>
      </c>
      <c r="P36" s="52">
        <f t="shared" si="4"/>
        <v>75898.2</v>
      </c>
      <c r="Q36" s="53">
        <f t="shared" si="5"/>
        <v>220615.02000000037</v>
      </c>
      <c r="R36" s="54">
        <f t="shared" si="1"/>
        <v>15.340728739308835</v>
      </c>
      <c r="S36" s="23"/>
    </row>
    <row r="37" spans="1:21" x14ac:dyDescent="0.25">
      <c r="A37" s="22"/>
      <c r="B37" s="24">
        <v>29</v>
      </c>
      <c r="C37" s="48">
        <f>Electricity!C36</f>
        <v>7</v>
      </c>
      <c r="D37" s="49">
        <f>Electricity!D36</f>
        <v>48</v>
      </c>
      <c r="E37" s="82"/>
      <c r="F37" s="83">
        <v>10.030999999999949</v>
      </c>
      <c r="G37" s="51">
        <f t="shared" si="2"/>
        <v>106629.52999999946</v>
      </c>
      <c r="H37" s="50"/>
      <c r="I37" s="51"/>
      <c r="J37" s="51">
        <f t="shared" si="3"/>
        <v>0</v>
      </c>
      <c r="K37" s="50"/>
      <c r="L37" s="26"/>
      <c r="M37" s="27">
        <f t="shared" si="0"/>
        <v>0</v>
      </c>
      <c r="N37" s="50"/>
      <c r="O37" s="26">
        <v>7.14</v>
      </c>
      <c r="P37" s="52">
        <f t="shared" si="4"/>
        <v>75898.2</v>
      </c>
      <c r="Q37" s="53">
        <f t="shared" si="5"/>
        <v>182527.72999999946</v>
      </c>
      <c r="R37" s="54">
        <f t="shared" si="1"/>
        <v>12.692283568597418</v>
      </c>
      <c r="S37" s="23"/>
    </row>
    <row r="38" spans="1:21" x14ac:dyDescent="0.25">
      <c r="A38" s="22"/>
      <c r="B38" s="24">
        <v>30</v>
      </c>
      <c r="C38" s="48">
        <f>Electricity!C37</f>
        <v>7</v>
      </c>
      <c r="D38" s="49">
        <f>Electricity!D37</f>
        <v>37</v>
      </c>
      <c r="E38" s="82"/>
      <c r="F38" s="83">
        <v>10.903999999999996</v>
      </c>
      <c r="G38" s="51">
        <f t="shared" si="2"/>
        <v>115909.51999999996</v>
      </c>
      <c r="H38" s="50"/>
      <c r="I38" s="51"/>
      <c r="J38" s="51">
        <f t="shared" si="3"/>
        <v>0</v>
      </c>
      <c r="K38" s="50"/>
      <c r="L38" s="26"/>
      <c r="M38" s="27">
        <f t="shared" si="0"/>
        <v>0</v>
      </c>
      <c r="N38" s="50"/>
      <c r="O38" s="26">
        <v>7.14</v>
      </c>
      <c r="P38" s="52">
        <f t="shared" si="4"/>
        <v>75898.2</v>
      </c>
      <c r="Q38" s="53">
        <f t="shared" si="5"/>
        <v>191807.71999999997</v>
      </c>
      <c r="R38" s="54">
        <f t="shared" si="1"/>
        <v>13.337578749739237</v>
      </c>
      <c r="S38" s="23"/>
    </row>
    <row r="39" spans="1:21" x14ac:dyDescent="0.25">
      <c r="A39" s="22"/>
      <c r="B39" s="24">
        <v>31</v>
      </c>
      <c r="C39" s="48" t="str">
        <f>Electricity!C38</f>
        <v xml:space="preserve"> -   </v>
      </c>
      <c r="D39" s="49" t="str">
        <f>Electricity!D38</f>
        <v xml:space="preserve"> -   </v>
      </c>
      <c r="E39" s="82"/>
      <c r="F39" s="83">
        <v>10.080999999999676</v>
      </c>
      <c r="G39" s="51">
        <f t="shared" si="2"/>
        <v>107161.02999999656</v>
      </c>
      <c r="H39" s="50"/>
      <c r="I39" s="51"/>
      <c r="J39" s="51">
        <f t="shared" si="3"/>
        <v>0</v>
      </c>
      <c r="K39" s="50"/>
      <c r="L39" s="26"/>
      <c r="M39" s="27">
        <f t="shared" si="0"/>
        <v>0</v>
      </c>
      <c r="N39" s="50"/>
      <c r="O39" s="26">
        <v>7.14</v>
      </c>
      <c r="P39" s="52">
        <f t="shared" si="4"/>
        <v>75898.2</v>
      </c>
      <c r="Q39" s="53">
        <f t="shared" si="5"/>
        <v>183059.22999999655</v>
      </c>
      <c r="R39" s="54">
        <f t="shared" si="1"/>
        <v>12.729242055489642</v>
      </c>
      <c r="S39" s="23"/>
    </row>
    <row r="40" spans="1:21" s="12" customFormat="1" x14ac:dyDescent="0.25">
      <c r="C40" s="55">
        <f>SUM(C9:C39)</f>
        <v>228</v>
      </c>
      <c r="D40" s="55">
        <f>SUM(D9:D39)</f>
        <v>1043</v>
      </c>
      <c r="E40" s="32"/>
      <c r="F40" s="32">
        <f>SUM(F9:F39)</f>
        <v>377.87299999999959</v>
      </c>
      <c r="G40" s="42"/>
      <c r="H40" s="42"/>
      <c r="I40" s="32" t="s">
        <v>43</v>
      </c>
      <c r="J40" s="42"/>
      <c r="K40" s="42"/>
      <c r="L40" s="32" t="s">
        <v>43</v>
      </c>
      <c r="M40" s="42"/>
      <c r="N40" s="41"/>
      <c r="O40" s="32">
        <f>SUM(O9:O39)</f>
        <v>221.3399999999998</v>
      </c>
      <c r="P40" s="42"/>
      <c r="R40" s="95">
        <f>SUM(R9:R39)</f>
        <v>442.92011612544297</v>
      </c>
      <c r="U40" s="37"/>
    </row>
    <row r="41" spans="1:21" x14ac:dyDescent="0.25">
      <c r="E41" s="56"/>
      <c r="F41" s="57"/>
      <c r="G41" s="43"/>
      <c r="H41" s="43"/>
      <c r="I41" s="43"/>
      <c r="J41" s="43"/>
      <c r="K41" s="43"/>
      <c r="L41" s="43"/>
      <c r="M41" s="43"/>
      <c r="N41" s="61" t="s">
        <v>44</v>
      </c>
      <c r="O41" s="65">
        <f>F40+O40</f>
        <v>599.2129999999994</v>
      </c>
      <c r="P41" s="58"/>
      <c r="Q41" s="32"/>
      <c r="R41" s="43"/>
      <c r="U41" s="39"/>
    </row>
    <row r="42" spans="1:21" x14ac:dyDescent="0.25">
      <c r="B42" s="59"/>
      <c r="E42" s="41"/>
      <c r="F42" s="42"/>
      <c r="G42" s="42"/>
      <c r="H42" s="42"/>
      <c r="I42" s="42"/>
      <c r="J42" s="42"/>
      <c r="K42" s="42"/>
      <c r="L42" s="42"/>
      <c r="M42" s="43"/>
      <c r="N42" s="41"/>
      <c r="O42" s="42"/>
      <c r="P42" s="42"/>
      <c r="Q42" s="44"/>
      <c r="R42" s="60"/>
    </row>
    <row r="43" spans="1:21" x14ac:dyDescent="0.25">
      <c r="E43" s="61"/>
      <c r="F43" s="61"/>
      <c r="G43" s="61"/>
      <c r="H43" s="61"/>
      <c r="I43" s="61"/>
      <c r="J43" s="61"/>
      <c r="K43" s="61"/>
      <c r="L43" s="61"/>
      <c r="M43" s="62"/>
      <c r="N43" s="61"/>
      <c r="O43" s="61"/>
      <c r="Q43" s="61"/>
      <c r="R43" s="63"/>
    </row>
    <row r="44" spans="1:21" x14ac:dyDescent="0.25">
      <c r="R44" s="63"/>
    </row>
  </sheetData>
  <mergeCells count="20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4" workbookViewId="0">
      <selection activeCell="F9" sqref="F9:F39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100" t="s">
        <v>45</v>
      </c>
      <c r="C1" s="100"/>
      <c r="D1" s="100"/>
      <c r="E1" s="100"/>
      <c r="F1" s="100"/>
      <c r="G1" s="100"/>
      <c r="H1" s="100"/>
    </row>
    <row r="2" spans="1:9" ht="15.75" x14ac:dyDescent="0.25">
      <c r="B2" s="100" t="s">
        <v>16</v>
      </c>
      <c r="C2" s="100"/>
      <c r="D2" s="100"/>
      <c r="E2" s="100"/>
      <c r="F2" s="100"/>
      <c r="G2" s="100"/>
      <c r="H2" s="100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4">
        <v>44136</v>
      </c>
      <c r="C4" s="104"/>
      <c r="D4" s="104"/>
      <c r="E4" s="104"/>
      <c r="F4" s="104"/>
      <c r="G4" s="104"/>
      <c r="H4" s="104"/>
      <c r="I4" s="18"/>
    </row>
    <row r="5" spans="1:9" x14ac:dyDescent="0.25">
      <c r="A5" s="68"/>
      <c r="B5" s="99" t="s">
        <v>17</v>
      </c>
      <c r="C5" s="99" t="s">
        <v>18</v>
      </c>
      <c r="D5" s="99" t="s">
        <v>13</v>
      </c>
      <c r="E5" s="99" t="s">
        <v>46</v>
      </c>
      <c r="F5" s="99"/>
      <c r="G5" s="99"/>
      <c r="H5" s="99" t="s">
        <v>23</v>
      </c>
      <c r="I5" s="20"/>
    </row>
    <row r="6" spans="1:9" x14ac:dyDescent="0.25">
      <c r="A6" s="68"/>
      <c r="B6" s="99"/>
      <c r="C6" s="99"/>
      <c r="D6" s="99"/>
      <c r="E6" s="99"/>
      <c r="F6" s="99"/>
      <c r="G6" s="99"/>
      <c r="H6" s="99"/>
      <c r="I6" s="20"/>
    </row>
    <row r="7" spans="1:9" s="21" customFormat="1" ht="22.5" x14ac:dyDescent="0.25">
      <c r="A7" s="68"/>
      <c r="B7" s="99"/>
      <c r="C7" s="99"/>
      <c r="D7" s="99"/>
      <c r="E7" s="45" t="s">
        <v>36</v>
      </c>
      <c r="F7" s="110" t="s">
        <v>47</v>
      </c>
      <c r="G7" s="69" t="s">
        <v>40</v>
      </c>
      <c r="H7" s="99"/>
      <c r="I7" s="20"/>
    </row>
    <row r="8" spans="1:9" s="21" customFormat="1" x14ac:dyDescent="0.25">
      <c r="A8" s="68"/>
      <c r="B8" s="99"/>
      <c r="C8" s="99"/>
      <c r="D8" s="99"/>
      <c r="E8" s="70"/>
      <c r="F8" s="110"/>
      <c r="G8" s="69">
        <v>10700</v>
      </c>
      <c r="H8" s="99"/>
      <c r="I8" s="20"/>
    </row>
    <row r="9" spans="1:9" x14ac:dyDescent="0.25">
      <c r="A9" s="71"/>
      <c r="B9" s="24">
        <v>1</v>
      </c>
      <c r="C9" s="25">
        <f>Gas!C9</f>
        <v>8</v>
      </c>
      <c r="D9" s="25">
        <f>Gas!D9</f>
        <v>70</v>
      </c>
      <c r="E9" s="72"/>
      <c r="F9" s="73">
        <v>0</v>
      </c>
      <c r="G9" s="73">
        <f t="shared" ref="G9:G39" si="0">F9*$G$8</f>
        <v>0</v>
      </c>
      <c r="H9" s="87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5</v>
      </c>
      <c r="D10" s="25">
        <f>Gas!D10</f>
        <v>26</v>
      </c>
      <c r="E10" s="72"/>
      <c r="F10" s="74">
        <v>48</v>
      </c>
      <c r="G10" s="73">
        <f>F10*$G$8</f>
        <v>513600</v>
      </c>
      <c r="H10" s="87">
        <f t="shared" ref="H10:H39" si="1">G10/14381</f>
        <v>35.713789027188653</v>
      </c>
      <c r="I10" s="23"/>
    </row>
    <row r="11" spans="1:9" x14ac:dyDescent="0.25">
      <c r="A11" s="71"/>
      <c r="B11" s="24">
        <v>3</v>
      </c>
      <c r="C11" s="25">
        <f>Gas!C11</f>
        <v>3</v>
      </c>
      <c r="D11" s="25">
        <f>Gas!D11</f>
        <v>14</v>
      </c>
      <c r="E11" s="72"/>
      <c r="F11" s="74">
        <v>0</v>
      </c>
      <c r="G11" s="73">
        <f t="shared" si="0"/>
        <v>0</v>
      </c>
      <c r="H11" s="87">
        <f t="shared" si="1"/>
        <v>0</v>
      </c>
      <c r="I11" s="23"/>
    </row>
    <row r="12" spans="1:9" x14ac:dyDescent="0.25">
      <c r="A12" s="71"/>
      <c r="B12" s="24">
        <v>4</v>
      </c>
      <c r="C12" s="25">
        <f>Gas!C12</f>
        <v>4</v>
      </c>
      <c r="D12" s="25">
        <f>Gas!D12</f>
        <v>18</v>
      </c>
      <c r="E12" s="72"/>
      <c r="F12" s="74">
        <v>0</v>
      </c>
      <c r="G12" s="73">
        <f t="shared" si="0"/>
        <v>0</v>
      </c>
      <c r="H12" s="87">
        <f t="shared" si="1"/>
        <v>0</v>
      </c>
      <c r="I12" s="23"/>
    </row>
    <row r="13" spans="1:9" x14ac:dyDescent="0.25">
      <c r="A13" s="71"/>
      <c r="B13" s="24">
        <v>5</v>
      </c>
      <c r="C13" s="25">
        <f>Gas!C13</f>
        <v>4</v>
      </c>
      <c r="D13" s="25">
        <f>Gas!D13</f>
        <v>24</v>
      </c>
      <c r="E13" s="72"/>
      <c r="F13" s="74">
        <v>0</v>
      </c>
      <c r="G13" s="73">
        <f t="shared" si="0"/>
        <v>0</v>
      </c>
      <c r="H13" s="87">
        <f t="shared" si="1"/>
        <v>0</v>
      </c>
      <c r="I13" s="23"/>
    </row>
    <row r="14" spans="1:9" x14ac:dyDescent="0.25">
      <c r="A14" s="71"/>
      <c r="B14" s="24">
        <v>6</v>
      </c>
      <c r="C14" s="25">
        <f>Gas!C14</f>
        <v>2</v>
      </c>
      <c r="D14" s="25">
        <f>Gas!D14</f>
        <v>16</v>
      </c>
      <c r="E14" s="72"/>
      <c r="F14" s="74">
        <v>74</v>
      </c>
      <c r="G14" s="73">
        <f t="shared" si="0"/>
        <v>791800</v>
      </c>
      <c r="H14" s="87">
        <f t="shared" si="1"/>
        <v>55.058758083582504</v>
      </c>
      <c r="I14" s="23"/>
    </row>
    <row r="15" spans="1:9" x14ac:dyDescent="0.25">
      <c r="A15" s="71"/>
      <c r="B15" s="24">
        <v>7</v>
      </c>
      <c r="C15" s="25">
        <f>Gas!C15</f>
        <v>4</v>
      </c>
      <c r="D15" s="25">
        <f>Gas!D15</f>
        <v>14</v>
      </c>
      <c r="E15" s="72"/>
      <c r="F15" s="74">
        <v>0</v>
      </c>
      <c r="G15" s="73">
        <f t="shared" si="0"/>
        <v>0</v>
      </c>
      <c r="H15" s="87">
        <f t="shared" si="1"/>
        <v>0</v>
      </c>
      <c r="I15" s="23"/>
    </row>
    <row r="16" spans="1:9" x14ac:dyDescent="0.25">
      <c r="A16" s="71"/>
      <c r="B16" s="24">
        <v>8</v>
      </c>
      <c r="C16" s="25">
        <f>Gas!C16</f>
        <v>6</v>
      </c>
      <c r="D16" s="25">
        <f>Gas!D16</f>
        <v>30</v>
      </c>
      <c r="E16" s="72"/>
      <c r="F16" s="74">
        <v>0</v>
      </c>
      <c r="G16" s="73">
        <f t="shared" si="0"/>
        <v>0</v>
      </c>
      <c r="H16" s="87">
        <f t="shared" si="1"/>
        <v>0</v>
      </c>
      <c r="I16" s="23"/>
    </row>
    <row r="17" spans="1:9" x14ac:dyDescent="0.25">
      <c r="A17" s="71"/>
      <c r="B17" s="24">
        <v>9</v>
      </c>
      <c r="C17" s="25">
        <f>Gas!C17</f>
        <v>1</v>
      </c>
      <c r="D17" s="25">
        <f>Gas!D17</f>
        <v>19</v>
      </c>
      <c r="E17" s="72"/>
      <c r="F17" s="74">
        <v>53</v>
      </c>
      <c r="G17" s="73">
        <f t="shared" si="0"/>
        <v>567100</v>
      </c>
      <c r="H17" s="87">
        <f t="shared" si="1"/>
        <v>39.43397538418747</v>
      </c>
      <c r="I17" s="23"/>
    </row>
    <row r="18" spans="1:9" x14ac:dyDescent="0.25">
      <c r="A18" s="71"/>
      <c r="B18" s="24">
        <v>10</v>
      </c>
      <c r="C18" s="25">
        <f>Gas!C18</f>
        <v>5</v>
      </c>
      <c r="D18" s="25">
        <f>Gas!D18</f>
        <v>6</v>
      </c>
      <c r="E18" s="72"/>
      <c r="F18" s="74">
        <v>0</v>
      </c>
      <c r="G18" s="73">
        <f t="shared" si="0"/>
        <v>0</v>
      </c>
      <c r="H18" s="87">
        <f t="shared" si="1"/>
        <v>0</v>
      </c>
      <c r="I18" s="23"/>
    </row>
    <row r="19" spans="1:9" x14ac:dyDescent="0.25">
      <c r="A19" s="71"/>
      <c r="B19" s="24">
        <v>11</v>
      </c>
      <c r="C19" s="25">
        <f>Gas!C19</f>
        <v>6</v>
      </c>
      <c r="D19" s="25">
        <f>Gas!D19</f>
        <v>18</v>
      </c>
      <c r="E19" s="72"/>
      <c r="F19" s="74">
        <v>0</v>
      </c>
      <c r="G19" s="73">
        <f t="shared" si="0"/>
        <v>0</v>
      </c>
      <c r="H19" s="87">
        <f t="shared" si="1"/>
        <v>0</v>
      </c>
      <c r="I19" s="23"/>
    </row>
    <row r="20" spans="1:9" x14ac:dyDescent="0.25">
      <c r="A20" s="71"/>
      <c r="B20" s="24">
        <v>12</v>
      </c>
      <c r="C20" s="25">
        <f>Gas!C20</f>
        <v>6</v>
      </c>
      <c r="D20" s="25">
        <f>Gas!D20</f>
        <v>28</v>
      </c>
      <c r="E20" s="72"/>
      <c r="F20" s="74">
        <v>0</v>
      </c>
      <c r="G20" s="73">
        <f t="shared" si="0"/>
        <v>0</v>
      </c>
      <c r="H20" s="87">
        <f t="shared" si="1"/>
        <v>0</v>
      </c>
      <c r="I20" s="23"/>
    </row>
    <row r="21" spans="1:9" x14ac:dyDescent="0.25">
      <c r="A21" s="71"/>
      <c r="B21" s="24">
        <v>13</v>
      </c>
      <c r="C21" s="25">
        <f>Gas!C21</f>
        <v>7</v>
      </c>
      <c r="D21" s="25">
        <f>Gas!D21</f>
        <v>23</v>
      </c>
      <c r="E21" s="72"/>
      <c r="F21" s="74">
        <v>0</v>
      </c>
      <c r="G21" s="73">
        <f t="shared" si="0"/>
        <v>0</v>
      </c>
      <c r="H21" s="87">
        <f t="shared" si="1"/>
        <v>0</v>
      </c>
      <c r="I21" s="23"/>
    </row>
    <row r="22" spans="1:9" x14ac:dyDescent="0.25">
      <c r="A22" s="71"/>
      <c r="B22" s="24">
        <v>14</v>
      </c>
      <c r="C22" s="25">
        <f>Gas!C22</f>
        <v>9</v>
      </c>
      <c r="D22" s="25">
        <f>Gas!D22</f>
        <v>52</v>
      </c>
      <c r="E22" s="72"/>
      <c r="F22" s="74">
        <v>0</v>
      </c>
      <c r="G22" s="73">
        <f t="shared" si="0"/>
        <v>0</v>
      </c>
      <c r="H22" s="87">
        <f t="shared" si="1"/>
        <v>0</v>
      </c>
      <c r="I22" s="23"/>
    </row>
    <row r="23" spans="1:9" x14ac:dyDescent="0.25">
      <c r="A23" s="71"/>
      <c r="B23" s="24">
        <v>15</v>
      </c>
      <c r="C23" s="25">
        <f>Gas!C23</f>
        <v>10</v>
      </c>
      <c r="D23" s="25">
        <f>Gas!D23</f>
        <v>35</v>
      </c>
      <c r="E23" s="72"/>
      <c r="F23" s="74">
        <v>0</v>
      </c>
      <c r="G23" s="73">
        <f t="shared" si="0"/>
        <v>0</v>
      </c>
      <c r="H23" s="87">
        <f t="shared" si="1"/>
        <v>0</v>
      </c>
      <c r="I23" s="23"/>
    </row>
    <row r="24" spans="1:9" x14ac:dyDescent="0.25">
      <c r="A24" s="71"/>
      <c r="B24" s="24">
        <v>16</v>
      </c>
      <c r="C24" s="25">
        <f>Gas!C24</f>
        <v>5</v>
      </c>
      <c r="D24" s="25">
        <f>Gas!D24</f>
        <v>29</v>
      </c>
      <c r="E24" s="72"/>
      <c r="F24" s="74">
        <v>52</v>
      </c>
      <c r="G24" s="73">
        <f t="shared" si="0"/>
        <v>556400</v>
      </c>
      <c r="H24" s="87">
        <f t="shared" si="1"/>
        <v>38.689938112787708</v>
      </c>
      <c r="I24" s="23"/>
    </row>
    <row r="25" spans="1:9" x14ac:dyDescent="0.25">
      <c r="A25" s="71"/>
      <c r="B25" s="24">
        <v>17</v>
      </c>
      <c r="C25" s="25">
        <f>Gas!C25</f>
        <v>12</v>
      </c>
      <c r="D25" s="25">
        <f>Gas!D25</f>
        <v>28</v>
      </c>
      <c r="E25" s="72"/>
      <c r="F25" s="74">
        <v>0</v>
      </c>
      <c r="G25" s="73">
        <f t="shared" si="0"/>
        <v>0</v>
      </c>
      <c r="H25" s="87">
        <f t="shared" si="1"/>
        <v>0</v>
      </c>
      <c r="I25" s="23"/>
    </row>
    <row r="26" spans="1:9" x14ac:dyDescent="0.25">
      <c r="A26" s="71"/>
      <c r="B26" s="24">
        <v>18</v>
      </c>
      <c r="C26" s="25">
        <f>Gas!C26</f>
        <v>17</v>
      </c>
      <c r="D26" s="25">
        <f>Gas!D26</f>
        <v>52</v>
      </c>
      <c r="E26" s="72"/>
      <c r="F26" s="74">
        <v>0</v>
      </c>
      <c r="G26" s="73">
        <f t="shared" si="0"/>
        <v>0</v>
      </c>
      <c r="H26" s="87">
        <f t="shared" si="1"/>
        <v>0</v>
      </c>
      <c r="I26" s="23"/>
    </row>
    <row r="27" spans="1:9" x14ac:dyDescent="0.25">
      <c r="A27" s="71"/>
      <c r="B27" s="24">
        <v>19</v>
      </c>
      <c r="C27" s="25">
        <f>Gas!C27</f>
        <v>10</v>
      </c>
      <c r="D27" s="25">
        <f>Gas!D27</f>
        <v>54</v>
      </c>
      <c r="E27" s="72"/>
      <c r="F27" s="74">
        <v>0</v>
      </c>
      <c r="G27" s="73">
        <f t="shared" si="0"/>
        <v>0</v>
      </c>
      <c r="H27" s="87">
        <f t="shared" si="1"/>
        <v>0</v>
      </c>
      <c r="I27" s="23"/>
    </row>
    <row r="28" spans="1:9" x14ac:dyDescent="0.25">
      <c r="A28" s="71"/>
      <c r="B28" s="24">
        <v>20</v>
      </c>
      <c r="C28" s="25">
        <f>Gas!C28</f>
        <v>14</v>
      </c>
      <c r="D28" s="25">
        <f>Gas!D28</f>
        <v>48</v>
      </c>
      <c r="E28" s="72"/>
      <c r="F28" s="74">
        <v>0</v>
      </c>
      <c r="G28" s="73">
        <f t="shared" si="0"/>
        <v>0</v>
      </c>
      <c r="H28" s="87">
        <f t="shared" si="1"/>
        <v>0</v>
      </c>
      <c r="I28" s="23"/>
    </row>
    <row r="29" spans="1:9" x14ac:dyDescent="0.25">
      <c r="A29" s="71"/>
      <c r="B29" s="24">
        <v>21</v>
      </c>
      <c r="C29" s="25">
        <f>Gas!C29</f>
        <v>14</v>
      </c>
      <c r="D29" s="25">
        <f>Gas!D29</f>
        <v>67</v>
      </c>
      <c r="E29" s="72"/>
      <c r="F29" s="74">
        <v>0</v>
      </c>
      <c r="G29" s="73">
        <f t="shared" si="0"/>
        <v>0</v>
      </c>
      <c r="H29" s="87">
        <f t="shared" si="1"/>
        <v>0</v>
      </c>
      <c r="I29" s="23"/>
    </row>
    <row r="30" spans="1:9" x14ac:dyDescent="0.25">
      <c r="A30" s="71"/>
      <c r="B30" s="24">
        <v>22</v>
      </c>
      <c r="C30" s="25">
        <f>Gas!C30</f>
        <v>18</v>
      </c>
      <c r="D30" s="25">
        <f>Gas!D30</f>
        <v>57</v>
      </c>
      <c r="E30" s="72"/>
      <c r="F30" s="74">
        <v>0</v>
      </c>
      <c r="G30" s="73">
        <f t="shared" si="0"/>
        <v>0</v>
      </c>
      <c r="H30" s="87">
        <f t="shared" si="1"/>
        <v>0</v>
      </c>
      <c r="I30" s="23"/>
    </row>
    <row r="31" spans="1:9" x14ac:dyDescent="0.25">
      <c r="A31" s="71"/>
      <c r="B31" s="24">
        <v>23</v>
      </c>
      <c r="C31" s="25">
        <f>Gas!C31</f>
        <v>15</v>
      </c>
      <c r="D31" s="25">
        <f>Gas!D31</f>
        <v>64</v>
      </c>
      <c r="E31" s="72"/>
      <c r="F31" s="74">
        <v>49</v>
      </c>
      <c r="G31" s="73">
        <f t="shared" si="0"/>
        <v>524300</v>
      </c>
      <c r="H31" s="87">
        <f t="shared" si="1"/>
        <v>36.457826298588415</v>
      </c>
      <c r="I31" s="23"/>
    </row>
    <row r="32" spans="1:9" x14ac:dyDescent="0.25">
      <c r="A32" s="71"/>
      <c r="B32" s="24">
        <v>24</v>
      </c>
      <c r="C32" s="25">
        <f>Gas!C32</f>
        <v>6</v>
      </c>
      <c r="D32" s="25">
        <f>Gas!D32</f>
        <v>41</v>
      </c>
      <c r="E32" s="72"/>
      <c r="F32" s="74">
        <v>0</v>
      </c>
      <c r="G32" s="73"/>
      <c r="H32" s="87">
        <f t="shared" si="1"/>
        <v>0</v>
      </c>
      <c r="I32" s="23"/>
    </row>
    <row r="33" spans="1:11" x14ac:dyDescent="0.25">
      <c r="A33" s="71"/>
      <c r="B33" s="24">
        <v>25</v>
      </c>
      <c r="C33" s="25">
        <f>Gas!C33</f>
        <v>4</v>
      </c>
      <c r="D33" s="25">
        <f>Gas!D33</f>
        <v>33</v>
      </c>
      <c r="E33" s="72"/>
      <c r="F33" s="74">
        <v>0</v>
      </c>
      <c r="G33" s="73">
        <f t="shared" si="0"/>
        <v>0</v>
      </c>
      <c r="H33" s="87">
        <f t="shared" si="1"/>
        <v>0</v>
      </c>
      <c r="I33" s="23"/>
    </row>
    <row r="34" spans="1:11" x14ac:dyDescent="0.25">
      <c r="A34" s="71"/>
      <c r="B34" s="24">
        <v>26</v>
      </c>
      <c r="C34" s="25">
        <f>Gas!C34</f>
        <v>6</v>
      </c>
      <c r="D34" s="25">
        <f>Gas!D34</f>
        <v>19</v>
      </c>
      <c r="E34" s="72"/>
      <c r="F34" s="74">
        <v>0</v>
      </c>
      <c r="G34" s="73">
        <f t="shared" si="0"/>
        <v>0</v>
      </c>
      <c r="H34" s="87">
        <f t="shared" si="1"/>
        <v>0</v>
      </c>
      <c r="I34" s="23"/>
    </row>
    <row r="35" spans="1:11" x14ac:dyDescent="0.25">
      <c r="A35" s="71"/>
      <c r="B35" s="24">
        <v>27</v>
      </c>
      <c r="C35" s="25">
        <f>Gas!C35</f>
        <v>6</v>
      </c>
      <c r="D35" s="25">
        <f>Gas!D35</f>
        <v>32</v>
      </c>
      <c r="E35" s="72"/>
      <c r="F35" s="74">
        <v>0</v>
      </c>
      <c r="G35" s="73">
        <f t="shared" si="0"/>
        <v>0</v>
      </c>
      <c r="H35" s="87">
        <f t="shared" si="1"/>
        <v>0</v>
      </c>
      <c r="I35" s="23"/>
    </row>
    <row r="36" spans="1:11" x14ac:dyDescent="0.25">
      <c r="A36" s="71"/>
      <c r="B36" s="24">
        <v>28</v>
      </c>
      <c r="C36" s="25">
        <f>Gas!C36</f>
        <v>7</v>
      </c>
      <c r="D36" s="25">
        <f>Gas!D36</f>
        <v>41</v>
      </c>
      <c r="E36" s="72"/>
      <c r="F36" s="74">
        <v>0</v>
      </c>
      <c r="G36" s="73">
        <f t="shared" si="0"/>
        <v>0</v>
      </c>
      <c r="H36" s="87">
        <f t="shared" si="1"/>
        <v>0</v>
      </c>
      <c r="I36" s="23"/>
    </row>
    <row r="37" spans="1:11" x14ac:dyDescent="0.25">
      <c r="A37" s="71"/>
      <c r="B37" s="24">
        <v>29</v>
      </c>
      <c r="C37" s="25">
        <f>Gas!C37</f>
        <v>7</v>
      </c>
      <c r="D37" s="25">
        <f>Gas!D37</f>
        <v>48</v>
      </c>
      <c r="E37" s="72"/>
      <c r="F37" s="74">
        <v>0</v>
      </c>
      <c r="G37" s="73">
        <f t="shared" si="0"/>
        <v>0</v>
      </c>
      <c r="H37" s="87">
        <f t="shared" si="1"/>
        <v>0</v>
      </c>
      <c r="I37" s="23"/>
    </row>
    <row r="38" spans="1:11" x14ac:dyDescent="0.25">
      <c r="A38" s="71"/>
      <c r="B38" s="24">
        <v>30</v>
      </c>
      <c r="C38" s="25">
        <f>Gas!C38</f>
        <v>7</v>
      </c>
      <c r="D38" s="25">
        <f>Gas!D38</f>
        <v>37</v>
      </c>
      <c r="E38" s="72"/>
      <c r="F38" s="74">
        <v>49</v>
      </c>
      <c r="G38" s="73">
        <f t="shared" si="0"/>
        <v>524300</v>
      </c>
      <c r="H38" s="87">
        <f t="shared" si="1"/>
        <v>36.457826298588415</v>
      </c>
      <c r="I38" s="23"/>
    </row>
    <row r="39" spans="1:11" x14ac:dyDescent="0.25">
      <c r="A39" s="71"/>
      <c r="B39" s="24">
        <v>31</v>
      </c>
      <c r="C39" s="25" t="str">
        <f>Gas!C39</f>
        <v xml:space="preserve"> -   </v>
      </c>
      <c r="D39" s="25" t="str">
        <f>Gas!D39</f>
        <v xml:space="preserve"> -   </v>
      </c>
      <c r="E39" s="72"/>
      <c r="F39" s="74"/>
      <c r="G39" s="73">
        <f t="shared" si="0"/>
        <v>0</v>
      </c>
      <c r="H39" s="87">
        <f t="shared" si="1"/>
        <v>0</v>
      </c>
      <c r="I39" s="23"/>
    </row>
    <row r="40" spans="1:11" s="12" customFormat="1" x14ac:dyDescent="0.25">
      <c r="C40" s="32">
        <f>SUM(C9:C39)</f>
        <v>228</v>
      </c>
      <c r="D40" s="32">
        <f>SUM(D9:D39)</f>
        <v>1043</v>
      </c>
      <c r="E40" s="32"/>
      <c r="F40" s="32">
        <f>SUM(F9:F39)</f>
        <v>325</v>
      </c>
      <c r="G40" s="32"/>
      <c r="H40" s="75">
        <f>SUM(H9:H39)</f>
        <v>241.81211320492315</v>
      </c>
      <c r="K40" s="37"/>
    </row>
    <row r="41" spans="1:11" x14ac:dyDescent="0.25">
      <c r="E41" s="32"/>
      <c r="F41" s="76"/>
      <c r="G41" s="76"/>
      <c r="H41" s="43"/>
    </row>
    <row r="42" spans="1:11" x14ac:dyDescent="0.25">
      <c r="E42" s="61"/>
      <c r="F42" s="77"/>
      <c r="G42" s="77"/>
    </row>
    <row r="43" spans="1:11" x14ac:dyDescent="0.25">
      <c r="E43" s="61"/>
      <c r="F43" s="77"/>
      <c r="G43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tabSelected="1" topLeftCell="A3" workbookViewId="0">
      <selection activeCell="H34" sqref="H34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100" t="s">
        <v>48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3" ht="15.75" x14ac:dyDescent="0.25">
      <c r="B3" s="100" t="s">
        <v>16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101">
        <v>44136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8"/>
    </row>
    <row r="6" spans="1:13" x14ac:dyDescent="0.25">
      <c r="A6" s="19"/>
      <c r="B6" s="99" t="s">
        <v>17</v>
      </c>
      <c r="C6" s="99" t="s">
        <v>49</v>
      </c>
      <c r="D6" s="99" t="s">
        <v>13</v>
      </c>
      <c r="E6" s="105" t="s">
        <v>50</v>
      </c>
      <c r="F6" s="105"/>
      <c r="G6" s="107" t="s">
        <v>51</v>
      </c>
      <c r="H6" s="107"/>
      <c r="I6" s="107"/>
      <c r="J6" s="107"/>
      <c r="K6" s="99" t="s">
        <v>52</v>
      </c>
      <c r="L6" s="99" t="s">
        <v>53</v>
      </c>
      <c r="M6" s="20"/>
    </row>
    <row r="7" spans="1:13" s="21" customFormat="1" x14ac:dyDescent="0.25">
      <c r="A7" s="19"/>
      <c r="B7" s="99"/>
      <c r="C7" s="99"/>
      <c r="D7" s="99"/>
      <c r="E7" s="99" t="s">
        <v>54</v>
      </c>
      <c r="F7" s="99" t="s">
        <v>55</v>
      </c>
      <c r="G7" s="99" t="s">
        <v>54</v>
      </c>
      <c r="H7" s="99" t="s">
        <v>56</v>
      </c>
      <c r="I7" s="99" t="s">
        <v>54</v>
      </c>
      <c r="J7" s="99" t="s">
        <v>57</v>
      </c>
      <c r="K7" s="99"/>
      <c r="L7" s="99"/>
      <c r="M7" s="20"/>
    </row>
    <row r="8" spans="1:13" x14ac:dyDescent="0.25">
      <c r="A8" s="22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23"/>
    </row>
    <row r="9" spans="1:13" x14ac:dyDescent="0.25">
      <c r="A9" s="22"/>
      <c r="B9" s="24">
        <v>1</v>
      </c>
      <c r="C9" s="25">
        <f>'Fuel Diesel'!C9</f>
        <v>8</v>
      </c>
      <c r="D9" s="25">
        <f>'Fuel Diesel'!D9</f>
        <v>70</v>
      </c>
      <c r="E9" s="26"/>
      <c r="F9" s="28">
        <f>E9*13582</f>
        <v>0</v>
      </c>
      <c r="G9" s="26"/>
      <c r="H9" s="28">
        <f>G9*4000</f>
        <v>0</v>
      </c>
      <c r="I9" s="26">
        <v>116</v>
      </c>
      <c r="J9" s="28">
        <f>I9*4000</f>
        <v>464000</v>
      </c>
      <c r="K9" s="26">
        <f t="shared" ref="K9:K39" si="0">F9+H9+J9</f>
        <v>464000</v>
      </c>
      <c r="L9" s="79">
        <f>K9/14381</f>
        <v>32.264793825186011</v>
      </c>
      <c r="M9" s="23"/>
    </row>
    <row r="10" spans="1:13" x14ac:dyDescent="0.25">
      <c r="A10" s="22"/>
      <c r="B10" s="24">
        <v>2</v>
      </c>
      <c r="C10" s="25">
        <f>'Fuel Diesel'!C10</f>
        <v>5</v>
      </c>
      <c r="D10" s="25">
        <f>'Fuel Diesel'!D10</f>
        <v>26</v>
      </c>
      <c r="E10" s="26"/>
      <c r="F10" s="28">
        <f>E10*13582</f>
        <v>0</v>
      </c>
      <c r="G10" s="26"/>
      <c r="H10" s="28">
        <f>G10*4000</f>
        <v>0</v>
      </c>
      <c r="I10" s="26">
        <v>134</v>
      </c>
      <c r="J10" s="28">
        <f>I10*4000</f>
        <v>536000</v>
      </c>
      <c r="K10" s="26">
        <f t="shared" si="0"/>
        <v>536000</v>
      </c>
      <c r="L10" s="79">
        <f t="shared" ref="L10:L39" si="1">K10/14381</f>
        <v>37.271399763576945</v>
      </c>
      <c r="M10" s="23"/>
    </row>
    <row r="11" spans="1:13" x14ac:dyDescent="0.25">
      <c r="A11" s="22"/>
      <c r="B11" s="24">
        <v>3</v>
      </c>
      <c r="C11" s="25">
        <f>'Fuel Diesel'!C11</f>
        <v>3</v>
      </c>
      <c r="D11" s="25">
        <f>'Fuel Diesel'!D11</f>
        <v>14</v>
      </c>
      <c r="E11" s="26"/>
      <c r="F11" s="28">
        <f t="shared" ref="F11:F39" si="2">E11*13582</f>
        <v>0</v>
      </c>
      <c r="G11" s="26"/>
      <c r="H11" s="28">
        <f t="shared" ref="H11:H39" si="3">G11*4000</f>
        <v>0</v>
      </c>
      <c r="I11" s="26">
        <v>116</v>
      </c>
      <c r="J11" s="28">
        <f t="shared" ref="J11:J39" si="4">I11*4000</f>
        <v>464000</v>
      </c>
      <c r="K11" s="26">
        <f t="shared" si="0"/>
        <v>464000</v>
      </c>
      <c r="L11" s="79">
        <f t="shared" si="1"/>
        <v>32.264793825186011</v>
      </c>
      <c r="M11" s="23"/>
    </row>
    <row r="12" spans="1:13" x14ac:dyDescent="0.25">
      <c r="A12" s="22"/>
      <c r="B12" s="24">
        <v>4</v>
      </c>
      <c r="C12" s="25">
        <f>'Fuel Diesel'!C12</f>
        <v>4</v>
      </c>
      <c r="D12" s="25">
        <f>'Fuel Diesel'!D12</f>
        <v>18</v>
      </c>
      <c r="E12" s="26"/>
      <c r="F12" s="28">
        <f t="shared" si="2"/>
        <v>0</v>
      </c>
      <c r="G12" s="26"/>
      <c r="H12" s="28">
        <f t="shared" si="3"/>
        <v>0</v>
      </c>
      <c r="I12" s="26">
        <v>133</v>
      </c>
      <c r="J12" s="28">
        <f t="shared" si="4"/>
        <v>532000</v>
      </c>
      <c r="K12" s="26">
        <f t="shared" si="0"/>
        <v>532000</v>
      </c>
      <c r="L12" s="79">
        <f t="shared" si="1"/>
        <v>36.993254989221889</v>
      </c>
      <c r="M12" s="23"/>
    </row>
    <row r="13" spans="1:13" x14ac:dyDescent="0.25">
      <c r="A13" s="22"/>
      <c r="B13" s="24">
        <v>5</v>
      </c>
      <c r="C13" s="25">
        <f>'Fuel Diesel'!C13</f>
        <v>4</v>
      </c>
      <c r="D13" s="25">
        <f>'Fuel Diesel'!D13</f>
        <v>24</v>
      </c>
      <c r="E13" s="26"/>
      <c r="F13" s="28">
        <f t="shared" si="2"/>
        <v>0</v>
      </c>
      <c r="G13" s="26"/>
      <c r="H13" s="28">
        <f t="shared" si="3"/>
        <v>0</v>
      </c>
      <c r="I13" s="26">
        <v>111</v>
      </c>
      <c r="J13" s="28">
        <f t="shared" si="4"/>
        <v>444000</v>
      </c>
      <c r="K13" s="26">
        <f t="shared" si="0"/>
        <v>444000</v>
      </c>
      <c r="L13" s="79">
        <f t="shared" si="1"/>
        <v>30.87406995341075</v>
      </c>
      <c r="M13" s="23"/>
    </row>
    <row r="14" spans="1:13" x14ac:dyDescent="0.25">
      <c r="A14" s="22"/>
      <c r="B14" s="24">
        <v>6</v>
      </c>
      <c r="C14" s="25">
        <f>'Fuel Diesel'!C14</f>
        <v>2</v>
      </c>
      <c r="D14" s="25">
        <f>'Fuel Diesel'!D14</f>
        <v>16</v>
      </c>
      <c r="E14" s="26"/>
      <c r="F14" s="28">
        <f t="shared" si="2"/>
        <v>0</v>
      </c>
      <c r="G14" s="26"/>
      <c r="H14" s="28">
        <f t="shared" si="3"/>
        <v>0</v>
      </c>
      <c r="I14" s="26">
        <v>126</v>
      </c>
      <c r="J14" s="28">
        <f t="shared" si="4"/>
        <v>504000</v>
      </c>
      <c r="K14" s="26">
        <f t="shared" si="0"/>
        <v>504000</v>
      </c>
      <c r="L14" s="79">
        <f t="shared" si="1"/>
        <v>35.046241568736527</v>
      </c>
      <c r="M14" s="23"/>
    </row>
    <row r="15" spans="1:13" x14ac:dyDescent="0.25">
      <c r="A15" s="22"/>
      <c r="B15" s="24">
        <v>7</v>
      </c>
      <c r="C15" s="25">
        <f>'Fuel Diesel'!C15</f>
        <v>4</v>
      </c>
      <c r="D15" s="25">
        <f>'Fuel Diesel'!D15</f>
        <v>14</v>
      </c>
      <c r="E15" s="26"/>
      <c r="F15" s="28">
        <f t="shared" si="2"/>
        <v>0</v>
      </c>
      <c r="G15" s="26"/>
      <c r="H15" s="28">
        <f t="shared" si="3"/>
        <v>0</v>
      </c>
      <c r="I15" s="26">
        <v>132</v>
      </c>
      <c r="J15" s="28">
        <f t="shared" si="4"/>
        <v>528000</v>
      </c>
      <c r="K15" s="26">
        <f t="shared" si="0"/>
        <v>528000</v>
      </c>
      <c r="L15" s="79">
        <f t="shared" si="1"/>
        <v>36.71511021486684</v>
      </c>
      <c r="M15" s="23"/>
    </row>
    <row r="16" spans="1:13" x14ac:dyDescent="0.25">
      <c r="A16" s="22"/>
      <c r="B16" s="24">
        <v>8</v>
      </c>
      <c r="C16" s="25">
        <f>'Fuel Diesel'!C16</f>
        <v>6</v>
      </c>
      <c r="D16" s="25">
        <f>'Fuel Diesel'!D16</f>
        <v>30</v>
      </c>
      <c r="E16" s="26"/>
      <c r="F16" s="28">
        <f t="shared" si="2"/>
        <v>0</v>
      </c>
      <c r="G16" s="26"/>
      <c r="H16" s="28">
        <f t="shared" si="3"/>
        <v>0</v>
      </c>
      <c r="I16" s="26">
        <v>146</v>
      </c>
      <c r="J16" s="28">
        <f t="shared" si="4"/>
        <v>584000</v>
      </c>
      <c r="K16" s="26">
        <f t="shared" si="0"/>
        <v>584000</v>
      </c>
      <c r="L16" s="79">
        <f t="shared" si="1"/>
        <v>40.609137055837564</v>
      </c>
      <c r="M16" s="23"/>
    </row>
    <row r="17" spans="1:13" x14ac:dyDescent="0.25">
      <c r="A17" s="22"/>
      <c r="B17" s="24">
        <v>9</v>
      </c>
      <c r="C17" s="25">
        <f>'Fuel Diesel'!C17</f>
        <v>1</v>
      </c>
      <c r="D17" s="25">
        <f>'Fuel Diesel'!D17</f>
        <v>19</v>
      </c>
      <c r="E17" s="26"/>
      <c r="F17" s="28">
        <f t="shared" si="2"/>
        <v>0</v>
      </c>
      <c r="G17" s="26"/>
      <c r="H17" s="28">
        <f t="shared" si="3"/>
        <v>0</v>
      </c>
      <c r="I17" s="26">
        <v>160</v>
      </c>
      <c r="J17" s="28">
        <f t="shared" si="4"/>
        <v>640000</v>
      </c>
      <c r="K17" s="26">
        <f t="shared" si="0"/>
        <v>640000</v>
      </c>
      <c r="L17" s="79">
        <f t="shared" si="1"/>
        <v>44.503163896808289</v>
      </c>
      <c r="M17" s="23"/>
    </row>
    <row r="18" spans="1:13" x14ac:dyDescent="0.25">
      <c r="A18" s="22"/>
      <c r="B18" s="24">
        <v>10</v>
      </c>
      <c r="C18" s="25">
        <f>'Fuel Diesel'!C18</f>
        <v>5</v>
      </c>
      <c r="D18" s="25">
        <f>'Fuel Diesel'!D18</f>
        <v>6</v>
      </c>
      <c r="E18" s="26"/>
      <c r="F18" s="28">
        <f t="shared" si="2"/>
        <v>0</v>
      </c>
      <c r="G18" s="26"/>
      <c r="H18" s="28">
        <f t="shared" si="3"/>
        <v>0</v>
      </c>
      <c r="I18" s="26">
        <v>180</v>
      </c>
      <c r="J18" s="28">
        <f t="shared" si="4"/>
        <v>720000</v>
      </c>
      <c r="K18" s="26">
        <f t="shared" si="0"/>
        <v>720000</v>
      </c>
      <c r="L18" s="79">
        <f t="shared" si="1"/>
        <v>50.066059383909327</v>
      </c>
      <c r="M18" s="23"/>
    </row>
    <row r="19" spans="1:13" x14ac:dyDescent="0.25">
      <c r="A19" s="22"/>
      <c r="B19" s="24">
        <v>11</v>
      </c>
      <c r="C19" s="25">
        <f>'Fuel Diesel'!C19</f>
        <v>6</v>
      </c>
      <c r="D19" s="25">
        <f>'Fuel Diesel'!D19</f>
        <v>18</v>
      </c>
      <c r="E19" s="26"/>
      <c r="F19" s="28">
        <f t="shared" si="2"/>
        <v>0</v>
      </c>
      <c r="G19" s="26"/>
      <c r="H19" s="28">
        <f t="shared" si="3"/>
        <v>0</v>
      </c>
      <c r="I19" s="26">
        <v>207</v>
      </c>
      <c r="J19" s="28">
        <f t="shared" si="4"/>
        <v>828000</v>
      </c>
      <c r="K19" s="26">
        <f t="shared" si="0"/>
        <v>828000</v>
      </c>
      <c r="L19" s="79">
        <f t="shared" si="1"/>
        <v>57.575968291495727</v>
      </c>
      <c r="M19" s="23"/>
    </row>
    <row r="20" spans="1:13" x14ac:dyDescent="0.25">
      <c r="A20" s="22"/>
      <c r="B20" s="24">
        <v>12</v>
      </c>
      <c r="C20" s="25">
        <f>'Fuel Diesel'!C20</f>
        <v>6</v>
      </c>
      <c r="D20" s="25">
        <f>'Fuel Diesel'!D20</f>
        <v>28</v>
      </c>
      <c r="E20" s="26"/>
      <c r="F20" s="28">
        <f t="shared" si="2"/>
        <v>0</v>
      </c>
      <c r="G20" s="26"/>
      <c r="H20" s="28">
        <f>G20*4000</f>
        <v>0</v>
      </c>
      <c r="I20" s="26">
        <v>228</v>
      </c>
      <c r="J20" s="28">
        <f t="shared" si="4"/>
        <v>912000</v>
      </c>
      <c r="K20" s="26">
        <f t="shared" si="0"/>
        <v>912000</v>
      </c>
      <c r="L20" s="79">
        <f t="shared" si="1"/>
        <v>63.417008552951813</v>
      </c>
      <c r="M20" s="23"/>
    </row>
    <row r="21" spans="1:13" x14ac:dyDescent="0.25">
      <c r="A21" s="22"/>
      <c r="B21" s="24">
        <v>13</v>
      </c>
      <c r="C21" s="25">
        <f>'Fuel Diesel'!C21</f>
        <v>7</v>
      </c>
      <c r="D21" s="25">
        <f>'Fuel Diesel'!D21</f>
        <v>23</v>
      </c>
      <c r="E21" s="26"/>
      <c r="F21" s="28">
        <f t="shared" si="2"/>
        <v>0</v>
      </c>
      <c r="G21" s="26"/>
      <c r="H21" s="28">
        <f t="shared" si="3"/>
        <v>0</v>
      </c>
      <c r="I21" s="26">
        <v>181</v>
      </c>
      <c r="J21" s="28">
        <f t="shared" si="4"/>
        <v>724000</v>
      </c>
      <c r="K21" s="26">
        <f t="shared" si="0"/>
        <v>724000</v>
      </c>
      <c r="L21" s="79">
        <f t="shared" si="1"/>
        <v>50.344204158264375</v>
      </c>
      <c r="M21" s="23"/>
    </row>
    <row r="22" spans="1:13" x14ac:dyDescent="0.25">
      <c r="A22" s="22"/>
      <c r="B22" s="24">
        <v>14</v>
      </c>
      <c r="C22" s="25">
        <f>'Fuel Diesel'!C22</f>
        <v>9</v>
      </c>
      <c r="D22" s="25">
        <f>'Fuel Diesel'!D22</f>
        <v>52</v>
      </c>
      <c r="E22" s="26"/>
      <c r="F22" s="28">
        <f t="shared" si="2"/>
        <v>0</v>
      </c>
      <c r="G22" s="26"/>
      <c r="H22" s="28">
        <f t="shared" si="3"/>
        <v>0</v>
      </c>
      <c r="I22" s="26">
        <v>164</v>
      </c>
      <c r="J22" s="28">
        <f t="shared" si="4"/>
        <v>656000</v>
      </c>
      <c r="K22" s="26">
        <f t="shared" si="0"/>
        <v>656000</v>
      </c>
      <c r="L22" s="79">
        <f t="shared" si="1"/>
        <v>45.615742994228498</v>
      </c>
      <c r="M22" s="23"/>
    </row>
    <row r="23" spans="1:13" x14ac:dyDescent="0.25">
      <c r="A23" s="22"/>
      <c r="B23" s="24">
        <v>15</v>
      </c>
      <c r="C23" s="25">
        <f>'Fuel Diesel'!C23</f>
        <v>10</v>
      </c>
      <c r="D23" s="25">
        <f>'Fuel Diesel'!D23</f>
        <v>35</v>
      </c>
      <c r="E23" s="26"/>
      <c r="F23" s="28">
        <f t="shared" si="2"/>
        <v>0</v>
      </c>
      <c r="G23" s="26"/>
      <c r="H23" s="28">
        <f t="shared" si="3"/>
        <v>0</v>
      </c>
      <c r="I23" s="26">
        <v>196</v>
      </c>
      <c r="J23" s="28">
        <f t="shared" si="4"/>
        <v>784000</v>
      </c>
      <c r="K23" s="26">
        <f t="shared" si="0"/>
        <v>784000</v>
      </c>
      <c r="L23" s="79">
        <f t="shared" si="1"/>
        <v>54.516375773590156</v>
      </c>
      <c r="M23" s="23"/>
    </row>
    <row r="24" spans="1:13" x14ac:dyDescent="0.25">
      <c r="A24" s="22"/>
      <c r="B24" s="24">
        <v>16</v>
      </c>
      <c r="C24" s="25">
        <f>'Fuel Diesel'!C24</f>
        <v>5</v>
      </c>
      <c r="D24" s="25">
        <f>'Fuel Diesel'!D24</f>
        <v>29</v>
      </c>
      <c r="E24" s="26"/>
      <c r="F24" s="28">
        <f t="shared" si="2"/>
        <v>0</v>
      </c>
      <c r="G24" s="26"/>
      <c r="H24" s="28">
        <f t="shared" si="3"/>
        <v>0</v>
      </c>
      <c r="I24" s="26">
        <v>202</v>
      </c>
      <c r="J24" s="28">
        <f t="shared" si="4"/>
        <v>808000</v>
      </c>
      <c r="K24" s="26">
        <f t="shared" si="0"/>
        <v>808000</v>
      </c>
      <c r="L24" s="79">
        <f t="shared" si="1"/>
        <v>56.185244419720462</v>
      </c>
      <c r="M24" s="23"/>
    </row>
    <row r="25" spans="1:13" x14ac:dyDescent="0.25">
      <c r="A25" s="22"/>
      <c r="B25" s="24">
        <v>17</v>
      </c>
      <c r="C25" s="25">
        <f>'Fuel Diesel'!C25</f>
        <v>12</v>
      </c>
      <c r="D25" s="25">
        <f>'Fuel Diesel'!D25</f>
        <v>28</v>
      </c>
      <c r="E25" s="26"/>
      <c r="F25" s="28">
        <f t="shared" si="2"/>
        <v>0</v>
      </c>
      <c r="G25" s="26"/>
      <c r="H25" s="28">
        <f t="shared" si="3"/>
        <v>0</v>
      </c>
      <c r="I25" s="26">
        <v>196</v>
      </c>
      <c r="J25" s="28">
        <f t="shared" si="4"/>
        <v>784000</v>
      </c>
      <c r="K25" s="26">
        <f t="shared" si="0"/>
        <v>784000</v>
      </c>
      <c r="L25" s="79">
        <f t="shared" si="1"/>
        <v>54.516375773590156</v>
      </c>
      <c r="M25" s="23"/>
    </row>
    <row r="26" spans="1:13" x14ac:dyDescent="0.25">
      <c r="A26" s="22"/>
      <c r="B26" s="24">
        <v>18</v>
      </c>
      <c r="C26" s="25">
        <f>'Fuel Diesel'!C26</f>
        <v>17</v>
      </c>
      <c r="D26" s="25">
        <f>'Fuel Diesel'!D26</f>
        <v>52</v>
      </c>
      <c r="E26" s="26"/>
      <c r="F26" s="28">
        <f t="shared" si="2"/>
        <v>0</v>
      </c>
      <c r="G26" s="26"/>
      <c r="H26" s="28">
        <f t="shared" si="3"/>
        <v>0</v>
      </c>
      <c r="I26" s="26">
        <v>186</v>
      </c>
      <c r="J26" s="28">
        <f t="shared" si="4"/>
        <v>744000</v>
      </c>
      <c r="K26" s="26">
        <f t="shared" si="0"/>
        <v>744000</v>
      </c>
      <c r="L26" s="79">
        <f t="shared" si="1"/>
        <v>51.734928030039633</v>
      </c>
      <c r="M26" s="23"/>
    </row>
    <row r="27" spans="1:13" x14ac:dyDescent="0.25">
      <c r="A27" s="22"/>
      <c r="B27" s="24">
        <v>19</v>
      </c>
      <c r="C27" s="25">
        <f>'Fuel Diesel'!C27</f>
        <v>10</v>
      </c>
      <c r="D27" s="25">
        <f>'Fuel Diesel'!D27</f>
        <v>54</v>
      </c>
      <c r="E27" s="26"/>
      <c r="F27" s="28">
        <f t="shared" si="2"/>
        <v>0</v>
      </c>
      <c r="G27" s="26"/>
      <c r="H27" s="28">
        <f t="shared" si="3"/>
        <v>0</v>
      </c>
      <c r="I27" s="26">
        <v>184</v>
      </c>
      <c r="J27" s="28">
        <f t="shared" si="4"/>
        <v>736000</v>
      </c>
      <c r="K27" s="26">
        <f t="shared" si="0"/>
        <v>736000</v>
      </c>
      <c r="L27" s="79">
        <f t="shared" si="1"/>
        <v>51.178638481329529</v>
      </c>
      <c r="M27" s="23"/>
    </row>
    <row r="28" spans="1:13" x14ac:dyDescent="0.25">
      <c r="A28" s="22"/>
      <c r="B28" s="24">
        <v>20</v>
      </c>
      <c r="C28" s="25">
        <f>'Fuel Diesel'!C28</f>
        <v>14</v>
      </c>
      <c r="D28" s="25">
        <f>'Fuel Diesel'!D28</f>
        <v>48</v>
      </c>
      <c r="E28" s="26"/>
      <c r="F28" s="28">
        <f t="shared" si="2"/>
        <v>0</v>
      </c>
      <c r="G28" s="26"/>
      <c r="H28" s="28">
        <f t="shared" si="3"/>
        <v>0</v>
      </c>
      <c r="I28" s="26">
        <v>193</v>
      </c>
      <c r="J28" s="28">
        <f t="shared" si="4"/>
        <v>772000</v>
      </c>
      <c r="K28" s="26">
        <f t="shared" si="0"/>
        <v>772000</v>
      </c>
      <c r="L28" s="79">
        <f t="shared" si="1"/>
        <v>53.681941450524995</v>
      </c>
      <c r="M28" s="23"/>
    </row>
    <row r="29" spans="1:13" x14ac:dyDescent="0.25">
      <c r="A29" s="22"/>
      <c r="B29" s="24">
        <v>21</v>
      </c>
      <c r="C29" s="25">
        <f>'Fuel Diesel'!C29</f>
        <v>14</v>
      </c>
      <c r="D29" s="25">
        <f>'Fuel Diesel'!D29</f>
        <v>67</v>
      </c>
      <c r="E29" s="26"/>
      <c r="F29" s="28">
        <f t="shared" si="2"/>
        <v>0</v>
      </c>
      <c r="G29" s="26"/>
      <c r="H29" s="28">
        <f t="shared" si="3"/>
        <v>0</v>
      </c>
      <c r="I29" s="26">
        <v>209</v>
      </c>
      <c r="J29" s="28">
        <f t="shared" si="4"/>
        <v>836000</v>
      </c>
      <c r="K29" s="26">
        <f t="shared" si="0"/>
        <v>836000</v>
      </c>
      <c r="L29" s="79">
        <f t="shared" si="1"/>
        <v>58.132257840205824</v>
      </c>
      <c r="M29" s="23"/>
    </row>
    <row r="30" spans="1:13" x14ac:dyDescent="0.25">
      <c r="A30" s="22"/>
      <c r="B30" s="24">
        <v>22</v>
      </c>
      <c r="C30" s="25">
        <f>'Fuel Diesel'!C30</f>
        <v>18</v>
      </c>
      <c r="D30" s="25">
        <f>'Fuel Diesel'!D30</f>
        <v>57</v>
      </c>
      <c r="E30" s="26"/>
      <c r="F30" s="28">
        <f t="shared" si="2"/>
        <v>0</v>
      </c>
      <c r="G30" s="26"/>
      <c r="H30" s="28">
        <f t="shared" si="3"/>
        <v>0</v>
      </c>
      <c r="I30" s="26">
        <v>216</v>
      </c>
      <c r="J30" s="28">
        <f t="shared" si="4"/>
        <v>864000</v>
      </c>
      <c r="K30" s="26">
        <f t="shared" si="0"/>
        <v>864000</v>
      </c>
      <c r="L30" s="79">
        <f t="shared" si="1"/>
        <v>60.079271260691186</v>
      </c>
      <c r="M30" s="23"/>
    </row>
    <row r="31" spans="1:13" x14ac:dyDescent="0.25">
      <c r="A31" s="22"/>
      <c r="B31" s="24">
        <v>23</v>
      </c>
      <c r="C31" s="25">
        <f>'Fuel Diesel'!C31</f>
        <v>15</v>
      </c>
      <c r="D31" s="25">
        <f>'Fuel Diesel'!D31</f>
        <v>64</v>
      </c>
      <c r="E31" s="26"/>
      <c r="F31" s="28">
        <f t="shared" si="2"/>
        <v>0</v>
      </c>
      <c r="G31" s="26"/>
      <c r="H31" s="28">
        <f t="shared" si="3"/>
        <v>0</v>
      </c>
      <c r="I31" s="26">
        <v>215</v>
      </c>
      <c r="J31" s="28">
        <f t="shared" si="4"/>
        <v>860000</v>
      </c>
      <c r="K31" s="26">
        <f t="shared" si="0"/>
        <v>860000</v>
      </c>
      <c r="L31" s="79">
        <f t="shared" si="1"/>
        <v>59.801126486336138</v>
      </c>
      <c r="M31" s="23"/>
    </row>
    <row r="32" spans="1:13" x14ac:dyDescent="0.25">
      <c r="A32" s="22"/>
      <c r="B32" s="24">
        <v>24</v>
      </c>
      <c r="C32" s="25">
        <f>'Fuel Diesel'!C32</f>
        <v>6</v>
      </c>
      <c r="D32" s="25">
        <f>'Fuel Diesel'!D32</f>
        <v>41</v>
      </c>
      <c r="E32" s="26"/>
      <c r="F32" s="28">
        <f t="shared" si="2"/>
        <v>0</v>
      </c>
      <c r="G32" s="26"/>
      <c r="H32" s="28">
        <f t="shared" si="3"/>
        <v>0</v>
      </c>
      <c r="I32" s="26">
        <v>196</v>
      </c>
      <c r="J32" s="28">
        <f t="shared" si="4"/>
        <v>784000</v>
      </c>
      <c r="K32" s="26">
        <f t="shared" si="0"/>
        <v>784000</v>
      </c>
      <c r="L32" s="79">
        <f t="shared" si="1"/>
        <v>54.516375773590156</v>
      </c>
      <c r="M32" s="23"/>
    </row>
    <row r="33" spans="1:15" x14ac:dyDescent="0.25">
      <c r="A33" s="22"/>
      <c r="B33" s="24">
        <v>25</v>
      </c>
      <c r="C33" s="25">
        <f>'Fuel Diesel'!C33</f>
        <v>4</v>
      </c>
      <c r="D33" s="25">
        <f>'Fuel Diesel'!D33</f>
        <v>33</v>
      </c>
      <c r="E33" s="26"/>
      <c r="F33" s="28">
        <f t="shared" si="2"/>
        <v>0</v>
      </c>
      <c r="G33" s="26"/>
      <c r="H33" s="28">
        <f t="shared" si="3"/>
        <v>0</v>
      </c>
      <c r="I33" s="26">
        <v>206</v>
      </c>
      <c r="J33" s="28">
        <f t="shared" si="4"/>
        <v>824000</v>
      </c>
      <c r="K33" s="26">
        <f t="shared" si="0"/>
        <v>824000</v>
      </c>
      <c r="L33" s="79">
        <f t="shared" si="1"/>
        <v>57.297823517140671</v>
      </c>
      <c r="M33" s="23"/>
    </row>
    <row r="34" spans="1:15" x14ac:dyDescent="0.25">
      <c r="A34" s="22"/>
      <c r="B34" s="24">
        <v>26</v>
      </c>
      <c r="C34" s="25">
        <f>'Fuel Diesel'!C34</f>
        <v>6</v>
      </c>
      <c r="D34" s="25">
        <f>'Fuel Diesel'!D34</f>
        <v>19</v>
      </c>
      <c r="E34" s="26"/>
      <c r="F34" s="28">
        <f t="shared" si="2"/>
        <v>0</v>
      </c>
      <c r="G34" s="26"/>
      <c r="H34" s="28">
        <f t="shared" si="3"/>
        <v>0</v>
      </c>
      <c r="I34" s="26">
        <v>201</v>
      </c>
      <c r="J34" s="28">
        <f t="shared" si="4"/>
        <v>804000</v>
      </c>
      <c r="K34" s="26">
        <f t="shared" si="0"/>
        <v>804000</v>
      </c>
      <c r="L34" s="79">
        <f t="shared" si="1"/>
        <v>55.907099645365413</v>
      </c>
      <c r="M34" s="23"/>
    </row>
    <row r="35" spans="1:15" x14ac:dyDescent="0.25">
      <c r="A35" s="22"/>
      <c r="B35" s="24">
        <v>27</v>
      </c>
      <c r="C35" s="25">
        <f>'Fuel Diesel'!C35</f>
        <v>6</v>
      </c>
      <c r="D35" s="25">
        <f>'Fuel Diesel'!D35</f>
        <v>32</v>
      </c>
      <c r="E35" s="26"/>
      <c r="F35" s="28">
        <f t="shared" si="2"/>
        <v>0</v>
      </c>
      <c r="G35" s="26"/>
      <c r="H35" s="28">
        <f t="shared" si="3"/>
        <v>0</v>
      </c>
      <c r="I35" s="26">
        <v>202</v>
      </c>
      <c r="J35" s="28">
        <f t="shared" si="4"/>
        <v>808000</v>
      </c>
      <c r="K35" s="26">
        <f t="shared" si="0"/>
        <v>808000</v>
      </c>
      <c r="L35" s="79">
        <f t="shared" si="1"/>
        <v>56.185244419720462</v>
      </c>
      <c r="M35" s="23"/>
    </row>
    <row r="36" spans="1:15" x14ac:dyDescent="0.25">
      <c r="A36" s="22"/>
      <c r="B36" s="24">
        <v>28</v>
      </c>
      <c r="C36" s="25">
        <f>'Fuel Diesel'!C36</f>
        <v>7</v>
      </c>
      <c r="D36" s="25">
        <f>'Fuel Diesel'!D36</f>
        <v>41</v>
      </c>
      <c r="E36" s="26"/>
      <c r="F36" s="28">
        <f t="shared" si="2"/>
        <v>0</v>
      </c>
      <c r="G36" s="26"/>
      <c r="H36" s="28">
        <f t="shared" si="3"/>
        <v>0</v>
      </c>
      <c r="I36" s="26">
        <v>157</v>
      </c>
      <c r="J36" s="28">
        <f t="shared" si="4"/>
        <v>628000</v>
      </c>
      <c r="K36" s="26">
        <f t="shared" si="0"/>
        <v>628000</v>
      </c>
      <c r="L36" s="79">
        <f t="shared" si="1"/>
        <v>43.668729573743136</v>
      </c>
      <c r="M36" s="23"/>
    </row>
    <row r="37" spans="1:15" x14ac:dyDescent="0.25">
      <c r="A37" s="22"/>
      <c r="B37" s="24">
        <v>29</v>
      </c>
      <c r="C37" s="25">
        <f>'Fuel Diesel'!C37</f>
        <v>7</v>
      </c>
      <c r="D37" s="25">
        <f>'Fuel Diesel'!D37</f>
        <v>48</v>
      </c>
      <c r="E37" s="26"/>
      <c r="F37" s="28">
        <f t="shared" si="2"/>
        <v>0</v>
      </c>
      <c r="G37" s="26"/>
      <c r="H37" s="28">
        <f t="shared" si="3"/>
        <v>0</v>
      </c>
      <c r="I37" s="26">
        <v>177</v>
      </c>
      <c r="J37" s="28">
        <f t="shared" si="4"/>
        <v>708000</v>
      </c>
      <c r="K37" s="26">
        <f t="shared" si="0"/>
        <v>708000</v>
      </c>
      <c r="L37" s="79">
        <f t="shared" si="1"/>
        <v>49.231625060844166</v>
      </c>
      <c r="M37" s="23"/>
    </row>
    <row r="38" spans="1:15" x14ac:dyDescent="0.25">
      <c r="A38" s="22"/>
      <c r="B38" s="24">
        <v>30</v>
      </c>
      <c r="C38" s="25">
        <f>'Fuel Diesel'!C38</f>
        <v>7</v>
      </c>
      <c r="D38" s="25">
        <f>'Fuel Diesel'!D38</f>
        <v>37</v>
      </c>
      <c r="E38" s="26"/>
      <c r="F38" s="28">
        <f t="shared" si="2"/>
        <v>0</v>
      </c>
      <c r="G38" s="26"/>
      <c r="H38" s="28">
        <f t="shared" si="3"/>
        <v>0</v>
      </c>
      <c r="I38" s="26">
        <v>189</v>
      </c>
      <c r="J38" s="28">
        <f t="shared" si="4"/>
        <v>756000</v>
      </c>
      <c r="K38" s="26">
        <f t="shared" si="0"/>
        <v>756000</v>
      </c>
      <c r="L38" s="79">
        <f t="shared" si="1"/>
        <v>52.569362353104793</v>
      </c>
      <c r="M38" s="23"/>
    </row>
    <row r="39" spans="1:15" x14ac:dyDescent="0.25">
      <c r="A39" s="22"/>
      <c r="B39" s="24">
        <v>31</v>
      </c>
      <c r="C39" s="25" t="str">
        <f>'Fuel Diesel'!C39</f>
        <v xml:space="preserve"> -   </v>
      </c>
      <c r="D39" s="25" t="str">
        <f>'Fuel Diesel'!D39</f>
        <v xml:space="preserve"> -   </v>
      </c>
      <c r="E39" s="26"/>
      <c r="F39" s="28">
        <f t="shared" si="2"/>
        <v>0</v>
      </c>
      <c r="G39" s="26">
        <v>0</v>
      </c>
      <c r="H39" s="28">
        <f t="shared" si="3"/>
        <v>0</v>
      </c>
      <c r="I39" s="26">
        <v>0</v>
      </c>
      <c r="J39" s="28">
        <f t="shared" si="4"/>
        <v>0</v>
      </c>
      <c r="K39" s="26">
        <f t="shared" si="0"/>
        <v>0</v>
      </c>
      <c r="L39" s="79">
        <f t="shared" si="1"/>
        <v>0</v>
      </c>
      <c r="M39" s="23"/>
    </row>
    <row r="40" spans="1:15" x14ac:dyDescent="0.25">
      <c r="C40" s="32">
        <f>SUM(C9:C39)</f>
        <v>228</v>
      </c>
      <c r="D40" s="32">
        <f>SUM(D9:D39)</f>
        <v>1043</v>
      </c>
      <c r="E40" s="32">
        <v>0</v>
      </c>
      <c r="G40" s="32">
        <f>SUM(G9:G39)</f>
        <v>0</v>
      </c>
      <c r="I40" s="32">
        <f>SUM(I9:I39)</f>
        <v>5259</v>
      </c>
      <c r="J40" s="94">
        <f>G40+I40</f>
        <v>5259</v>
      </c>
      <c r="K40" s="80"/>
      <c r="L40" s="88">
        <f>SUM(L9:L39)</f>
        <v>1462.7633683332178</v>
      </c>
      <c r="O40" s="37"/>
    </row>
    <row r="41" spans="1:15" x14ac:dyDescent="0.25">
      <c r="H41" s="93" t="s">
        <v>58</v>
      </c>
      <c r="I41" s="92">
        <f>G40+I40</f>
        <v>5259</v>
      </c>
      <c r="L41" s="38"/>
    </row>
    <row r="42" spans="1:15" x14ac:dyDescent="0.25">
      <c r="E42" s="21"/>
      <c r="F42" s="21"/>
      <c r="G42" s="21"/>
      <c r="H42" s="21"/>
      <c r="I42" s="81"/>
      <c r="J42" s="81"/>
      <c r="L42" s="40"/>
    </row>
    <row r="43" spans="1:15" x14ac:dyDescent="0.25">
      <c r="E43" s="21"/>
      <c r="F43" s="21"/>
      <c r="G43" s="21"/>
      <c r="H43" s="21"/>
      <c r="I43" s="81"/>
      <c r="J43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Siget Pamungkas</cp:lastModifiedBy>
  <dcterms:created xsi:type="dcterms:W3CDTF">2022-01-19T02:48:06Z</dcterms:created>
  <dcterms:modified xsi:type="dcterms:W3CDTF">2022-06-05T06:29:09Z</dcterms:modified>
</cp:coreProperties>
</file>