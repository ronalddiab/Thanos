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AF34" i="7" l="1"/>
  <c r="I32" i="5"/>
  <c r="B32" i="5"/>
  <c r="S32" i="9" l="1"/>
  <c r="B32" i="9"/>
  <c r="AV36" i="7" l="1"/>
  <c r="AW36" i="7" s="1"/>
  <c r="AV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H38" i="7"/>
  <c r="AP38" i="7"/>
  <c r="AL38" i="7"/>
  <c r="AR38" i="7"/>
  <c r="AO38" i="7"/>
  <c r="AN38" i="7"/>
  <c r="AM38" i="7"/>
  <c r="AK38" i="7"/>
  <c r="AJ38" i="7"/>
  <c r="AI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<sst xmlns="http://schemas.openxmlformats.org/spreadsheetml/2006/main" count="128" uniqueCount="49">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</sst>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41190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21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40970</v>
      </c>
      <c r="F5" s="11">
        <v>5.0000000000000001E-3</v>
      </c>
      <c r="G5" s="12">
        <f>Submetering!R5</f>
        <v>644.65532300000007</v>
      </c>
      <c r="H5" s="11">
        <v>0.52800000000000002</v>
      </c>
      <c r="I5" s="12">
        <f>Hotel!B10</f>
        <v>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40740</v>
      </c>
      <c r="F6" s="11">
        <v>5.0000000000000001E-3</v>
      </c>
      <c r="G6" s="12">
        <f>Submetering!R6</f>
        <v>645.41240500000004</v>
      </c>
      <c r="H6" s="11">
        <v>0.52800000000000002</v>
      </c>
      <c r="I6" s="12">
        <f>Hotel!B11</f>
        <v>21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41990</v>
      </c>
      <c r="F7" s="11">
        <v>5.0000000000000001E-3</v>
      </c>
      <c r="G7" s="12">
        <f>Submetering!R7</f>
        <v>623.45702700000004</v>
      </c>
      <c r="H7" s="11">
        <v>0.52800000000000002</v>
      </c>
      <c r="I7" s="12">
        <f>Hotel!B12</f>
        <v>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41130</v>
      </c>
      <c r="F8" s="11">
        <v>5.0000000000000001E-3</v>
      </c>
      <c r="G8" s="12">
        <f>Submetering!R8</f>
        <v>858.90952899999991</v>
      </c>
      <c r="H8" s="11">
        <v>0.52800000000000002</v>
      </c>
      <c r="I8" s="12">
        <f>Hotel!B13</f>
        <v>25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42210</v>
      </c>
      <c r="F9" s="11">
        <v>5.0000000000000001E-3</v>
      </c>
      <c r="G9" s="12">
        <f>Submetering!R9</f>
        <v>454.62774100000001</v>
      </c>
      <c r="H9" s="11">
        <v>0.52800000000000002</v>
      </c>
      <c r="I9" s="12">
        <f>Hotel!B14</f>
        <v>16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39920</v>
      </c>
      <c r="F10" s="11">
        <v>5.0000000000000001E-3</v>
      </c>
      <c r="G10" s="12">
        <f>Submetering!R10</f>
        <v>763.89573799999994</v>
      </c>
      <c r="H10" s="11">
        <v>0.52800000000000002</v>
      </c>
      <c r="I10" s="12">
        <f>Hotel!B15</f>
        <v>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40250</v>
      </c>
      <c r="F11" s="11">
        <v>5.0000000000000001E-3</v>
      </c>
      <c r="G11" s="12">
        <f>Submetering!R11</f>
        <v>794.93610000000001</v>
      </c>
      <c r="H11" s="11">
        <v>0.52800000000000002</v>
      </c>
      <c r="I11" s="12">
        <f>Hotel!B16</f>
        <v>16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40880</v>
      </c>
      <c r="F12" s="11">
        <v>5.0000000000000001E-3</v>
      </c>
      <c r="G12" s="12">
        <f>Submetering!R12</f>
        <v>615.88620700000001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44920</v>
      </c>
      <c r="F13" s="11">
        <v>5.0000000000000001E-3</v>
      </c>
      <c r="G13" s="12">
        <f>Submetering!R13</f>
        <v>781.68716499999994</v>
      </c>
      <c r="H13" s="11">
        <v>0.52800000000000002</v>
      </c>
      <c r="I13" s="12">
        <f>Hotel!B18</f>
        <v>25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40430</v>
      </c>
      <c r="F14" s="11">
        <v>5.0000000000000001E-3</v>
      </c>
      <c r="G14" s="12">
        <f>Submetering!R14</f>
        <v>976.25723899999991</v>
      </c>
      <c r="H14" s="11">
        <v>0.52800000000000002</v>
      </c>
      <c r="I14" s="12">
        <f>Hotel!B19</f>
        <v>104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43730</v>
      </c>
      <c r="F15" s="11">
        <v>5.0000000000000001E-3</v>
      </c>
      <c r="G15" s="12">
        <f>Submetering!R15</f>
        <v>1185.590412</v>
      </c>
      <c r="H15" s="11">
        <v>0.52800000000000002</v>
      </c>
      <c r="I15" s="12">
        <f>Hotel!B20</f>
        <v>169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51940</v>
      </c>
      <c r="F16" s="11">
        <v>5.0000000000000001E-3</v>
      </c>
      <c r="G16" s="12">
        <f>Submetering!R16</f>
        <v>1528.927099</v>
      </c>
      <c r="H16" s="11">
        <v>0.52800000000000002</v>
      </c>
      <c r="I16" s="12">
        <f>Hotel!B21</f>
        <v>177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53290</v>
      </c>
      <c r="F17" s="11">
        <v>5.0000000000000001E-3</v>
      </c>
      <c r="G17" s="12">
        <f>Submetering!R17</f>
        <v>1485.016343</v>
      </c>
      <c r="H17" s="11">
        <v>0.52800000000000002</v>
      </c>
      <c r="I17" s="12">
        <f>Hotel!B22</f>
        <v>74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52610</v>
      </c>
      <c r="F18" s="11">
        <v>5.0000000000000001E-3</v>
      </c>
      <c r="G18" s="12">
        <f>Submetering!R18</f>
        <v>1392.2737979999999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>
        <f>Hotel!Q9</f>
        <v>550</v>
      </c>
      <c r="F4" s="4">
        <f>Hotel!R9</f>
        <v>1870</v>
      </c>
      <c r="G4" s="4">
        <f>Hotel!S9</f>
        <v>3610</v>
      </c>
      <c r="H4" s="4">
        <f>Hotel!T9</f>
        <v>1480</v>
      </c>
      <c r="I4" s="4">
        <f>Hotel!U9</f>
        <v>2450</v>
      </c>
      <c r="J4" s="4">
        <f>Hotel!V9</f>
        <v>2580</v>
      </c>
      <c r="K4" s="4">
        <f>Hotel!W9</f>
        <v>2240</v>
      </c>
      <c r="L4" s="4">
        <f>Hotel!X9</f>
        <v>1800</v>
      </c>
      <c r="M4" s="4">
        <f>Hotel!Y9</f>
        <v>3580</v>
      </c>
      <c r="N4" s="4">
        <f>Hotel!Z9</f>
        <v>1930</v>
      </c>
      <c r="O4" s="4">
        <f>Hotel!AA9</f>
        <v>2050</v>
      </c>
      <c r="P4" s="4">
        <f>Hotel!AB9</f>
        <v>5820</v>
      </c>
      <c r="Q4" s="4">
        <f>Hotel!AC9</f>
        <v>11230</v>
      </c>
      <c r="R4" s="4">
        <f>Hotel!AV9*0.00378541*100</f>
        <v>685.53775099999996</v>
      </c>
      <c r="S4" s="4">
        <f>Hotel!B9</f>
        <v>21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560</v>
      </c>
      <c r="F5" s="4">
        <f>Hotel!R10</f>
        <v>1930</v>
      </c>
      <c r="G5" s="4">
        <f>Hotel!S10</f>
        <v>3810</v>
      </c>
      <c r="H5" s="4">
        <f>Hotel!T10</f>
        <v>1540</v>
      </c>
      <c r="I5" s="4">
        <f>Hotel!U10</f>
        <v>2710</v>
      </c>
      <c r="J5" s="4">
        <f>Hotel!V10</f>
        <v>2580</v>
      </c>
      <c r="K5" s="4">
        <f>Hotel!W10</f>
        <v>2350</v>
      </c>
      <c r="L5" s="4">
        <f>Hotel!X10</f>
        <v>2010</v>
      </c>
      <c r="M5" s="4">
        <f>Hotel!Y10</f>
        <v>3690</v>
      </c>
      <c r="N5" s="4">
        <f>Hotel!Z10</f>
        <v>1880</v>
      </c>
      <c r="O5" s="4">
        <f>Hotel!AA10</f>
        <v>2140</v>
      </c>
      <c r="P5" s="4">
        <f>Hotel!AB10</f>
        <v>6260</v>
      </c>
      <c r="Q5" s="4">
        <f>Hotel!AC10</f>
        <v>9510</v>
      </c>
      <c r="R5" s="4">
        <f>Hotel!AV10*0.00378541*100</f>
        <v>644.65532300000007</v>
      </c>
      <c r="S5" s="4">
        <f>Hotel!B10</f>
        <v>19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>
        <f>Hotel!Q11</f>
        <v>550</v>
      </c>
      <c r="F6" s="4">
        <f>Hotel!R11</f>
        <v>1880</v>
      </c>
      <c r="G6" s="4">
        <f>Hotel!S11</f>
        <v>3630</v>
      </c>
      <c r="H6" s="4">
        <f>Hotel!T11</f>
        <v>1480</v>
      </c>
      <c r="I6" s="4">
        <f>Hotel!U11</f>
        <v>2510</v>
      </c>
      <c r="J6" s="4">
        <f>Hotel!V11</f>
        <v>2500</v>
      </c>
      <c r="K6" s="4">
        <f>Hotel!W11</f>
        <v>2270</v>
      </c>
      <c r="L6" s="4">
        <f>Hotel!X11</f>
        <v>2120</v>
      </c>
      <c r="M6" s="4">
        <f>Hotel!Y11</f>
        <v>3640</v>
      </c>
      <c r="N6" s="4">
        <f>Hotel!Z11</f>
        <v>1860</v>
      </c>
      <c r="O6" s="4">
        <f>Hotel!AA11</f>
        <v>2060</v>
      </c>
      <c r="P6" s="4">
        <f>Hotel!AB11</f>
        <v>5970</v>
      </c>
      <c r="Q6" s="4">
        <f>Hotel!AC11</f>
        <v>10270</v>
      </c>
      <c r="R6" s="4">
        <f>Hotel!AV11*0.00378541*100</f>
        <v>645.41240500000004</v>
      </c>
      <c r="S6" s="4">
        <f>Hotel!B11</f>
        <v>21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>
        <f>Hotel!Q12</f>
        <v>540</v>
      </c>
      <c r="F7" s="4">
        <f>Hotel!R12</f>
        <v>1860</v>
      </c>
      <c r="G7" s="4">
        <f>Hotel!S12</f>
        <v>3690</v>
      </c>
      <c r="H7" s="4">
        <f>Hotel!T12</f>
        <v>1480</v>
      </c>
      <c r="I7" s="4">
        <f>Hotel!U12</f>
        <v>2620</v>
      </c>
      <c r="J7" s="4">
        <f>Hotel!V12</f>
        <v>2590</v>
      </c>
      <c r="K7" s="4">
        <f>Hotel!W12</f>
        <v>2210</v>
      </c>
      <c r="L7" s="4">
        <f>Hotel!X12</f>
        <v>2070</v>
      </c>
      <c r="M7" s="4">
        <f>Hotel!Y12</f>
        <v>3520</v>
      </c>
      <c r="N7" s="4">
        <f>Hotel!Z12</f>
        <v>1800</v>
      </c>
      <c r="O7" s="4">
        <f>Hotel!AA12</f>
        <v>2160</v>
      </c>
      <c r="P7" s="4">
        <f>Hotel!AB12</f>
        <v>5930</v>
      </c>
      <c r="Q7" s="4">
        <f>Hotel!AC12</f>
        <v>11520</v>
      </c>
      <c r="R7" s="4">
        <f>Hotel!AV12*0.00378541*100</f>
        <v>623.45702700000004</v>
      </c>
      <c r="S7" s="4">
        <f>Hotel!B12</f>
        <v>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550</v>
      </c>
      <c r="F8" s="4">
        <f>Hotel!R13</f>
        <v>1880</v>
      </c>
      <c r="G8" s="4">
        <f>Hotel!S13</f>
        <v>3850</v>
      </c>
      <c r="H8" s="4">
        <f>Hotel!T13</f>
        <v>1500</v>
      </c>
      <c r="I8" s="4">
        <f>Hotel!U13</f>
        <v>2610</v>
      </c>
      <c r="J8" s="4">
        <f>Hotel!V13</f>
        <v>2530</v>
      </c>
      <c r="K8" s="4">
        <f>Hotel!W13</f>
        <v>2220</v>
      </c>
      <c r="L8" s="4">
        <f>Hotel!X13</f>
        <v>1990</v>
      </c>
      <c r="M8" s="4">
        <f>Hotel!Y13</f>
        <v>3520</v>
      </c>
      <c r="N8" s="4">
        <f>Hotel!Z13</f>
        <v>1950</v>
      </c>
      <c r="O8" s="4">
        <f>Hotel!AA13</f>
        <v>2230</v>
      </c>
      <c r="P8" s="4">
        <f>Hotel!AB13</f>
        <v>6090</v>
      </c>
      <c r="Q8" s="4">
        <f>Hotel!AC13</f>
        <v>10210</v>
      </c>
      <c r="R8" s="4">
        <f>Hotel!AV13*0.00378541*100</f>
        <v>858.90952899999991</v>
      </c>
      <c r="S8" s="4">
        <f>Hotel!B13</f>
        <v>25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570</v>
      </c>
      <c r="F9" s="4">
        <f>Hotel!R14</f>
        <v>1950</v>
      </c>
      <c r="G9" s="4">
        <f>Hotel!S14</f>
        <v>3920</v>
      </c>
      <c r="H9" s="4">
        <f>Hotel!T14</f>
        <v>1560</v>
      </c>
      <c r="I9" s="4">
        <f>Hotel!U14</f>
        <v>2740</v>
      </c>
      <c r="J9" s="4">
        <f>Hotel!V14</f>
        <v>2630</v>
      </c>
      <c r="K9" s="4">
        <f>Hotel!W14</f>
        <v>2320</v>
      </c>
      <c r="L9" s="4">
        <f>Hotel!X14</f>
        <v>2190</v>
      </c>
      <c r="M9" s="4">
        <f>Hotel!Y14</f>
        <v>3710</v>
      </c>
      <c r="N9" s="4">
        <f>Hotel!Z14</f>
        <v>2000</v>
      </c>
      <c r="O9" s="4">
        <f>Hotel!AA14</f>
        <v>2490</v>
      </c>
      <c r="P9" s="4">
        <f>Hotel!AB14</f>
        <v>6240</v>
      </c>
      <c r="Q9" s="4">
        <f>Hotel!AC14</f>
        <v>9890</v>
      </c>
      <c r="R9" s="4">
        <f>Hotel!AV14*0.00378541*100</f>
        <v>454.62774100000001</v>
      </c>
      <c r="S9" s="4">
        <f>Hotel!B14</f>
        <v>16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3840</v>
      </c>
      <c r="H10" s="4">
        <f>Hotel!T15</f>
        <v>1500</v>
      </c>
      <c r="I10" s="4">
        <f>Hotel!U15</f>
        <v>2730</v>
      </c>
      <c r="J10" s="4">
        <f>Hotel!V15</f>
        <v>2590</v>
      </c>
      <c r="K10" s="4">
        <f>Hotel!W15</f>
        <v>2240</v>
      </c>
      <c r="L10" s="4">
        <f>Hotel!X15</f>
        <v>2160</v>
      </c>
      <c r="M10" s="4">
        <f>Hotel!Y15</f>
        <v>3550</v>
      </c>
      <c r="N10" s="4">
        <f>Hotel!Z15</f>
        <v>2050</v>
      </c>
      <c r="O10" s="4">
        <f>Hotel!AA15</f>
        <v>2340</v>
      </c>
      <c r="P10" s="4">
        <f>Hotel!AB15</f>
        <v>5890</v>
      </c>
      <c r="Q10" s="4">
        <f>Hotel!AC15</f>
        <v>8590</v>
      </c>
      <c r="R10" s="4">
        <f>Hotel!AV15*0.00378541*100</f>
        <v>763.89573799999994</v>
      </c>
      <c r="S10" s="4">
        <f>Hotel!B15</f>
        <v>13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>
        <f>Hotel!Q16</f>
        <v>550</v>
      </c>
      <c r="F11" s="4">
        <f>Hotel!R16</f>
        <v>1870</v>
      </c>
      <c r="G11" s="4">
        <f>Hotel!S16</f>
        <v>3830</v>
      </c>
      <c r="H11" s="4">
        <f>Hotel!T16</f>
        <v>1490</v>
      </c>
      <c r="I11" s="4">
        <f>Hotel!U16</f>
        <v>3860</v>
      </c>
      <c r="J11" s="4">
        <f>Hotel!V16</f>
        <v>2580</v>
      </c>
      <c r="K11" s="4">
        <f>Hotel!W16</f>
        <v>2270</v>
      </c>
      <c r="L11" s="4">
        <f>Hotel!X16</f>
        <v>2180</v>
      </c>
      <c r="M11" s="4">
        <f>Hotel!Y16</f>
        <v>3460</v>
      </c>
      <c r="N11" s="4">
        <f>Hotel!Z16</f>
        <v>1990</v>
      </c>
      <c r="O11" s="4">
        <f>Hotel!AA16</f>
        <v>2240</v>
      </c>
      <c r="P11" s="4">
        <f>Hotel!AB16</f>
        <v>5720</v>
      </c>
      <c r="Q11" s="4">
        <f>Hotel!AC16</f>
        <v>8210</v>
      </c>
      <c r="R11" s="4">
        <f>Hotel!AV16*0.00378541*100</f>
        <v>794.93610000000001</v>
      </c>
      <c r="S11" s="4">
        <f>Hotel!B16</f>
        <v>16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>
        <f>Hotel!Q17</f>
        <v>520</v>
      </c>
      <c r="F12" s="4">
        <f>Hotel!R17</f>
        <v>1810</v>
      </c>
      <c r="G12" s="4">
        <f>Hotel!S17</f>
        <v>3950</v>
      </c>
      <c r="H12" s="4">
        <f>Hotel!T17</f>
        <v>1440</v>
      </c>
      <c r="I12" s="4">
        <f>Hotel!U17</f>
        <v>3010</v>
      </c>
      <c r="J12" s="4">
        <f>Hotel!V17</f>
        <v>2580</v>
      </c>
      <c r="K12" s="4">
        <f>Hotel!W17</f>
        <v>2170</v>
      </c>
      <c r="L12" s="4">
        <f>Hotel!X17</f>
        <v>2100</v>
      </c>
      <c r="M12" s="4">
        <f>Hotel!Y17</f>
        <v>3610</v>
      </c>
      <c r="N12" s="4">
        <f>Hotel!Z17</f>
        <v>1950</v>
      </c>
      <c r="O12" s="4">
        <f>Hotel!AA17</f>
        <v>2160</v>
      </c>
      <c r="P12" s="4">
        <f>Hotel!AB17</f>
        <v>6100</v>
      </c>
      <c r="Q12" s="4">
        <f>Hotel!AC17</f>
        <v>9480</v>
      </c>
      <c r="R12" s="4">
        <f>Hotel!AV17*0.00378541*100</f>
        <v>615.88620700000001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560</v>
      </c>
      <c r="F13" s="4">
        <f>Hotel!R18</f>
        <v>1910</v>
      </c>
      <c r="G13" s="4">
        <f>Hotel!S18</f>
        <v>4050</v>
      </c>
      <c r="H13" s="4">
        <f>Hotel!T18</f>
        <v>1510</v>
      </c>
      <c r="I13" s="4">
        <f>Hotel!U18</f>
        <v>4110</v>
      </c>
      <c r="J13" s="4">
        <f>Hotel!V18</f>
        <v>2820</v>
      </c>
      <c r="K13" s="4">
        <f>Hotel!W18</f>
        <v>2310</v>
      </c>
      <c r="L13" s="4">
        <f>Hotel!X18</f>
        <v>2550</v>
      </c>
      <c r="M13" s="4">
        <f>Hotel!Y18</f>
        <v>3940</v>
      </c>
      <c r="N13" s="4">
        <f>Hotel!Z18</f>
        <v>2270</v>
      </c>
      <c r="O13" s="4">
        <f>Hotel!AA18</f>
        <v>2490</v>
      </c>
      <c r="P13" s="4">
        <f>Hotel!AB18</f>
        <v>6160</v>
      </c>
      <c r="Q13" s="4">
        <f>Hotel!AC18</f>
        <v>10240</v>
      </c>
      <c r="R13" s="4">
        <f>Hotel!AV18*0.00378541*100</f>
        <v>781.68716499999994</v>
      </c>
      <c r="S13" s="4">
        <f>Hotel!B18</f>
        <v>25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4160</v>
      </c>
      <c r="H14" s="4">
        <f>Hotel!T19</f>
        <v>1470</v>
      </c>
      <c r="I14" s="4">
        <f>Hotel!U19</f>
        <v>3870</v>
      </c>
      <c r="J14" s="4">
        <f>Hotel!V19</f>
        <v>3160</v>
      </c>
      <c r="K14" s="4">
        <f>Hotel!W19</f>
        <v>2270</v>
      </c>
      <c r="L14" s="4">
        <f>Hotel!X19</f>
        <v>2980</v>
      </c>
      <c r="M14" s="4">
        <f>Hotel!Y19</f>
        <v>3980</v>
      </c>
      <c r="N14" s="4">
        <f>Hotel!Z19</f>
        <v>2610</v>
      </c>
      <c r="O14" s="4">
        <f>Hotel!AA19</f>
        <v>2650</v>
      </c>
      <c r="P14" s="4">
        <f>Hotel!AB19</f>
        <v>6090</v>
      </c>
      <c r="Q14" s="4">
        <f>Hotel!AC19</f>
        <v>4770</v>
      </c>
      <c r="R14" s="4">
        <f>Hotel!AV19*0.00378541*100</f>
        <v>976.25723899999991</v>
      </c>
      <c r="S14" s="4">
        <f>Hotel!B19</f>
        <v>104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550</v>
      </c>
      <c r="F15" s="4">
        <f>Hotel!R20</f>
        <v>1900</v>
      </c>
      <c r="G15" s="4">
        <f>Hotel!S20</f>
        <v>4220</v>
      </c>
      <c r="H15" s="4">
        <f>Hotel!T20</f>
        <v>1500</v>
      </c>
      <c r="I15" s="4">
        <f>Hotel!U20</f>
        <v>4140</v>
      </c>
      <c r="J15" s="4">
        <f>Hotel!V20</f>
        <v>3320</v>
      </c>
      <c r="K15" s="4">
        <f>Hotel!W20</f>
        <v>2320</v>
      </c>
      <c r="L15" s="4">
        <f>Hotel!X20</f>
        <v>3060</v>
      </c>
      <c r="M15" s="4">
        <f>Hotel!Y20</f>
        <v>4140</v>
      </c>
      <c r="N15" s="4">
        <f>Hotel!Z20</f>
        <v>2920</v>
      </c>
      <c r="O15" s="4">
        <f>Hotel!AA20</f>
        <v>3230</v>
      </c>
      <c r="P15" s="4">
        <f>Hotel!AB20</f>
        <v>6370</v>
      </c>
      <c r="Q15" s="4">
        <f>Hotel!AC20</f>
        <v>6060</v>
      </c>
      <c r="R15" s="4">
        <f>Hotel!AV20*0.00378541*100</f>
        <v>1185.590412</v>
      </c>
      <c r="S15" s="4">
        <f>Hotel!B20</f>
        <v>169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830</v>
      </c>
      <c r="F16" s="4">
        <f>Hotel!R21</f>
        <v>10180</v>
      </c>
      <c r="G16" s="4">
        <f>Hotel!S21</f>
        <v>2100</v>
      </c>
      <c r="H16" s="4">
        <f>Hotel!T21</f>
        <v>1440</v>
      </c>
      <c r="I16" s="4">
        <f>Hotel!U21</f>
        <v>4720</v>
      </c>
      <c r="J16" s="4">
        <f>Hotel!V21</f>
        <v>3500</v>
      </c>
      <c r="K16" s="4">
        <f>Hotel!W21</f>
        <v>2340</v>
      </c>
      <c r="L16" s="4">
        <f>Hotel!X21</f>
        <v>3280</v>
      </c>
      <c r="M16" s="4">
        <f>Hotel!Y21</f>
        <v>4310</v>
      </c>
      <c r="N16" s="4">
        <f>Hotel!Z21</f>
        <v>2950</v>
      </c>
      <c r="O16" s="4">
        <f>Hotel!AA21</f>
        <v>3510</v>
      </c>
      <c r="P16" s="4">
        <f>Hotel!AB21</f>
        <v>6500</v>
      </c>
      <c r="Q16" s="4">
        <f>Hotel!AC21</f>
        <v>6280</v>
      </c>
      <c r="R16" s="4">
        <f>Hotel!AV21*0.00378541*100</f>
        <v>1528.927099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990</v>
      </c>
      <c r="F17" s="4">
        <f>Hotel!R22</f>
        <v>13980</v>
      </c>
      <c r="G17" s="4">
        <f>Hotel!S22</f>
        <v>1280</v>
      </c>
      <c r="H17" s="4">
        <f>Hotel!T22</f>
        <v>1390</v>
      </c>
      <c r="I17" s="4">
        <f>Hotel!U22</f>
        <v>4340</v>
      </c>
      <c r="J17" s="4">
        <f>Hotel!V22</f>
        <v>3330</v>
      </c>
      <c r="K17" s="4">
        <f>Hotel!W22</f>
        <v>2250</v>
      </c>
      <c r="L17" s="4">
        <f>Hotel!X22</f>
        <v>3090</v>
      </c>
      <c r="M17" s="4">
        <f>Hotel!Y22</f>
        <v>4000</v>
      </c>
      <c r="N17" s="4">
        <f>Hotel!Z22</f>
        <v>2660</v>
      </c>
      <c r="O17" s="4">
        <f>Hotel!AA22</f>
        <v>3280</v>
      </c>
      <c r="P17" s="4">
        <f>Hotel!AB22</f>
        <v>6270</v>
      </c>
      <c r="Q17" s="4">
        <f>Hotel!AC22</f>
        <v>6430</v>
      </c>
      <c r="R17" s="4">
        <f>Hotel!AV22*0.00378541*100</f>
        <v>1485.016343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1000</v>
      </c>
      <c r="F18" s="4">
        <f>Hotel!R23</f>
        <v>16030</v>
      </c>
      <c r="G18" s="4">
        <f>Hotel!S23</f>
        <v>60</v>
      </c>
      <c r="H18" s="4">
        <f>Hotel!T23</f>
        <v>1280</v>
      </c>
      <c r="I18" s="4">
        <f>Hotel!U23</f>
        <v>4060</v>
      </c>
      <c r="J18" s="4">
        <f>Hotel!V23</f>
        <v>3260</v>
      </c>
      <c r="K18" s="4">
        <f>Hotel!W23</f>
        <v>2280</v>
      </c>
      <c r="L18" s="4">
        <f>Hotel!X23</f>
        <v>2960</v>
      </c>
      <c r="M18" s="4">
        <f>Hotel!Y23</f>
        <v>3850</v>
      </c>
      <c r="N18" s="4">
        <f>Hotel!Z23</f>
        <v>2420</v>
      </c>
      <c r="O18" s="4">
        <f>Hotel!AA23</f>
        <v>3070</v>
      </c>
      <c r="P18" s="4">
        <f>Hotel!AB23</f>
        <v>5980</v>
      </c>
      <c r="Q18" s="4">
        <f>Hotel!AC23</f>
        <v>6360</v>
      </c>
      <c r="R18" s="4">
        <f>Hotel!AV23*0.00378541*100</f>
        <v>1392.2737979999999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D4" zoomScale="93" zoomScaleNormal="93" workbookViewId="0">
      <selection activeCell="O23" sqref="O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2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35">
        <f t="shared" ref="AW7:AW35" si="14">AV7*$D$40</f>
        <v>2.14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5">IF((D8-D7&lt;0), "0",D8-D7)</f>
        <v>1850</v>
      </c>
      <c r="S8" s="37">
        <f t="shared" ref="S8:S35" si="16">IF((E8-E7&lt;0), "0",E8-E7)</f>
        <v>3560</v>
      </c>
      <c r="T8" s="37">
        <f t="shared" si="15"/>
        <v>1480</v>
      </c>
      <c r="U8" s="37">
        <f t="shared" si="15"/>
        <v>2440</v>
      </c>
      <c r="V8" s="37">
        <f t="shared" si="15"/>
        <v>2520</v>
      </c>
      <c r="W8" s="37">
        <f t="shared" si="15"/>
        <v>2250</v>
      </c>
      <c r="X8" s="37">
        <f t="shared" si="15"/>
        <v>1840</v>
      </c>
      <c r="Y8" s="37">
        <f t="shared" si="15"/>
        <v>3500</v>
      </c>
      <c r="Z8" s="37">
        <f t="shared" si="15"/>
        <v>1820</v>
      </c>
      <c r="AA8" s="37">
        <f t="shared" si="15"/>
        <v>2350</v>
      </c>
      <c r="AB8" s="37">
        <f t="shared" si="15"/>
        <v>5900</v>
      </c>
      <c r="AC8" s="37">
        <f t="shared" si="15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f t="shared" si="14"/>
        <v>3.0340000000000003</v>
      </c>
    </row>
    <row r="9" spans="1:49" x14ac:dyDescent="0.25">
      <c r="A9" s="23">
        <v>44319</v>
      </c>
      <c r="B9" s="40">
        <v>21</v>
      </c>
      <c r="C9" s="24">
        <v>6574550</v>
      </c>
      <c r="D9" s="24">
        <v>15265680</v>
      </c>
      <c r="E9" s="24">
        <v>2624110</v>
      </c>
      <c r="F9" s="24">
        <v>3416590</v>
      </c>
      <c r="G9" s="24">
        <v>10232800</v>
      </c>
      <c r="H9" s="24">
        <v>5399250</v>
      </c>
      <c r="I9" s="24">
        <v>4996280</v>
      </c>
      <c r="J9" s="24">
        <v>5789900</v>
      </c>
      <c r="K9" s="24">
        <v>9017990</v>
      </c>
      <c r="L9" s="24">
        <v>3736470</v>
      </c>
      <c r="M9" s="24">
        <v>7783110</v>
      </c>
      <c r="N9" s="24">
        <v>11773520</v>
      </c>
      <c r="O9" s="24">
        <v>16300750</v>
      </c>
      <c r="Q9" s="37">
        <f t="shared" ref="Q9:Q30" si="17">IF((C9-C8&lt;0), "0",C9-C8)</f>
        <v>550</v>
      </c>
      <c r="R9" s="37">
        <f t="shared" ref="R9:R35" si="18">IF((D9-D8&lt;0), "0",D9-D8)</f>
        <v>1870</v>
      </c>
      <c r="S9" s="37">
        <f t="shared" si="16"/>
        <v>3610</v>
      </c>
      <c r="T9" s="37">
        <f t="shared" ref="T9:T35" si="19">IF((F9-F8&lt;0), "0",F9-F8)</f>
        <v>1480</v>
      </c>
      <c r="U9" s="37">
        <f t="shared" ref="U9:U35" si="20">IF((G9-G8&lt;0), "0",G9-G8)</f>
        <v>2450</v>
      </c>
      <c r="V9" s="37">
        <f t="shared" ref="V9:V35" si="21">IF((H9-H8&lt;0), "0",H9-H8)</f>
        <v>2580</v>
      </c>
      <c r="W9" s="37">
        <f t="shared" ref="W9:W35" si="22">IF((I9-I8&lt;0), "0",I9-I8)</f>
        <v>2240</v>
      </c>
      <c r="X9" s="37">
        <f t="shared" ref="X9:X35" si="23">IF((J9-J8&lt;0), "0",J9-J8)</f>
        <v>1800</v>
      </c>
      <c r="Y9" s="37">
        <f t="shared" ref="Y9:Y35" si="24">IF((K9-K8&lt;0), "0",K9-K8)</f>
        <v>3580</v>
      </c>
      <c r="Z9" s="37">
        <f t="shared" ref="Z9:Z35" si="25">IF((L9-L8&lt;0), "0",L9-L8)</f>
        <v>1930</v>
      </c>
      <c r="AA9" s="37">
        <f t="shared" ref="AA9:AA35" si="26">IF((M9-M8&lt;0), "0",M9-M8)</f>
        <v>2050</v>
      </c>
      <c r="AB9" s="37">
        <f t="shared" ref="AB9:AB37" si="27">IF((N9-N8&lt;0), "0",N9-N8)</f>
        <v>5820</v>
      </c>
      <c r="AC9" s="37">
        <f t="shared" ref="AC9:AC37" si="28">IF((O9-O8&lt;0), "0",O9-O8)</f>
        <v>11230</v>
      </c>
      <c r="AD9" s="35">
        <f t="shared" ref="AD9:AD37" si="29">SUM(Q9:AC9)</f>
        <v>41190</v>
      </c>
      <c r="AF9" s="20">
        <f t="shared" si="1"/>
        <v>2.75</v>
      </c>
      <c r="AG9" s="20">
        <f t="shared" si="2"/>
        <v>9.35</v>
      </c>
      <c r="AH9" s="20">
        <f t="shared" si="3"/>
        <v>18.05</v>
      </c>
      <c r="AI9" s="20">
        <f t="shared" si="4"/>
        <v>7.4</v>
      </c>
      <c r="AJ9" s="20">
        <f t="shared" si="5"/>
        <v>12.25</v>
      </c>
      <c r="AK9" s="20">
        <f t="shared" si="6"/>
        <v>12.9</v>
      </c>
      <c r="AL9" s="20">
        <f t="shared" si="7"/>
        <v>11.200000000000001</v>
      </c>
      <c r="AM9" s="20">
        <f t="shared" si="8"/>
        <v>9</v>
      </c>
      <c r="AN9" s="20">
        <f t="shared" si="9"/>
        <v>17.900000000000002</v>
      </c>
      <c r="AO9" s="20">
        <f t="shared" si="10"/>
        <v>9.65</v>
      </c>
      <c r="AP9" s="20">
        <f t="shared" si="11"/>
        <v>10.25</v>
      </c>
      <c r="AQ9" s="20">
        <f t="shared" si="12"/>
        <v>29.1</v>
      </c>
      <c r="AR9" s="20">
        <f t="shared" si="13"/>
        <v>56.15</v>
      </c>
      <c r="AS9" s="35">
        <f t="shared" ref="AS9:AS33" si="30">SUM(AF9:AR9)</f>
        <v>205.95000000000002</v>
      </c>
      <c r="AU9" s="47">
        <v>587596</v>
      </c>
      <c r="AV9" s="37">
        <f>IF((AU9-AU8&lt;0),"0",AU9-AU8)</f>
        <v>1811</v>
      </c>
      <c r="AW9" s="35">
        <f t="shared" si="14"/>
        <v>3.6219999999999999</v>
      </c>
    </row>
    <row r="10" spans="1:49" x14ac:dyDescent="0.25">
      <c r="A10" s="23">
        <v>44320</v>
      </c>
      <c r="B10" s="40">
        <v>19</v>
      </c>
      <c r="C10" s="24">
        <v>6575110</v>
      </c>
      <c r="D10" s="24">
        <v>15267610</v>
      </c>
      <c r="E10" s="24">
        <v>2627920</v>
      </c>
      <c r="F10" s="24">
        <v>3418130</v>
      </c>
      <c r="G10" s="24">
        <v>10235510</v>
      </c>
      <c r="H10" s="24">
        <v>5401830</v>
      </c>
      <c r="I10" s="24">
        <v>4998630</v>
      </c>
      <c r="J10" s="24">
        <v>5791910</v>
      </c>
      <c r="K10" s="24">
        <v>9021680</v>
      </c>
      <c r="L10" s="24">
        <v>3738350</v>
      </c>
      <c r="M10" s="24">
        <v>7785250</v>
      </c>
      <c r="N10" s="24">
        <v>11779780</v>
      </c>
      <c r="O10" s="24">
        <v>16310260</v>
      </c>
      <c r="Q10" s="37">
        <f t="shared" si="17"/>
        <v>560</v>
      </c>
      <c r="R10" s="37">
        <f t="shared" si="18"/>
        <v>1930</v>
      </c>
      <c r="S10" s="37">
        <f t="shared" si="16"/>
        <v>3810</v>
      </c>
      <c r="T10" s="37">
        <f t="shared" si="19"/>
        <v>1540</v>
      </c>
      <c r="U10" s="37">
        <f t="shared" si="20"/>
        <v>2710</v>
      </c>
      <c r="V10" s="37">
        <f t="shared" si="21"/>
        <v>2580</v>
      </c>
      <c r="W10" s="37">
        <f t="shared" si="22"/>
        <v>2350</v>
      </c>
      <c r="X10" s="37">
        <f t="shared" si="23"/>
        <v>2010</v>
      </c>
      <c r="Y10" s="37">
        <f t="shared" si="24"/>
        <v>3690</v>
      </c>
      <c r="Z10" s="37">
        <f t="shared" si="25"/>
        <v>1880</v>
      </c>
      <c r="AA10" s="37">
        <f t="shared" si="26"/>
        <v>2140</v>
      </c>
      <c r="AB10" s="37">
        <f t="shared" si="27"/>
        <v>6260</v>
      </c>
      <c r="AC10" s="37">
        <f t="shared" si="28"/>
        <v>9510</v>
      </c>
      <c r="AD10" s="35">
        <f t="shared" si="29"/>
        <v>40970</v>
      </c>
      <c r="AF10" s="20">
        <f t="shared" si="1"/>
        <v>2.8000000000000003</v>
      </c>
      <c r="AG10" s="20">
        <f t="shared" si="2"/>
        <v>9.65</v>
      </c>
      <c r="AH10" s="20">
        <f t="shared" si="3"/>
        <v>19.05</v>
      </c>
      <c r="AI10" s="20">
        <f t="shared" si="4"/>
        <v>7.7</v>
      </c>
      <c r="AJ10" s="20">
        <f t="shared" si="5"/>
        <v>13.55</v>
      </c>
      <c r="AK10" s="20">
        <f t="shared" si="6"/>
        <v>12.9</v>
      </c>
      <c r="AL10" s="20">
        <f t="shared" si="7"/>
        <v>11.75</v>
      </c>
      <c r="AM10" s="20">
        <f t="shared" si="8"/>
        <v>10.050000000000001</v>
      </c>
      <c r="AN10" s="20">
        <f t="shared" si="9"/>
        <v>18.45</v>
      </c>
      <c r="AO10" s="20">
        <f t="shared" si="10"/>
        <v>9.4</v>
      </c>
      <c r="AP10" s="20">
        <f t="shared" si="11"/>
        <v>10.700000000000001</v>
      </c>
      <c r="AQ10" s="20">
        <f t="shared" si="12"/>
        <v>31.3</v>
      </c>
      <c r="AR10" s="20">
        <f t="shared" si="13"/>
        <v>47.550000000000004</v>
      </c>
      <c r="AS10" s="35">
        <f t="shared" si="30"/>
        <v>204.85000000000002</v>
      </c>
      <c r="AU10" s="47">
        <v>589299</v>
      </c>
      <c r="AV10" s="37">
        <f t="shared" ref="AV10:AV26" si="31">IF((AU10-AU9&lt;0),"0",AU10-AU9)</f>
        <v>1703</v>
      </c>
      <c r="AW10" s="35">
        <f t="shared" si="14"/>
        <v>3.4060000000000001</v>
      </c>
    </row>
    <row r="11" spans="1:49" x14ac:dyDescent="0.25">
      <c r="A11" s="23">
        <v>44321</v>
      </c>
      <c r="B11" s="40">
        <v>21</v>
      </c>
      <c r="C11" s="24">
        <v>6575660</v>
      </c>
      <c r="D11" s="24">
        <v>15269490</v>
      </c>
      <c r="E11" s="24">
        <v>2631550</v>
      </c>
      <c r="F11" s="24">
        <v>3419610</v>
      </c>
      <c r="G11" s="24">
        <v>10238020</v>
      </c>
      <c r="H11" s="24">
        <v>5404330</v>
      </c>
      <c r="I11" s="24">
        <v>5000900</v>
      </c>
      <c r="J11" s="24">
        <v>5794030</v>
      </c>
      <c r="K11" s="24">
        <v>9025320</v>
      </c>
      <c r="L11" s="24">
        <v>3740210</v>
      </c>
      <c r="M11" s="24">
        <v>7787310</v>
      </c>
      <c r="N11" s="24">
        <v>11785750</v>
      </c>
      <c r="O11" s="24">
        <v>16320530</v>
      </c>
      <c r="Q11" s="37">
        <f t="shared" si="17"/>
        <v>550</v>
      </c>
      <c r="R11" s="37">
        <f t="shared" si="18"/>
        <v>1880</v>
      </c>
      <c r="S11" s="37">
        <f t="shared" si="16"/>
        <v>3630</v>
      </c>
      <c r="T11" s="37">
        <f t="shared" si="19"/>
        <v>1480</v>
      </c>
      <c r="U11" s="37">
        <f t="shared" si="20"/>
        <v>2510</v>
      </c>
      <c r="V11" s="37">
        <f t="shared" si="21"/>
        <v>2500</v>
      </c>
      <c r="W11" s="37">
        <f t="shared" si="22"/>
        <v>2270</v>
      </c>
      <c r="X11" s="37">
        <f t="shared" si="23"/>
        <v>2120</v>
      </c>
      <c r="Y11" s="37">
        <f t="shared" si="24"/>
        <v>3640</v>
      </c>
      <c r="Z11" s="37">
        <f t="shared" si="25"/>
        <v>1860</v>
      </c>
      <c r="AA11" s="37">
        <f t="shared" si="26"/>
        <v>2060</v>
      </c>
      <c r="AB11" s="37">
        <f t="shared" si="27"/>
        <v>5970</v>
      </c>
      <c r="AC11" s="37">
        <f t="shared" si="28"/>
        <v>10270</v>
      </c>
      <c r="AD11" s="35">
        <f t="shared" si="29"/>
        <v>40740</v>
      </c>
      <c r="AF11" s="20">
        <f t="shared" si="1"/>
        <v>2.75</v>
      </c>
      <c r="AG11" s="20">
        <f t="shared" si="2"/>
        <v>9.4</v>
      </c>
      <c r="AH11" s="20">
        <f t="shared" si="3"/>
        <v>18.150000000000002</v>
      </c>
      <c r="AI11" s="20">
        <f t="shared" si="4"/>
        <v>7.4</v>
      </c>
      <c r="AJ11" s="20">
        <f t="shared" si="5"/>
        <v>12.55</v>
      </c>
      <c r="AK11" s="20">
        <f t="shared" si="6"/>
        <v>12.5</v>
      </c>
      <c r="AL11" s="20">
        <f t="shared" si="7"/>
        <v>11.35</v>
      </c>
      <c r="AM11" s="20">
        <f t="shared" si="8"/>
        <v>10.6</v>
      </c>
      <c r="AN11" s="20">
        <f t="shared" si="9"/>
        <v>18.2</v>
      </c>
      <c r="AO11" s="20">
        <f t="shared" si="10"/>
        <v>9.3000000000000007</v>
      </c>
      <c r="AP11" s="20">
        <f t="shared" si="11"/>
        <v>10.3</v>
      </c>
      <c r="AQ11" s="20">
        <f t="shared" si="12"/>
        <v>29.85</v>
      </c>
      <c r="AR11" s="20">
        <f t="shared" si="13"/>
        <v>51.35</v>
      </c>
      <c r="AS11" s="35">
        <f t="shared" si="30"/>
        <v>203.7</v>
      </c>
      <c r="AU11" s="47">
        <v>591004</v>
      </c>
      <c r="AV11" s="37">
        <f t="shared" si="31"/>
        <v>1705</v>
      </c>
      <c r="AW11" s="35">
        <f t="shared" si="14"/>
        <v>3.41</v>
      </c>
    </row>
    <row r="12" spans="1:49" x14ac:dyDescent="0.25">
      <c r="A12" s="23">
        <v>44322</v>
      </c>
      <c r="B12" s="40">
        <v>30</v>
      </c>
      <c r="C12" s="49">
        <v>6576200</v>
      </c>
      <c r="D12" s="24">
        <v>15271350</v>
      </c>
      <c r="E12" s="24">
        <v>2635240</v>
      </c>
      <c r="F12" s="24">
        <v>3421090</v>
      </c>
      <c r="G12" s="24">
        <v>10240640</v>
      </c>
      <c r="H12" s="24">
        <v>5406920</v>
      </c>
      <c r="I12" s="24">
        <v>5003110</v>
      </c>
      <c r="J12" s="24">
        <v>5796100</v>
      </c>
      <c r="K12" s="24">
        <v>9028840</v>
      </c>
      <c r="L12" s="24">
        <v>3742010</v>
      </c>
      <c r="M12" s="24">
        <v>7789470</v>
      </c>
      <c r="N12" s="24">
        <v>11791680</v>
      </c>
      <c r="O12" s="24">
        <v>16332050</v>
      </c>
      <c r="Q12" s="37">
        <f t="shared" si="17"/>
        <v>540</v>
      </c>
      <c r="R12" s="37">
        <f t="shared" si="18"/>
        <v>1860</v>
      </c>
      <c r="S12" s="37">
        <f t="shared" si="16"/>
        <v>3690</v>
      </c>
      <c r="T12" s="37">
        <f t="shared" ref="T12:W14" si="32">IF((F12-F11&lt;0), "0",F12-F11)</f>
        <v>1480</v>
      </c>
      <c r="U12" s="37">
        <f t="shared" si="32"/>
        <v>2620</v>
      </c>
      <c r="V12" s="37">
        <f t="shared" si="32"/>
        <v>2590</v>
      </c>
      <c r="W12" s="37">
        <f t="shared" si="32"/>
        <v>2210</v>
      </c>
      <c r="X12" s="37">
        <f t="shared" si="23"/>
        <v>2070</v>
      </c>
      <c r="Y12" s="37">
        <f t="shared" si="24"/>
        <v>3520</v>
      </c>
      <c r="Z12" s="37">
        <f>IF((L12-L11&lt;0), "0",L12-L11)</f>
        <v>1800</v>
      </c>
      <c r="AA12" s="37">
        <f t="shared" si="26"/>
        <v>2160</v>
      </c>
      <c r="AB12" s="37">
        <f t="shared" si="27"/>
        <v>5930</v>
      </c>
      <c r="AC12" s="37">
        <f t="shared" si="28"/>
        <v>11520</v>
      </c>
      <c r="AD12" s="35">
        <f t="shared" si="29"/>
        <v>41990</v>
      </c>
      <c r="AF12" s="20">
        <f t="shared" si="1"/>
        <v>2.7</v>
      </c>
      <c r="AG12" s="20">
        <f t="shared" si="2"/>
        <v>9.3000000000000007</v>
      </c>
      <c r="AH12" s="20">
        <f t="shared" si="3"/>
        <v>18.45</v>
      </c>
      <c r="AI12" s="20">
        <f t="shared" si="4"/>
        <v>7.4</v>
      </c>
      <c r="AJ12" s="20">
        <f t="shared" si="5"/>
        <v>13.1</v>
      </c>
      <c r="AK12" s="20">
        <f t="shared" si="6"/>
        <v>12.950000000000001</v>
      </c>
      <c r="AL12" s="20">
        <f t="shared" si="7"/>
        <v>11.05</v>
      </c>
      <c r="AM12" s="20">
        <f t="shared" si="8"/>
        <v>10.35</v>
      </c>
      <c r="AN12" s="20">
        <f t="shared" si="9"/>
        <v>17.600000000000001</v>
      </c>
      <c r="AO12" s="20">
        <f t="shared" si="10"/>
        <v>9</v>
      </c>
      <c r="AP12" s="20">
        <f t="shared" si="11"/>
        <v>10.8</v>
      </c>
      <c r="AQ12" s="20">
        <f t="shared" si="12"/>
        <v>29.650000000000002</v>
      </c>
      <c r="AR12" s="20">
        <f t="shared" si="13"/>
        <v>57.6</v>
      </c>
      <c r="AS12" s="35">
        <f t="shared" si="30"/>
        <v>209.95</v>
      </c>
      <c r="AU12" s="47">
        <v>592651</v>
      </c>
      <c r="AV12" s="37">
        <f t="shared" si="31"/>
        <v>1647</v>
      </c>
      <c r="AW12" s="35">
        <f t="shared" si="14"/>
        <v>3.294</v>
      </c>
    </row>
    <row r="13" spans="1:49" x14ac:dyDescent="0.25">
      <c r="A13" s="23">
        <v>44323</v>
      </c>
      <c r="B13" s="40">
        <v>25</v>
      </c>
      <c r="C13" s="24">
        <v>6576750</v>
      </c>
      <c r="D13" s="24">
        <v>15273230</v>
      </c>
      <c r="E13" s="24">
        <v>2639090</v>
      </c>
      <c r="F13" s="24">
        <v>3422590</v>
      </c>
      <c r="G13" s="24">
        <v>10243250</v>
      </c>
      <c r="H13" s="24">
        <v>5409450</v>
      </c>
      <c r="I13" s="24">
        <v>5005330</v>
      </c>
      <c r="J13" s="24">
        <v>5798090</v>
      </c>
      <c r="K13" s="24">
        <v>9032360</v>
      </c>
      <c r="L13" s="24">
        <v>3743960</v>
      </c>
      <c r="M13" s="24">
        <v>7791700</v>
      </c>
      <c r="N13" s="24">
        <v>11797770</v>
      </c>
      <c r="O13" s="24">
        <v>16342260</v>
      </c>
      <c r="Q13" s="37">
        <f t="shared" si="17"/>
        <v>550</v>
      </c>
      <c r="R13" s="37">
        <f t="shared" si="18"/>
        <v>1880</v>
      </c>
      <c r="S13" s="37">
        <f t="shared" si="16"/>
        <v>3850</v>
      </c>
      <c r="T13" s="37">
        <f t="shared" si="32"/>
        <v>1500</v>
      </c>
      <c r="U13" s="37">
        <f t="shared" si="32"/>
        <v>2610</v>
      </c>
      <c r="V13" s="37">
        <f t="shared" si="32"/>
        <v>2530</v>
      </c>
      <c r="W13" s="37">
        <f t="shared" si="32"/>
        <v>2220</v>
      </c>
      <c r="X13" s="37">
        <f t="shared" si="23"/>
        <v>1990</v>
      </c>
      <c r="Y13" s="37">
        <f t="shared" si="24"/>
        <v>3520</v>
      </c>
      <c r="Z13" s="37">
        <f>IF((L13-L12&lt;0), "0",L13-L12)</f>
        <v>1950</v>
      </c>
      <c r="AA13" s="37">
        <f t="shared" si="26"/>
        <v>2230</v>
      </c>
      <c r="AB13" s="37">
        <f t="shared" si="27"/>
        <v>6090</v>
      </c>
      <c r="AC13" s="37">
        <f t="shared" si="28"/>
        <v>10210</v>
      </c>
      <c r="AD13" s="35">
        <f t="shared" si="29"/>
        <v>41130</v>
      </c>
      <c r="AF13" s="20">
        <f t="shared" si="1"/>
        <v>2.75</v>
      </c>
      <c r="AG13" s="20">
        <f t="shared" si="2"/>
        <v>9.4</v>
      </c>
      <c r="AH13" s="20">
        <f t="shared" si="3"/>
        <v>19.25</v>
      </c>
      <c r="AI13" s="20">
        <f t="shared" si="4"/>
        <v>7.5</v>
      </c>
      <c r="AJ13" s="20">
        <f t="shared" si="5"/>
        <v>13.05</v>
      </c>
      <c r="AK13" s="20">
        <f t="shared" si="6"/>
        <v>12.65</v>
      </c>
      <c r="AL13" s="20">
        <f t="shared" si="7"/>
        <v>11.1</v>
      </c>
      <c r="AM13" s="20">
        <f t="shared" si="8"/>
        <v>9.9500000000000011</v>
      </c>
      <c r="AN13" s="20">
        <f t="shared" si="9"/>
        <v>17.600000000000001</v>
      </c>
      <c r="AO13" s="20">
        <f t="shared" si="10"/>
        <v>9.75</v>
      </c>
      <c r="AP13" s="20">
        <f t="shared" si="11"/>
        <v>11.15</v>
      </c>
      <c r="AQ13" s="20">
        <f t="shared" si="12"/>
        <v>30.45</v>
      </c>
      <c r="AR13" s="20">
        <f t="shared" si="13"/>
        <v>51.050000000000004</v>
      </c>
      <c r="AS13" s="35">
        <f t="shared" si="30"/>
        <v>205.65</v>
      </c>
      <c r="AU13" s="47">
        <v>594920</v>
      </c>
      <c r="AV13" s="37">
        <f t="shared" si="31"/>
        <v>2269</v>
      </c>
      <c r="AW13" s="35">
        <f t="shared" si="14"/>
        <v>4.5380000000000003</v>
      </c>
    </row>
    <row r="14" spans="1:49" x14ac:dyDescent="0.25">
      <c r="A14" s="23">
        <v>44324</v>
      </c>
      <c r="B14" s="40">
        <v>16</v>
      </c>
      <c r="C14" s="24">
        <v>6577320</v>
      </c>
      <c r="D14" s="24">
        <v>15275180</v>
      </c>
      <c r="E14" s="24">
        <v>2643010</v>
      </c>
      <c r="F14" s="24">
        <v>3424150</v>
      </c>
      <c r="G14" s="24">
        <v>10245990</v>
      </c>
      <c r="H14" s="24">
        <v>5412080</v>
      </c>
      <c r="I14" s="24">
        <v>5007650</v>
      </c>
      <c r="J14" s="24">
        <v>5800280</v>
      </c>
      <c r="K14" s="24">
        <v>9036070</v>
      </c>
      <c r="L14" s="24">
        <v>3745960</v>
      </c>
      <c r="M14" s="24">
        <v>7794190</v>
      </c>
      <c r="N14" s="24">
        <v>11804010</v>
      </c>
      <c r="O14" s="24">
        <v>16352150</v>
      </c>
      <c r="P14" s="53"/>
      <c r="Q14" s="37">
        <f t="shared" si="17"/>
        <v>570</v>
      </c>
      <c r="R14" s="37">
        <f t="shared" si="18"/>
        <v>1950</v>
      </c>
      <c r="S14" s="37">
        <f t="shared" si="16"/>
        <v>3920</v>
      </c>
      <c r="T14" s="37">
        <f t="shared" si="32"/>
        <v>1560</v>
      </c>
      <c r="U14" s="37">
        <f t="shared" si="32"/>
        <v>2740</v>
      </c>
      <c r="V14" s="37">
        <f t="shared" si="32"/>
        <v>2630</v>
      </c>
      <c r="W14" s="37">
        <f t="shared" si="32"/>
        <v>2320</v>
      </c>
      <c r="X14" s="37">
        <f t="shared" si="23"/>
        <v>2190</v>
      </c>
      <c r="Y14" s="37">
        <f t="shared" si="24"/>
        <v>3710</v>
      </c>
      <c r="Z14" s="37">
        <f>IF((L14-L13&lt;0), "0",L14-L13)</f>
        <v>2000</v>
      </c>
      <c r="AA14" s="37">
        <f t="shared" si="26"/>
        <v>2490</v>
      </c>
      <c r="AB14" s="37">
        <f t="shared" si="27"/>
        <v>6240</v>
      </c>
      <c r="AC14" s="37">
        <f t="shared" si="28"/>
        <v>9890</v>
      </c>
      <c r="AD14" s="35">
        <f t="shared" si="29"/>
        <v>42210</v>
      </c>
      <c r="AF14" s="20">
        <f t="shared" si="1"/>
        <v>2.85</v>
      </c>
      <c r="AG14" s="20">
        <f t="shared" si="2"/>
        <v>9.75</v>
      </c>
      <c r="AH14" s="20">
        <f t="shared" si="3"/>
        <v>19.600000000000001</v>
      </c>
      <c r="AI14" s="20">
        <f t="shared" si="4"/>
        <v>7.8</v>
      </c>
      <c r="AJ14" s="20">
        <f t="shared" si="5"/>
        <v>13.700000000000001</v>
      </c>
      <c r="AK14" s="20">
        <f t="shared" si="6"/>
        <v>13.15</v>
      </c>
      <c r="AL14" s="20">
        <f t="shared" si="7"/>
        <v>11.6</v>
      </c>
      <c r="AM14" s="20">
        <f t="shared" si="8"/>
        <v>10.950000000000001</v>
      </c>
      <c r="AN14" s="20">
        <f t="shared" si="9"/>
        <v>18.55</v>
      </c>
      <c r="AO14" s="20">
        <f t="shared" si="10"/>
        <v>10</v>
      </c>
      <c r="AP14" s="20">
        <f t="shared" si="11"/>
        <v>12.450000000000001</v>
      </c>
      <c r="AQ14" s="20">
        <f t="shared" si="12"/>
        <v>31.2</v>
      </c>
      <c r="AR14" s="20">
        <f t="shared" si="13"/>
        <v>49.45</v>
      </c>
      <c r="AS14" s="35">
        <f t="shared" si="30"/>
        <v>211.05</v>
      </c>
      <c r="AU14" s="47">
        <v>596121</v>
      </c>
      <c r="AV14" s="37">
        <f t="shared" si="31"/>
        <v>1201</v>
      </c>
      <c r="AW14" s="35">
        <f t="shared" si="14"/>
        <v>2.4020000000000001</v>
      </c>
    </row>
    <row r="15" spans="1:49" x14ac:dyDescent="0.25">
      <c r="A15" s="23">
        <v>44325</v>
      </c>
      <c r="B15" s="40">
        <v>13</v>
      </c>
      <c r="C15" s="24">
        <v>6577870</v>
      </c>
      <c r="D15" s="24">
        <v>15277070</v>
      </c>
      <c r="E15" s="24">
        <v>2646850</v>
      </c>
      <c r="F15" s="24">
        <v>3425650</v>
      </c>
      <c r="G15" s="24">
        <v>10248720</v>
      </c>
      <c r="H15" s="24">
        <v>5414670</v>
      </c>
      <c r="I15" s="24">
        <v>5009890</v>
      </c>
      <c r="J15" s="24">
        <v>5802440</v>
      </c>
      <c r="K15" s="24">
        <v>9039620</v>
      </c>
      <c r="L15" s="24">
        <v>3748010</v>
      </c>
      <c r="M15" s="24">
        <v>7796530</v>
      </c>
      <c r="N15" s="24">
        <v>11809900</v>
      </c>
      <c r="O15" s="24">
        <v>16360740</v>
      </c>
      <c r="Q15" s="37">
        <f t="shared" si="17"/>
        <v>550</v>
      </c>
      <c r="R15" s="37">
        <f t="shared" si="18"/>
        <v>1890</v>
      </c>
      <c r="S15" s="37">
        <f t="shared" si="16"/>
        <v>3840</v>
      </c>
      <c r="T15" s="37">
        <f t="shared" si="19"/>
        <v>1500</v>
      </c>
      <c r="U15" s="37">
        <f t="shared" si="20"/>
        <v>2730</v>
      </c>
      <c r="V15" s="37">
        <f t="shared" si="21"/>
        <v>2590</v>
      </c>
      <c r="W15" s="37">
        <f t="shared" si="22"/>
        <v>2240</v>
      </c>
      <c r="X15" s="37">
        <f t="shared" si="23"/>
        <v>2160</v>
      </c>
      <c r="Y15" s="37">
        <f t="shared" si="24"/>
        <v>3550</v>
      </c>
      <c r="Z15" s="37">
        <f t="shared" si="25"/>
        <v>2050</v>
      </c>
      <c r="AA15" s="37">
        <f t="shared" si="26"/>
        <v>2340</v>
      </c>
      <c r="AB15" s="37">
        <f t="shared" si="27"/>
        <v>5890</v>
      </c>
      <c r="AC15" s="37">
        <f t="shared" si="28"/>
        <v>8590</v>
      </c>
      <c r="AD15" s="35">
        <f t="shared" si="29"/>
        <v>39920</v>
      </c>
      <c r="AF15" s="20">
        <f t="shared" si="1"/>
        <v>2.75</v>
      </c>
      <c r="AG15" s="20">
        <f t="shared" si="2"/>
        <v>9.4500000000000011</v>
      </c>
      <c r="AH15" s="20">
        <f t="shared" si="3"/>
        <v>19.2</v>
      </c>
      <c r="AI15" s="20">
        <f t="shared" si="4"/>
        <v>7.5</v>
      </c>
      <c r="AJ15" s="20">
        <f t="shared" si="5"/>
        <v>13.65</v>
      </c>
      <c r="AK15" s="20">
        <f t="shared" si="6"/>
        <v>12.950000000000001</v>
      </c>
      <c r="AL15" s="20">
        <f t="shared" si="7"/>
        <v>11.200000000000001</v>
      </c>
      <c r="AM15" s="20">
        <f t="shared" si="8"/>
        <v>10.8</v>
      </c>
      <c r="AN15" s="20">
        <f t="shared" si="9"/>
        <v>17.75</v>
      </c>
      <c r="AO15" s="20">
        <f t="shared" si="10"/>
        <v>10.25</v>
      </c>
      <c r="AP15" s="20">
        <f t="shared" si="11"/>
        <v>11.700000000000001</v>
      </c>
      <c r="AQ15" s="20">
        <f t="shared" si="12"/>
        <v>29.45</v>
      </c>
      <c r="AR15" s="20">
        <f t="shared" si="13"/>
        <v>42.95</v>
      </c>
      <c r="AS15" s="35">
        <f t="shared" si="30"/>
        <v>199.60000000000002</v>
      </c>
      <c r="AU15" s="47">
        <v>598139</v>
      </c>
      <c r="AV15" s="37">
        <f t="shared" si="31"/>
        <v>2018</v>
      </c>
      <c r="AW15" s="35">
        <f t="shared" si="14"/>
        <v>4.0360000000000005</v>
      </c>
    </row>
    <row r="16" spans="1:49" x14ac:dyDescent="0.25">
      <c r="A16" s="23">
        <v>44326</v>
      </c>
      <c r="B16" s="40">
        <v>16</v>
      </c>
      <c r="C16" s="24">
        <v>6578420</v>
      </c>
      <c r="D16" s="24">
        <v>15278940</v>
      </c>
      <c r="E16" s="24">
        <v>2650680</v>
      </c>
      <c r="F16" s="24">
        <v>3427140</v>
      </c>
      <c r="G16" s="24">
        <v>10252580</v>
      </c>
      <c r="H16" s="24">
        <v>5417250</v>
      </c>
      <c r="I16" s="24">
        <v>5012160</v>
      </c>
      <c r="J16" s="24">
        <v>5804620</v>
      </c>
      <c r="K16" s="24">
        <v>9043080</v>
      </c>
      <c r="L16" s="24">
        <v>3750000</v>
      </c>
      <c r="M16" s="24">
        <v>7798770</v>
      </c>
      <c r="N16" s="24">
        <v>11815620</v>
      </c>
      <c r="O16" s="24">
        <v>16368950</v>
      </c>
      <c r="Q16" s="37">
        <f t="shared" si="17"/>
        <v>550</v>
      </c>
      <c r="R16" s="37">
        <f t="shared" si="18"/>
        <v>1870</v>
      </c>
      <c r="S16" s="37">
        <f t="shared" si="16"/>
        <v>3830</v>
      </c>
      <c r="T16" s="37">
        <f t="shared" si="19"/>
        <v>1490</v>
      </c>
      <c r="U16" s="37">
        <f t="shared" si="20"/>
        <v>3860</v>
      </c>
      <c r="V16" s="37">
        <f t="shared" si="21"/>
        <v>2580</v>
      </c>
      <c r="W16" s="37">
        <f t="shared" si="22"/>
        <v>2270</v>
      </c>
      <c r="X16" s="37">
        <f t="shared" si="23"/>
        <v>2180</v>
      </c>
      <c r="Y16" s="37">
        <f t="shared" si="24"/>
        <v>3460</v>
      </c>
      <c r="Z16" s="37">
        <f t="shared" si="25"/>
        <v>1990</v>
      </c>
      <c r="AA16" s="37">
        <f t="shared" si="26"/>
        <v>2240</v>
      </c>
      <c r="AB16" s="37">
        <f t="shared" si="27"/>
        <v>5720</v>
      </c>
      <c r="AC16" s="37">
        <f t="shared" si="28"/>
        <v>8210</v>
      </c>
      <c r="AD16" s="35">
        <f t="shared" si="29"/>
        <v>40250</v>
      </c>
      <c r="AF16" s="20">
        <f t="shared" si="1"/>
        <v>2.75</v>
      </c>
      <c r="AG16" s="20">
        <f t="shared" si="2"/>
        <v>9.35</v>
      </c>
      <c r="AH16" s="20">
        <f t="shared" si="3"/>
        <v>19.150000000000002</v>
      </c>
      <c r="AI16" s="20">
        <f t="shared" si="4"/>
        <v>7.45</v>
      </c>
      <c r="AJ16" s="20">
        <f t="shared" si="5"/>
        <v>19.3</v>
      </c>
      <c r="AK16" s="20">
        <f t="shared" si="6"/>
        <v>12.9</v>
      </c>
      <c r="AL16" s="20">
        <f t="shared" si="7"/>
        <v>11.35</v>
      </c>
      <c r="AM16" s="20">
        <f t="shared" si="8"/>
        <v>10.9</v>
      </c>
      <c r="AN16" s="20">
        <f t="shared" si="9"/>
        <v>17.3</v>
      </c>
      <c r="AO16" s="20">
        <f t="shared" si="10"/>
        <v>9.9500000000000011</v>
      </c>
      <c r="AP16" s="20">
        <f t="shared" si="11"/>
        <v>11.200000000000001</v>
      </c>
      <c r="AQ16" s="20">
        <f t="shared" si="12"/>
        <v>28.6</v>
      </c>
      <c r="AR16" s="20">
        <f t="shared" si="13"/>
        <v>41.050000000000004</v>
      </c>
      <c r="AS16" s="35">
        <f t="shared" si="30"/>
        <v>201.25</v>
      </c>
      <c r="AU16" s="47">
        <v>600239</v>
      </c>
      <c r="AV16" s="37">
        <f t="shared" si="31"/>
        <v>2100</v>
      </c>
      <c r="AW16" s="35">
        <f t="shared" si="14"/>
        <v>4.2</v>
      </c>
    </row>
    <row r="17" spans="1:49" x14ac:dyDescent="0.25">
      <c r="A17" s="23">
        <v>44327</v>
      </c>
      <c r="B17" s="40">
        <v>15</v>
      </c>
      <c r="C17" s="24">
        <v>6578940</v>
      </c>
      <c r="D17" s="24">
        <v>15280750</v>
      </c>
      <c r="E17" s="24">
        <v>2654630</v>
      </c>
      <c r="F17" s="24">
        <v>3428580</v>
      </c>
      <c r="G17" s="24">
        <v>10255590</v>
      </c>
      <c r="H17" s="24">
        <v>5419830</v>
      </c>
      <c r="I17" s="24">
        <v>5014330</v>
      </c>
      <c r="J17" s="24">
        <v>5806720</v>
      </c>
      <c r="K17" s="24">
        <v>9046690</v>
      </c>
      <c r="L17" s="24">
        <v>3751950</v>
      </c>
      <c r="M17" s="24">
        <v>7800930</v>
      </c>
      <c r="N17" s="24">
        <v>11821720</v>
      </c>
      <c r="O17" s="24">
        <v>16378430</v>
      </c>
      <c r="Q17" s="37">
        <f t="shared" si="17"/>
        <v>520</v>
      </c>
      <c r="R17" s="37">
        <f t="shared" si="18"/>
        <v>1810</v>
      </c>
      <c r="S17" s="37">
        <f t="shared" si="16"/>
        <v>3950</v>
      </c>
      <c r="T17" s="37">
        <f t="shared" si="19"/>
        <v>1440</v>
      </c>
      <c r="U17" s="37">
        <f t="shared" si="20"/>
        <v>3010</v>
      </c>
      <c r="V17" s="37">
        <f t="shared" si="21"/>
        <v>2580</v>
      </c>
      <c r="W17" s="37">
        <f t="shared" si="22"/>
        <v>2170</v>
      </c>
      <c r="X17" s="37">
        <f t="shared" si="23"/>
        <v>2100</v>
      </c>
      <c r="Y17" s="37">
        <f t="shared" si="24"/>
        <v>3610</v>
      </c>
      <c r="Z17" s="37">
        <f t="shared" si="25"/>
        <v>1950</v>
      </c>
      <c r="AA17" s="37">
        <f t="shared" si="26"/>
        <v>2160</v>
      </c>
      <c r="AB17" s="37">
        <f t="shared" si="27"/>
        <v>6100</v>
      </c>
      <c r="AC17" s="37">
        <f t="shared" si="28"/>
        <v>9480</v>
      </c>
      <c r="AD17" s="35">
        <f t="shared" si="29"/>
        <v>40880</v>
      </c>
      <c r="AF17" s="20">
        <f t="shared" si="1"/>
        <v>2.6</v>
      </c>
      <c r="AG17" s="20">
        <f t="shared" si="2"/>
        <v>9.0500000000000007</v>
      </c>
      <c r="AH17" s="20">
        <f t="shared" si="3"/>
        <v>19.75</v>
      </c>
      <c r="AI17" s="20">
        <f t="shared" si="4"/>
        <v>7.2</v>
      </c>
      <c r="AJ17" s="20">
        <f t="shared" si="5"/>
        <v>15.05</v>
      </c>
      <c r="AK17" s="20">
        <f t="shared" si="6"/>
        <v>12.9</v>
      </c>
      <c r="AL17" s="20">
        <f t="shared" si="7"/>
        <v>10.85</v>
      </c>
      <c r="AM17" s="20">
        <f t="shared" si="8"/>
        <v>10.5</v>
      </c>
      <c r="AN17" s="20">
        <f t="shared" si="9"/>
        <v>18.05</v>
      </c>
      <c r="AO17" s="20">
        <f t="shared" si="10"/>
        <v>9.75</v>
      </c>
      <c r="AP17" s="20">
        <f t="shared" si="11"/>
        <v>10.8</v>
      </c>
      <c r="AQ17" s="20">
        <f t="shared" si="12"/>
        <v>30.5</v>
      </c>
      <c r="AR17" s="20">
        <f t="shared" si="13"/>
        <v>47.4</v>
      </c>
      <c r="AS17" s="35">
        <f t="shared" si="30"/>
        <v>204.4</v>
      </c>
      <c r="AU17" s="47">
        <v>601866</v>
      </c>
      <c r="AV17" s="37">
        <f t="shared" si="31"/>
        <v>1627</v>
      </c>
      <c r="AW17" s="35">
        <f t="shared" si="14"/>
        <v>3.254</v>
      </c>
    </row>
    <row r="18" spans="1:49" x14ac:dyDescent="0.25">
      <c r="A18" s="23">
        <v>44328</v>
      </c>
      <c r="B18" s="40">
        <v>25</v>
      </c>
      <c r="C18" s="24">
        <v>6579500</v>
      </c>
      <c r="D18" s="24">
        <v>15282660</v>
      </c>
      <c r="E18" s="24">
        <v>2658680</v>
      </c>
      <c r="F18" s="24">
        <v>3430090</v>
      </c>
      <c r="G18" s="24">
        <v>10259700</v>
      </c>
      <c r="H18" s="24">
        <v>5422650</v>
      </c>
      <c r="I18" s="24">
        <v>5016640</v>
      </c>
      <c r="J18" s="24">
        <v>5809270</v>
      </c>
      <c r="K18" s="24">
        <v>9050630</v>
      </c>
      <c r="L18" s="24">
        <v>3754220</v>
      </c>
      <c r="M18" s="24">
        <v>7803420</v>
      </c>
      <c r="N18" s="24">
        <v>11827880</v>
      </c>
      <c r="O18" s="24">
        <v>16388670</v>
      </c>
      <c r="Q18" s="37">
        <f t="shared" si="17"/>
        <v>560</v>
      </c>
      <c r="R18" s="37">
        <f t="shared" si="18"/>
        <v>1910</v>
      </c>
      <c r="S18" s="37">
        <f t="shared" si="16"/>
        <v>4050</v>
      </c>
      <c r="T18" s="37">
        <f t="shared" si="19"/>
        <v>1510</v>
      </c>
      <c r="U18" s="37">
        <f t="shared" si="20"/>
        <v>4110</v>
      </c>
      <c r="V18" s="37">
        <f t="shared" si="21"/>
        <v>2820</v>
      </c>
      <c r="W18" s="37">
        <f t="shared" si="22"/>
        <v>2310</v>
      </c>
      <c r="X18" s="37">
        <f t="shared" si="23"/>
        <v>2550</v>
      </c>
      <c r="Y18" s="37">
        <f t="shared" si="24"/>
        <v>3940</v>
      </c>
      <c r="Z18" s="37">
        <f t="shared" si="25"/>
        <v>2270</v>
      </c>
      <c r="AA18" s="37">
        <f t="shared" si="26"/>
        <v>2490</v>
      </c>
      <c r="AB18" s="37">
        <f t="shared" si="27"/>
        <v>6160</v>
      </c>
      <c r="AC18" s="37">
        <f t="shared" si="28"/>
        <v>10240</v>
      </c>
      <c r="AD18" s="35">
        <f t="shared" si="29"/>
        <v>44920</v>
      </c>
      <c r="AF18" s="20">
        <f t="shared" si="1"/>
        <v>2.8000000000000003</v>
      </c>
      <c r="AG18" s="20">
        <f t="shared" si="2"/>
        <v>9.5500000000000007</v>
      </c>
      <c r="AH18" s="20">
        <f t="shared" si="3"/>
        <v>20.25</v>
      </c>
      <c r="AI18" s="20">
        <f t="shared" si="4"/>
        <v>7.55</v>
      </c>
      <c r="AJ18" s="20">
        <f t="shared" si="5"/>
        <v>20.55</v>
      </c>
      <c r="AK18" s="20">
        <f t="shared" si="6"/>
        <v>14.1</v>
      </c>
      <c r="AL18" s="20">
        <f t="shared" si="7"/>
        <v>11.55</v>
      </c>
      <c r="AM18" s="20">
        <f t="shared" si="8"/>
        <v>12.75</v>
      </c>
      <c r="AN18" s="20">
        <f t="shared" si="9"/>
        <v>19.7</v>
      </c>
      <c r="AO18" s="20">
        <f t="shared" si="10"/>
        <v>11.35</v>
      </c>
      <c r="AP18" s="20">
        <f t="shared" si="11"/>
        <v>12.450000000000001</v>
      </c>
      <c r="AQ18" s="20">
        <f t="shared" si="12"/>
        <v>30.8</v>
      </c>
      <c r="AR18" s="20">
        <f t="shared" si="13"/>
        <v>51.2</v>
      </c>
      <c r="AS18" s="35">
        <f t="shared" si="30"/>
        <v>224.60000000000002</v>
      </c>
      <c r="AU18" s="47">
        <v>603931</v>
      </c>
      <c r="AV18" s="37">
        <f t="shared" si="31"/>
        <v>2065</v>
      </c>
      <c r="AW18" s="35">
        <f t="shared" si="14"/>
        <v>4.13</v>
      </c>
    </row>
    <row r="19" spans="1:49" x14ac:dyDescent="0.25">
      <c r="A19" s="23">
        <v>44329</v>
      </c>
      <c r="B19" s="40">
        <v>104</v>
      </c>
      <c r="C19" s="24">
        <v>6580050</v>
      </c>
      <c r="D19" s="24">
        <v>15284530</v>
      </c>
      <c r="E19" s="24">
        <v>2662840</v>
      </c>
      <c r="F19" s="24">
        <v>3431560</v>
      </c>
      <c r="G19" s="24">
        <v>10263570</v>
      </c>
      <c r="H19" s="24">
        <v>5425810</v>
      </c>
      <c r="I19" s="24">
        <v>5018910</v>
      </c>
      <c r="J19" s="24">
        <v>5812250</v>
      </c>
      <c r="K19" s="24">
        <v>9054610</v>
      </c>
      <c r="L19" s="24">
        <v>3756830</v>
      </c>
      <c r="M19" s="24">
        <v>7806070</v>
      </c>
      <c r="N19" s="24">
        <v>11833970</v>
      </c>
      <c r="O19" s="24">
        <v>16393440</v>
      </c>
      <c r="Q19" s="37">
        <f t="shared" si="17"/>
        <v>550</v>
      </c>
      <c r="R19" s="37">
        <f t="shared" si="18"/>
        <v>1870</v>
      </c>
      <c r="S19" s="37">
        <f t="shared" si="16"/>
        <v>4160</v>
      </c>
      <c r="T19" s="37">
        <f t="shared" si="19"/>
        <v>1470</v>
      </c>
      <c r="U19" s="37">
        <f t="shared" si="20"/>
        <v>3870</v>
      </c>
      <c r="V19" s="37">
        <f t="shared" si="21"/>
        <v>3160</v>
      </c>
      <c r="W19" s="37">
        <f t="shared" si="22"/>
        <v>2270</v>
      </c>
      <c r="X19" s="37">
        <f t="shared" si="23"/>
        <v>2980</v>
      </c>
      <c r="Y19" s="37">
        <f t="shared" si="24"/>
        <v>3980</v>
      </c>
      <c r="Z19" s="37">
        <f t="shared" si="25"/>
        <v>2610</v>
      </c>
      <c r="AA19" s="37">
        <f t="shared" si="26"/>
        <v>2650</v>
      </c>
      <c r="AB19" s="37">
        <f t="shared" si="27"/>
        <v>6090</v>
      </c>
      <c r="AC19" s="37">
        <f t="shared" si="28"/>
        <v>4770</v>
      </c>
      <c r="AD19" s="35">
        <f t="shared" si="29"/>
        <v>40430</v>
      </c>
      <c r="AF19" s="20">
        <f t="shared" si="1"/>
        <v>2.75</v>
      </c>
      <c r="AG19" s="20">
        <f t="shared" si="2"/>
        <v>9.35</v>
      </c>
      <c r="AH19" s="20">
        <f t="shared" si="3"/>
        <v>20.8</v>
      </c>
      <c r="AI19" s="20">
        <f t="shared" si="4"/>
        <v>7.3500000000000005</v>
      </c>
      <c r="AJ19" s="20">
        <f t="shared" si="5"/>
        <v>19.350000000000001</v>
      </c>
      <c r="AK19" s="20">
        <f t="shared" si="6"/>
        <v>15.8</v>
      </c>
      <c r="AL19" s="20">
        <f t="shared" si="7"/>
        <v>11.35</v>
      </c>
      <c r="AM19" s="20">
        <f t="shared" si="8"/>
        <v>14.9</v>
      </c>
      <c r="AN19" s="20">
        <f t="shared" si="9"/>
        <v>19.900000000000002</v>
      </c>
      <c r="AO19" s="20">
        <f t="shared" si="10"/>
        <v>13.05</v>
      </c>
      <c r="AP19" s="20">
        <f t="shared" si="11"/>
        <v>13.25</v>
      </c>
      <c r="AQ19" s="20">
        <f t="shared" si="12"/>
        <v>30.45</v>
      </c>
      <c r="AR19" s="20">
        <f t="shared" si="13"/>
        <v>23.85</v>
      </c>
      <c r="AS19" s="35">
        <f t="shared" si="30"/>
        <v>202.15</v>
      </c>
      <c r="AU19" s="47">
        <v>606510</v>
      </c>
      <c r="AV19" s="37">
        <f t="shared" si="31"/>
        <v>2579</v>
      </c>
      <c r="AW19" s="35">
        <f t="shared" si="14"/>
        <v>5.1580000000000004</v>
      </c>
    </row>
    <row r="20" spans="1:49" x14ac:dyDescent="0.25">
      <c r="A20" s="23">
        <v>44330</v>
      </c>
      <c r="B20" s="40">
        <v>169</v>
      </c>
      <c r="C20" s="24">
        <v>6580600</v>
      </c>
      <c r="D20" s="24">
        <v>15286430</v>
      </c>
      <c r="E20" s="24">
        <v>2667060</v>
      </c>
      <c r="F20" s="24">
        <v>3433060</v>
      </c>
      <c r="G20" s="24">
        <v>10267710</v>
      </c>
      <c r="H20" s="24">
        <v>5429130</v>
      </c>
      <c r="I20" s="24">
        <v>5021230</v>
      </c>
      <c r="J20" s="24">
        <v>5815310</v>
      </c>
      <c r="K20" s="24">
        <v>9058750</v>
      </c>
      <c r="L20" s="24">
        <v>3759750</v>
      </c>
      <c r="M20" s="24">
        <v>7809300</v>
      </c>
      <c r="N20" s="24">
        <v>11840340</v>
      </c>
      <c r="O20" s="24">
        <v>16399500</v>
      </c>
      <c r="Q20" s="37">
        <f t="shared" si="17"/>
        <v>550</v>
      </c>
      <c r="R20" s="37">
        <f t="shared" si="18"/>
        <v>1900</v>
      </c>
      <c r="S20" s="37">
        <f t="shared" si="16"/>
        <v>4220</v>
      </c>
      <c r="T20" s="37">
        <f t="shared" si="19"/>
        <v>1500</v>
      </c>
      <c r="U20" s="37">
        <f t="shared" si="20"/>
        <v>4140</v>
      </c>
      <c r="V20" s="37">
        <f t="shared" si="21"/>
        <v>3320</v>
      </c>
      <c r="W20" s="37">
        <f t="shared" si="22"/>
        <v>2320</v>
      </c>
      <c r="X20" s="37">
        <f t="shared" si="23"/>
        <v>3060</v>
      </c>
      <c r="Y20" s="37">
        <f t="shared" si="24"/>
        <v>4140</v>
      </c>
      <c r="Z20" s="37">
        <f t="shared" si="25"/>
        <v>2920</v>
      </c>
      <c r="AA20" s="37">
        <f t="shared" si="26"/>
        <v>3230</v>
      </c>
      <c r="AB20" s="37">
        <f t="shared" si="27"/>
        <v>6370</v>
      </c>
      <c r="AC20" s="37">
        <f t="shared" si="28"/>
        <v>6060</v>
      </c>
      <c r="AD20" s="35">
        <f t="shared" si="29"/>
        <v>43730</v>
      </c>
      <c r="AF20" s="20">
        <f t="shared" si="1"/>
        <v>2.75</v>
      </c>
      <c r="AG20" s="20">
        <f t="shared" si="2"/>
        <v>9.5</v>
      </c>
      <c r="AH20" s="20">
        <f t="shared" si="3"/>
        <v>21.1</v>
      </c>
      <c r="AI20" s="20">
        <f t="shared" si="4"/>
        <v>7.5</v>
      </c>
      <c r="AJ20" s="20">
        <f t="shared" si="5"/>
        <v>20.7</v>
      </c>
      <c r="AK20" s="20">
        <f t="shared" si="6"/>
        <v>16.600000000000001</v>
      </c>
      <c r="AL20" s="20">
        <f t="shared" si="7"/>
        <v>11.6</v>
      </c>
      <c r="AM20" s="20">
        <f t="shared" si="8"/>
        <v>15.3</v>
      </c>
      <c r="AN20" s="20">
        <f t="shared" si="9"/>
        <v>20.7</v>
      </c>
      <c r="AO20" s="20">
        <f t="shared" si="10"/>
        <v>14.6</v>
      </c>
      <c r="AP20" s="20">
        <f t="shared" si="11"/>
        <v>16.149999999999999</v>
      </c>
      <c r="AQ20" s="20">
        <f t="shared" si="12"/>
        <v>31.85</v>
      </c>
      <c r="AR20" s="20">
        <f t="shared" si="13"/>
        <v>30.3</v>
      </c>
      <c r="AS20" s="35">
        <f t="shared" si="30"/>
        <v>218.65</v>
      </c>
      <c r="AU20" s="47">
        <v>609642</v>
      </c>
      <c r="AV20" s="37">
        <f t="shared" si="31"/>
        <v>3132</v>
      </c>
      <c r="AW20" s="35">
        <f t="shared" si="14"/>
        <v>6.2640000000000002</v>
      </c>
    </row>
    <row r="21" spans="1:49" x14ac:dyDescent="0.25">
      <c r="A21" s="23">
        <v>44331</v>
      </c>
      <c r="B21" s="40">
        <v>177</v>
      </c>
      <c r="C21" s="24">
        <v>6581430</v>
      </c>
      <c r="D21" s="24">
        <v>15296610</v>
      </c>
      <c r="E21" s="24">
        <v>2669160</v>
      </c>
      <c r="F21" s="24">
        <v>3434500</v>
      </c>
      <c r="G21" s="24">
        <v>10272430</v>
      </c>
      <c r="H21" s="24">
        <v>5432630</v>
      </c>
      <c r="I21" s="24">
        <v>5023570</v>
      </c>
      <c r="J21" s="24">
        <v>5818590</v>
      </c>
      <c r="K21" s="24">
        <v>9063060</v>
      </c>
      <c r="L21" s="24">
        <v>3762700</v>
      </c>
      <c r="M21" s="24">
        <v>7812810</v>
      </c>
      <c r="N21" s="24">
        <v>11846840</v>
      </c>
      <c r="O21" s="24">
        <v>16405780</v>
      </c>
      <c r="Q21" s="37">
        <f t="shared" si="17"/>
        <v>830</v>
      </c>
      <c r="R21" s="37">
        <f t="shared" si="18"/>
        <v>10180</v>
      </c>
      <c r="S21" s="37">
        <f t="shared" si="16"/>
        <v>2100</v>
      </c>
      <c r="T21" s="37">
        <f t="shared" si="19"/>
        <v>1440</v>
      </c>
      <c r="U21" s="37">
        <f t="shared" si="20"/>
        <v>4720</v>
      </c>
      <c r="V21" s="37">
        <f t="shared" si="21"/>
        <v>3500</v>
      </c>
      <c r="W21" s="37">
        <f t="shared" si="22"/>
        <v>2340</v>
      </c>
      <c r="X21" s="37">
        <f t="shared" si="23"/>
        <v>3280</v>
      </c>
      <c r="Y21" s="37">
        <f t="shared" si="24"/>
        <v>4310</v>
      </c>
      <c r="Z21" s="37">
        <f t="shared" si="25"/>
        <v>2950</v>
      </c>
      <c r="AA21" s="37">
        <f t="shared" si="26"/>
        <v>3510</v>
      </c>
      <c r="AB21" s="37">
        <f t="shared" si="27"/>
        <v>6500</v>
      </c>
      <c r="AC21" s="37">
        <f t="shared" si="28"/>
        <v>6280</v>
      </c>
      <c r="AD21" s="35">
        <f t="shared" si="29"/>
        <v>51940</v>
      </c>
      <c r="AF21" s="20">
        <f t="shared" si="1"/>
        <v>4.1500000000000004</v>
      </c>
      <c r="AG21" s="20">
        <f t="shared" si="2"/>
        <v>50.9</v>
      </c>
      <c r="AH21" s="20">
        <f t="shared" si="3"/>
        <v>10.5</v>
      </c>
      <c r="AI21" s="20">
        <f t="shared" si="4"/>
        <v>7.2</v>
      </c>
      <c r="AJ21" s="20">
        <f t="shared" si="5"/>
        <v>23.6</v>
      </c>
      <c r="AK21" s="20">
        <f t="shared" si="6"/>
        <v>17.5</v>
      </c>
      <c r="AL21" s="20">
        <f t="shared" si="7"/>
        <v>11.700000000000001</v>
      </c>
      <c r="AM21" s="20">
        <f t="shared" si="8"/>
        <v>16.399999999999999</v>
      </c>
      <c r="AN21" s="20">
        <f t="shared" si="9"/>
        <v>21.55</v>
      </c>
      <c r="AO21" s="20">
        <f t="shared" si="10"/>
        <v>14.75</v>
      </c>
      <c r="AP21" s="20">
        <f t="shared" si="11"/>
        <v>17.55</v>
      </c>
      <c r="AQ21" s="20">
        <f t="shared" si="12"/>
        <v>32.5</v>
      </c>
      <c r="AR21" s="20">
        <f t="shared" si="13"/>
        <v>31.400000000000002</v>
      </c>
      <c r="AS21" s="35">
        <f t="shared" si="30"/>
        <v>259.7</v>
      </c>
      <c r="AU21" s="47">
        <v>613681</v>
      </c>
      <c r="AV21" s="37">
        <f t="shared" si="31"/>
        <v>4039</v>
      </c>
      <c r="AW21" s="35">
        <f t="shared" si="14"/>
        <v>8.0779999999999994</v>
      </c>
    </row>
    <row r="22" spans="1:49" x14ac:dyDescent="0.25">
      <c r="A22" s="23">
        <v>44332</v>
      </c>
      <c r="B22" s="40">
        <v>74</v>
      </c>
      <c r="C22" s="24">
        <v>6582420</v>
      </c>
      <c r="D22" s="24">
        <v>15310590</v>
      </c>
      <c r="E22" s="24">
        <v>2670440</v>
      </c>
      <c r="F22" s="24">
        <v>3435890</v>
      </c>
      <c r="G22" s="24">
        <v>10276770</v>
      </c>
      <c r="H22" s="24">
        <v>5435960</v>
      </c>
      <c r="I22" s="24">
        <v>5025820</v>
      </c>
      <c r="J22" s="44">
        <v>5821680</v>
      </c>
      <c r="K22" s="24">
        <v>9067060</v>
      </c>
      <c r="L22" s="24">
        <v>3765360</v>
      </c>
      <c r="M22" s="24">
        <v>7816090</v>
      </c>
      <c r="N22" s="24">
        <v>11853110</v>
      </c>
      <c r="O22" s="44">
        <v>16412210</v>
      </c>
      <c r="Q22" s="37">
        <f t="shared" si="17"/>
        <v>990</v>
      </c>
      <c r="R22" s="37">
        <f t="shared" si="18"/>
        <v>13980</v>
      </c>
      <c r="S22" s="37">
        <f t="shared" si="16"/>
        <v>1280</v>
      </c>
      <c r="T22" s="37">
        <f t="shared" si="19"/>
        <v>1390</v>
      </c>
      <c r="U22" s="37">
        <f t="shared" si="20"/>
        <v>4340</v>
      </c>
      <c r="V22" s="37">
        <f t="shared" si="21"/>
        <v>3330</v>
      </c>
      <c r="W22" s="37">
        <f t="shared" si="22"/>
        <v>2250</v>
      </c>
      <c r="X22" s="37">
        <f t="shared" si="23"/>
        <v>3090</v>
      </c>
      <c r="Y22" s="37">
        <f t="shared" si="24"/>
        <v>4000</v>
      </c>
      <c r="Z22" s="37">
        <f t="shared" si="25"/>
        <v>2660</v>
      </c>
      <c r="AA22" s="37">
        <f t="shared" si="26"/>
        <v>3280</v>
      </c>
      <c r="AB22" s="37">
        <f t="shared" si="27"/>
        <v>6270</v>
      </c>
      <c r="AC22" s="37">
        <f t="shared" si="28"/>
        <v>6430</v>
      </c>
      <c r="AD22" s="35">
        <f t="shared" si="29"/>
        <v>53290</v>
      </c>
      <c r="AF22" s="20">
        <f t="shared" si="1"/>
        <v>4.95</v>
      </c>
      <c r="AG22" s="20">
        <f t="shared" si="2"/>
        <v>69.900000000000006</v>
      </c>
      <c r="AH22" s="20">
        <f t="shared" si="3"/>
        <v>6.4</v>
      </c>
      <c r="AI22" s="20">
        <f t="shared" si="4"/>
        <v>6.95</v>
      </c>
      <c r="AJ22" s="20">
        <f t="shared" si="5"/>
        <v>21.7</v>
      </c>
      <c r="AK22" s="20">
        <f t="shared" si="6"/>
        <v>16.649999999999999</v>
      </c>
      <c r="AL22" s="20">
        <f t="shared" si="7"/>
        <v>11.25</v>
      </c>
      <c r="AM22" s="20">
        <f t="shared" si="8"/>
        <v>15.450000000000001</v>
      </c>
      <c r="AN22" s="20">
        <f t="shared" si="9"/>
        <v>20</v>
      </c>
      <c r="AO22" s="20">
        <f t="shared" si="10"/>
        <v>13.3</v>
      </c>
      <c r="AP22" s="20">
        <f t="shared" si="11"/>
        <v>16.399999999999999</v>
      </c>
      <c r="AQ22" s="20">
        <f t="shared" si="12"/>
        <v>31.35</v>
      </c>
      <c r="AR22" s="20">
        <f t="shared" si="13"/>
        <v>32.15</v>
      </c>
      <c r="AS22" s="35">
        <f t="shared" si="30"/>
        <v>266.45</v>
      </c>
      <c r="AU22" s="47">
        <v>617604</v>
      </c>
      <c r="AV22" s="37">
        <f t="shared" si="31"/>
        <v>3923</v>
      </c>
      <c r="AW22" s="35">
        <f t="shared" si="14"/>
        <v>7.8460000000000001</v>
      </c>
    </row>
    <row r="23" spans="1:49" x14ac:dyDescent="0.25">
      <c r="A23" s="23">
        <v>44333</v>
      </c>
      <c r="B23" s="40">
        <v>60</v>
      </c>
      <c r="C23" s="24">
        <v>6583420</v>
      </c>
      <c r="D23" s="24">
        <v>15326620</v>
      </c>
      <c r="E23" s="24">
        <v>2670500</v>
      </c>
      <c r="F23" s="24">
        <v>3437170</v>
      </c>
      <c r="G23" s="24">
        <v>10280830</v>
      </c>
      <c r="H23" s="24">
        <v>5439220</v>
      </c>
      <c r="I23" s="24">
        <v>5028100</v>
      </c>
      <c r="J23" s="24">
        <v>5824640</v>
      </c>
      <c r="K23" s="24">
        <v>9070910</v>
      </c>
      <c r="L23" s="24">
        <v>3767780</v>
      </c>
      <c r="M23" s="24">
        <v>7819160</v>
      </c>
      <c r="N23" s="24">
        <v>11859090</v>
      </c>
      <c r="O23" s="24">
        <v>16418570</v>
      </c>
      <c r="Q23" s="37">
        <f t="shared" si="17"/>
        <v>1000</v>
      </c>
      <c r="R23" s="37">
        <f t="shared" si="18"/>
        <v>16030</v>
      </c>
      <c r="S23" s="37">
        <f t="shared" si="16"/>
        <v>60</v>
      </c>
      <c r="T23" s="37">
        <f t="shared" si="19"/>
        <v>1280</v>
      </c>
      <c r="U23" s="37">
        <f t="shared" si="20"/>
        <v>4060</v>
      </c>
      <c r="V23" s="37">
        <f t="shared" si="21"/>
        <v>3260</v>
      </c>
      <c r="W23" s="37">
        <f t="shared" si="22"/>
        <v>2280</v>
      </c>
      <c r="X23" s="37">
        <f t="shared" si="23"/>
        <v>2960</v>
      </c>
      <c r="Y23" s="37">
        <f t="shared" si="24"/>
        <v>3850</v>
      </c>
      <c r="Z23" s="37">
        <f t="shared" si="25"/>
        <v>2420</v>
      </c>
      <c r="AA23" s="37">
        <f t="shared" si="26"/>
        <v>3070</v>
      </c>
      <c r="AB23" s="37">
        <f t="shared" si="27"/>
        <v>5980</v>
      </c>
      <c r="AC23" s="37">
        <f t="shared" si="28"/>
        <v>6360</v>
      </c>
      <c r="AD23" s="35">
        <f t="shared" si="29"/>
        <v>52610</v>
      </c>
      <c r="AF23" s="20">
        <f t="shared" si="1"/>
        <v>5</v>
      </c>
      <c r="AG23" s="20">
        <f t="shared" si="2"/>
        <v>80.150000000000006</v>
      </c>
      <c r="AH23" s="20">
        <f t="shared" si="3"/>
        <v>0.3</v>
      </c>
      <c r="AI23" s="20">
        <f t="shared" si="4"/>
        <v>6.4</v>
      </c>
      <c r="AJ23" s="20">
        <f t="shared" si="5"/>
        <v>20.3</v>
      </c>
      <c r="AK23" s="20">
        <f t="shared" si="6"/>
        <v>16.3</v>
      </c>
      <c r="AL23" s="20">
        <f t="shared" si="7"/>
        <v>11.4</v>
      </c>
      <c r="AM23" s="20">
        <f t="shared" si="8"/>
        <v>14.8</v>
      </c>
      <c r="AN23" s="20">
        <f t="shared" si="9"/>
        <v>19.25</v>
      </c>
      <c r="AO23" s="20">
        <f t="shared" si="10"/>
        <v>12.1</v>
      </c>
      <c r="AP23" s="20">
        <f t="shared" si="11"/>
        <v>15.35</v>
      </c>
      <c r="AQ23" s="20">
        <f t="shared" si="12"/>
        <v>29.900000000000002</v>
      </c>
      <c r="AR23" s="20">
        <f t="shared" si="13"/>
        <v>31.8</v>
      </c>
      <c r="AS23" s="35">
        <f t="shared" si="30"/>
        <v>263.05</v>
      </c>
      <c r="AU23" s="47">
        <v>621282</v>
      </c>
      <c r="AV23" s="37">
        <f t="shared" si="31"/>
        <v>3678</v>
      </c>
      <c r="AW23" s="35">
        <f t="shared" si="14"/>
        <v>7.3559999999999999</v>
      </c>
    </row>
    <row r="24" spans="1:49" x14ac:dyDescent="0.25">
      <c r="A24" s="23">
        <v>44334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7"/>
        <v>0</v>
      </c>
      <c r="R24" s="37" t="str">
        <f t="shared" si="18"/>
        <v>0</v>
      </c>
      <c r="S24" s="37" t="str">
        <f t="shared" si="16"/>
        <v>0</v>
      </c>
      <c r="T24" s="37" t="str">
        <f t="shared" si="19"/>
        <v>0</v>
      </c>
      <c r="U24" s="37" t="str">
        <f t="shared" si="20"/>
        <v>0</v>
      </c>
      <c r="V24" s="37" t="str">
        <f t="shared" si="21"/>
        <v>0</v>
      </c>
      <c r="W24" s="37" t="str">
        <f t="shared" si="22"/>
        <v>0</v>
      </c>
      <c r="X24" s="37" t="str">
        <f t="shared" si="23"/>
        <v>0</v>
      </c>
      <c r="Y24" s="37" t="str">
        <f t="shared" si="24"/>
        <v>0</v>
      </c>
      <c r="Z24" s="37" t="str">
        <f t="shared" si="25"/>
        <v>0</v>
      </c>
      <c r="AA24" s="37" t="str">
        <f t="shared" si="26"/>
        <v>0</v>
      </c>
      <c r="AB24" s="37" t="str">
        <f t="shared" si="27"/>
        <v>0</v>
      </c>
      <c r="AC24" s="37" t="str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 t="str">
        <f t="shared" si="31"/>
        <v>0</v>
      </c>
      <c r="AW24" s="35">
        <f t="shared" si="14"/>
        <v>0</v>
      </c>
    </row>
    <row r="25" spans="1:49" x14ac:dyDescent="0.25">
      <c r="A25" s="23">
        <v>44335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44336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44337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44338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44339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44340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44341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44342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44343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44344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44345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44346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44347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10300</v>
      </c>
      <c r="R38" s="38">
        <f t="shared" ref="R38:AD38" si="62">SUM(R7:R37)</f>
        <v>65840</v>
      </c>
      <c r="S38" s="38">
        <f t="shared" si="62"/>
        <v>55980</v>
      </c>
      <c r="T38" s="38">
        <f t="shared" si="62"/>
        <v>24480</v>
      </c>
      <c r="U38" s="38">
        <f t="shared" si="62"/>
        <v>54470</v>
      </c>
      <c r="V38" s="38">
        <f t="shared" si="62"/>
        <v>46660</v>
      </c>
      <c r="W38" s="38">
        <f t="shared" si="62"/>
        <v>37730</v>
      </c>
      <c r="X38" s="38">
        <f t="shared" si="62"/>
        <v>39680</v>
      </c>
      <c r="Y38" s="38">
        <f t="shared" si="62"/>
        <v>61290</v>
      </c>
      <c r="Z38" s="38">
        <f t="shared" si="62"/>
        <v>36060</v>
      </c>
      <c r="AA38" s="38">
        <f t="shared" si="62"/>
        <v>41980</v>
      </c>
      <c r="AB38" s="38">
        <f t="shared" si="62"/>
        <v>101040</v>
      </c>
      <c r="AC38" s="38">
        <f t="shared" si="62"/>
        <v>143560</v>
      </c>
      <c r="AD38" s="38">
        <f t="shared" si="62"/>
        <v>719070</v>
      </c>
      <c r="AF38" s="35">
        <f t="shared" ref="AF38:AS38" si="63">SUM(AF7:AF37)</f>
        <v>51.500000000000007</v>
      </c>
      <c r="AG38" s="35">
        <f t="shared" si="63"/>
        <v>329.20000000000005</v>
      </c>
      <c r="AH38" s="35">
        <f t="shared" si="63"/>
        <v>279.90000000000003</v>
      </c>
      <c r="AI38" s="35">
        <f t="shared" si="63"/>
        <v>122.4</v>
      </c>
      <c r="AJ38" s="35">
        <f t="shared" si="63"/>
        <v>272.34999999999997</v>
      </c>
      <c r="AK38" s="35">
        <f t="shared" si="63"/>
        <v>233.30000000000004</v>
      </c>
      <c r="AL38" s="35">
        <f t="shared" si="63"/>
        <v>188.64999999999998</v>
      </c>
      <c r="AM38" s="35">
        <f t="shared" si="63"/>
        <v>198.40000000000003</v>
      </c>
      <c r="AN38" s="35">
        <f t="shared" si="63"/>
        <v>306.45</v>
      </c>
      <c r="AO38" s="35">
        <f t="shared" si="63"/>
        <v>180.3</v>
      </c>
      <c r="AP38" s="35">
        <f t="shared" si="63"/>
        <v>209.90000000000003</v>
      </c>
      <c r="AQ38" s="35">
        <f t="shared" si="63"/>
        <v>505.20000000000005</v>
      </c>
      <c r="AR38" s="35">
        <f t="shared" si="63"/>
        <v>717.8</v>
      </c>
      <c r="AS38" s="35">
        <f t="shared" si="63"/>
        <v>3595.3500000000004</v>
      </c>
      <c r="AU38" s="48"/>
      <c r="AV38" s="35">
        <f>SUM(AV7:AV34)</f>
        <v>38084</v>
      </c>
      <c r="AW38" s="35">
        <f>SUM(AW7:AW34)</f>
        <v>76.168000000000006</v>
      </c>
    </row>
    <row r="39" spans="1:49" x14ac:dyDescent="0.25">
      <c r="D39">
        <v>5.0000000000000001E-3</v>
      </c>
      <c r="AV39" s="36">
        <f>AV38*0.00378541*1000</f>
        <v>144163.55443999998</v>
      </c>
    </row>
    <row r="40" spans="1:49" x14ac:dyDescent="0.25">
      <c r="D40">
        <v>2E-3</v>
      </c>
      <c r="AV40">
        <f>AV39/31</f>
        <v>4650.4372399999993</v>
      </c>
    </row>
    <row r="41" spans="1:49" x14ac:dyDescent="0.25">
      <c r="AV41">
        <f>AV38*0.00378541</f>
        <v>144.16355443999998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2021-05-18T04:11:23Z</dcterms:modified>
</cp:coreProperties>
</file>