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 activeTab="2"/>
  </bookViews>
  <sheets>
    <sheet name="Submetering" sheetId="3" r:id="rId1"/>
    <sheet name="TOTAL" sheetId="1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9" i="1" l="1"/>
  <c r="L29" i="1"/>
  <c r="K30" i="1"/>
  <c r="L30" i="1"/>
  <c r="K31" i="1"/>
  <c r="L31" i="1"/>
  <c r="F7" i="3"/>
  <c r="F8" i="3"/>
  <c r="F9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B30" i="1"/>
  <c r="B31" i="1" s="1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<sst xmlns="http://schemas.openxmlformats.org/spreadsheetml/2006/main" count="131" uniqueCount="59">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</sst>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S16" sqref="S16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6</v>
      </c>
      <c r="D2" s="1">
        <v>2021</v>
      </c>
      <c r="E2" s="4">
        <f>IF(('Hampshire Daily'!D5-'Hampshire Daily'!D4&lt;0),"0",('Hampshire Daily'!D5-'Hampshire Daily'!D4))</f>
        <v>3574</v>
      </c>
      <c r="F2" s="4">
        <f>IF(('Hampshire Daily'!F5-'Hampshire Daily'!F4&lt;0),"0",('Hampshire Daily'!F5-'Hampshire Daily'!F4))</f>
        <v>2204</v>
      </c>
      <c r="G2" s="4">
        <f>IF(('Hampshire Daily'!H5-'Hampshire Daily'!H4&lt;0),"0",('Hampshire Daily'!H5-'Hampshire Daily'!H4))</f>
        <v>0</v>
      </c>
      <c r="H2" s="4">
        <f>IF(('Hampshire Daily'!I5-'Hampshire Daily'!I4&lt;0),"0",('Hampshire Daily'!I5-'Hampshire Daily'!I4))</f>
        <v>0</v>
      </c>
      <c r="I2" s="4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0</v>
      </c>
      <c r="K2" s="4">
        <f>IF(('Hampshire Daily'!L5-'Hampshire Daily'!L4&lt;0),"0",('Hampshire Daily'!L5-'Hampshire Daily'!L4))</f>
        <v>1494</v>
      </c>
      <c r="L2" s="4">
        <f>IF(('Hampshire Daily'!M5-'Hampshire Daily'!M4&lt;0),"0",('Hampshire Daily'!M5-'Hampshire Daily'!M4))</f>
        <v>0</v>
      </c>
      <c r="M2" s="4">
        <f>IF(('Hampshire Daily'!N5-'Hampshire Daily'!N4&lt;0),"0",('Hampshire Daily'!N5-'Hampshire Daily'!N4))</f>
        <v>2518</v>
      </c>
      <c r="N2" s="4">
        <f>IF(('Hampshire Daily'!O5-'Hampshire Daily'!O4&lt;0),"0",('Hampshire Daily'!O5-'Hampshire Daily'!O4))</f>
        <v>124</v>
      </c>
      <c r="O2" s="4">
        <f>IF(('Hampshire Daily'!P5-'Hampshire Daily'!P4&lt;0),"0",('Hampshire Daily'!P5-'Hampshire Daily'!P4))</f>
        <v>0</v>
      </c>
      <c r="P2" s="4" t="str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4</v>
      </c>
      <c r="R2" s="4">
        <f>IF(('Hampshire Daily'!U5-'Hampshire Daily'!U4&lt;0),"0",('Hampshire Daily'!U5-'Hampshire Daily'!U4))</f>
        <v>11</v>
      </c>
      <c r="S2" s="4">
        <f>IF(('Hampshire Daily'!V5-'Hampshire Daily'!V4&lt;0),"0",('Hampshire Daily'!V5-'Hampshire Daily'!V4))</f>
        <v>1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0.61400000000003274</v>
      </c>
      <c r="V2" s="4">
        <f>IF(('Hampshire Daily'!Y5-'Hampshire Daily'!Y4&lt;0),"0",('Hampshire Daily'!Y5-'Hampshire Daily'!Y4))</f>
        <v>0.32899999999972351</v>
      </c>
      <c r="W2" s="4">
        <f>IF(('Hampshire Daily'!Z5-'Hampshire Daily'!Z4&lt;0),"0",('Hampshire Daily'!Z5-'Hampshire Daily'!Z4))</f>
        <v>20</v>
      </c>
      <c r="X2" s="4">
        <f>IF(('Hampshire Daily'!AA5-'Hampshire Daily'!AA4&lt;0),"0",('Hampshire Daily'!AA5-'Hampshire Daily'!AA4))</f>
        <v>5</v>
      </c>
      <c r="Y2" s="4">
        <f>'Hampshire Daily'!B5</f>
        <v>95</v>
      </c>
      <c r="Z2" s="4">
        <f>'Hampshire Daily'!C5</f>
        <v>277</v>
      </c>
    </row>
    <row r="3" spans="1:30" x14ac:dyDescent="0.25">
      <c r="A3" s="3" t="s">
        <v>40</v>
      </c>
      <c r="B3" s="1">
        <f>B2+1</f>
        <v>2</v>
      </c>
      <c r="C3" s="17">
        <v>6</v>
      </c>
      <c r="D3" s="1">
        <v>2021</v>
      </c>
      <c r="E3" s="4">
        <f>IF(('Hampshire Daily'!D6-'Hampshire Daily'!D5&lt;0),"0",('Hampshire Daily'!D6-'Hampshire Daily'!D5))</f>
        <v>3571</v>
      </c>
      <c r="F3" s="4">
        <f>IF(('Hampshire Daily'!F6-'Hampshire Daily'!F5&lt;0),"0",('Hampshire Daily'!F6-'Hampshire Daily'!F5))</f>
        <v>2355</v>
      </c>
      <c r="G3" s="4">
        <f>IF(('Hampshire Daily'!H6-'Hampshire Daily'!H5&lt;0),"0",('Hampshire Daily'!H6-'Hampshire Daily'!H5))</f>
        <v>85</v>
      </c>
      <c r="H3" s="4">
        <f>IF(('Hampshire Daily'!I6-'Hampshire Daily'!I5&lt;0),"0",('Hampshire Daily'!I6-'Hampshire Daily'!I5))</f>
        <v>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1274</v>
      </c>
      <c r="L3" s="4">
        <f>IF(('Hampshire Daily'!M6-'Hampshire Daily'!M5&lt;0),"0",('Hampshire Daily'!M6-'Hampshire Daily'!M5))</f>
        <v>33</v>
      </c>
      <c r="M3" s="4">
        <f>IF(('Hampshire Daily'!N6-'Hampshire Daily'!N5&lt;0),"0",('Hampshire Daily'!N6-'Hampshire Daily'!N5))</f>
        <v>2138</v>
      </c>
      <c r="N3" s="4">
        <f>IF(('Hampshire Daily'!O6-'Hampshire Daily'!O5&lt;0),"0",('Hampshire Daily'!O6-'Hampshire Daily'!O5))</f>
        <v>125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3768</v>
      </c>
      <c r="Q3" s="4">
        <f>IF(('Hampshire Daily'!R6-'Hampshire Daily'!R5&lt;0),"0",('Hampshire Daily'!R6-'Hampshire Daily'!R5))</f>
        <v>4</v>
      </c>
      <c r="R3" s="4">
        <f>IF(('Hampshire Daily'!U6-'Hampshire Daily'!U5&lt;0),"0",('Hampshire Daily'!U6-'Hampshire Daily'!U5))</f>
        <v>10</v>
      </c>
      <c r="S3" s="4">
        <f>IF(('Hampshire Daily'!V6-'Hampshire Daily'!V5&lt;0),"0",('Hampshire Daily'!V6-'Hampshire Daily'!V5))</f>
        <v>3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0.51599999999996271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18</v>
      </c>
      <c r="X3" s="4">
        <f>IF(('Hampshire Daily'!AA6-'Hampshire Daily'!AA5&lt;0),"0",('Hampshire Daily'!AA6-'Hampshire Daily'!AA5))</f>
        <v>6</v>
      </c>
      <c r="Y3" s="4">
        <f>'Hampshire Daily'!B6</f>
        <v>95</v>
      </c>
      <c r="Z3" s="4">
        <f>'Hampshire Daily'!C6</f>
        <v>265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6</v>
      </c>
      <c r="D4" s="1">
        <v>2021</v>
      </c>
      <c r="E4" s="4">
        <f>IF(('Hampshire Daily'!D7-'Hampshire Daily'!D6&lt;0),"0",('Hampshire Daily'!D7-'Hampshire Daily'!D6))</f>
        <v>3874</v>
      </c>
      <c r="F4" s="4">
        <f>IF(('Hampshire Daily'!F7-'Hampshire Daily'!F6&lt;0),"0",('Hampshire Daily'!F7-'Hampshire Daily'!F6))</f>
        <v>1893</v>
      </c>
      <c r="G4" s="4">
        <f>IF(('Hampshire Daily'!H7-'Hampshire Daily'!H6&lt;0),"0",('Hampshire Daily'!H7-'Hampshire Daily'!H6))</f>
        <v>0</v>
      </c>
      <c r="H4" s="4">
        <f>IF(('Hampshire Daily'!I7-'Hampshire Daily'!I6&lt;0),"0",('Hampshire Daily'!I7-'Hampshire Daily'!I6))</f>
        <v>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0</v>
      </c>
      <c r="K4" s="4">
        <f>IF(('Hampshire Daily'!L7-'Hampshire Daily'!L6&lt;0),"0",('Hampshire Daily'!L7-'Hampshire Daily'!L6))</f>
        <v>1323</v>
      </c>
      <c r="L4" s="4">
        <f>IF(('Hampshire Daily'!M7-'Hampshire Daily'!M6&lt;0),"0",('Hampshire Daily'!M7-'Hampshire Daily'!M6))</f>
        <v>65</v>
      </c>
      <c r="M4" s="4">
        <f>IF(('Hampshire Daily'!N7-'Hampshire Daily'!N6&lt;0),"0",('Hampshire Daily'!N7-'Hampshire Daily'!N6))</f>
        <v>2251</v>
      </c>
      <c r="N4" s="4">
        <f>IF(('Hampshire Daily'!O7-'Hampshire Daily'!O6&lt;0),"0",('Hampshire Daily'!O7-'Hampshire Daily'!O6))</f>
        <v>120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888</v>
      </c>
      <c r="Q4" s="4">
        <f>IF(('Hampshire Daily'!R7-'Hampshire Daily'!R6&lt;0),"0",('Hampshire Daily'!R7-'Hampshire Daily'!R6))</f>
        <v>4</v>
      </c>
      <c r="R4" s="4">
        <f>IF(('Hampshire Daily'!U7-'Hampshire Daily'!U6&lt;0),"0",('Hampshire Daily'!U7-'Hampshire Daily'!U6))</f>
        <v>9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0.58899999999994179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20</v>
      </c>
      <c r="X4" s="4">
        <f>IF(('Hampshire Daily'!AA7-'Hampshire Daily'!AA6&lt;0),"0",('Hampshire Daily'!AA7-'Hampshire Daily'!AA6))</f>
        <v>6</v>
      </c>
      <c r="Y4" s="4">
        <f>'Hampshire Daily'!B7</f>
        <v>92</v>
      </c>
      <c r="Z4" s="4">
        <f>'Hampshire Daily'!C7</f>
        <v>266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6</v>
      </c>
      <c r="D5" s="1">
        <v>2021</v>
      </c>
      <c r="E5" s="4">
        <f>IF(('Hampshire Daily'!D8-'Hampshire Daily'!D7&lt;0),"0",('Hampshire Daily'!D8-'Hampshire Daily'!D7))</f>
        <v>3054</v>
      </c>
      <c r="F5" s="4">
        <f>IF(('Hampshire Daily'!F8-'Hampshire Daily'!F7&lt;0),"0",('Hampshire Daily'!F8-'Hampshire Daily'!F7))</f>
        <v>2165</v>
      </c>
      <c r="G5" s="4">
        <f>IF(('Hampshire Daily'!H8-'Hampshire Daily'!H7&lt;0),"0",('Hampshire Daily'!H8-'Hampshire Daily'!H7))</f>
        <v>69</v>
      </c>
      <c r="H5" s="4">
        <f>IF(('Hampshire Daily'!I8-'Hampshire Daily'!I7&lt;0),"0",('Hampshire Daily'!I8-'Hampshire Daily'!I7))</f>
        <v>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1346</v>
      </c>
      <c r="L5" s="4">
        <f>IF(('Hampshire Daily'!M8-'Hampshire Daily'!M7&lt;0),"0",('Hampshire Daily'!M8-'Hampshire Daily'!M7))</f>
        <v>0</v>
      </c>
      <c r="M5" s="4">
        <f>IF(('Hampshire Daily'!N8-'Hampshire Daily'!N7&lt;0),"0",('Hampshire Daily'!N8-'Hampshire Daily'!N7))</f>
        <v>2187</v>
      </c>
      <c r="N5" s="4">
        <f>IF(('Hampshire Daily'!O8-'Hampshire Daily'!O7&lt;0),"0",('Hampshire Daily'!O8-'Hampshire Daily'!O7))</f>
        <v>192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5688</v>
      </c>
      <c r="Q5" s="4">
        <f>IF(('Hampshire Daily'!R8-'Hampshire Daily'!R7&lt;0),"0",('Hampshire Daily'!R8-'Hampshire Daily'!R7))</f>
        <v>1</v>
      </c>
      <c r="R5" s="4">
        <f>IF(('Hampshire Daily'!U8-'Hampshire Daily'!U7&lt;0),"0",('Hampshire Daily'!U8-'Hampshire Daily'!U7))</f>
        <v>11</v>
      </c>
      <c r="S5" s="4">
        <f>IF(('Hampshire Daily'!V8-'Hampshire Daily'!V7&lt;0),"0",('Hampshire Daily'!V8-'Hampshire Daily'!V7))</f>
        <v>2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0.50499999999999545</v>
      </c>
      <c r="V5" s="4">
        <f>IF(('Hampshire Daily'!Y8-'Hampshire Daily'!Y7&lt;0),"0",('Hampshire Daily'!Y8-'Hampshire Daily'!Y7))</f>
        <v>3.1000000000403816E-2</v>
      </c>
      <c r="W5" s="4">
        <f>IF(('Hampshire Daily'!Z8-'Hampshire Daily'!Z7&lt;0),"0",('Hampshire Daily'!Z8-'Hampshire Daily'!Z7))</f>
        <v>20</v>
      </c>
      <c r="X5" s="4">
        <f>IF(('Hampshire Daily'!AA8-'Hampshire Daily'!AA7&lt;0),"0",('Hampshire Daily'!AA8-'Hampshire Daily'!AA7))</f>
        <v>6</v>
      </c>
      <c r="Y5" s="4">
        <f>'Hampshire Daily'!B8</f>
        <v>93</v>
      </c>
      <c r="Z5" s="4">
        <f>'Hampshire Daily'!C8</f>
        <v>261</v>
      </c>
    </row>
    <row r="6" spans="1:30" x14ac:dyDescent="0.25">
      <c r="A6" s="3" t="s">
        <v>40</v>
      </c>
      <c r="B6" s="1">
        <f t="shared" si="0"/>
        <v>5</v>
      </c>
      <c r="C6" s="17">
        <v>6</v>
      </c>
      <c r="D6" s="1">
        <v>2021</v>
      </c>
      <c r="E6" s="4">
        <f>IF(('Hampshire Daily'!D9-'Hampshire Daily'!D8&lt;0),"0",('Hampshire Daily'!D9-'Hampshire Daily'!D8))</f>
        <v>3885</v>
      </c>
      <c r="F6" s="4">
        <f>IF(('Hampshire Daily'!F9-'Hampshire Daily'!F8&lt;0),"0",('Hampshire Daily'!F9-'Hampshire Daily'!F8))</f>
        <v>3017</v>
      </c>
      <c r="G6" s="4">
        <f>IF(('Hampshire Daily'!H9-'Hampshire Daily'!H8&lt;0),"0",('Hampshire Daily'!H9-'Hampshire Daily'!H8))</f>
        <v>107</v>
      </c>
      <c r="H6" s="4">
        <f>IF(('Hampshire Daily'!I9-'Hampshire Daily'!I8&lt;0),"0",('Hampshire Daily'!I9-'Hampshire Daily'!I8))</f>
        <v>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0</v>
      </c>
      <c r="K6" s="4">
        <f>IF(('Hampshire Daily'!L9-'Hampshire Daily'!L8&lt;0),"0",('Hampshire Daily'!L9-'Hampshire Daily'!L8))</f>
        <v>1346</v>
      </c>
      <c r="L6" s="4">
        <f>IF(('Hampshire Daily'!M9-'Hampshire Daily'!M8&lt;0),"0",('Hampshire Daily'!M9-'Hampshire Daily'!M8))</f>
        <v>0</v>
      </c>
      <c r="M6" s="4">
        <f>IF(('Hampshire Daily'!N9-'Hampshire Daily'!N8&lt;0),"0",('Hampshire Daily'!N9-'Hampshire Daily'!N8))</f>
        <v>3117</v>
      </c>
      <c r="N6" s="4">
        <f>IF(('Hampshire Daily'!O9-'Hampshire Daily'!O8&lt;0),"0",('Hampshire Daily'!O9-'Hampshire Daily'!O8))</f>
        <v>120</v>
      </c>
      <c r="O6" s="4">
        <f>IF(('Hampshire Daily'!P9-'Hampshire Daily'!P8&lt;0),"0",('Hampshire Daily'!P9-'Hampshire Daily'!P8))</f>
        <v>0</v>
      </c>
      <c r="P6" s="4" t="str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1</v>
      </c>
      <c r="R6" s="4">
        <f>IF(('Hampshire Daily'!U9-'Hampshire Daily'!U8&lt;0),"0",('Hampshire Daily'!U9-'Hampshire Daily'!U8))</f>
        <v>15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0.58600000000001273</v>
      </c>
      <c r="V6" s="4">
        <f>IF(('Hampshire Daily'!Y9-'Hampshire Daily'!Y8&lt;0),"0",('Hampshire Daily'!Y9-'Hampshire Daily'!Y8))</f>
        <v>2.9999999999745341E-2</v>
      </c>
      <c r="W6" s="4">
        <f>IF(('Hampshire Daily'!Z9-'Hampshire Daily'!Z8&lt;0),"0",('Hampshire Daily'!Z9-'Hampshire Daily'!Z8))</f>
        <v>26</v>
      </c>
      <c r="X6" s="4">
        <f>IF(('Hampshire Daily'!AA9-'Hampshire Daily'!AA8&lt;0),"0",('Hampshire Daily'!AA9-'Hampshire Daily'!AA8))</f>
        <v>9</v>
      </c>
      <c r="Y6" s="4">
        <f>'Hampshire Daily'!B9</f>
        <v>92</v>
      </c>
      <c r="Z6" s="4">
        <f>'Hampshire Daily'!C9</f>
        <v>259</v>
      </c>
    </row>
    <row r="7" spans="1:30" x14ac:dyDescent="0.25">
      <c r="A7" s="3" t="s">
        <v>40</v>
      </c>
      <c r="B7" s="1">
        <f t="shared" si="0"/>
        <v>6</v>
      </c>
      <c r="C7" s="17">
        <v>6</v>
      </c>
      <c r="D7" s="1">
        <v>2021</v>
      </c>
      <c r="E7" s="4">
        <f>IF(('Hampshire Daily'!D10-'Hampshire Daily'!D9&lt;0),"0",('Hampshire Daily'!D10-'Hampshire Daily'!D9))</f>
        <v>2997</v>
      </c>
      <c r="F7" s="4">
        <f>IF(('Hampshire Daily'!F10-'Hampshire Daily'!F9&lt;0),"0",('Hampshire Daily'!F10-'Hampshire Daily'!F9))</f>
        <v>1812</v>
      </c>
      <c r="G7" s="4">
        <f>IF(('Hampshire Daily'!H10-'Hampshire Daily'!H9&lt;0),"0",('Hampshire Daily'!H10-'Hampshire Daily'!H9))</f>
        <v>48</v>
      </c>
      <c r="H7" s="4">
        <f>IF(('Hampshire Daily'!I10-'Hampshire Daily'!I9&lt;0),"0",('Hampshire Daily'!I10-'Hampshire Daily'!I9))</f>
        <v>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1346</v>
      </c>
      <c r="L7" s="4">
        <f>IF(('Hampshire Daily'!M10-'Hampshire Daily'!M9&lt;0),"0",('Hampshire Daily'!M10-'Hampshire Daily'!M9))</f>
        <v>0</v>
      </c>
      <c r="M7" s="4">
        <f>IF(('Hampshire Daily'!N10-'Hampshire Daily'!N9&lt;0),"0",('Hampshire Daily'!N10-'Hampshire Daily'!N9))</f>
        <v>2160</v>
      </c>
      <c r="N7" s="4">
        <f>IF(('Hampshire Daily'!O10-'Hampshire Daily'!O9&lt;0),"0",('Hampshire Daily'!O10-'Hampshire Daily'!O9))</f>
        <v>120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613</v>
      </c>
      <c r="Q7" s="4">
        <f>IF(('Hampshire Daily'!R10-'Hampshire Daily'!R9&lt;0),"0",('Hampshire Daily'!R10-'Hampshire Daily'!R9))</f>
        <v>4</v>
      </c>
      <c r="R7" s="4">
        <f>IF(('Hampshire Daily'!U10-'Hampshire Daily'!U9&lt;0),"0",('Hampshire Daily'!U10-'Hampshire Daily'!U9))</f>
        <v>9</v>
      </c>
      <c r="S7" s="4">
        <f>IF(('Hampshire Daily'!V10-'Hampshire Daily'!V9&lt;0),"0",('Hampshire Daily'!V10-'Hampshire Daily'!V9))</f>
        <v>100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0.40899999999999181</v>
      </c>
      <c r="V7" s="4">
        <f>IF(('Hampshire Daily'!Y10-'Hampshire Daily'!Y9&lt;0),"0",('Hampshire Daily'!Y10-'Hampshire Daily'!Y9))</f>
        <v>1.4000000000123691E-2</v>
      </c>
      <c r="W7" s="4">
        <f>IF(('Hampshire Daily'!Z10-'Hampshire Daily'!Z9&lt;0),"0",('Hampshire Daily'!Z10-'Hampshire Daily'!Z9))</f>
        <v>19</v>
      </c>
      <c r="X7" s="4">
        <f>IF(('Hampshire Daily'!AA10-'Hampshire Daily'!AA9&lt;0),"0",('Hampshire Daily'!AA10-'Hampshire Daily'!AA9))</f>
        <v>9</v>
      </c>
      <c r="Y7" s="4">
        <f>'Hampshire Daily'!B10</f>
        <v>60</v>
      </c>
      <c r="Z7" s="4">
        <f>'Hampshire Daily'!C10</f>
        <v>166</v>
      </c>
    </row>
    <row r="8" spans="1:30" x14ac:dyDescent="0.25">
      <c r="A8" s="3" t="s">
        <v>40</v>
      </c>
      <c r="B8" s="1">
        <f t="shared" si="0"/>
        <v>7</v>
      </c>
      <c r="C8" s="17">
        <v>6</v>
      </c>
      <c r="D8" s="1">
        <v>2021</v>
      </c>
      <c r="E8" s="4">
        <f>IF(('Hampshire Daily'!D11-'Hampshire Daily'!D10&lt;0),"0",('Hampshire Daily'!D11-'Hampshire Daily'!D10))</f>
        <v>2140</v>
      </c>
      <c r="F8" s="4">
        <f>IF(('Hampshire Daily'!F11-'Hampshire Daily'!F10&lt;0),"0",('Hampshire Daily'!F11-'Hampshire Daily'!F10))</f>
        <v>1091</v>
      </c>
      <c r="G8" s="4">
        <f>IF(('Hampshire Daily'!H11-'Hampshire Daily'!H10&lt;0),"0",('Hampshire Daily'!H11-'Hampshire Daily'!H10))</f>
        <v>37</v>
      </c>
      <c r="H8" s="4">
        <f>IF(('Hampshire Daily'!I11-'Hampshire Daily'!I10&lt;0),"0",('Hampshire Daily'!I11-'Hampshire Daily'!I10))</f>
        <v>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0</v>
      </c>
      <c r="K8" s="4">
        <f>IF(('Hampshire Daily'!L11-'Hampshire Daily'!L10&lt;0),"0",('Hampshire Daily'!L11-'Hampshire Daily'!L10))</f>
        <v>1346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1534</v>
      </c>
      <c r="N8" s="4">
        <f>IF(('Hampshire Daily'!O11-'Hampshire Daily'!O10&lt;0),"0",('Hampshire Daily'!O11-'Hampshire Daily'!O10))</f>
        <v>98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519</v>
      </c>
      <c r="Q8" s="4">
        <f>IF(('Hampshire Daily'!R11-'Hampshire Daily'!R10&lt;0),"0",('Hampshire Daily'!R11-'Hampshire Daily'!R10))</f>
        <v>2</v>
      </c>
      <c r="R8" s="4">
        <f>IF(('Hampshire Daily'!U11-'Hampshire Daily'!U10&lt;0),"0",('Hampshire Daily'!U11-'Hampshire Daily'!U10))</f>
        <v>7</v>
      </c>
      <c r="S8" s="4" t="str">
        <f>IF(('Hampshire Daily'!V11-'Hampshire Daily'!V10&lt;0),"0",('Hampshire Daily'!V11-'Hampshire Daily'!V10))</f>
        <v>0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</v>
      </c>
      <c r="V8" s="4">
        <f>IF(('Hampshire Daily'!Y11-'Hampshire Daily'!Y10&lt;0),"0",('Hampshire Daily'!Y11-'Hampshire Daily'!Y10))</f>
        <v>1.4000000000123691E-2</v>
      </c>
      <c r="W8" s="4">
        <f>IF(('Hampshire Daily'!Z11-'Hampshire Daily'!Z10&lt;0),"0",('Hampshire Daily'!Z11-'Hampshire Daily'!Z10))</f>
        <v>13</v>
      </c>
      <c r="X8" s="4">
        <f>IF(('Hampshire Daily'!AA11-'Hampshire Daily'!AA10&lt;0),"0",('Hampshire Daily'!AA11-'Hampshire Daily'!AA10))</f>
        <v>8</v>
      </c>
      <c r="Y8" s="4">
        <f>'Hampshire Daily'!B11</f>
        <v>66</v>
      </c>
      <c r="Z8" s="4">
        <f>'Hampshire Daily'!C11</f>
        <v>169</v>
      </c>
    </row>
    <row r="9" spans="1:30" x14ac:dyDescent="0.25">
      <c r="A9" s="3" t="s">
        <v>40</v>
      </c>
      <c r="B9" s="1">
        <f t="shared" si="0"/>
        <v>8</v>
      </c>
      <c r="C9" s="17">
        <v>6</v>
      </c>
      <c r="D9" s="1">
        <v>2021</v>
      </c>
      <c r="E9" s="4">
        <f>IF(('Hampshire Daily'!D12-'Hampshire Daily'!D11&lt;0),"0",('Hampshire Daily'!D12-'Hampshire Daily'!D11))</f>
        <v>3732</v>
      </c>
      <c r="F9" s="4">
        <f>IF(('Hampshire Daily'!F12-'Hampshire Daily'!F11&lt;0),"0",('Hampshire Daily'!F12-'Hampshire Daily'!F11))</f>
        <v>1739</v>
      </c>
      <c r="G9" s="4">
        <f>IF(('Hampshire Daily'!H12-'Hampshire Daily'!H11&lt;0),"0",('Hampshire Daily'!H12-'Hampshire Daily'!H11))</f>
        <v>53</v>
      </c>
      <c r="H9" s="4">
        <f>IF(('Hampshire Daily'!I12-'Hampshire Daily'!I11&lt;0),"0",('Hampshire Daily'!I12-'Hampshire Daily'!I11))</f>
        <v>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1346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2288</v>
      </c>
      <c r="N9" s="4">
        <f>IF(('Hampshire Daily'!O12-'Hampshire Daily'!O11&lt;0),"0",('Hampshire Daily'!O12-'Hampshire Daily'!O11))</f>
        <v>118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715</v>
      </c>
      <c r="Q9" s="4">
        <f>IF(('Hampshire Daily'!R12-'Hampshire Daily'!R11&lt;0),"0",('Hampshire Daily'!R12-'Hampshire Daily'!R11))</f>
        <v>4</v>
      </c>
      <c r="R9" s="4">
        <f>IF(('Hampshire Daily'!U12-'Hampshire Daily'!U11&lt;0),"0",('Hampshire Daily'!U12-'Hampshire Daily'!U11))</f>
        <v>11</v>
      </c>
      <c r="S9" s="4">
        <f>IF(('Hampshire Daily'!V12-'Hampshire Daily'!V11&lt;0),"0",('Hampshire Daily'!V12-'Hampshire Daily'!V11))</f>
        <v>1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0.78700000000003456</v>
      </c>
      <c r="V9" s="4">
        <f>IF(('Hampshire Daily'!Y12-'Hampshire Daily'!Y11&lt;0),"0",('Hampshire Daily'!Y12-'Hampshire Daily'!Y11))</f>
        <v>2.7999999999792635E-2</v>
      </c>
      <c r="W9" s="4">
        <f>IF(('Hampshire Daily'!Z12-'Hampshire Daily'!Z11&lt;0),"0",('Hampshire Daily'!Z12-'Hampshire Daily'!Z11))</f>
        <v>14</v>
      </c>
      <c r="X9" s="4">
        <f>IF(('Hampshire Daily'!AA12-'Hampshire Daily'!AA11&lt;0),"0",('Hampshire Daily'!AA12-'Hampshire Daily'!AA11))</f>
        <v>8</v>
      </c>
      <c r="Y9" s="4">
        <f>'Hampshire Daily'!B12</f>
        <v>71</v>
      </c>
      <c r="Z9" s="4">
        <f>'Hampshire Daily'!C12</f>
        <v>170</v>
      </c>
    </row>
    <row r="10" spans="1:30" x14ac:dyDescent="0.25">
      <c r="A10" s="3" t="s">
        <v>40</v>
      </c>
      <c r="B10" s="1">
        <f t="shared" si="0"/>
        <v>9</v>
      </c>
      <c r="C10" s="17">
        <v>6</v>
      </c>
      <c r="D10" s="1">
        <v>2021</v>
      </c>
      <c r="E10" s="4">
        <f>IF(('Hampshire Daily'!D13-'Hampshire Daily'!D12&lt;0),"0",('Hampshire Daily'!D13-'Hampshire Daily'!D12))</f>
        <v>4239</v>
      </c>
      <c r="F10" s="4">
        <f>IF(('Hampshire Daily'!F13-'Hampshire Daily'!F12&lt;0),"0",('Hampshire Daily'!F13-'Hampshire Daily'!F12))</f>
        <v>3432</v>
      </c>
      <c r="G10" s="4">
        <f>IF(('Hampshire Daily'!H13-'Hampshire Daily'!H12&lt;0),"0",('Hampshire Daily'!H13-'Hampshire Daily'!H12))</f>
        <v>371</v>
      </c>
      <c r="H10" s="4">
        <f>IF(('Hampshire Daily'!I13-'Hampshire Daily'!I12&lt;0),"0",('Hampshire Daily'!I13-'Hampshire Daily'!I12))</f>
        <v>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0</v>
      </c>
      <c r="K10" s="4">
        <f>IF(('Hampshire Daily'!L13-'Hampshire Daily'!L12&lt;0),"0",('Hampshire Daily'!L13-'Hampshire Daily'!L12))</f>
        <v>1346</v>
      </c>
      <c r="L10" s="4">
        <f>IF(('Hampshire Daily'!M13-'Hampshire Daily'!M12&lt;0),"0",('Hampshire Daily'!M13-'Hampshire Daily'!M12))</f>
        <v>150</v>
      </c>
      <c r="M10" s="4">
        <f>IF(('Hampshire Daily'!N13-'Hampshire Daily'!N12&lt;0),"0",('Hampshire Daily'!N13-'Hampshire Daily'!N12))</f>
        <v>1722</v>
      </c>
      <c r="N10" s="4">
        <f>IF(('Hampshire Daily'!O13-'Hampshire Daily'!O12&lt;0),"0",('Hampshire Daily'!O13-'Hampshire Daily'!O12))</f>
        <v>114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753</v>
      </c>
      <c r="Q10" s="4">
        <f>IF(('Hampshire Daily'!R13-'Hampshire Daily'!R12&lt;0),"0",('Hampshire Daily'!R13-'Hampshire Daily'!R12))</f>
        <v>4</v>
      </c>
      <c r="R10" s="4">
        <f>IF(('Hampshire Daily'!U13-'Hampshire Daily'!U12&lt;0),"0",('Hampshire Daily'!U13-'Hampshire Daily'!U12))</f>
        <v>9</v>
      </c>
      <c r="S10" s="4">
        <f>IF(('Hampshire Daily'!V13-'Hampshire Daily'!V12&lt;0),"0",('Hampshire Daily'!V13-'Hampshire Daily'!V12))</f>
        <v>2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0.47900000000004184</v>
      </c>
      <c r="V10" s="4">
        <f>IF(('Hampshire Daily'!Y13-'Hampshire Daily'!Y12&lt;0),"0",('Hampshire Daily'!Y13-'Hampshire Daily'!Y12))</f>
        <v>1.4000000000123691E-2</v>
      </c>
      <c r="W10" s="4">
        <f>IF(('Hampshire Daily'!Z13-'Hampshire Daily'!Z12&lt;0),"0",('Hampshire Daily'!Z13-'Hampshire Daily'!Z12))</f>
        <v>24</v>
      </c>
      <c r="X10" s="4">
        <f>IF(('Hampshire Daily'!AA13-'Hampshire Daily'!AA12&lt;0),"0",('Hampshire Daily'!AA13-'Hampshire Daily'!AA12))</f>
        <v>6</v>
      </c>
      <c r="Y10" s="4">
        <f>'Hampshire Daily'!B13</f>
        <v>54</v>
      </c>
      <c r="Z10" s="4">
        <f>'Hampshire Daily'!C13</f>
        <v>138</v>
      </c>
    </row>
    <row r="11" spans="1:30" x14ac:dyDescent="0.25">
      <c r="A11" s="3" t="s">
        <v>40</v>
      </c>
      <c r="B11" s="1">
        <f t="shared" si="0"/>
        <v>10</v>
      </c>
      <c r="C11" s="17">
        <v>6</v>
      </c>
      <c r="D11" s="1">
        <v>2021</v>
      </c>
      <c r="E11" s="4">
        <f>IF(('Hampshire Daily'!D14-'Hampshire Daily'!D13&lt;0),"0",('Hampshire Daily'!D14-'Hampshire Daily'!D13))</f>
        <v>3802</v>
      </c>
      <c r="F11" s="4">
        <f>IF(('Hampshire Daily'!F14-'Hampshire Daily'!F13&lt;0),"0",('Hampshire Daily'!F14-'Hampshire Daily'!F13))</f>
        <v>1659</v>
      </c>
      <c r="G11" s="4">
        <f>IF(('Hampshire Daily'!H14-'Hampshire Daily'!H13&lt;0),"0",('Hampshire Daily'!H14-'Hampshire Daily'!H13))</f>
        <v>38</v>
      </c>
      <c r="H11" s="4">
        <f>IF(('Hampshire Daily'!I14-'Hampshire Daily'!I13&lt;0),"0",('Hampshire Daily'!I14-'Hampshire Daily'!I13))</f>
        <v>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1346</v>
      </c>
      <c r="L11" s="4">
        <f>IF(('Hampshire Daily'!M14-'Hampshire Daily'!M13&lt;0),"0",('Hampshire Daily'!M14-'Hampshire Daily'!M13))</f>
        <v>0</v>
      </c>
      <c r="M11" s="4">
        <f>IF(('Hampshire Daily'!N14-'Hampshire Daily'!N13&lt;0),"0",('Hampshire Daily'!N14-'Hampshire Daily'!N13))</f>
        <v>2267</v>
      </c>
      <c r="N11" s="4">
        <f>IF(('Hampshire Daily'!O14-'Hampshire Daily'!O13&lt;0),"0",('Hampshire Daily'!O14-'Hampshire Daily'!O13))</f>
        <v>115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931</v>
      </c>
      <c r="Q11" s="4">
        <f>IF(('Hampshire Daily'!R14-'Hampshire Daily'!R13&lt;0),"0",('Hampshire Daily'!R14-'Hampshire Daily'!R13))</f>
        <v>4</v>
      </c>
      <c r="R11" s="4">
        <f>IF(('Hampshire Daily'!U14-'Hampshire Daily'!U13&lt;0),"0",('Hampshire Daily'!U14-'Hampshire Daily'!U13))</f>
        <v>11</v>
      </c>
      <c r="S11" s="4">
        <f>IF(('Hampshire Daily'!V14-'Hampshire Daily'!V13&lt;0),"0",('Hampshire Daily'!V14-'Hampshire Daily'!V13))</f>
        <v>2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0.30700000000001637</v>
      </c>
      <c r="V11" s="4">
        <f>IF(('Hampshire Daily'!Y14-'Hampshire Daily'!Y13&lt;0),"0",('Hampshire Daily'!Y14-'Hampshire Daily'!Y13))</f>
        <v>0.17399999999997817</v>
      </c>
      <c r="W11" s="4">
        <f>IF(('Hampshire Daily'!Z14-'Hampshire Daily'!Z13&lt;0),"0",('Hampshire Daily'!Z14-'Hampshire Daily'!Z13))</f>
        <v>20</v>
      </c>
      <c r="X11" s="4">
        <f>IF(('Hampshire Daily'!AA14-'Hampshire Daily'!AA13&lt;0),"0",('Hampshire Daily'!AA14-'Hampshire Daily'!AA13))</f>
        <v>7</v>
      </c>
      <c r="Y11" s="4">
        <f>'Hampshire Daily'!B14</f>
        <v>68</v>
      </c>
      <c r="Z11" s="4">
        <f>'Hampshire Daily'!C14</f>
        <v>178</v>
      </c>
    </row>
    <row r="12" spans="1:30" x14ac:dyDescent="0.25">
      <c r="A12" s="3" t="s">
        <v>40</v>
      </c>
      <c r="B12" s="1">
        <f t="shared" si="0"/>
        <v>11</v>
      </c>
      <c r="C12" s="17">
        <v>6</v>
      </c>
      <c r="D12" s="1">
        <v>2021</v>
      </c>
      <c r="E12" s="4">
        <f>IF(('Hampshire Daily'!D15-'Hampshire Daily'!D14&lt;0),"0",('Hampshire Daily'!D15-'Hampshire Daily'!D14))</f>
        <v>3000</v>
      </c>
      <c r="F12" s="4">
        <f>IF(('Hampshire Daily'!F15-'Hampshire Daily'!F14&lt;0),"0",('Hampshire Daily'!F15-'Hampshire Daily'!F14))</f>
        <v>2274</v>
      </c>
      <c r="G12" s="4">
        <f>IF(('Hampshire Daily'!H15-'Hampshire Daily'!H14&lt;0),"0",('Hampshire Daily'!H15-'Hampshire Daily'!H14))</f>
        <v>9</v>
      </c>
      <c r="H12" s="4">
        <f>IF(('Hampshire Daily'!I15-'Hampshire Daily'!I14&lt;0),"0",('Hampshire Daily'!I15-'Hampshire Daily'!I14))</f>
        <v>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0</v>
      </c>
      <c r="K12" s="4">
        <f>IF(('Hampshire Daily'!L15-'Hampshire Daily'!L14&lt;0),"0",('Hampshire Daily'!L15-'Hampshire Daily'!L14))</f>
        <v>1346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2267</v>
      </c>
      <c r="N12" s="4">
        <f>IF(('Hampshire Daily'!O15-'Hampshire Daily'!O14&lt;0),"0",('Hampshire Daily'!O15-'Hampshire Daily'!O14))</f>
        <v>120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3</v>
      </c>
      <c r="R12" s="4">
        <f>IF(('Hampshire Daily'!U15-'Hampshire Daily'!U14&lt;0),"0",('Hampshire Daily'!U15-'Hampshire Daily'!U14))</f>
        <v>11</v>
      </c>
      <c r="S12" s="4">
        <f>IF(('Hampshire Daily'!V15-'Hampshire Daily'!V14&lt;0),"0",('Hampshire Daily'!V15-'Hampshire Daily'!V14))</f>
        <v>0.5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0.39999999999997726</v>
      </c>
      <c r="V12" s="4">
        <f>IF(('Hampshire Daily'!Y15-'Hampshire Daily'!Y14&lt;0),"0",('Hampshire Daily'!Y15-'Hampshire Daily'!Y14))</f>
        <v>7.6000000000021828E-2</v>
      </c>
      <c r="W12" s="4">
        <f>IF(('Hampshire Daily'!Z15-'Hampshire Daily'!Z14&lt;0),"0",('Hampshire Daily'!Z15-'Hampshire Daily'!Z14))</f>
        <v>20</v>
      </c>
      <c r="X12" s="4">
        <f>IF(('Hampshire Daily'!AA15-'Hampshire Daily'!AA14&lt;0),"0",('Hampshire Daily'!AA15-'Hampshire Daily'!AA14))</f>
        <v>7</v>
      </c>
      <c r="Y12" s="4">
        <f>'Hampshire Daily'!B15</f>
        <v>112</v>
      </c>
      <c r="Z12" s="4">
        <f>'Hampshire Daily'!C15</f>
        <v>281</v>
      </c>
    </row>
    <row r="13" spans="1:30" x14ac:dyDescent="0.25">
      <c r="A13" s="3" t="s">
        <v>40</v>
      </c>
      <c r="B13" s="1">
        <f t="shared" si="0"/>
        <v>12</v>
      </c>
      <c r="C13" s="17">
        <v>6</v>
      </c>
      <c r="D13" s="1">
        <v>2021</v>
      </c>
      <c r="E13" s="4">
        <f>IF(('Hampshire Daily'!D16-'Hampshire Daily'!D15&lt;0),"0",('Hampshire Daily'!D16-'Hampshire Daily'!D15))</f>
        <v>4211</v>
      </c>
      <c r="F13" s="4">
        <f>IF(('Hampshire Daily'!F16-'Hampshire Daily'!F15&lt;0),"0",('Hampshire Daily'!F16-'Hampshire Daily'!F15))</f>
        <v>1524</v>
      </c>
      <c r="G13" s="4">
        <f>IF(('Hampshire Daily'!H16-'Hampshire Daily'!H15&lt;0),"0",('Hampshire Daily'!H16-'Hampshire Daily'!H15))</f>
        <v>85</v>
      </c>
      <c r="H13" s="4">
        <f>IF(('Hampshire Daily'!I16-'Hampshire Daily'!I15&lt;0),"0",('Hampshire Daily'!I16-'Hampshire Daily'!I15))</f>
        <v>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1099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2062</v>
      </c>
      <c r="N13" s="4">
        <f>IF(('Hampshire Daily'!O16-'Hampshire Daily'!O15&lt;0),"0",('Hampshire Daily'!O16-'Hampshire Daily'!O15))</f>
        <v>120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555</v>
      </c>
      <c r="Q13" s="4">
        <f>IF(('Hampshire Daily'!R16-'Hampshire Daily'!R15&lt;0),"0",('Hampshire Daily'!R16-'Hampshire Daily'!R15))</f>
        <v>4</v>
      </c>
      <c r="R13" s="4">
        <f>IF(('Hampshire Daily'!U16-'Hampshire Daily'!U15&lt;0),"0",('Hampshire Daily'!U16-'Hampshire Daily'!U15))</f>
        <v>8</v>
      </c>
      <c r="S13" s="4">
        <f>IF(('Hampshire Daily'!V16-'Hampshire Daily'!V15&lt;0),"0",('Hampshire Daily'!V16-'Hampshire Daily'!V15))</f>
        <v>1.5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0.45600000000001728</v>
      </c>
      <c r="V13" s="4" t="str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18</v>
      </c>
      <c r="X13" s="4">
        <f>IF(('Hampshire Daily'!AA16-'Hampshire Daily'!AA15&lt;0),"0",('Hampshire Daily'!AA16-'Hampshire Daily'!AA15))</f>
        <v>7</v>
      </c>
      <c r="Y13" s="4">
        <f>'Hampshire Daily'!B16</f>
        <v>116</v>
      </c>
      <c r="Z13" s="4">
        <f>'Hampshire Daily'!C16</f>
        <v>290</v>
      </c>
    </row>
    <row r="14" spans="1:30" x14ac:dyDescent="0.25">
      <c r="A14" s="3" t="s">
        <v>40</v>
      </c>
      <c r="B14" s="1">
        <f t="shared" si="0"/>
        <v>13</v>
      </c>
      <c r="C14" s="17">
        <v>6</v>
      </c>
      <c r="D14" s="1">
        <v>2021</v>
      </c>
      <c r="E14" s="4">
        <f>IF(('Hampshire Daily'!D17-'Hampshire Daily'!D16&lt;0),"0",('Hampshire Daily'!D17-'Hampshire Daily'!D16))</f>
        <v>3755</v>
      </c>
      <c r="F14" s="4">
        <f>IF(('Hampshire Daily'!F17-'Hampshire Daily'!F16&lt;0),"0",('Hampshire Daily'!F17-'Hampshire Daily'!F16))</f>
        <v>1865</v>
      </c>
      <c r="G14" s="4">
        <f>IF(('Hampshire Daily'!H17-'Hampshire Daily'!H16&lt;0),"0",('Hampshire Daily'!H17-'Hampshire Daily'!H16))</f>
        <v>33</v>
      </c>
      <c r="H14" s="4">
        <f>IF(('Hampshire Daily'!I17-'Hampshire Daily'!I16&lt;0),"0",('Hampshire Daily'!I17-'Hampshire Daily'!I16))</f>
        <v>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0</v>
      </c>
      <c r="K14" s="4">
        <f>IF(('Hampshire Daily'!L17-'Hampshire Daily'!L16&lt;0),"0",('Hampshire Daily'!L17-'Hampshire Daily'!L16))</f>
        <v>1346</v>
      </c>
      <c r="L14" s="4">
        <f>IF(('Hampshire Daily'!M17-'Hampshire Daily'!M16&lt;0),"0",('Hampshire Daily'!M17-'Hampshire Daily'!M16))</f>
        <v>0</v>
      </c>
      <c r="M14" s="4">
        <f>IF(('Hampshire Daily'!N17-'Hampshire Daily'!N16&lt;0),"0",('Hampshire Daily'!N17-'Hampshire Daily'!N16))</f>
        <v>2066</v>
      </c>
      <c r="N14" s="4">
        <f>IF(('Hampshire Daily'!O17-'Hampshire Daily'!O16&lt;0),"0",('Hampshire Daily'!O17-'Hampshire Daily'!O16))</f>
        <v>116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1000</v>
      </c>
      <c r="Q14" s="4">
        <f>IF(('Hampshire Daily'!R17-'Hampshire Daily'!R16&lt;0),"0",('Hampshire Daily'!R17-'Hampshire Daily'!R16))</f>
        <v>4</v>
      </c>
      <c r="R14" s="4">
        <f>IF(('Hampshire Daily'!U17-'Hampshire Daily'!U16&lt;0),"0",('Hampshire Daily'!U17-'Hampshire Daily'!U16))</f>
        <v>11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0.40199999999992997</v>
      </c>
      <c r="V14" s="4">
        <f>IF(('Hampshire Daily'!Y17-'Hampshire Daily'!Y16&lt;0),"0",('Hampshire Daily'!Y17-'Hampshire Daily'!Y16))</f>
        <v>0.11000000000012733</v>
      </c>
      <c r="W14" s="4">
        <f>IF(('Hampshire Daily'!Z17-'Hampshire Daily'!Z16&lt;0),"0",('Hampshire Daily'!Z17-'Hampshire Daily'!Z16))</f>
        <v>20</v>
      </c>
      <c r="X14" s="4">
        <f>IF(('Hampshire Daily'!AA17-'Hampshire Daily'!AA16&lt;0),"0",('Hampshire Daily'!AA17-'Hampshire Daily'!AA16))</f>
        <v>7</v>
      </c>
      <c r="Y14" s="4">
        <f>'Hampshire Daily'!B17</f>
        <v>72</v>
      </c>
      <c r="Z14" s="4">
        <f>'Hampshire Daily'!C17</f>
        <v>172</v>
      </c>
    </row>
    <row r="15" spans="1:30" x14ac:dyDescent="0.25">
      <c r="A15" s="3" t="s">
        <v>40</v>
      </c>
      <c r="B15" s="1">
        <f t="shared" si="0"/>
        <v>14</v>
      </c>
      <c r="C15" s="17">
        <v>6</v>
      </c>
      <c r="D15" s="1">
        <v>2021</v>
      </c>
      <c r="E15" s="4">
        <f>IF(('Hampshire Daily'!D18-'Hampshire Daily'!D17&lt;0),"0",('Hampshire Daily'!D18-'Hampshire Daily'!D17))</f>
        <v>4018</v>
      </c>
      <c r="F15" s="4">
        <f>IF(('Hampshire Daily'!F18-'Hampshire Daily'!F17&lt;0),"0",('Hampshire Daily'!F18-'Hampshire Daily'!F17))</f>
        <v>2026</v>
      </c>
      <c r="G15" s="4">
        <f>IF(('Hampshire Daily'!H18-'Hampshire Daily'!H17&lt;0),"0",('Hampshire Daily'!H18-'Hampshire Daily'!H17))</f>
        <v>71</v>
      </c>
      <c r="H15" s="4">
        <f>IF(('Hampshire Daily'!I18-'Hampshire Daily'!I17&lt;0),"0",('Hampshire Daily'!I18-'Hampshire Daily'!I17))</f>
        <v>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1302</v>
      </c>
      <c r="L15" s="4">
        <f>IF(('Hampshire Daily'!M18-'Hampshire Daily'!M17&lt;0),"0",('Hampshire Daily'!M18-'Hampshire Daily'!M17))</f>
        <v>29</v>
      </c>
      <c r="M15" s="4">
        <f>IF(('Hampshire Daily'!N18-'Hampshire Daily'!N17&lt;0),"0",('Hampshire Daily'!N18-'Hampshire Daily'!N17))</f>
        <v>2010</v>
      </c>
      <c r="N15" s="4">
        <f>IF(('Hampshire Daily'!O18-'Hampshire Daily'!O17&lt;0),"0",('Hampshire Daily'!O18-'Hampshire Daily'!O17))</f>
        <v>120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2614</v>
      </c>
      <c r="Q15" s="4">
        <f>IF(('Hampshire Daily'!R18-'Hampshire Daily'!R17&lt;0),"0",('Hampshire Daily'!R18-'Hampshire Daily'!R17))</f>
        <v>4</v>
      </c>
      <c r="R15" s="4">
        <f>IF(('Hampshire Daily'!U18-'Hampshire Daily'!U17&lt;0),"0",('Hampshire Daily'!U18-'Hampshire Daily'!U17))</f>
        <v>9</v>
      </c>
      <c r="S15" s="4">
        <f>IF(('Hampshire Daily'!V18-'Hampshire Daily'!V17&lt;0),"0",('Hampshire Daily'!V18-'Hampshire Daily'!V17))</f>
        <v>5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0.39999999999997726</v>
      </c>
      <c r="V15" s="4">
        <f>IF(('Hampshire Daily'!Y18-'Hampshire Daily'!Y17&lt;0),"0",('Hampshire Daily'!Y18-'Hampshire Daily'!Y17))</f>
        <v>1.4000000000123691E-2</v>
      </c>
      <c r="W15" s="4">
        <f>IF(('Hampshire Daily'!Z18-'Hampshire Daily'!Z17&lt;0),"0",('Hampshire Daily'!Z18-'Hampshire Daily'!Z17))</f>
        <v>17</v>
      </c>
      <c r="X15" s="4">
        <f>IF(('Hampshire Daily'!AA18-'Hampshire Daily'!AA17&lt;0),"0",('Hampshire Daily'!AA18-'Hampshire Daily'!AA17))</f>
        <v>7</v>
      </c>
      <c r="Y15" s="4">
        <f>'Hampshire Daily'!B18</f>
        <v>107</v>
      </c>
      <c r="Z15" s="4">
        <f>'Hampshire Daily'!C18</f>
        <v>223</v>
      </c>
    </row>
    <row r="16" spans="1:30" x14ac:dyDescent="0.25">
      <c r="A16" s="3" t="s">
        <v>40</v>
      </c>
      <c r="B16" s="1">
        <f t="shared" si="0"/>
        <v>15</v>
      </c>
      <c r="C16" s="17">
        <v>6</v>
      </c>
      <c r="D16" s="1">
        <v>2021</v>
      </c>
      <c r="E16" s="4">
        <f>IF(('Hampshire Daily'!D19-'Hampshire Daily'!D18&lt;0),"0",('Hampshire Daily'!D19-'Hampshire Daily'!D18))</f>
        <v>4514</v>
      </c>
      <c r="F16" s="4">
        <f>IF(('Hampshire Daily'!F19-'Hampshire Daily'!F18&lt;0),"0",('Hampshire Daily'!F19-'Hampshire Daily'!F18))</f>
        <v>2362</v>
      </c>
      <c r="G16" s="4">
        <f>IF(('Hampshire Daily'!H19-'Hampshire Daily'!H18&lt;0),"0",('Hampshire Daily'!H19-'Hampshire Daily'!H18))</f>
        <v>140</v>
      </c>
      <c r="H16" s="4">
        <f>IF(('Hampshire Daily'!I19-'Hampshire Daily'!I18&lt;0),"0",('Hampshire Daily'!I19-'Hampshire Daily'!I18))</f>
        <v>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0</v>
      </c>
      <c r="K16" s="4">
        <f>IF(('Hampshire Daily'!L19-'Hampshire Daily'!L18&lt;0),"0",('Hampshire Daily'!L19-'Hampshire Daily'!L18))</f>
        <v>1346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1955</v>
      </c>
      <c r="N16" s="4">
        <f>IF(('Hampshire Daily'!O19-'Hampshire Daily'!O18&lt;0),"0",('Hampshire Daily'!O19-'Hampshire Daily'!O18))</f>
        <v>120</v>
      </c>
      <c r="O16" s="4">
        <f>IF(('Hampshire Daily'!P19-'Hampshire Daily'!P18&lt;0),"0",('Hampshire Daily'!P19-'Hampshire Daily'!P18))</f>
        <v>8</v>
      </c>
      <c r="P16" s="4">
        <f>IF(('Hampshire Daily'!Q19-'Hampshire Daily'!Q18&lt;0),"0",('Hampshire Daily'!Q19-'Hampshire Daily'!Q18))</f>
        <v>4003</v>
      </c>
      <c r="Q16" s="4">
        <f>IF(('Hampshire Daily'!R19-'Hampshire Daily'!R18&lt;0),"0",('Hampshire Daily'!R19-'Hampshire Daily'!R18))</f>
        <v>4</v>
      </c>
      <c r="R16" s="4">
        <f>IF(('Hampshire Daily'!U19-'Hampshire Daily'!U18&lt;0),"0",('Hampshire Daily'!U19-'Hampshire Daily'!U18))</f>
        <v>13</v>
      </c>
      <c r="S16" s="4">
        <f>IF(('Hampshire Daily'!V19-'Hampshire Daily'!V18&lt;0),"0",('Hampshire Daily'!V19-'Hampshire Daily'!V18))</f>
        <v>1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0.45100000000002183</v>
      </c>
      <c r="V16" s="4">
        <f>IF(('Hampshire Daily'!Y19-'Hampshire Daily'!Y18&lt;0),"0",('Hampshire Daily'!Y19-'Hampshire Daily'!Y18))</f>
        <v>1.1999999999716238E-2</v>
      </c>
      <c r="W16" s="4">
        <f>IF(('Hampshire Daily'!Z19-'Hampshire Daily'!Z18&lt;0),"0",('Hampshire Daily'!Z19-'Hampshire Daily'!Z18))</f>
        <v>19</v>
      </c>
      <c r="X16" s="4">
        <f>IF(('Hampshire Daily'!AA19-'Hampshire Daily'!AA18&lt;0),"0",('Hampshire Daily'!AA19-'Hampshire Daily'!AA18))</f>
        <v>7</v>
      </c>
      <c r="Y16" s="4">
        <f>'Hampshire Daily'!B19</f>
        <v>84</v>
      </c>
      <c r="Z16" s="4">
        <f>'Hampshire Daily'!C19</f>
        <v>181</v>
      </c>
    </row>
    <row r="17" spans="1:26" x14ac:dyDescent="0.25">
      <c r="A17" s="3" t="s">
        <v>40</v>
      </c>
      <c r="B17" s="1">
        <f t="shared" si="0"/>
        <v>16</v>
      </c>
      <c r="C17" s="17">
        <v>6</v>
      </c>
      <c r="D17" s="1">
        <v>2021</v>
      </c>
      <c r="E17" s="4">
        <f>IF(('Hampshire Daily'!D20-'Hampshire Daily'!D19&lt;0),"0",('Hampshire Daily'!D20-'Hampshire Daily'!D19))</f>
        <v>5637</v>
      </c>
      <c r="F17" s="4">
        <f>IF(('Hampshire Daily'!F20-'Hampshire Daily'!F19&lt;0),"0",('Hampshire Daily'!F20-'Hampshire Daily'!F19))</f>
        <v>4160</v>
      </c>
      <c r="G17" s="4">
        <f>IF(('Hampshire Daily'!H20-'Hampshire Daily'!H19&lt;0),"0",('Hampshire Daily'!H20-'Hampshire Daily'!H19))</f>
        <v>494</v>
      </c>
      <c r="H17" s="4">
        <f>IF(('Hampshire Daily'!I20-'Hampshire Daily'!I19&lt;0),"0",('Hampshire Daily'!I20-'Hampshire Daily'!I19))</f>
        <v>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1346</v>
      </c>
      <c r="L17" s="4">
        <f>IF(('Hampshire Daily'!M20-'Hampshire Daily'!M19&lt;0),"0",('Hampshire Daily'!M20-'Hampshire Daily'!M19))</f>
        <v>283</v>
      </c>
      <c r="M17" s="4">
        <f>IF(('Hampshire Daily'!N20-'Hampshire Daily'!N19&lt;0),"0",('Hampshire Daily'!N20-'Hampshire Daily'!N19))</f>
        <v>1063</v>
      </c>
      <c r="N17" s="4">
        <f>IF(('Hampshire Daily'!O20-'Hampshire Daily'!O19&lt;0),"0",('Hampshire Daily'!O20-'Hampshire Daily'!O19))</f>
        <v>217</v>
      </c>
      <c r="O17" s="4">
        <f>IF(('Hampshire Daily'!P20-'Hampshire Daily'!P19&lt;0),"0",('Hampshire Daily'!P20-'Hampshire Daily'!P19))</f>
        <v>6</v>
      </c>
      <c r="P17" s="4" t="str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4</v>
      </c>
      <c r="R17" s="4">
        <f>IF(('Hampshire Daily'!U20-'Hampshire Daily'!U19&lt;0),"0",('Hampshire Daily'!U20-'Hampshire Daily'!U19))</f>
        <v>11</v>
      </c>
      <c r="S17" s="4">
        <f>IF(('Hampshire Daily'!V20-'Hampshire Daily'!V19&lt;0),"0",('Hampshire Daily'!V20-'Hampshire Daily'!V19))</f>
        <v>2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0.34100000000000819</v>
      </c>
      <c r="V17" s="4">
        <f>IF(('Hampshire Daily'!Y20-'Hampshire Daily'!Y19&lt;0),"0",('Hampshire Daily'!Y20-'Hampshire Daily'!Y19))</f>
        <v>7.0000000000618456E-3</v>
      </c>
      <c r="W17" s="4">
        <f>IF(('Hampshire Daily'!Z20-'Hampshire Daily'!Z19&lt;0),"0",('Hampshire Daily'!Z20-'Hampshire Daily'!Z19))</f>
        <v>19</v>
      </c>
      <c r="X17" s="4">
        <f>IF(('Hampshire Daily'!AA20-'Hampshire Daily'!AA19&lt;0),"0",('Hampshire Daily'!AA20-'Hampshire Daily'!AA19))</f>
        <v>1</v>
      </c>
      <c r="Y17" s="4">
        <f>'Hampshire Daily'!B20</f>
        <v>72</v>
      </c>
      <c r="Z17" s="4">
        <f>'Hampshire Daily'!C20</f>
        <v>155</v>
      </c>
    </row>
    <row r="18" spans="1:26" x14ac:dyDescent="0.25">
      <c r="A18" s="3" t="s">
        <v>40</v>
      </c>
      <c r="B18" s="1">
        <f t="shared" si="0"/>
        <v>17</v>
      </c>
      <c r="C18" s="17">
        <v>6</v>
      </c>
      <c r="D18" s="1">
        <v>2021</v>
      </c>
      <c r="E18" s="4">
        <f>IF(('Hampshire Daily'!D21-'Hampshire Daily'!D20&lt;0),"0",('Hampshire Daily'!D21-'Hampshire Daily'!D20))</f>
        <v>4178</v>
      </c>
      <c r="F18" s="4">
        <f>IF(('Hampshire Daily'!F21-'Hampshire Daily'!F20&lt;0),"0",('Hampshire Daily'!F21-'Hampshire Daily'!F20))</f>
        <v>1781</v>
      </c>
      <c r="G18" s="4">
        <f>IF(('Hampshire Daily'!H21-'Hampshire Daily'!H20&lt;0),"0",('Hampshire Daily'!H21-'Hampshire Daily'!H20))</f>
        <v>48</v>
      </c>
      <c r="H18" s="4">
        <f>IF(('Hampshire Daily'!I21-'Hampshire Daily'!I20&lt;0),"0",('Hampshire Daily'!I21-'Hampshire Daily'!I20))</f>
        <v>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0</v>
      </c>
      <c r="K18" s="4">
        <f>IF(('Hampshire Daily'!L21-'Hampshire Daily'!L20&lt;0),"0",('Hampshire Daily'!L21-'Hampshire Daily'!L20))</f>
        <v>1346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2059</v>
      </c>
      <c r="N18" s="4">
        <f>IF(('Hampshire Daily'!O21-'Hampshire Daily'!O20&lt;0),"0",('Hampshire Daily'!O21-'Hampshire Daily'!O20))</f>
        <v>79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1355</v>
      </c>
      <c r="Q18" s="4">
        <f>IF(('Hampshire Daily'!R21-'Hampshire Daily'!R20&lt;0),"0",('Hampshire Daily'!R21-'Hampshire Daily'!R20))</f>
        <v>4</v>
      </c>
      <c r="R18" s="4">
        <f>IF(('Hampshire Daily'!U21-'Hampshire Daily'!U20&lt;0),"0",('Hampshire Daily'!U21-'Hampshire Daily'!U20))</f>
        <v>11</v>
      </c>
      <c r="S18" s="4">
        <f>IF(('Hampshire Daily'!V21-'Hampshire Daily'!V20&lt;0),"0",('Hampshire Daily'!V21-'Hampshire Daily'!V20))</f>
        <v>2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0.45500000000004093</v>
      </c>
      <c r="V18" s="4">
        <f>IF(('Hampshire Daily'!Y21-'Hampshire Daily'!Y20&lt;0),"0",('Hampshire Daily'!Y21-'Hampshire Daily'!Y20))</f>
        <v>3.9999999999054126E-3</v>
      </c>
      <c r="W18" s="4">
        <f>IF(('Hampshire Daily'!Z21-'Hampshire Daily'!Z20&lt;0),"0",('Hampshire Daily'!Z21-'Hampshire Daily'!Z20))</f>
        <v>21</v>
      </c>
      <c r="X18" s="4">
        <f>IF(('Hampshire Daily'!AA21-'Hampshire Daily'!AA20&lt;0),"0",('Hampshire Daily'!AA21-'Hampshire Daily'!AA20))</f>
        <v>3</v>
      </c>
      <c r="Y18" s="4">
        <f>'Hampshire Daily'!B21</f>
        <v>77</v>
      </c>
      <c r="Z18" s="4">
        <f>'Hampshire Daily'!C21</f>
        <v>168</v>
      </c>
    </row>
    <row r="19" spans="1:26" x14ac:dyDescent="0.25">
      <c r="A19" s="3" t="s">
        <v>40</v>
      </c>
      <c r="B19" s="1">
        <f t="shared" si="0"/>
        <v>18</v>
      </c>
      <c r="C19" s="17">
        <v>6</v>
      </c>
      <c r="D19" s="1">
        <v>2021</v>
      </c>
      <c r="E19" s="4">
        <f>IF(('Hampshire Daily'!D22-'Hampshire Daily'!D21&lt;0),"0",('Hampshire Daily'!D22-'Hampshire Daily'!D21))</f>
        <v>3000</v>
      </c>
      <c r="F19" s="4">
        <f>IF(('Hampshire Daily'!F22-'Hampshire Daily'!F21&lt;0),"0",('Hampshire Daily'!F22-'Hampshire Daily'!F21))</f>
        <v>2272</v>
      </c>
      <c r="G19" s="4">
        <f>IF(('Hampshire Daily'!H22-'Hampshire Daily'!H21&lt;0),"0",('Hampshire Daily'!H22-'Hampshire Daily'!H21))</f>
        <v>9</v>
      </c>
      <c r="H19" s="4">
        <f>IF(('Hampshire Daily'!I22-'Hampshire Daily'!I21&lt;0),"0",('Hampshire Daily'!I22-'Hampshire Daily'!I21))</f>
        <v>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1346</v>
      </c>
      <c r="L19" s="4">
        <f>IF(('Hampshire Daily'!M22-'Hampshire Daily'!M21&lt;0),"0",('Hampshire Daily'!M22-'Hampshire Daily'!M21))</f>
        <v>0</v>
      </c>
      <c r="M19" s="4">
        <f>IF(('Hampshire Daily'!N22-'Hampshire Daily'!N21&lt;0),"0",('Hampshire Daily'!N22-'Hampshire Daily'!N21))</f>
        <v>2267</v>
      </c>
      <c r="N19" s="4">
        <f>IF(('Hampshire Daily'!O22-'Hampshire Daily'!O21&lt;0),"0",('Hampshire Daily'!O22-'Hampshire Daily'!O21))</f>
        <v>120</v>
      </c>
      <c r="O19" s="4">
        <f>IF(('Hampshire Daily'!P22-'Hampshire Daily'!P21&lt;0),"0",('Hampshire Daily'!P22-'Hampshire Daily'!P21))</f>
        <v>366</v>
      </c>
      <c r="P19" s="4">
        <f>IF(('Hampshire Daily'!Q22-'Hampshire Daily'!Q21&lt;0),"0",('Hampshire Daily'!Q22-'Hampshire Daily'!Q21))</f>
        <v>555</v>
      </c>
      <c r="Q19" s="4">
        <f>IF(('Hampshire Daily'!R22-'Hampshire Daily'!R21&lt;0),"0",('Hampshire Daily'!R22-'Hampshire Daily'!R21))</f>
        <v>3</v>
      </c>
      <c r="R19" s="4">
        <f>IF(('Hampshire Daily'!U22-'Hampshire Daily'!U21&lt;0),"0",('Hampshire Daily'!U22-'Hampshire Daily'!U21))</f>
        <v>11</v>
      </c>
      <c r="S19" s="4">
        <f>IF(('Hampshire Daily'!V22-'Hampshire Daily'!V21&lt;0),"0",('Hampshire Daily'!V22-'Hampshire Daily'!V21))</f>
        <v>0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0.29700000000002547</v>
      </c>
      <c r="V19" s="4">
        <f>IF(('Hampshire Daily'!Y22-'Hampshire Daily'!Y21&lt;0),"0",('Hampshire Daily'!Y22-'Hampshire Daily'!Y21))</f>
        <v>6.0000000003128662E-3</v>
      </c>
      <c r="W19" s="4">
        <f>IF(('Hampshire Daily'!Z22-'Hampshire Daily'!Z21&lt;0),"0",('Hampshire Daily'!Z22-'Hampshire Daily'!Z21))</f>
        <v>18</v>
      </c>
      <c r="X19" s="4">
        <f>IF(('Hampshire Daily'!AA22-'Hampshire Daily'!AA21&lt;0),"0",('Hampshire Daily'!AA22-'Hampshire Daily'!AA21))</f>
        <v>4</v>
      </c>
      <c r="Y19" s="4">
        <f>'Hampshire Daily'!B22</f>
        <v>102</v>
      </c>
      <c r="Z19" s="4">
        <f>'Hampshire Daily'!C22</f>
        <v>255</v>
      </c>
    </row>
    <row r="20" spans="1:26" x14ac:dyDescent="0.25">
      <c r="A20" s="3" t="s">
        <v>40</v>
      </c>
      <c r="B20" s="1">
        <f t="shared" si="0"/>
        <v>19</v>
      </c>
      <c r="C20" s="17">
        <v>6</v>
      </c>
      <c r="D20" s="1">
        <v>2021</v>
      </c>
      <c r="E20" s="4">
        <f>IF(('Hampshire Daily'!D23-'Hampshire Daily'!D22&lt;0),"0",('Hampshire Daily'!D23-'Hampshire Daily'!D22))</f>
        <v>3000</v>
      </c>
      <c r="F20" s="4">
        <f>IF(('Hampshire Daily'!F23-'Hampshire Daily'!F22&lt;0),"0",('Hampshire Daily'!F23-'Hampshire Daily'!F22))</f>
        <v>2276</v>
      </c>
      <c r="G20" s="4">
        <f>IF(('Hampshire Daily'!H23-'Hampshire Daily'!H22&lt;0),"0",('Hampshire Daily'!H23-'Hampshire Daily'!H22))</f>
        <v>9</v>
      </c>
      <c r="H20" s="4">
        <f>IF(('Hampshire Daily'!I23-'Hampshire Daily'!I22&lt;0),"0",('Hampshire Daily'!I23-'Hampshire Daily'!I22))</f>
        <v>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0</v>
      </c>
      <c r="K20" s="4">
        <f>IF(('Hampshire Daily'!L23-'Hampshire Daily'!L22&lt;0),"0",('Hampshire Daily'!L23-'Hampshire Daily'!L22))</f>
        <v>889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2267</v>
      </c>
      <c r="N20" s="4">
        <f>IF(('Hampshire Daily'!O23-'Hampshire Daily'!O22&lt;0),"0",('Hampshire Daily'!O23-'Hampshire Daily'!O22))</f>
        <v>120</v>
      </c>
      <c r="O20" s="4">
        <f>IF(('Hampshire Daily'!P23-'Hampshire Daily'!P22&lt;0),"0",('Hampshire Daily'!P23-'Hampshire Daily'!P22))</f>
        <v>367</v>
      </c>
      <c r="P20" s="4">
        <f>IF(('Hampshire Daily'!Q23-'Hampshire Daily'!Q22&lt;0),"0",('Hampshire Daily'!Q23-'Hampshire Daily'!Q22))</f>
        <v>555</v>
      </c>
      <c r="Q20" s="4">
        <f>IF(('Hampshire Daily'!R23-'Hampshire Daily'!R22&lt;0),"0",('Hampshire Daily'!R23-'Hampshire Daily'!R22))</f>
        <v>3</v>
      </c>
      <c r="R20" s="4">
        <f>IF(('Hampshire Daily'!U23-'Hampshire Daily'!U22&lt;0),"0",('Hampshire Daily'!U23-'Hampshire Daily'!U22))</f>
        <v>11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0.59799999999995634</v>
      </c>
      <c r="V20" s="4">
        <f>IF(('Hampshire Daily'!Y23-'Hampshire Daily'!Y22&lt;0),"0",('Hampshire Daily'!Y23-'Hampshire Daily'!Y22))</f>
        <v>4.6999999999570719E-2</v>
      </c>
      <c r="W20" s="4">
        <f>IF(('Hampshire Daily'!Z23-'Hampshire Daily'!Z22&lt;0),"0",('Hampshire Daily'!Z23-'Hampshire Daily'!Z22))</f>
        <v>23</v>
      </c>
      <c r="X20" s="4">
        <f>IF(('Hampshire Daily'!AA23-'Hampshire Daily'!AA22&lt;0),"0",('Hampshire Daily'!AA23-'Hampshire Daily'!AA22))</f>
        <v>5</v>
      </c>
      <c r="Y20" s="4">
        <f>'Hampshire Daily'!B23</f>
        <v>111</v>
      </c>
      <c r="Z20" s="4">
        <f>'Hampshire Daily'!C23</f>
        <v>289</v>
      </c>
    </row>
    <row r="21" spans="1:26" x14ac:dyDescent="0.25">
      <c r="A21" s="3" t="s">
        <v>40</v>
      </c>
      <c r="B21" s="1">
        <f t="shared" si="0"/>
        <v>20</v>
      </c>
      <c r="C21" s="17">
        <v>6</v>
      </c>
      <c r="D21" s="1">
        <v>2021</v>
      </c>
      <c r="E21" s="4">
        <f>IF(('Hampshire Daily'!D24-'Hampshire Daily'!D23&lt;0),"0",('Hampshire Daily'!D24-'Hampshire Daily'!D23))</f>
        <v>3103</v>
      </c>
      <c r="F21" s="4">
        <f>IF(('Hampshire Daily'!F24-'Hampshire Daily'!F23&lt;0),"0",('Hampshire Daily'!F24-'Hampshire Daily'!F23))</f>
        <v>1624</v>
      </c>
      <c r="G21" s="4">
        <f>IF(('Hampshire Daily'!H24-'Hampshire Daily'!H23&lt;0),"0",('Hampshire Daily'!H24-'Hampshire Daily'!H23))</f>
        <v>0</v>
      </c>
      <c r="H21" s="4">
        <f>IF(('Hampshire Daily'!I24-'Hampshire Daily'!I23&lt;0),"0",('Hampshire Daily'!I24-'Hampshire Daily'!I23))</f>
        <v>0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1308</v>
      </c>
      <c r="L21" s="4">
        <f>IF(('Hampshire Daily'!M24-'Hampshire Daily'!M23&lt;0),"0",('Hampshire Daily'!M24-'Hampshire Daily'!M23))</f>
        <v>0</v>
      </c>
      <c r="M21" s="4">
        <f>IF(('Hampshire Daily'!N24-'Hampshire Daily'!N23&lt;0),"0",('Hampshire Daily'!N24-'Hampshire Daily'!N23))</f>
        <v>2382</v>
      </c>
      <c r="N21" s="4">
        <f>IF(('Hampshire Daily'!O24-'Hampshire Daily'!O23&lt;0),"0",('Hampshire Daily'!O24-'Hampshire Daily'!O23))</f>
        <v>125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390</v>
      </c>
      <c r="Q21" s="4">
        <f>IF(('Hampshire Daily'!R24-'Hampshire Daily'!R23&lt;0),"0",('Hampshire Daily'!R24-'Hampshire Daily'!R23))</f>
        <v>4</v>
      </c>
      <c r="R21" s="4">
        <f>IF(('Hampshire Daily'!U24-'Hampshire Daily'!U23&lt;0),"0",('Hampshire Daily'!U24-'Hampshire Daily'!U23))</f>
        <v>10</v>
      </c>
      <c r="S21" s="4">
        <f>IF(('Hampshire Daily'!V24-'Hampshire Daily'!V23&lt;0),"0",('Hampshire Daily'!V24-'Hampshire Daily'!V23))</f>
        <v>1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0.39999999999997726</v>
      </c>
      <c r="V21" s="4">
        <f>IF(('Hampshire Daily'!Y24-'Hampshire Daily'!Y23&lt;0),"0",('Hampshire Daily'!Y24-'Hampshire Daily'!Y23))</f>
        <v>1.1000000000422006E-2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5</v>
      </c>
      <c r="Y21" s="4">
        <f>'Hampshire Daily'!B24</f>
        <v>37</v>
      </c>
      <c r="Z21" s="4">
        <f>'Hampshire Daily'!C24</f>
        <v>79</v>
      </c>
    </row>
    <row r="22" spans="1:26" x14ac:dyDescent="0.25">
      <c r="A22" s="3" t="s">
        <v>40</v>
      </c>
      <c r="B22" s="1">
        <f t="shared" si="0"/>
        <v>21</v>
      </c>
      <c r="C22" s="17">
        <v>6</v>
      </c>
      <c r="D22" s="1">
        <v>2021</v>
      </c>
      <c r="E22" s="4">
        <f>IF(('Hampshire Daily'!D25-'Hampshire Daily'!D24&lt;0),"0",('Hampshire Daily'!D25-'Hampshire Daily'!D24))</f>
        <v>2983</v>
      </c>
      <c r="F22" s="4">
        <f>IF(('Hampshire Daily'!F25-'Hampshire Daily'!F24&lt;0),"0",('Hampshire Daily'!F25-'Hampshire Daily'!F24))</f>
        <v>1388</v>
      </c>
      <c r="G22" s="4">
        <f>IF(('Hampshire Daily'!H25-'Hampshire Daily'!H24&lt;0),"0",('Hampshire Daily'!H25-'Hampshire Daily'!H24))</f>
        <v>0</v>
      </c>
      <c r="H22" s="4">
        <f>IF(('Hampshire Daily'!I25-'Hampshire Daily'!I24&lt;0),"0",('Hampshire Daily'!I25-'Hampshire Daily'!I24))</f>
        <v>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0</v>
      </c>
      <c r="K22" s="4">
        <f>IF(('Hampshire Daily'!L25-'Hampshire Daily'!L24&lt;0),"0",('Hampshire Daily'!L25-'Hampshire Daily'!L24))</f>
        <v>1118</v>
      </c>
      <c r="L22" s="4">
        <f>IF(('Hampshire Daily'!M25-'Hampshire Daily'!M24&lt;0),"0",('Hampshire Daily'!M25-'Hampshire Daily'!M24))</f>
        <v>1</v>
      </c>
      <c r="M22" s="4">
        <f>IF(('Hampshire Daily'!N25-'Hampshire Daily'!N24&lt;0),"0",('Hampshire Daily'!N25-'Hampshire Daily'!N24))</f>
        <v>2301</v>
      </c>
      <c r="N22" s="4">
        <f>IF(('Hampshire Daily'!O25-'Hampshire Daily'!O24&lt;0),"0",('Hampshire Daily'!O25-'Hampshire Daily'!O24))</f>
        <v>111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438</v>
      </c>
      <c r="Q22" s="4">
        <f>IF(('Hampshire Daily'!R25-'Hampshire Daily'!R24&lt;0),"0",('Hampshire Daily'!R25-'Hampshire Daily'!R24))</f>
        <v>4</v>
      </c>
      <c r="R22" s="4">
        <f>IF(('Hampshire Daily'!U25-'Hampshire Daily'!U24&lt;0),"0",('Hampshire Daily'!U25-'Hampshire Daily'!U24))</f>
        <v>8</v>
      </c>
      <c r="S22" s="4">
        <f>IF(('Hampshire Daily'!V25-'Hampshire Daily'!V24&lt;0),"0",('Hampshire Daily'!V25-'Hampshire Daily'!V24))</f>
        <v>7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0.36400000000003274</v>
      </c>
      <c r="V22" s="4">
        <f>IF(('Hampshire Daily'!Y25-'Hampshire Daily'!Y24&lt;0),"0",('Hampshire Daily'!Y25-'Hampshire Daily'!Y24))</f>
        <v>1.0999999999967258E-2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8</v>
      </c>
      <c r="Y22" s="4">
        <f>'Hampshire Daily'!B25</f>
        <v>115</v>
      </c>
      <c r="Z22" s="4">
        <f>'Hampshire Daily'!C25</f>
        <v>162</v>
      </c>
    </row>
    <row r="23" spans="1:26" x14ac:dyDescent="0.25">
      <c r="A23" s="3" t="s">
        <v>40</v>
      </c>
      <c r="B23" s="1">
        <f t="shared" si="0"/>
        <v>22</v>
      </c>
      <c r="C23" s="17">
        <v>6</v>
      </c>
      <c r="D23" s="1">
        <v>2021</v>
      </c>
      <c r="E23" s="4">
        <f>IF(('Hampshire Daily'!D26-'Hampshire Daily'!D25&lt;0),"0",('Hampshire Daily'!D26-'Hampshire Daily'!D25))</f>
        <v>3015</v>
      </c>
      <c r="F23" s="4">
        <f>IF(('Hampshire Daily'!F26-'Hampshire Daily'!F25&lt;0),"0",('Hampshire Daily'!F26-'Hampshire Daily'!F25))</f>
        <v>1409</v>
      </c>
      <c r="G23" s="4">
        <f>IF(('Hampshire Daily'!H26-'Hampshire Daily'!H25&lt;0),"0",('Hampshire Daily'!H26-'Hampshire Daily'!H25))</f>
        <v>0</v>
      </c>
      <c r="H23" s="4">
        <f>IF(('Hampshire Daily'!I26-'Hampshire Daily'!I25&lt;0),"0",('Hampshire Daily'!I26-'Hampshire Daily'!I25))</f>
        <v>0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0</v>
      </c>
      <c r="K23" s="4">
        <f>IF(('Hampshire Daily'!L26-'Hampshire Daily'!L25&lt;0),"0",('Hampshire Daily'!L26-'Hampshire Daily'!L25))</f>
        <v>1137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2349</v>
      </c>
      <c r="N23" s="4">
        <f>IF(('Hampshire Daily'!O26-'Hampshire Daily'!O25&lt;0),"0",('Hampshire Daily'!O26-'Hampshire Daily'!O25))</f>
        <v>120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248</v>
      </c>
      <c r="Q23" s="4">
        <f>IF(('Hampshire Daily'!R26-'Hampshire Daily'!R25&lt;0),"0",('Hampshire Daily'!R26-'Hampshire Daily'!R25))</f>
        <v>3</v>
      </c>
      <c r="R23" s="4">
        <f>IF(('Hampshire Daily'!U26-'Hampshire Daily'!U25&lt;0),"0",('Hampshire Daily'!U26-'Hampshire Daily'!U25))</f>
        <v>9</v>
      </c>
      <c r="S23" s="4">
        <f>IF(('Hampshire Daily'!V26-'Hampshire Daily'!V25&lt;0),"0",('Hampshire Daily'!V26-'Hampshire Daily'!V25))</f>
        <v>0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0.33199999999999363</v>
      </c>
      <c r="V23" s="4">
        <f>IF(('Hampshire Daily'!Y26-'Hampshire Daily'!Y25&lt;0),"0",('Hampshire Daily'!Y26-'Hampshire Daily'!Y25))</f>
        <v>1.4999999999872671E-2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5</v>
      </c>
      <c r="Y23" s="4">
        <f>'Hampshire Daily'!B26</f>
        <v>83</v>
      </c>
      <c r="Z23" s="4">
        <f>'Hampshire Daily'!C26</f>
        <v>175</v>
      </c>
    </row>
    <row r="24" spans="1:26" x14ac:dyDescent="0.25">
      <c r="A24" s="3" t="s">
        <v>40</v>
      </c>
      <c r="B24" s="1">
        <f t="shared" si="0"/>
        <v>23</v>
      </c>
      <c r="C24" s="17">
        <v>6</v>
      </c>
      <c r="D24" s="1">
        <v>2021</v>
      </c>
      <c r="E24" s="4">
        <f>IF(('Hampshire Daily'!D27-'Hampshire Daily'!D26&lt;0),"0",('Hampshire Daily'!D27-'Hampshire Daily'!D26))</f>
        <v>3609</v>
      </c>
      <c r="F24" s="4">
        <f>IF(('Hampshire Daily'!F27-'Hampshire Daily'!F26&lt;0),"0",('Hampshire Daily'!F27-'Hampshire Daily'!F26))</f>
        <v>1582</v>
      </c>
      <c r="G24" s="4">
        <f>IF(('Hampshire Daily'!H27-'Hampshire Daily'!H26&lt;0),"0",('Hampshire Daily'!H27-'Hampshire Daily'!H26))</f>
        <v>18</v>
      </c>
      <c r="H24" s="4">
        <f>IF(('Hampshire Daily'!I27-'Hampshire Daily'!I26&lt;0),"0",('Hampshire Daily'!I27-'Hampshire Daily'!I26))</f>
        <v>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0</v>
      </c>
      <c r="K24" s="4">
        <f>IF(('Hampshire Daily'!L27-'Hampshire Daily'!L26&lt;0),"0",('Hampshire Daily'!L27-'Hampshire Daily'!L26))</f>
        <v>1183</v>
      </c>
      <c r="L24" s="4">
        <f>IF(('Hampshire Daily'!M27-'Hampshire Daily'!M26&lt;0),"0",('Hampshire Daily'!M27-'Hampshire Daily'!M26))</f>
        <v>91</v>
      </c>
      <c r="M24" s="4">
        <f>IF(('Hampshire Daily'!N27-'Hampshire Daily'!N26&lt;0),"0",('Hampshire Daily'!N27-'Hampshire Daily'!N26))</f>
        <v>2276</v>
      </c>
      <c r="N24" s="4">
        <f>IF(('Hampshire Daily'!O27-'Hampshire Daily'!O26&lt;0),"0",('Hampshire Daily'!O27-'Hampshire Daily'!O26))</f>
        <v>120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294</v>
      </c>
      <c r="Q24" s="4">
        <f>IF(('Hampshire Daily'!R27-'Hampshire Daily'!R26&lt;0),"0",('Hampshire Daily'!R27-'Hampshire Daily'!R26))</f>
        <v>4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0.33799999999996544</v>
      </c>
      <c r="V24" s="4">
        <f>IF(('Hampshire Daily'!Y27-'Hampshire Daily'!Y26&lt;0),"0",('Hampshire Daily'!Y27-'Hampshire Daily'!Y26))</f>
        <v>9.0000000000145519E-3</v>
      </c>
      <c r="W24" s="4">
        <f>IF(('Hampshire Daily'!Z27-'Hampshire Daily'!Z26&lt;0),"0",('Hampshire Daily'!Z27-'Hampshire Daily'!Z26))</f>
        <v>1</v>
      </c>
      <c r="X24" s="4">
        <f>IF(('Hampshire Daily'!AA27-'Hampshire Daily'!AA26&lt;0),"0",('Hampshire Daily'!AA27-'Hampshire Daily'!AA26))</f>
        <v>4</v>
      </c>
      <c r="Y24" s="4">
        <f>'Hampshire Daily'!B27</f>
        <v>69</v>
      </c>
      <c r="Z24" s="4">
        <f>'Hampshire Daily'!C27</f>
        <v>157</v>
      </c>
    </row>
    <row r="25" spans="1:26" x14ac:dyDescent="0.25">
      <c r="A25" s="3" t="s">
        <v>40</v>
      </c>
      <c r="B25" s="1">
        <f t="shared" si="0"/>
        <v>24</v>
      </c>
      <c r="C25" s="17">
        <v>6</v>
      </c>
      <c r="D25" s="1">
        <v>2021</v>
      </c>
      <c r="E25" s="4">
        <f>IF(('Hampshire Daily'!D28-'Hampshire Daily'!D27&lt;0),"0",('Hampshire Daily'!D28-'Hampshire Daily'!D27))</f>
        <v>3486</v>
      </c>
      <c r="F25" s="4">
        <f>IF(('Hampshire Daily'!F28-'Hampshire Daily'!F27&lt;0),"0",('Hampshire Daily'!F28-'Hampshire Daily'!F27))</f>
        <v>1620</v>
      </c>
      <c r="G25" s="4">
        <f>IF(('Hampshire Daily'!H28-'Hampshire Daily'!H27&lt;0),"0",('Hampshire Daily'!H28-'Hampshire Daily'!H27))</f>
        <v>0</v>
      </c>
      <c r="H25" s="4">
        <f>IF(('Hampshire Daily'!I28-'Hampshire Daily'!I27&lt;0),"0",('Hampshire Daily'!I28-'Hampshire Daily'!I27))</f>
        <v>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1346</v>
      </c>
      <c r="L25" s="4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2365</v>
      </c>
      <c r="N25" s="4">
        <f>IF(('Hampshire Daily'!O28-'Hampshire Daily'!O27&lt;0),"0",('Hampshire Daily'!O28-'Hampshire Daily'!O27))</f>
        <v>92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649</v>
      </c>
      <c r="Q25" s="4">
        <f>IF(('Hampshire Daily'!R28-'Hampshire Daily'!R27&lt;0),"0",('Hampshire Daily'!R28-'Hampshire Daily'!R27))</f>
        <v>4</v>
      </c>
      <c r="R25" s="4">
        <f>IF(('Hampshire Daily'!U28-'Hampshire Daily'!U27&lt;0),"0",('Hampshire Daily'!U28-'Hampshire Daily'!U27))</f>
        <v>10</v>
      </c>
      <c r="S25" s="4">
        <f>IF(('Hampshire Daily'!V28-'Hampshire Daily'!V27&lt;0),"0",('Hampshire Daily'!V28-'Hampshire Daily'!V27))</f>
        <v>2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0.31900000000007367</v>
      </c>
      <c r="V25" s="4">
        <f>IF(('Hampshire Daily'!Y28-'Hampshire Daily'!Y27&lt;0),"0",('Hampshire Daily'!Y28-'Hampshire Daily'!Y27))</f>
        <v>1.0999999999967258E-2</v>
      </c>
      <c r="W25" s="4">
        <f>IF(('Hampshire Daily'!Z28-'Hampshire Daily'!Z27&lt;0),"0",('Hampshire Daily'!Z28-'Hampshire Daily'!Z27))</f>
        <v>20</v>
      </c>
      <c r="X25" s="4">
        <f>IF(('Hampshire Daily'!AA28-'Hampshire Daily'!AA27&lt;0),"0",('Hampshire Daily'!AA28-'Hampshire Daily'!AA27))</f>
        <v>4</v>
      </c>
      <c r="Y25" s="4">
        <f>'Hampshire Daily'!B28</f>
        <v>95</v>
      </c>
      <c r="Z25" s="4">
        <f>'Hampshire Daily'!C28</f>
        <v>215</v>
      </c>
    </row>
    <row r="26" spans="1:26" x14ac:dyDescent="0.25">
      <c r="A26" s="3" t="s">
        <v>40</v>
      </c>
      <c r="B26" s="56">
        <f>B25+1</f>
        <v>25</v>
      </c>
      <c r="C26" s="17">
        <v>6</v>
      </c>
      <c r="D26" s="1">
        <v>2021</v>
      </c>
      <c r="E26" s="4">
        <f>IF(('Hampshire Daily'!D29-'Hampshire Daily'!D28&lt;0),"0",('Hampshire Daily'!D29-'Hampshire Daily'!D28))</f>
        <v>3714</v>
      </c>
      <c r="F26" s="4">
        <f>IF(('Hampshire Daily'!F29-'Hampshire Daily'!F28&lt;0),"0",('Hampshire Daily'!F29-'Hampshire Daily'!F28))</f>
        <v>1377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0</v>
      </c>
      <c r="K26" s="4">
        <f>IF(('Hampshire Daily'!L29-'Hampshire Daily'!L28&lt;0),"0",('Hampshire Daily'!L29-'Hampshire Daily'!L28))</f>
        <v>1137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2156</v>
      </c>
      <c r="N26" s="4">
        <f>IF(('Hampshire Daily'!O29-'Hampshire Daily'!O28&lt;0),"0",('Hampshire Daily'!O29-'Hampshire Daily'!O28))</f>
        <v>127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738</v>
      </c>
      <c r="Q26" s="4">
        <f>IF(('Hampshire Daily'!R29-'Hampshire Daily'!R28&lt;0),"0",('Hampshire Daily'!R29-'Hampshire Daily'!R28))</f>
        <v>4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2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0.53699999999992087</v>
      </c>
      <c r="V26" s="4">
        <f>IF(('Hampshire Daily'!Y29-'Hampshire Daily'!Y28&lt;0),"0",('Hampshire Daily'!Y29-'Hampshire Daily'!Y28))</f>
        <v>9.0000000000145519E-3</v>
      </c>
      <c r="W26" s="4">
        <f>IF(('Hampshire Daily'!Z29-'Hampshire Daily'!Z28&lt;0),"0",('Hampshire Daily'!Z29-'Hampshire Daily'!Z28))</f>
        <v>20</v>
      </c>
      <c r="X26" s="4">
        <f>IF(('Hampshire Daily'!AA29-'Hampshire Daily'!AA28&lt;0),"0",('Hampshire Daily'!AA29-'Hampshire Daily'!AA28))</f>
        <v>3</v>
      </c>
      <c r="Y26" s="4">
        <f>'Hampshire Daily'!B29</f>
        <v>114</v>
      </c>
      <c r="Z26" s="4">
        <f>'Hampshire Daily'!C29</f>
        <v>271</v>
      </c>
    </row>
    <row r="27" spans="1:26" x14ac:dyDescent="0.25">
      <c r="A27" s="3" t="s">
        <v>40</v>
      </c>
      <c r="B27" s="1">
        <f t="shared" si="0"/>
        <v>26</v>
      </c>
      <c r="C27" s="17">
        <v>6</v>
      </c>
      <c r="D27" s="1">
        <v>2021</v>
      </c>
      <c r="E27" s="4">
        <f>IF(('Hampshire Daily'!D30-'Hampshire Daily'!D29&lt;0),"0",('Hampshire Daily'!D30-'Hampshire Daily'!D29))</f>
        <v>3689</v>
      </c>
      <c r="F27" s="4">
        <f>IF(('Hampshire Daily'!F30-'Hampshire Daily'!F29&lt;0),"0",('Hampshire Daily'!F30-'Hampshire Daily'!F29))</f>
        <v>1527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1346</v>
      </c>
      <c r="L27" s="4">
        <f>IF(('Hampshire Daily'!M30-'Hampshire Daily'!M29&lt;0),"0",('Hampshire Daily'!M30-'Hampshire Daily'!M29))</f>
        <v>0</v>
      </c>
      <c r="M27" s="4">
        <f>IF(('Hampshire Daily'!N30-'Hampshire Daily'!N29&lt;0),"0",('Hampshire Daily'!N30-'Hampshire Daily'!N29))</f>
        <v>2174</v>
      </c>
      <c r="N27" s="4">
        <f>IF(('Hampshire Daily'!O30-'Hampshire Daily'!O29&lt;0),"0",('Hampshire Daily'!O30-'Hampshire Daily'!O29))</f>
        <v>126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787</v>
      </c>
      <c r="Q27" s="4">
        <f>IF(('Hampshire Daily'!R30-'Hampshire Daily'!R29&lt;0),"0",('Hampshire Daily'!R30-'Hampshire Daily'!R29))</f>
        <v>4</v>
      </c>
      <c r="R27" s="4">
        <f>IF(('Hampshire Daily'!U30-'Hampshire Daily'!U29&lt;0),"0",('Hampshire Daily'!U30-'Hampshire Daily'!U29))</f>
        <v>16</v>
      </c>
      <c r="S27" s="4">
        <f>IF(('Hampshire Daily'!V30-'Hampshire Daily'!V29&lt;0),"0",('Hampshire Daily'!V30-'Hampshire Daily'!V29))</f>
        <v>2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0.35700000000008458</v>
      </c>
      <c r="V27" s="4">
        <f>IF(('Hampshire Daily'!Y30-'Hampshire Daily'!Y29&lt;0),"0",('Hampshire Daily'!Y30-'Hampshire Daily'!Y29))</f>
        <v>1.2000000000170985E-2</v>
      </c>
      <c r="W27" s="4">
        <f>IF(('Hampshire Daily'!Z30-'Hampshire Daily'!Z29&lt;0),"0",('Hampshire Daily'!Z30-'Hampshire Daily'!Z29))</f>
        <v>22</v>
      </c>
      <c r="X27" s="4">
        <f>IF(('Hampshire Daily'!AA30-'Hampshire Daily'!AA29&lt;0),"0",('Hampshire Daily'!AA30-'Hampshire Daily'!AA29))</f>
        <v>3</v>
      </c>
      <c r="Y27" s="4">
        <f>'Hampshire Daily'!B30</f>
        <v>109</v>
      </c>
      <c r="Z27" s="4">
        <f>'Hampshire Daily'!C30</f>
        <v>269</v>
      </c>
    </row>
    <row r="28" spans="1:26" x14ac:dyDescent="0.25">
      <c r="A28" s="3" t="s">
        <v>40</v>
      </c>
      <c r="B28" s="1">
        <f t="shared" si="0"/>
        <v>27</v>
      </c>
      <c r="C28" s="17">
        <v>6</v>
      </c>
      <c r="D28" s="1">
        <v>2021</v>
      </c>
      <c r="E28" s="4">
        <f>IF(('Hampshire Daily'!D31-'Hampshire Daily'!D30&lt;0),"0",('Hampshire Daily'!D31-'Hampshire Daily'!D30))</f>
        <v>3777</v>
      </c>
      <c r="F28" s="4">
        <f>IF(('Hampshire Daily'!F31-'Hampshire Daily'!F30&lt;0),"0",('Hampshire Daily'!F31-'Hampshire Daily'!F30))</f>
        <v>1817</v>
      </c>
      <c r="G28" s="4">
        <f>IF(('Hampshire Daily'!H31-'Hampshire Daily'!H30&lt;0),"0",('Hampshire Daily'!H31-'Hampshire Daily'!H30))</f>
        <v>19</v>
      </c>
      <c r="H28" s="4">
        <f>IF(('Hampshire Daily'!I31-'Hampshire Daily'!I30&lt;0),"0",('Hampshire Daily'!I31-'Hampshire Daily'!I30))</f>
        <v>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0</v>
      </c>
      <c r="K28" s="4">
        <f>IF(('Hampshire Daily'!L31-'Hampshire Daily'!L30&lt;0),"0",('Hampshire Daily'!L31-'Hampshire Daily'!L30))</f>
        <v>1346</v>
      </c>
      <c r="L28" s="4">
        <f>IF(('Hampshire Daily'!M31-'Hampshire Daily'!M30&lt;0),"0",('Hampshire Daily'!M31-'Hampshire Daily'!M30))</f>
        <v>0</v>
      </c>
      <c r="M28" s="4">
        <f>IF(('Hampshire Daily'!N31-'Hampshire Daily'!N30&lt;0),"0",('Hampshire Daily'!N31-'Hampshire Daily'!N30))</f>
        <v>2297</v>
      </c>
      <c r="N28" s="4">
        <f>IF(('Hampshire Daily'!O31-'Hampshire Daily'!O30&lt;0),"0",('Hampshire Daily'!O31-'Hampshire Daily'!O30))</f>
        <v>120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847</v>
      </c>
      <c r="Q28" s="4">
        <f>IF(('Hampshire Daily'!R31-'Hampshire Daily'!R30&lt;0),"0",('Hampshire Daily'!R31-'Hampshire Daily'!R30))</f>
        <v>4</v>
      </c>
      <c r="R28" s="4">
        <f>IF(('Hampshire Daily'!U31-'Hampshire Daily'!U30&lt;0),"0",('Hampshire Daily'!U31-'Hampshire Daily'!U30))</f>
        <v>17</v>
      </c>
      <c r="S28" s="4">
        <f>IF(('Hampshire Daily'!V31-'Hampshire Daily'!V30&lt;0),"0",('Hampshire Daily'!V31-'Hampshire Daily'!V30))</f>
        <v>1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0.68699999999989814</v>
      </c>
      <c r="V28" s="4">
        <f>IF(('Hampshire Daily'!Y31-'Hampshire Daily'!Y30&lt;0),"0",('Hampshire Daily'!Y31-'Hampshire Daily'!Y30))</f>
        <v>1.2999999999919964E-2</v>
      </c>
      <c r="W28" s="4">
        <f>IF(('Hampshire Daily'!Z31-'Hampshire Daily'!Z30&lt;0),"0",('Hampshire Daily'!Z31-'Hampshire Daily'!Z30))</f>
        <v>19</v>
      </c>
      <c r="X28" s="4">
        <f>IF(('Hampshire Daily'!AA31-'Hampshire Daily'!AA30&lt;0),"0",('Hampshire Daily'!AA31-'Hampshire Daily'!AA30))</f>
        <v>6</v>
      </c>
      <c r="Y28" s="4">
        <f>'Hampshire Daily'!B31</f>
        <v>46</v>
      </c>
      <c r="Z28" s="4">
        <f>'Hampshire Daily'!C31</f>
        <v>110</v>
      </c>
    </row>
    <row r="29" spans="1:26" x14ac:dyDescent="0.25">
      <c r="A29" s="3" t="s">
        <v>40</v>
      </c>
      <c r="B29" s="1">
        <f t="shared" si="0"/>
        <v>28</v>
      </c>
      <c r="C29" s="17">
        <v>6</v>
      </c>
      <c r="D29" s="1">
        <v>2021</v>
      </c>
      <c r="E29" s="4">
        <f>IF(('Hampshire Daily'!D32-'Hampshire Daily'!D31&lt;0),"0",('Hampshire Daily'!D32-'Hampshire Daily'!D31))</f>
        <v>3636</v>
      </c>
      <c r="F29" s="4">
        <f>IF(('Hampshire Daily'!F32-'Hampshire Daily'!F31&lt;0),"0",('Hampshire Daily'!F32-'Hampshire Daily'!F31))</f>
        <v>1439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1346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2243</v>
      </c>
      <c r="N29" s="4">
        <f>IF(('Hampshire Daily'!O32-'Hampshire Daily'!O31&lt;0),"0",('Hampshire Daily'!O32-'Hampshire Daily'!O31))</f>
        <v>192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793</v>
      </c>
      <c r="Q29" s="4">
        <f>IF(('Hampshire Daily'!R32-'Hampshire Daily'!R31&lt;0),"0",('Hampshire Daily'!R32-'Hampshire Daily'!R31))</f>
        <v>4</v>
      </c>
      <c r="R29" s="4">
        <f>IF(('Hampshire Daily'!U32-'Hampshire Daily'!U31&lt;0),"0",('Hampshire Daily'!U32-'Hampshire Daily'!U31))</f>
        <v>12</v>
      </c>
      <c r="S29" s="4">
        <f>IF(('Hampshire Daily'!V32-'Hampshire Daily'!V31&lt;0),"0",('Hampshire Daily'!V32-'Hampshire Daily'!V31))</f>
        <v>12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0.28800000000001091</v>
      </c>
      <c r="V29" s="4">
        <f>IF(('Hampshire Daily'!Y32-'Hampshire Daily'!Y31&lt;0),"0",('Hampshire Daily'!Y32-'Hampshire Daily'!Y31))</f>
        <v>7.9999999998108251E-3</v>
      </c>
      <c r="W29" s="4">
        <f>IF(('Hampshire Daily'!Z32-'Hampshire Daily'!Z31&lt;0),"0",('Hampshire Daily'!Z32-'Hampshire Daily'!Z31))</f>
        <v>21</v>
      </c>
      <c r="X29" s="4">
        <f>IF(('Hampshire Daily'!AA32-'Hampshire Daily'!AA31&lt;0),"0",('Hampshire Daily'!AA32-'Hampshire Daily'!AA31))</f>
        <v>5</v>
      </c>
      <c r="Y29" s="4">
        <f>'Hampshire Daily'!B32</f>
        <v>49</v>
      </c>
      <c r="Z29" s="4">
        <f>'Hampshire Daily'!C32</f>
        <v>92</v>
      </c>
    </row>
    <row r="30" spans="1:26" x14ac:dyDescent="0.25">
      <c r="A30" s="3" t="s">
        <v>40</v>
      </c>
      <c r="B30" s="1">
        <f t="shared" si="0"/>
        <v>29</v>
      </c>
      <c r="C30" s="17">
        <v>6</v>
      </c>
      <c r="D30" s="1">
        <v>2021</v>
      </c>
      <c r="E30" s="4">
        <f>IF(('Hampshire Daily'!D33-'Hampshire Daily'!D32&lt;0),"0",('Hampshire Daily'!D33-'Hampshire Daily'!D32))</f>
        <v>4731</v>
      </c>
      <c r="F30" s="4">
        <f>IF(('Hampshire Daily'!F33-'Hampshire Daily'!F32&lt;0),"0",('Hampshire Daily'!F33-'Hampshire Daily'!F32))</f>
        <v>1875</v>
      </c>
      <c r="G30" s="4">
        <f>IF(('Hampshire Daily'!H33-'Hampshire Daily'!H32&lt;0),"0",('Hampshire Daily'!H33-'Hampshire Daily'!H32))</f>
        <v>28</v>
      </c>
      <c r="H30" s="4">
        <f>IF(('Hampshire Daily'!I33-'Hampshire Daily'!I32&lt;0),"0",('Hampshire Daily'!I33-'Hampshire Daily'!I32))</f>
        <v>7140729</v>
      </c>
      <c r="I30" s="4">
        <f>IF(('Hampshire Daily'!J33-'Hampshire Daily'!J32&lt;0),"0",('Hampshire Daily'!J33-'Hampshire Daily'!J32))</f>
        <v>32190</v>
      </c>
      <c r="J30" s="4">
        <f>IF(('Hampshire Daily'!K33-'Hampshire Daily'!K32&lt;0),"0",('Hampshire Daily'!K33-'Hampshire Daily'!K32))</f>
        <v>5086408</v>
      </c>
      <c r="K30" s="4">
        <f>IF(('Hampshire Daily'!L33-'Hampshire Daily'!L32&lt;0),"0",('Hampshire Daily'!L33-'Hampshire Daily'!L32))</f>
        <v>1349</v>
      </c>
      <c r="L30" s="4">
        <f>IF(('Hampshire Daily'!M33-'Hampshire Daily'!M32&lt;0),"0",('Hampshire Daily'!M33-'Hampshire Daily'!M32))</f>
        <v>89</v>
      </c>
      <c r="M30" s="4">
        <f>IF(('Hampshire Daily'!N33-'Hampshire Daily'!N32&lt;0),"0",('Hampshire Daily'!N33-'Hampshire Daily'!N32))</f>
        <v>2528</v>
      </c>
      <c r="N30" s="4">
        <f>IF(('Hampshire Daily'!O33-'Hampshire Daily'!O32&lt;0),"0",('Hampshire Daily'!O33-'Hampshire Daily'!O32))</f>
        <v>103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939</v>
      </c>
      <c r="Q30" s="4">
        <f>IF(('Hampshire Daily'!R33-'Hampshire Daily'!R32&lt;0),"0",('Hampshire Daily'!R33-'Hampshire Daily'!R32))</f>
        <v>4</v>
      </c>
      <c r="R30" s="4">
        <f>IF(('Hampshire Daily'!U33-'Hampshire Daily'!U32&lt;0),"0",('Hampshire Daily'!U33-'Hampshire Daily'!U32))</f>
        <v>11</v>
      </c>
      <c r="S30" s="4">
        <f>IF(('Hampshire Daily'!V33-'Hampshire Daily'!V32&lt;0),"0",('Hampshire Daily'!V33-'Hampshire Daily'!V32))</f>
        <v>0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0.46800000000007458</v>
      </c>
      <c r="V30" s="4">
        <f>IF(('Hampshire Daily'!Y33-'Hampshire Daily'!Y32&lt;0),"0",('Hampshire Daily'!Y33-'Hampshire Daily'!Y32))</f>
        <v>1.0999999999967258E-2</v>
      </c>
      <c r="W30" s="4">
        <f>IF(('Hampshire Daily'!Z33-'Hampshire Daily'!Z32&lt;0),"0",('Hampshire Daily'!Z33-'Hampshire Daily'!Z32))</f>
        <v>24</v>
      </c>
      <c r="X30" s="4">
        <f>IF(('Hampshire Daily'!AA33-'Hampshire Daily'!AA32&lt;0),"0",('Hampshire Daily'!AA33-'Hampshire Daily'!AA32))</f>
        <v>3</v>
      </c>
      <c r="Y30" s="4">
        <f>'Hampshire Daily'!B33</f>
        <v>19</v>
      </c>
      <c r="Z30" s="4">
        <f>'Hampshire Daily'!C33</f>
        <v>36</v>
      </c>
    </row>
    <row r="31" spans="1:26" x14ac:dyDescent="0.25">
      <c r="A31" s="3" t="s">
        <v>40</v>
      </c>
      <c r="B31" s="1">
        <f t="shared" si="0"/>
        <v>30</v>
      </c>
      <c r="C31" s="17">
        <v>6</v>
      </c>
      <c r="D31" s="1">
        <v>2021</v>
      </c>
      <c r="E31" s="4">
        <f>IF(('Hampshire Daily'!D34-'Hampshire Daily'!D33&lt;0),"0",('Hampshire Daily'!D34-'Hampshire Daily'!D33))</f>
        <v>2670</v>
      </c>
      <c r="F31" s="4">
        <f>IF(('Hampshire Daily'!F34-'Hampshire Daily'!F33&lt;0),"0",('Hampshire Daily'!F34-'Hampshire Daily'!F33))</f>
        <v>2030</v>
      </c>
      <c r="G31" s="4">
        <f>IF(('Hampshire Daily'!H34-'Hampshire Daily'!H33&lt;0),"0",('Hampshire Daily'!H34-'Hampshire Daily'!H33))</f>
        <v>181</v>
      </c>
      <c r="H31" s="4">
        <f>IF(('Hampshire Daily'!I34-'Hampshire Daily'!I33&lt;0),"0",('Hampshire Daily'!I34-'Hampshire Daily'!I33))</f>
        <v>1479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2050</v>
      </c>
      <c r="K31" s="4">
        <f>IF(('Hampshire Daily'!L34-'Hampshire Daily'!L33&lt;0),"0",('Hampshire Daily'!L34-'Hampshire Daily'!L33))</f>
        <v>921</v>
      </c>
      <c r="L31" s="4">
        <f>IF(('Hampshire Daily'!M34-'Hampshire Daily'!M33&lt;0),"0",('Hampshire Daily'!M34-'Hampshire Daily'!M33))</f>
        <v>21</v>
      </c>
      <c r="M31" s="4">
        <f>IF(('Hampshire Daily'!N34-'Hampshire Daily'!N33&lt;0),"0",('Hampshire Daily'!N34-'Hampshire Daily'!N33))</f>
        <v>1564</v>
      </c>
      <c r="N31" s="4">
        <f>IF(('Hampshire Daily'!O34-'Hampshire Daily'!O33&lt;0),"0",('Hampshire Daily'!O34-'Hampshire Daily'!O33))</f>
        <v>95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412</v>
      </c>
      <c r="Q31" s="4">
        <f>IF(('Hampshire Daily'!R34-'Hampshire Daily'!R33&lt;0),"0",('Hampshire Daily'!R34-'Hampshire Daily'!R33))</f>
        <v>3</v>
      </c>
      <c r="R31" s="4">
        <f>IF(('Hampshire Daily'!U34-'Hampshire Daily'!U33&lt;0),"0",('Hampshire Daily'!U34-'Hampshire Daily'!U33))</f>
        <v>7</v>
      </c>
      <c r="S31" s="4">
        <f>IF(('Hampshire Daily'!V34-'Hampshire Daily'!V33&lt;0),"0",('Hampshire Daily'!V34-'Hampshire Daily'!V33))</f>
        <v>1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0.31099999999992178</v>
      </c>
      <c r="V31" s="4">
        <f>IF(('Hampshire Daily'!Y34-'Hampshire Daily'!Y33&lt;0),"0",('Hampshire Daily'!Y34-'Hampshire Daily'!Y33))</f>
        <v>7.0000000000618456E-3</v>
      </c>
      <c r="W31" s="4">
        <f>IF(('Hampshire Daily'!Z34-'Hampshire Daily'!Z33&lt;0),"0",('Hampshire Daily'!Z34-'Hampshire Daily'!Z33))</f>
        <v>18</v>
      </c>
      <c r="X31" s="4">
        <f>IF(('Hampshire Daily'!AA34-'Hampshire Daily'!AA33&lt;0),"0",('Hampshire Daily'!AA34-'Hampshire Daily'!AA33))</f>
        <v>3</v>
      </c>
      <c r="Y31" s="4">
        <f>'Hampshire Daily'!B34</f>
        <v>19</v>
      </c>
      <c r="Z31" s="4">
        <f>'Hampshire Daily'!C34</f>
        <v>36</v>
      </c>
    </row>
    <row r="32" spans="1:26" x14ac:dyDescent="0.25">
      <c r="V32" s="4"/>
      <c r="W32" s="4"/>
      <c r="Y32" s="4"/>
      <c r="Z32" s="4"/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L3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6</v>
      </c>
      <c r="D2" s="2">
        <v>2021</v>
      </c>
      <c r="E2" s="4">
        <f>(Submetering!E2+Submetering!F2)</f>
        <v>5778</v>
      </c>
      <c r="F2" s="12">
        <v>0.14000000000000001</v>
      </c>
      <c r="G2" s="4">
        <f>Submetering!M2</f>
        <v>2518</v>
      </c>
      <c r="H2" s="12">
        <v>0.16</v>
      </c>
      <c r="I2" s="4">
        <f>Submetering!N2</f>
        <v>124</v>
      </c>
      <c r="J2" s="13">
        <v>2.06</v>
      </c>
      <c r="K2" s="4">
        <f>'Hampshire Daily'!B5</f>
        <v>95</v>
      </c>
      <c r="L2" s="4">
        <f>'Hampshire Daily'!C5</f>
        <v>277</v>
      </c>
    </row>
    <row r="3" spans="1:24" x14ac:dyDescent="0.25">
      <c r="A3" s="3" t="s">
        <v>40</v>
      </c>
      <c r="B3" s="2">
        <f>B2+1</f>
        <v>2</v>
      </c>
      <c r="C3" s="2">
        <v>6</v>
      </c>
      <c r="D3" s="2">
        <v>2021</v>
      </c>
      <c r="E3" s="4">
        <f>Submetering!E3+Submetering!F3</f>
        <v>5926</v>
      </c>
      <c r="F3" s="12">
        <v>0.14000000000000001</v>
      </c>
      <c r="G3" s="4">
        <f>Submetering!M3</f>
        <v>2138</v>
      </c>
      <c r="H3" s="12">
        <v>0.16</v>
      </c>
      <c r="I3" s="4">
        <f>Submetering!N3</f>
        <v>125</v>
      </c>
      <c r="J3" s="13">
        <v>2.06</v>
      </c>
      <c r="K3" s="4">
        <f>'Hampshire Daily'!B6</f>
        <v>95</v>
      </c>
      <c r="L3" s="4">
        <f>'Hampshire Daily'!C6</f>
        <v>265</v>
      </c>
    </row>
    <row r="4" spans="1:24" x14ac:dyDescent="0.25">
      <c r="A4" s="3" t="s">
        <v>40</v>
      </c>
      <c r="B4" s="2">
        <f t="shared" ref="B4:B31" si="0">B3+1</f>
        <v>3</v>
      </c>
      <c r="C4" s="2">
        <v>6</v>
      </c>
      <c r="D4" s="2">
        <v>2021</v>
      </c>
      <c r="E4" s="4">
        <f>Submetering!E4+Submetering!F4</f>
        <v>5767</v>
      </c>
      <c r="F4" s="12">
        <v>0.14000000000000001</v>
      </c>
      <c r="G4" s="4">
        <f>Submetering!M4</f>
        <v>2251</v>
      </c>
      <c r="H4" s="12">
        <v>0.16</v>
      </c>
      <c r="I4" s="4">
        <f>Submetering!N4</f>
        <v>120</v>
      </c>
      <c r="J4" s="13">
        <v>2.06</v>
      </c>
      <c r="K4" s="4">
        <f>'Hampshire Daily'!B7</f>
        <v>92</v>
      </c>
      <c r="L4" s="4">
        <f>'Hampshire Daily'!C7</f>
        <v>266</v>
      </c>
    </row>
    <row r="5" spans="1:24" x14ac:dyDescent="0.25">
      <c r="A5" s="3" t="s">
        <v>40</v>
      </c>
      <c r="B5" s="2">
        <f t="shared" si="0"/>
        <v>4</v>
      </c>
      <c r="C5" s="2">
        <v>6</v>
      </c>
      <c r="D5" s="2">
        <v>2021</v>
      </c>
      <c r="E5" s="4">
        <f>Submetering!E5+Submetering!F5</f>
        <v>5219</v>
      </c>
      <c r="F5" s="12">
        <v>0.14000000000000001</v>
      </c>
      <c r="G5" s="4">
        <f>Submetering!M5</f>
        <v>2187</v>
      </c>
      <c r="H5" s="12">
        <v>0.16</v>
      </c>
      <c r="I5" s="4">
        <f>Submetering!N5</f>
        <v>192</v>
      </c>
      <c r="J5" s="13">
        <v>2.06</v>
      </c>
      <c r="K5" s="4">
        <f>'Hampshire Daily'!B8</f>
        <v>93</v>
      </c>
      <c r="L5" s="4">
        <f>'Hampshire Daily'!C8</f>
        <v>261</v>
      </c>
    </row>
    <row r="6" spans="1:24" x14ac:dyDescent="0.25">
      <c r="A6" s="3" t="s">
        <v>40</v>
      </c>
      <c r="B6" s="2">
        <f t="shared" si="0"/>
        <v>5</v>
      </c>
      <c r="C6" s="2">
        <v>6</v>
      </c>
      <c r="D6" s="2">
        <v>2021</v>
      </c>
      <c r="E6" s="4">
        <f>Submetering!E6+Submetering!F6</f>
        <v>6902</v>
      </c>
      <c r="F6" s="12">
        <v>0.14000000000000001</v>
      </c>
      <c r="G6" s="4">
        <f>Submetering!M6</f>
        <v>3117</v>
      </c>
      <c r="H6" s="12">
        <v>0.16</v>
      </c>
      <c r="I6" s="4">
        <f>Submetering!N6</f>
        <v>120</v>
      </c>
      <c r="J6" s="13">
        <v>2.06</v>
      </c>
      <c r="K6" s="4">
        <f>'Hampshire Daily'!B9</f>
        <v>92</v>
      </c>
      <c r="L6" s="4">
        <f>'Hampshire Daily'!C9</f>
        <v>259</v>
      </c>
    </row>
    <row r="7" spans="1:24" x14ac:dyDescent="0.25">
      <c r="A7" s="3" t="s">
        <v>40</v>
      </c>
      <c r="B7" s="2">
        <f t="shared" si="0"/>
        <v>6</v>
      </c>
      <c r="C7" s="2">
        <v>6</v>
      </c>
      <c r="D7" s="2">
        <v>2021</v>
      </c>
      <c r="E7" s="4">
        <f>Submetering!E7+Submetering!F7</f>
        <v>4809</v>
      </c>
      <c r="F7" s="12">
        <v>0.14000000000000001</v>
      </c>
      <c r="G7" s="4">
        <f>Submetering!M7</f>
        <v>2160</v>
      </c>
      <c r="H7" s="12">
        <v>0.16</v>
      </c>
      <c r="I7" s="4">
        <f>Submetering!N7</f>
        <v>120</v>
      </c>
      <c r="J7" s="13">
        <v>2.06</v>
      </c>
      <c r="K7" s="4">
        <f>'Hampshire Daily'!B10</f>
        <v>60</v>
      </c>
      <c r="L7" s="4">
        <f>'Hampshire Daily'!C10</f>
        <v>166</v>
      </c>
    </row>
    <row r="8" spans="1:24" x14ac:dyDescent="0.25">
      <c r="A8" s="3" t="s">
        <v>40</v>
      </c>
      <c r="B8" s="2">
        <f t="shared" si="0"/>
        <v>7</v>
      </c>
      <c r="C8" s="2">
        <v>6</v>
      </c>
      <c r="D8" s="2">
        <v>2021</v>
      </c>
      <c r="E8" s="4">
        <f>Submetering!E8+Submetering!F8</f>
        <v>3231</v>
      </c>
      <c r="F8" s="12">
        <v>0.14000000000000001</v>
      </c>
      <c r="G8" s="4">
        <f>Submetering!M8</f>
        <v>1534</v>
      </c>
      <c r="H8" s="12">
        <v>0.16</v>
      </c>
      <c r="I8" s="4">
        <f>Submetering!N8</f>
        <v>98</v>
      </c>
      <c r="J8" s="13">
        <v>2.06</v>
      </c>
      <c r="K8" s="4">
        <f>'Hampshire Daily'!B11</f>
        <v>66</v>
      </c>
      <c r="L8" s="4">
        <f>'Hampshire Daily'!C11</f>
        <v>169</v>
      </c>
    </row>
    <row r="9" spans="1:24" x14ac:dyDescent="0.25">
      <c r="A9" s="3" t="s">
        <v>40</v>
      </c>
      <c r="B9" s="2">
        <f t="shared" si="0"/>
        <v>8</v>
      </c>
      <c r="C9" s="2">
        <v>6</v>
      </c>
      <c r="D9" s="2">
        <v>2021</v>
      </c>
      <c r="E9" s="4">
        <f>Submetering!E9+Submetering!F9</f>
        <v>5471</v>
      </c>
      <c r="F9" s="12">
        <v>0.14000000000000001</v>
      </c>
      <c r="G9" s="4">
        <f>Submetering!M9</f>
        <v>2288</v>
      </c>
      <c r="H9" s="12">
        <v>0.16</v>
      </c>
      <c r="I9" s="4">
        <f>Submetering!N9</f>
        <v>118</v>
      </c>
      <c r="J9" s="13">
        <v>2.06</v>
      </c>
      <c r="K9" s="4">
        <f>'Hampshire Daily'!B12</f>
        <v>71</v>
      </c>
      <c r="L9" s="4">
        <f>'Hampshire Daily'!C12</f>
        <v>170</v>
      </c>
    </row>
    <row r="10" spans="1:24" x14ac:dyDescent="0.25">
      <c r="A10" s="3" t="s">
        <v>40</v>
      </c>
      <c r="B10" s="2">
        <f t="shared" si="0"/>
        <v>9</v>
      </c>
      <c r="C10" s="2">
        <v>6</v>
      </c>
      <c r="D10" s="2">
        <v>2021</v>
      </c>
      <c r="E10" s="4">
        <f>Submetering!E10+Submetering!F10</f>
        <v>7671</v>
      </c>
      <c r="F10" s="12">
        <v>0.14000000000000001</v>
      </c>
      <c r="G10" s="4">
        <f>Submetering!M10</f>
        <v>1722</v>
      </c>
      <c r="H10" s="12">
        <v>0.16</v>
      </c>
      <c r="I10" s="4">
        <f>Submetering!N10</f>
        <v>114</v>
      </c>
      <c r="J10" s="13">
        <v>2.06</v>
      </c>
      <c r="K10" s="4">
        <f>'Hampshire Daily'!B13</f>
        <v>54</v>
      </c>
      <c r="L10" s="4">
        <f>'Hampshire Daily'!C13</f>
        <v>138</v>
      </c>
    </row>
    <row r="11" spans="1:24" x14ac:dyDescent="0.25">
      <c r="A11" s="3" t="s">
        <v>40</v>
      </c>
      <c r="B11" s="2">
        <f t="shared" si="0"/>
        <v>10</v>
      </c>
      <c r="C11" s="2">
        <v>6</v>
      </c>
      <c r="D11" s="2">
        <v>2021</v>
      </c>
      <c r="E11" s="4">
        <f>Submetering!E11+Submetering!F11</f>
        <v>5461</v>
      </c>
      <c r="F11" s="12">
        <v>0.14000000000000001</v>
      </c>
      <c r="G11" s="4">
        <f>Submetering!M11</f>
        <v>2267</v>
      </c>
      <c r="H11" s="12">
        <v>0.16</v>
      </c>
      <c r="I11" s="4">
        <f>Submetering!N11</f>
        <v>115</v>
      </c>
      <c r="J11" s="13">
        <v>2.06</v>
      </c>
      <c r="K11" s="4">
        <f>'Hampshire Daily'!B14</f>
        <v>68</v>
      </c>
      <c r="L11" s="4">
        <f>'Hampshire Daily'!C14</f>
        <v>178</v>
      </c>
    </row>
    <row r="12" spans="1:24" x14ac:dyDescent="0.25">
      <c r="A12" s="3" t="s">
        <v>40</v>
      </c>
      <c r="B12" s="2">
        <f t="shared" si="0"/>
        <v>11</v>
      </c>
      <c r="C12" s="2">
        <v>6</v>
      </c>
      <c r="D12" s="2">
        <v>2021</v>
      </c>
      <c r="E12" s="4">
        <f>Submetering!E12+Submetering!F12</f>
        <v>5274</v>
      </c>
      <c r="F12" s="12">
        <v>0.14000000000000001</v>
      </c>
      <c r="G12" s="4">
        <f>Submetering!M12</f>
        <v>2267</v>
      </c>
      <c r="H12" s="12">
        <v>0.16</v>
      </c>
      <c r="I12" s="4">
        <f>Submetering!N12</f>
        <v>120</v>
      </c>
      <c r="J12" s="13">
        <v>2.06</v>
      </c>
      <c r="K12" s="4">
        <f>'Hampshire Daily'!B15</f>
        <v>112</v>
      </c>
      <c r="L12" s="4">
        <f>'Hampshire Daily'!C15</f>
        <v>281</v>
      </c>
    </row>
    <row r="13" spans="1:24" x14ac:dyDescent="0.25">
      <c r="A13" s="3" t="s">
        <v>40</v>
      </c>
      <c r="B13" s="2">
        <f t="shared" si="0"/>
        <v>12</v>
      </c>
      <c r="C13" s="2">
        <v>6</v>
      </c>
      <c r="D13" s="2">
        <v>2021</v>
      </c>
      <c r="E13" s="4">
        <f>Submetering!E13+Submetering!F13</f>
        <v>5735</v>
      </c>
      <c r="F13" s="12">
        <v>0.14000000000000001</v>
      </c>
      <c r="G13" s="4">
        <f>Submetering!M13</f>
        <v>2062</v>
      </c>
      <c r="H13" s="12">
        <v>0.16</v>
      </c>
      <c r="I13" s="4">
        <f>Submetering!N13</f>
        <v>120</v>
      </c>
      <c r="J13" s="13">
        <v>2.06</v>
      </c>
      <c r="K13" s="4">
        <f>'Hampshire Daily'!B16</f>
        <v>116</v>
      </c>
      <c r="L13" s="4">
        <f>'Hampshire Daily'!C16</f>
        <v>290</v>
      </c>
    </row>
    <row r="14" spans="1:24" x14ac:dyDescent="0.25">
      <c r="A14" s="3" t="s">
        <v>40</v>
      </c>
      <c r="B14" s="2">
        <f t="shared" si="0"/>
        <v>13</v>
      </c>
      <c r="C14" s="2">
        <v>6</v>
      </c>
      <c r="D14" s="2">
        <v>2021</v>
      </c>
      <c r="E14" s="4">
        <f>Submetering!E14+Submetering!F14</f>
        <v>5620</v>
      </c>
      <c r="F14" s="12">
        <v>0.14000000000000001</v>
      </c>
      <c r="G14" s="4">
        <f>Submetering!M14</f>
        <v>2066</v>
      </c>
      <c r="H14" s="12">
        <v>0.16</v>
      </c>
      <c r="I14" s="4">
        <f>Submetering!N14</f>
        <v>116</v>
      </c>
      <c r="J14" s="13">
        <v>2.06</v>
      </c>
      <c r="K14" s="4">
        <f>'Hampshire Daily'!B17</f>
        <v>72</v>
      </c>
      <c r="L14" s="4">
        <f>'Hampshire Daily'!C17</f>
        <v>172</v>
      </c>
    </row>
    <row r="15" spans="1:24" x14ac:dyDescent="0.25">
      <c r="A15" s="3" t="s">
        <v>40</v>
      </c>
      <c r="B15" s="2">
        <f t="shared" si="0"/>
        <v>14</v>
      </c>
      <c r="C15" s="2">
        <v>6</v>
      </c>
      <c r="D15" s="2">
        <v>2021</v>
      </c>
      <c r="E15" s="4">
        <f>Submetering!E15+Submetering!F15</f>
        <v>6044</v>
      </c>
      <c r="F15" s="12">
        <v>0.14000000000000001</v>
      </c>
      <c r="G15" s="4">
        <f>Submetering!M15</f>
        <v>2010</v>
      </c>
      <c r="H15" s="12">
        <v>0.16</v>
      </c>
      <c r="I15" s="4">
        <f>Submetering!N15</f>
        <v>120</v>
      </c>
      <c r="J15" s="13">
        <v>2.06</v>
      </c>
      <c r="K15" s="4">
        <f>'Hampshire Daily'!B18</f>
        <v>107</v>
      </c>
      <c r="L15" s="4">
        <f>'Hampshire Daily'!C18</f>
        <v>223</v>
      </c>
    </row>
    <row r="16" spans="1:24" x14ac:dyDescent="0.25">
      <c r="A16" s="3" t="s">
        <v>40</v>
      </c>
      <c r="B16" s="2">
        <f t="shared" si="0"/>
        <v>15</v>
      </c>
      <c r="C16" s="2">
        <v>6</v>
      </c>
      <c r="D16" s="2">
        <v>2021</v>
      </c>
      <c r="E16" s="4">
        <f>Submetering!E16+Submetering!F16</f>
        <v>6876</v>
      </c>
      <c r="F16" s="12">
        <v>0.14000000000000001</v>
      </c>
      <c r="G16" s="4">
        <f>Submetering!M16</f>
        <v>1955</v>
      </c>
      <c r="H16" s="12">
        <v>0.16</v>
      </c>
      <c r="I16" s="4">
        <f>Submetering!N16</f>
        <v>120</v>
      </c>
      <c r="J16" s="13">
        <v>2.06</v>
      </c>
      <c r="K16" s="4">
        <f>'Hampshire Daily'!B19</f>
        <v>84</v>
      </c>
      <c r="L16" s="4">
        <f>'Hampshire Daily'!C19</f>
        <v>181</v>
      </c>
    </row>
    <row r="17" spans="1:12" x14ac:dyDescent="0.25">
      <c r="A17" s="3" t="s">
        <v>40</v>
      </c>
      <c r="B17" s="2">
        <f t="shared" si="0"/>
        <v>16</v>
      </c>
      <c r="C17" s="2">
        <v>6</v>
      </c>
      <c r="D17" s="2">
        <v>2021</v>
      </c>
      <c r="E17" s="4">
        <f>Submetering!E17+Submetering!F17</f>
        <v>9797</v>
      </c>
      <c r="F17" s="12">
        <v>0.14000000000000001</v>
      </c>
      <c r="G17" s="4">
        <f>Submetering!M17</f>
        <v>1063</v>
      </c>
      <c r="H17" s="12">
        <v>0.16</v>
      </c>
      <c r="I17" s="4">
        <f>Submetering!N17</f>
        <v>217</v>
      </c>
      <c r="J17" s="13">
        <v>2.06</v>
      </c>
      <c r="K17" s="4">
        <f>'Hampshire Daily'!B20</f>
        <v>72</v>
      </c>
      <c r="L17" s="4">
        <f>'Hampshire Daily'!C20</f>
        <v>155</v>
      </c>
    </row>
    <row r="18" spans="1:12" x14ac:dyDescent="0.25">
      <c r="A18" s="3" t="s">
        <v>40</v>
      </c>
      <c r="B18" s="2">
        <f t="shared" si="0"/>
        <v>17</v>
      </c>
      <c r="C18" s="2">
        <v>6</v>
      </c>
      <c r="D18" s="2">
        <v>2021</v>
      </c>
      <c r="E18" s="4">
        <f>Submetering!E18+Submetering!F18</f>
        <v>5959</v>
      </c>
      <c r="F18" s="12">
        <v>0.14000000000000001</v>
      </c>
      <c r="G18" s="4">
        <f>Submetering!M18</f>
        <v>2059</v>
      </c>
      <c r="H18" s="12">
        <v>0.16</v>
      </c>
      <c r="I18" s="4">
        <f>Submetering!N18</f>
        <v>79</v>
      </c>
      <c r="J18" s="13">
        <v>2.06</v>
      </c>
      <c r="K18" s="4">
        <f>'Hampshire Daily'!B21</f>
        <v>77</v>
      </c>
      <c r="L18" s="4">
        <f>'Hampshire Daily'!C21</f>
        <v>168</v>
      </c>
    </row>
    <row r="19" spans="1:12" x14ac:dyDescent="0.25">
      <c r="A19" s="3" t="s">
        <v>40</v>
      </c>
      <c r="B19" s="2">
        <f t="shared" si="0"/>
        <v>18</v>
      </c>
      <c r="C19" s="2">
        <v>6</v>
      </c>
      <c r="D19" s="2">
        <v>2021</v>
      </c>
      <c r="E19" s="4">
        <f>Submetering!E19+Submetering!F19</f>
        <v>5272</v>
      </c>
      <c r="F19" s="12">
        <v>0.14000000000000001</v>
      </c>
      <c r="G19" s="4">
        <f>Submetering!M19</f>
        <v>2267</v>
      </c>
      <c r="H19" s="12">
        <v>0.16</v>
      </c>
      <c r="I19" s="4">
        <f>Submetering!N19</f>
        <v>120</v>
      </c>
      <c r="J19" s="13">
        <v>2.06</v>
      </c>
      <c r="K19" s="4">
        <f>'Hampshire Daily'!B22</f>
        <v>102</v>
      </c>
      <c r="L19" s="4">
        <f>'Hampshire Daily'!C22</f>
        <v>255</v>
      </c>
    </row>
    <row r="20" spans="1:12" x14ac:dyDescent="0.25">
      <c r="A20" s="3" t="s">
        <v>40</v>
      </c>
      <c r="B20" s="2">
        <f t="shared" si="0"/>
        <v>19</v>
      </c>
      <c r="C20" s="2">
        <v>6</v>
      </c>
      <c r="D20" s="2">
        <v>2021</v>
      </c>
      <c r="E20" s="4">
        <f>Submetering!E20+Submetering!F20</f>
        <v>5276</v>
      </c>
      <c r="F20" s="12">
        <v>0.14000000000000001</v>
      </c>
      <c r="G20" s="4">
        <f>Submetering!M20</f>
        <v>2267</v>
      </c>
      <c r="H20" s="12">
        <v>0.16</v>
      </c>
      <c r="I20" s="4">
        <f>Submetering!N20</f>
        <v>120</v>
      </c>
      <c r="J20" s="13">
        <v>2.06</v>
      </c>
      <c r="K20" s="4">
        <f>'Hampshire Daily'!B23</f>
        <v>111</v>
      </c>
      <c r="L20" s="4">
        <f>'Hampshire Daily'!C23</f>
        <v>289</v>
      </c>
    </row>
    <row r="21" spans="1:12" x14ac:dyDescent="0.25">
      <c r="A21" s="3" t="s">
        <v>40</v>
      </c>
      <c r="B21" s="2">
        <f t="shared" si="0"/>
        <v>20</v>
      </c>
      <c r="C21" s="2">
        <v>6</v>
      </c>
      <c r="D21" s="2">
        <v>2021</v>
      </c>
      <c r="E21" s="4">
        <f>Submetering!E21+Submetering!F21</f>
        <v>4727</v>
      </c>
      <c r="F21" s="12">
        <v>0.14000000000000001</v>
      </c>
      <c r="G21" s="4">
        <f>Submetering!M21</f>
        <v>2382</v>
      </c>
      <c r="H21" s="12">
        <v>0.16</v>
      </c>
      <c r="I21" s="4">
        <f>Submetering!N21</f>
        <v>125</v>
      </c>
      <c r="J21" s="13">
        <v>2.06</v>
      </c>
      <c r="K21" s="4">
        <f>'Hampshire Daily'!B24</f>
        <v>37</v>
      </c>
      <c r="L21" s="4">
        <f>'Hampshire Daily'!C24</f>
        <v>79</v>
      </c>
    </row>
    <row r="22" spans="1:12" x14ac:dyDescent="0.25">
      <c r="A22" s="3" t="s">
        <v>40</v>
      </c>
      <c r="B22" s="2">
        <f t="shared" si="0"/>
        <v>21</v>
      </c>
      <c r="C22" s="2">
        <v>6</v>
      </c>
      <c r="D22" s="2">
        <v>2021</v>
      </c>
      <c r="E22" s="4">
        <f>Submetering!E22+Submetering!F22</f>
        <v>4371</v>
      </c>
      <c r="F22" s="12">
        <v>0.14000000000000001</v>
      </c>
      <c r="G22" s="4">
        <f>Submetering!M22</f>
        <v>2301</v>
      </c>
      <c r="H22" s="12">
        <v>0.16</v>
      </c>
      <c r="I22" s="4">
        <f>Submetering!N22</f>
        <v>111</v>
      </c>
      <c r="J22" s="13">
        <v>2.06</v>
      </c>
      <c r="K22" s="4">
        <f>'Hampshire Daily'!B25</f>
        <v>115</v>
      </c>
      <c r="L22" s="4">
        <f>'Hampshire Daily'!C25</f>
        <v>162</v>
      </c>
    </row>
    <row r="23" spans="1:12" x14ac:dyDescent="0.25">
      <c r="A23" s="3" t="s">
        <v>40</v>
      </c>
      <c r="B23" s="2">
        <f t="shared" si="0"/>
        <v>22</v>
      </c>
      <c r="C23" s="2">
        <v>6</v>
      </c>
      <c r="D23" s="2">
        <v>2021</v>
      </c>
      <c r="E23" s="4">
        <f>Submetering!E23+Submetering!F23</f>
        <v>4424</v>
      </c>
      <c r="F23" s="12">
        <v>0.14000000000000001</v>
      </c>
      <c r="G23" s="4">
        <f>Submetering!M23</f>
        <v>2349</v>
      </c>
      <c r="H23" s="12">
        <v>0.16</v>
      </c>
      <c r="I23" s="4">
        <f>Submetering!N23</f>
        <v>120</v>
      </c>
      <c r="J23" s="13">
        <v>2.06</v>
      </c>
      <c r="K23" s="4">
        <f>'Hampshire Daily'!B26</f>
        <v>83</v>
      </c>
      <c r="L23" s="4">
        <f>'Hampshire Daily'!C26</f>
        <v>175</v>
      </c>
    </row>
    <row r="24" spans="1:12" x14ac:dyDescent="0.25">
      <c r="A24" s="3" t="s">
        <v>40</v>
      </c>
      <c r="B24" s="2">
        <f t="shared" si="0"/>
        <v>23</v>
      </c>
      <c r="C24" s="2">
        <v>6</v>
      </c>
      <c r="D24" s="2">
        <v>2021</v>
      </c>
      <c r="E24" s="4">
        <f>Submetering!E24+Submetering!F24</f>
        <v>5191</v>
      </c>
      <c r="F24" s="12">
        <v>0.14000000000000001</v>
      </c>
      <c r="G24" s="4">
        <f>Submetering!M24</f>
        <v>2276</v>
      </c>
      <c r="H24" s="12">
        <v>0.16</v>
      </c>
      <c r="I24" s="4">
        <f>Submetering!N24</f>
        <v>120</v>
      </c>
      <c r="J24" s="13">
        <v>2.06</v>
      </c>
      <c r="K24" s="4">
        <f>'Hampshire Daily'!B27</f>
        <v>69</v>
      </c>
      <c r="L24" s="4">
        <f>'Hampshire Daily'!C27</f>
        <v>157</v>
      </c>
    </row>
    <row r="25" spans="1:12" x14ac:dyDescent="0.25">
      <c r="A25" s="3" t="s">
        <v>40</v>
      </c>
      <c r="B25" s="2">
        <f t="shared" si="0"/>
        <v>24</v>
      </c>
      <c r="C25" s="2">
        <v>6</v>
      </c>
      <c r="D25" s="2">
        <v>2021</v>
      </c>
      <c r="E25" s="4">
        <f>Submetering!E25+Submetering!F25</f>
        <v>5106</v>
      </c>
      <c r="F25" s="12">
        <v>0.14000000000000001</v>
      </c>
      <c r="G25" s="4">
        <f>Submetering!M25</f>
        <v>2365</v>
      </c>
      <c r="H25" s="12">
        <v>0.16</v>
      </c>
      <c r="I25" s="4">
        <f>Submetering!N25</f>
        <v>92</v>
      </c>
      <c r="J25" s="13">
        <v>2.06</v>
      </c>
      <c r="K25" s="4">
        <f>'Hampshire Daily'!B28</f>
        <v>95</v>
      </c>
      <c r="L25" s="4">
        <f>'Hampshire Daily'!C28</f>
        <v>215</v>
      </c>
    </row>
    <row r="26" spans="1:12" x14ac:dyDescent="0.25">
      <c r="A26" s="3" t="s">
        <v>40</v>
      </c>
      <c r="B26" s="2">
        <f>B25+1</f>
        <v>25</v>
      </c>
      <c r="C26" s="2">
        <v>6</v>
      </c>
      <c r="D26" s="2">
        <v>2021</v>
      </c>
      <c r="E26" s="4">
        <f>Submetering!E26+Submetering!F26</f>
        <v>5091</v>
      </c>
      <c r="F26" s="12">
        <v>0.14000000000000001</v>
      </c>
      <c r="G26" s="4">
        <f>Submetering!M26</f>
        <v>2156</v>
      </c>
      <c r="H26" s="12">
        <v>0.16</v>
      </c>
      <c r="I26" s="4">
        <f>Submetering!N26</f>
        <v>127</v>
      </c>
      <c r="J26" s="13">
        <v>2.06</v>
      </c>
      <c r="K26" s="4">
        <f>'Hampshire Daily'!B29</f>
        <v>114</v>
      </c>
      <c r="L26" s="4">
        <f>'Hampshire Daily'!C29</f>
        <v>271</v>
      </c>
    </row>
    <row r="27" spans="1:12" x14ac:dyDescent="0.25">
      <c r="A27" s="3" t="s">
        <v>40</v>
      </c>
      <c r="B27" s="2">
        <f t="shared" si="0"/>
        <v>26</v>
      </c>
      <c r="C27" s="2">
        <v>6</v>
      </c>
      <c r="D27" s="2">
        <v>2021</v>
      </c>
      <c r="E27" s="4">
        <f>Submetering!E27+Submetering!F27</f>
        <v>5216</v>
      </c>
      <c r="F27" s="12">
        <v>0.14000000000000001</v>
      </c>
      <c r="G27" s="4">
        <f>Submetering!M27</f>
        <v>2174</v>
      </c>
      <c r="H27" s="12">
        <v>0.16</v>
      </c>
      <c r="I27" s="4">
        <f>Submetering!N27</f>
        <v>126</v>
      </c>
      <c r="J27" s="13">
        <v>2.06</v>
      </c>
      <c r="K27" s="4">
        <f>'Hampshire Daily'!B30</f>
        <v>109</v>
      </c>
      <c r="L27" s="4">
        <f>'Hampshire Daily'!C30</f>
        <v>269</v>
      </c>
    </row>
    <row r="28" spans="1:12" x14ac:dyDescent="0.25">
      <c r="A28" s="3" t="s">
        <v>40</v>
      </c>
      <c r="B28" s="2">
        <f t="shared" si="0"/>
        <v>27</v>
      </c>
      <c r="C28" s="2">
        <v>6</v>
      </c>
      <c r="D28" s="2">
        <v>2021</v>
      </c>
      <c r="E28" s="4">
        <f>Submetering!E28+Submetering!F28</f>
        <v>5594</v>
      </c>
      <c r="F28" s="12">
        <v>0.14000000000000001</v>
      </c>
      <c r="G28" s="4">
        <f>Submetering!M28</f>
        <v>2297</v>
      </c>
      <c r="H28" s="12">
        <v>0.16</v>
      </c>
      <c r="I28" s="4">
        <f>Submetering!N28</f>
        <v>120</v>
      </c>
      <c r="J28" s="13">
        <v>2.06</v>
      </c>
      <c r="K28" s="4">
        <f>'Hampshire Daily'!B31</f>
        <v>46</v>
      </c>
      <c r="L28" s="4">
        <f>'Hampshire Daily'!C31</f>
        <v>110</v>
      </c>
    </row>
    <row r="29" spans="1:12" x14ac:dyDescent="0.25">
      <c r="A29" s="3" t="s">
        <v>40</v>
      </c>
      <c r="B29" s="2">
        <f t="shared" si="0"/>
        <v>28</v>
      </c>
      <c r="C29" s="2">
        <v>6</v>
      </c>
      <c r="D29" s="2">
        <v>2021</v>
      </c>
      <c r="E29" s="4">
        <f>Submetering!E29+Submetering!F29</f>
        <v>5075</v>
      </c>
      <c r="F29" s="12">
        <v>0.14000000000000001</v>
      </c>
      <c r="G29" s="4">
        <f>Submetering!M29</f>
        <v>2243</v>
      </c>
      <c r="H29" s="12">
        <v>0.16</v>
      </c>
      <c r="I29" s="4">
        <f>Submetering!N29</f>
        <v>192</v>
      </c>
      <c r="J29" s="13">
        <v>2.06</v>
      </c>
      <c r="K29" s="4">
        <f>'Hampshire Daily'!B32</f>
        <v>49</v>
      </c>
      <c r="L29" s="4">
        <f>'Hampshire Daily'!C32</f>
        <v>92</v>
      </c>
    </row>
    <row r="30" spans="1:12" x14ac:dyDescent="0.25">
      <c r="A30" s="3" t="s">
        <v>40</v>
      </c>
      <c r="B30" s="2">
        <f t="shared" si="0"/>
        <v>29</v>
      </c>
      <c r="C30" s="2">
        <v>6</v>
      </c>
      <c r="D30" s="2">
        <v>2021</v>
      </c>
      <c r="E30" s="4">
        <f>Submetering!E30+Submetering!F30</f>
        <v>6606</v>
      </c>
      <c r="F30" s="12">
        <v>0.14000000000000001</v>
      </c>
      <c r="G30" s="4">
        <f>Submetering!M30</f>
        <v>2528</v>
      </c>
      <c r="H30" s="12">
        <v>0.16</v>
      </c>
      <c r="I30" s="4">
        <f>Submetering!N30</f>
        <v>103</v>
      </c>
      <c r="J30" s="13">
        <v>2.06</v>
      </c>
      <c r="K30" s="4">
        <f>'Hampshire Daily'!B33</f>
        <v>19</v>
      </c>
      <c r="L30" s="4">
        <f>'Hampshire Daily'!C33</f>
        <v>36</v>
      </c>
    </row>
    <row r="31" spans="1:12" x14ac:dyDescent="0.25">
      <c r="A31" s="3" t="s">
        <v>40</v>
      </c>
      <c r="B31" s="2">
        <f t="shared" si="0"/>
        <v>30</v>
      </c>
      <c r="C31" s="2">
        <v>6</v>
      </c>
      <c r="D31" s="2">
        <v>2021</v>
      </c>
      <c r="E31" s="4">
        <f>Submetering!E31+Submetering!F31</f>
        <v>4700</v>
      </c>
      <c r="F31" s="12">
        <v>0.14000000000000001</v>
      </c>
      <c r="G31" s="4">
        <f>Submetering!M31</f>
        <v>1564</v>
      </c>
      <c r="H31" s="12">
        <v>0.16</v>
      </c>
      <c r="I31" s="4">
        <f>Submetering!N31</f>
        <v>95</v>
      </c>
      <c r="J31" s="13">
        <v>2.06</v>
      </c>
      <c r="K31" s="4">
        <f>'Hampshire Daily'!B34</f>
        <v>19</v>
      </c>
      <c r="L31" s="4">
        <f>'Hampshire Daily'!C34</f>
        <v>36</v>
      </c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tabSelected="1" zoomScaleNormal="100" workbookViewId="0">
      <pane xSplit="1" topLeftCell="C1" activePane="topRight" state="frozen"/>
      <selection pane="topRight" activeCell="D34" sqref="D34:AA34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4"/>
      <c r="B1" s="21"/>
      <c r="C1" s="21"/>
      <c r="D1" s="37" t="s">
        <v>12</v>
      </c>
      <c r="E1" s="37"/>
      <c r="F1" s="37"/>
      <c r="G1" s="37"/>
      <c r="H1" s="37"/>
      <c r="I1" s="37"/>
      <c r="J1" s="37"/>
      <c r="K1" s="37"/>
      <c r="L1" s="37"/>
      <c r="M1" s="37"/>
      <c r="N1" s="43" t="s">
        <v>13</v>
      </c>
      <c r="O1" s="45" t="s">
        <v>14</v>
      </c>
      <c r="P1" s="23"/>
      <c r="Q1" s="23"/>
      <c r="R1" s="23"/>
      <c r="S1" s="45" t="s">
        <v>15</v>
      </c>
      <c r="T1" s="47"/>
      <c r="U1" s="45" t="s">
        <v>16</v>
      </c>
      <c r="V1" s="48" t="s">
        <v>17</v>
      </c>
      <c r="W1" s="45" t="s">
        <v>18</v>
      </c>
      <c r="X1" s="45" t="s">
        <v>19</v>
      </c>
      <c r="Y1" s="54" t="s">
        <v>20</v>
      </c>
      <c r="Z1" s="45" t="s">
        <v>54</v>
      </c>
      <c r="AA1" s="50" t="s">
        <v>55</v>
      </c>
      <c r="AB1" s="1">
        <v>42</v>
      </c>
      <c r="AC1" s="1">
        <v>41</v>
      </c>
    </row>
    <row r="2" spans="1:29" ht="15" customHeight="1" x14ac:dyDescent="0.25">
      <c r="A2" s="35"/>
      <c r="B2" s="40" t="s">
        <v>52</v>
      </c>
      <c r="C2" s="40" t="s">
        <v>53</v>
      </c>
      <c r="D2" s="38" t="s">
        <v>21</v>
      </c>
      <c r="E2" s="38" t="s">
        <v>22</v>
      </c>
      <c r="F2" s="38" t="s">
        <v>23</v>
      </c>
      <c r="G2" s="38" t="s">
        <v>24</v>
      </c>
      <c r="H2" s="38" t="s">
        <v>25</v>
      </c>
      <c r="I2" s="38" t="s">
        <v>26</v>
      </c>
      <c r="J2" s="38" t="s">
        <v>27</v>
      </c>
      <c r="K2" s="38" t="s">
        <v>28</v>
      </c>
      <c r="L2" s="38" t="s">
        <v>29</v>
      </c>
      <c r="M2" s="38" t="s">
        <v>30</v>
      </c>
      <c r="N2" s="44"/>
      <c r="O2" s="45"/>
      <c r="P2" s="23" t="s">
        <v>31</v>
      </c>
      <c r="Q2" s="23" t="s">
        <v>31</v>
      </c>
      <c r="R2" s="23" t="s">
        <v>31</v>
      </c>
      <c r="S2" s="45"/>
      <c r="T2" s="47"/>
      <c r="U2" s="45"/>
      <c r="V2" s="48"/>
      <c r="W2" s="45"/>
      <c r="X2" s="45"/>
      <c r="Y2" s="54"/>
      <c r="Z2" s="45"/>
      <c r="AA2" s="51"/>
      <c r="AB2" s="53" t="s">
        <v>57</v>
      </c>
      <c r="AC2" s="53" t="s">
        <v>58</v>
      </c>
    </row>
    <row r="3" spans="1:29" ht="27" customHeight="1" thickBot="1" x14ac:dyDescent="0.3">
      <c r="A3" s="36"/>
      <c r="B3" s="41"/>
      <c r="C3" s="41"/>
      <c r="D3" s="42"/>
      <c r="E3" s="42"/>
      <c r="F3" s="42"/>
      <c r="G3" s="42"/>
      <c r="H3" s="38"/>
      <c r="I3" s="38"/>
      <c r="J3" s="38"/>
      <c r="K3" s="38"/>
      <c r="L3" s="38"/>
      <c r="M3" s="39"/>
      <c r="N3" s="44"/>
      <c r="O3" s="46"/>
      <c r="P3" s="24">
        <v>2</v>
      </c>
      <c r="Q3" s="24">
        <v>3</v>
      </c>
      <c r="R3" s="24">
        <v>4</v>
      </c>
      <c r="S3" s="47"/>
      <c r="T3" s="47"/>
      <c r="U3" s="46"/>
      <c r="V3" s="49"/>
      <c r="W3" s="45"/>
      <c r="X3" s="45"/>
      <c r="Y3" s="54"/>
      <c r="Z3" s="45"/>
      <c r="AA3" s="52"/>
      <c r="AB3" s="53"/>
      <c r="AC3" s="53"/>
    </row>
    <row r="4" spans="1:29" s="18" customFormat="1" ht="19.899999999999999" customHeight="1" x14ac:dyDescent="0.25">
      <c r="A4" s="20">
        <v>44347</v>
      </c>
      <c r="B4" s="32">
        <v>105</v>
      </c>
      <c r="C4" s="33">
        <v>298</v>
      </c>
      <c r="D4" s="27">
        <v>373979</v>
      </c>
      <c r="E4" s="25">
        <v>374576</v>
      </c>
      <c r="F4" s="25">
        <v>377462</v>
      </c>
      <c r="G4" s="25">
        <v>377067</v>
      </c>
      <c r="H4" s="25">
        <v>227660</v>
      </c>
      <c r="I4" s="25"/>
      <c r="J4" s="25"/>
      <c r="K4" s="25"/>
      <c r="L4" s="25">
        <v>663623</v>
      </c>
      <c r="M4" s="25">
        <v>2629106</v>
      </c>
      <c r="N4" s="25">
        <v>1009585</v>
      </c>
      <c r="O4" s="25">
        <v>356624</v>
      </c>
      <c r="P4" s="25">
        <v>1471388</v>
      </c>
      <c r="Q4" s="25">
        <v>608055</v>
      </c>
      <c r="R4" s="25">
        <v>735</v>
      </c>
      <c r="S4" s="25">
        <v>330773</v>
      </c>
      <c r="T4" s="25">
        <v>32575</v>
      </c>
      <c r="U4" s="25">
        <v>50677</v>
      </c>
      <c r="V4" s="25">
        <v>30592</v>
      </c>
      <c r="W4" s="25">
        <v>489.714</v>
      </c>
      <c r="X4" s="25">
        <v>912.61</v>
      </c>
      <c r="Y4" s="25">
        <v>3886.9780000000001</v>
      </c>
      <c r="Z4" s="25">
        <v>2474</v>
      </c>
      <c r="AA4" s="26">
        <v>1524</v>
      </c>
      <c r="AB4" s="31">
        <v>2868</v>
      </c>
      <c r="AC4" s="31">
        <v>3544</v>
      </c>
    </row>
    <row r="5" spans="1:29" x14ac:dyDescent="0.25">
      <c r="A5" s="20">
        <v>44348</v>
      </c>
      <c r="B5" s="32">
        <v>95</v>
      </c>
      <c r="C5" s="30">
        <v>277</v>
      </c>
      <c r="D5" s="27">
        <v>377553</v>
      </c>
      <c r="E5" s="25">
        <v>378155</v>
      </c>
      <c r="F5" s="25">
        <v>379666</v>
      </c>
      <c r="G5" s="25">
        <v>379269</v>
      </c>
      <c r="H5" s="25">
        <v>227660</v>
      </c>
      <c r="I5" s="25"/>
      <c r="J5" s="25"/>
      <c r="K5" s="25"/>
      <c r="L5" s="25">
        <v>665117</v>
      </c>
      <c r="M5" s="25">
        <v>2629106</v>
      </c>
      <c r="N5" s="25">
        <v>1012103</v>
      </c>
      <c r="O5" s="25">
        <v>356748</v>
      </c>
      <c r="P5" s="25">
        <v>1471388</v>
      </c>
      <c r="Q5" s="25">
        <v>605752</v>
      </c>
      <c r="R5" s="25">
        <v>739</v>
      </c>
      <c r="S5" s="25">
        <v>330857</v>
      </c>
      <c r="T5" s="25">
        <v>32664</v>
      </c>
      <c r="U5" s="25">
        <v>50688</v>
      </c>
      <c r="V5" s="25">
        <v>30593</v>
      </c>
      <c r="W5" s="25">
        <v>489.714</v>
      </c>
      <c r="X5" s="25">
        <v>913.22400000000005</v>
      </c>
      <c r="Y5" s="25">
        <v>3887.3069999999998</v>
      </c>
      <c r="Z5" s="25">
        <v>2494</v>
      </c>
      <c r="AA5" s="25">
        <v>1529</v>
      </c>
      <c r="AB5" s="28">
        <v>2778</v>
      </c>
      <c r="AC5" s="28">
        <v>3045</v>
      </c>
    </row>
    <row r="6" spans="1:29" x14ac:dyDescent="0.25">
      <c r="A6" s="20">
        <v>44349</v>
      </c>
      <c r="B6" s="32">
        <v>95</v>
      </c>
      <c r="C6" s="30">
        <v>265</v>
      </c>
      <c r="D6" s="27">
        <v>381124</v>
      </c>
      <c r="E6" s="25">
        <v>381731</v>
      </c>
      <c r="F6" s="25">
        <v>382021</v>
      </c>
      <c r="G6" s="25">
        <v>381621</v>
      </c>
      <c r="H6" s="25">
        <v>227745</v>
      </c>
      <c r="I6" s="25"/>
      <c r="J6" s="25"/>
      <c r="K6" s="25"/>
      <c r="L6" s="25">
        <v>666391</v>
      </c>
      <c r="M6" s="25">
        <v>2629139</v>
      </c>
      <c r="N6" s="25">
        <v>1014241</v>
      </c>
      <c r="O6" s="25">
        <v>356873</v>
      </c>
      <c r="P6" s="25">
        <v>1471388</v>
      </c>
      <c r="Q6" s="25">
        <v>609520</v>
      </c>
      <c r="R6" s="25">
        <v>743</v>
      </c>
      <c r="S6" s="25">
        <v>330927</v>
      </c>
      <c r="T6" s="25">
        <v>32739</v>
      </c>
      <c r="U6" s="25">
        <v>50698</v>
      </c>
      <c r="V6" s="25">
        <v>30596</v>
      </c>
      <c r="W6" s="25">
        <v>489.714</v>
      </c>
      <c r="X6" s="25">
        <v>913.74</v>
      </c>
      <c r="Y6" s="25">
        <v>3887.3069999999998</v>
      </c>
      <c r="Z6" s="25">
        <v>2512</v>
      </c>
      <c r="AA6" s="25">
        <v>1535</v>
      </c>
      <c r="AB6" s="28">
        <v>2649</v>
      </c>
      <c r="AC6" s="28">
        <v>3391</v>
      </c>
    </row>
    <row r="7" spans="1:29" x14ac:dyDescent="0.25">
      <c r="A7" s="20">
        <v>44350</v>
      </c>
      <c r="B7" s="32">
        <v>92</v>
      </c>
      <c r="C7" s="30">
        <v>266</v>
      </c>
      <c r="D7" s="27">
        <v>384998</v>
      </c>
      <c r="E7" s="25">
        <v>385609</v>
      </c>
      <c r="F7" s="25">
        <v>383914</v>
      </c>
      <c r="G7" s="25">
        <v>383513</v>
      </c>
      <c r="H7" s="25">
        <v>227745</v>
      </c>
      <c r="I7" s="25"/>
      <c r="J7" s="25"/>
      <c r="K7" s="25"/>
      <c r="L7" s="25">
        <v>667714</v>
      </c>
      <c r="M7" s="25">
        <v>2629204</v>
      </c>
      <c r="N7" s="25">
        <v>1016492</v>
      </c>
      <c r="O7" s="25">
        <v>356993</v>
      </c>
      <c r="P7" s="25">
        <v>1471388</v>
      </c>
      <c r="Q7" s="25">
        <v>610408</v>
      </c>
      <c r="R7" s="25">
        <v>747</v>
      </c>
      <c r="S7" s="25">
        <v>330998</v>
      </c>
      <c r="T7" s="25">
        <v>32816</v>
      </c>
      <c r="U7" s="25">
        <v>50707</v>
      </c>
      <c r="V7" s="25">
        <v>30596</v>
      </c>
      <c r="W7" s="25">
        <v>489.714</v>
      </c>
      <c r="X7" s="25">
        <v>914.32899999999995</v>
      </c>
      <c r="Y7" s="25">
        <v>3887.3069999999998</v>
      </c>
      <c r="Z7" s="25">
        <v>2532</v>
      </c>
      <c r="AA7" s="25">
        <v>1541</v>
      </c>
      <c r="AB7" s="28">
        <v>2928</v>
      </c>
      <c r="AC7" s="28">
        <v>3165</v>
      </c>
    </row>
    <row r="8" spans="1:29" x14ac:dyDescent="0.25">
      <c r="A8" s="20">
        <v>44351</v>
      </c>
      <c r="B8" s="32">
        <v>93</v>
      </c>
      <c r="C8" s="30">
        <v>261</v>
      </c>
      <c r="D8" s="27">
        <v>388052</v>
      </c>
      <c r="E8" s="25">
        <v>388668</v>
      </c>
      <c r="F8" s="25">
        <v>386079</v>
      </c>
      <c r="G8" s="25">
        <v>385676</v>
      </c>
      <c r="H8" s="25">
        <v>227814</v>
      </c>
      <c r="I8" s="25"/>
      <c r="J8" s="25"/>
      <c r="K8" s="25"/>
      <c r="L8" s="25">
        <v>669060</v>
      </c>
      <c r="M8" s="25">
        <v>2629204</v>
      </c>
      <c r="N8" s="25">
        <v>1018679</v>
      </c>
      <c r="O8" s="25">
        <v>357185</v>
      </c>
      <c r="P8" s="25">
        <v>1471388</v>
      </c>
      <c r="Q8" s="25">
        <v>616096</v>
      </c>
      <c r="R8" s="25">
        <v>748</v>
      </c>
      <c r="S8" s="25">
        <v>331081</v>
      </c>
      <c r="T8" s="25">
        <v>32904</v>
      </c>
      <c r="U8" s="25">
        <v>50718</v>
      </c>
      <c r="V8" s="25">
        <v>30598</v>
      </c>
      <c r="W8" s="25">
        <v>489.714</v>
      </c>
      <c r="X8" s="25">
        <v>914.83399999999995</v>
      </c>
      <c r="Y8" s="25">
        <v>3887.3380000000002</v>
      </c>
      <c r="Z8" s="25">
        <v>2552</v>
      </c>
      <c r="AA8" s="25">
        <v>1547</v>
      </c>
      <c r="AB8" s="28">
        <v>2918</v>
      </c>
      <c r="AC8" s="28">
        <v>3325</v>
      </c>
    </row>
    <row r="9" spans="1:29" x14ac:dyDescent="0.25">
      <c r="A9" s="20">
        <v>44352</v>
      </c>
      <c r="B9" s="32">
        <v>92</v>
      </c>
      <c r="C9" s="30">
        <v>259</v>
      </c>
      <c r="D9" s="27">
        <v>391937</v>
      </c>
      <c r="E9" s="25">
        <v>392559</v>
      </c>
      <c r="F9" s="25">
        <v>389096</v>
      </c>
      <c r="G9" s="25">
        <v>388691</v>
      </c>
      <c r="H9" s="25">
        <v>227921</v>
      </c>
      <c r="I9" s="25"/>
      <c r="J9" s="25"/>
      <c r="K9" s="25"/>
      <c r="L9" s="25">
        <v>670406</v>
      </c>
      <c r="M9" s="25">
        <v>2629204</v>
      </c>
      <c r="N9" s="25">
        <v>1021796</v>
      </c>
      <c r="O9" s="25">
        <v>357305</v>
      </c>
      <c r="P9" s="25">
        <v>1471388</v>
      </c>
      <c r="Q9" s="25">
        <v>613568</v>
      </c>
      <c r="R9" s="25">
        <v>749</v>
      </c>
      <c r="S9" s="25">
        <v>331176</v>
      </c>
      <c r="T9" s="25">
        <v>33010</v>
      </c>
      <c r="U9" s="25">
        <v>50733</v>
      </c>
      <c r="V9" s="25">
        <v>30599</v>
      </c>
      <c r="W9" s="25">
        <v>489.714</v>
      </c>
      <c r="X9" s="25">
        <v>915.42</v>
      </c>
      <c r="Y9" s="25">
        <v>3887.3679999999999</v>
      </c>
      <c r="Z9" s="25">
        <v>2578</v>
      </c>
      <c r="AA9" s="25">
        <v>1556</v>
      </c>
      <c r="AB9" s="28">
        <v>2916</v>
      </c>
      <c r="AC9" s="28">
        <v>3075</v>
      </c>
    </row>
    <row r="10" spans="1:29" x14ac:dyDescent="0.25">
      <c r="A10" s="20">
        <v>44353</v>
      </c>
      <c r="B10" s="32">
        <v>60</v>
      </c>
      <c r="C10" s="30">
        <v>166</v>
      </c>
      <c r="D10" s="27">
        <v>394934</v>
      </c>
      <c r="E10" s="25">
        <v>395560</v>
      </c>
      <c r="F10" s="25">
        <v>390908</v>
      </c>
      <c r="G10" s="25">
        <v>390501</v>
      </c>
      <c r="H10" s="25">
        <v>227969</v>
      </c>
      <c r="I10" s="25"/>
      <c r="J10" s="25"/>
      <c r="K10" s="25"/>
      <c r="L10" s="25">
        <v>671752</v>
      </c>
      <c r="M10" s="25">
        <v>2629204</v>
      </c>
      <c r="N10" s="25">
        <v>1023956</v>
      </c>
      <c r="O10" s="25">
        <v>357425</v>
      </c>
      <c r="P10" s="25">
        <v>1471388</v>
      </c>
      <c r="Q10" s="25">
        <v>614181</v>
      </c>
      <c r="R10" s="25">
        <v>753</v>
      </c>
      <c r="S10" s="25">
        <v>331245</v>
      </c>
      <c r="T10" s="25">
        <v>33083</v>
      </c>
      <c r="U10" s="25">
        <v>50742</v>
      </c>
      <c r="V10" s="25">
        <v>30699</v>
      </c>
      <c r="W10" s="25">
        <v>489.714</v>
      </c>
      <c r="X10" s="25">
        <v>915.82899999999995</v>
      </c>
      <c r="Y10" s="25">
        <v>3887.3820000000001</v>
      </c>
      <c r="Z10" s="25">
        <v>2597</v>
      </c>
      <c r="AA10" s="25">
        <v>1565</v>
      </c>
      <c r="AB10" s="28">
        <v>2928</v>
      </c>
      <c r="AC10" s="28">
        <v>3246</v>
      </c>
    </row>
    <row r="11" spans="1:29" x14ac:dyDescent="0.25">
      <c r="A11" s="20">
        <v>44354</v>
      </c>
      <c r="B11" s="32">
        <v>66</v>
      </c>
      <c r="C11" s="30">
        <v>169</v>
      </c>
      <c r="D11" s="27">
        <v>397074</v>
      </c>
      <c r="E11" s="25">
        <v>397704</v>
      </c>
      <c r="F11" s="25">
        <v>391999</v>
      </c>
      <c r="G11" s="25">
        <v>391591</v>
      </c>
      <c r="H11" s="25">
        <v>228006</v>
      </c>
      <c r="I11" s="25"/>
      <c r="J11" s="25"/>
      <c r="K11" s="25"/>
      <c r="L11" s="25">
        <v>673098</v>
      </c>
      <c r="M11" s="25">
        <v>2629204</v>
      </c>
      <c r="N11" s="25">
        <v>1025490</v>
      </c>
      <c r="O11" s="25">
        <v>357523</v>
      </c>
      <c r="P11" s="25">
        <v>1471388</v>
      </c>
      <c r="Q11" s="25">
        <v>614700</v>
      </c>
      <c r="R11" s="25">
        <v>755</v>
      </c>
      <c r="S11" s="25">
        <v>331288</v>
      </c>
      <c r="T11" s="25">
        <v>33129</v>
      </c>
      <c r="U11" s="25">
        <v>50749</v>
      </c>
      <c r="V11" s="25">
        <v>30614</v>
      </c>
      <c r="W11" s="25">
        <v>489.714</v>
      </c>
      <c r="X11" s="25">
        <v>915.82899999999995</v>
      </c>
      <c r="Y11" s="25">
        <v>3887.3960000000002</v>
      </c>
      <c r="Z11" s="25">
        <v>2610</v>
      </c>
      <c r="AA11" s="25">
        <v>1573</v>
      </c>
      <c r="AB11" s="28">
        <v>2925</v>
      </c>
      <c r="AC11" s="28">
        <v>3216</v>
      </c>
    </row>
    <row r="12" spans="1:29" x14ac:dyDescent="0.25">
      <c r="A12" s="20">
        <v>44355</v>
      </c>
      <c r="B12" s="32">
        <v>71</v>
      </c>
      <c r="C12" s="30">
        <v>170</v>
      </c>
      <c r="D12" s="27">
        <v>400806</v>
      </c>
      <c r="E12" s="25">
        <v>401441</v>
      </c>
      <c r="F12" s="25">
        <v>393738</v>
      </c>
      <c r="G12" s="25">
        <v>393328</v>
      </c>
      <c r="H12" s="25">
        <v>228059</v>
      </c>
      <c r="I12" s="25"/>
      <c r="J12" s="25"/>
      <c r="K12" s="25"/>
      <c r="L12" s="25">
        <v>674444</v>
      </c>
      <c r="M12" s="25">
        <v>2629204</v>
      </c>
      <c r="N12" s="25">
        <v>1027778</v>
      </c>
      <c r="O12" s="25">
        <v>357641</v>
      </c>
      <c r="P12" s="25">
        <v>1471388</v>
      </c>
      <c r="Q12" s="25">
        <v>615415</v>
      </c>
      <c r="R12" s="25">
        <v>759</v>
      </c>
      <c r="S12" s="25">
        <v>331352</v>
      </c>
      <c r="T12" s="25">
        <v>33201</v>
      </c>
      <c r="U12" s="25">
        <v>50760</v>
      </c>
      <c r="V12" s="25">
        <v>30615</v>
      </c>
      <c r="W12" s="25">
        <v>489.714</v>
      </c>
      <c r="X12" s="25">
        <v>916.61599999999999</v>
      </c>
      <c r="Y12" s="25">
        <v>3887.424</v>
      </c>
      <c r="Z12" s="25">
        <v>2624</v>
      </c>
      <c r="AA12" s="25">
        <v>1581</v>
      </c>
      <c r="AB12" s="28">
        <v>2210</v>
      </c>
      <c r="AC12" s="28">
        <v>2661</v>
      </c>
    </row>
    <row r="13" spans="1:29" x14ac:dyDescent="0.25">
      <c r="A13" s="20">
        <v>44356</v>
      </c>
      <c r="B13" s="32">
        <v>54</v>
      </c>
      <c r="C13" s="30">
        <v>138</v>
      </c>
      <c r="D13" s="27">
        <v>405045</v>
      </c>
      <c r="E13" s="25">
        <v>405086</v>
      </c>
      <c r="F13" s="25">
        <v>397170</v>
      </c>
      <c r="G13" s="25">
        <v>396758</v>
      </c>
      <c r="H13" s="25">
        <v>228430</v>
      </c>
      <c r="I13" s="25"/>
      <c r="J13" s="25"/>
      <c r="K13" s="25"/>
      <c r="L13" s="25">
        <v>675790</v>
      </c>
      <c r="M13" s="25">
        <v>2629354</v>
      </c>
      <c r="N13" s="25">
        <v>1029500</v>
      </c>
      <c r="O13" s="25">
        <v>357755</v>
      </c>
      <c r="P13" s="25">
        <v>1471388</v>
      </c>
      <c r="Q13" s="25">
        <v>616168</v>
      </c>
      <c r="R13" s="25">
        <v>763</v>
      </c>
      <c r="S13" s="25">
        <v>331414</v>
      </c>
      <c r="T13" s="25">
        <v>33269</v>
      </c>
      <c r="U13" s="25">
        <v>50769</v>
      </c>
      <c r="V13" s="25">
        <v>30617</v>
      </c>
      <c r="W13" s="25">
        <v>489.714</v>
      </c>
      <c r="X13" s="25">
        <v>917.09500000000003</v>
      </c>
      <c r="Y13" s="25">
        <v>3887.4380000000001</v>
      </c>
      <c r="Z13" s="25">
        <v>2648</v>
      </c>
      <c r="AA13" s="25">
        <v>1587</v>
      </c>
      <c r="AB13" s="28">
        <v>2928</v>
      </c>
      <c r="AC13" s="28">
        <v>2083</v>
      </c>
    </row>
    <row r="14" spans="1:29" x14ac:dyDescent="0.25">
      <c r="A14" s="20">
        <v>44357</v>
      </c>
      <c r="B14" s="32">
        <v>68</v>
      </c>
      <c r="C14" s="30">
        <v>178</v>
      </c>
      <c r="D14" s="27">
        <v>408847</v>
      </c>
      <c r="E14" s="25">
        <v>409493</v>
      </c>
      <c r="F14" s="25">
        <v>398829</v>
      </c>
      <c r="G14" s="25">
        <v>398415</v>
      </c>
      <c r="H14" s="25">
        <v>228468</v>
      </c>
      <c r="I14" s="25"/>
      <c r="J14" s="25"/>
      <c r="K14" s="25"/>
      <c r="L14" s="25">
        <v>677136</v>
      </c>
      <c r="M14" s="25">
        <v>2629354</v>
      </c>
      <c r="N14" s="25">
        <v>1031767</v>
      </c>
      <c r="O14" s="25">
        <v>357870</v>
      </c>
      <c r="P14" s="25">
        <v>1471388</v>
      </c>
      <c r="Q14" s="25">
        <v>617099</v>
      </c>
      <c r="R14" s="25">
        <v>767</v>
      </c>
      <c r="S14" s="25">
        <v>331475</v>
      </c>
      <c r="T14" s="25">
        <v>33338</v>
      </c>
      <c r="U14" s="25">
        <v>50780</v>
      </c>
      <c r="V14" s="25">
        <v>30619</v>
      </c>
      <c r="W14" s="25">
        <v>489.714</v>
      </c>
      <c r="X14" s="25">
        <v>917.40200000000004</v>
      </c>
      <c r="Y14" s="25">
        <v>3887.6120000000001</v>
      </c>
      <c r="Z14" s="25">
        <v>2668</v>
      </c>
      <c r="AA14" s="25">
        <v>1594</v>
      </c>
      <c r="AB14" s="28">
        <v>2928</v>
      </c>
      <c r="AC14" s="28">
        <v>2982</v>
      </c>
    </row>
    <row r="15" spans="1:29" x14ac:dyDescent="0.25">
      <c r="A15" s="20">
        <v>44358</v>
      </c>
      <c r="B15" s="32">
        <v>112</v>
      </c>
      <c r="C15" s="30">
        <v>281</v>
      </c>
      <c r="D15" s="27">
        <v>411847</v>
      </c>
      <c r="E15" s="25">
        <v>412493</v>
      </c>
      <c r="F15" s="25">
        <v>401103</v>
      </c>
      <c r="G15" s="25">
        <v>400689</v>
      </c>
      <c r="H15" s="25">
        <v>228477</v>
      </c>
      <c r="I15" s="25"/>
      <c r="J15" s="25"/>
      <c r="K15" s="25"/>
      <c r="L15" s="25">
        <v>678482</v>
      </c>
      <c r="M15" s="25">
        <v>2629354</v>
      </c>
      <c r="N15" s="25">
        <v>1034034</v>
      </c>
      <c r="O15" s="25">
        <v>357990</v>
      </c>
      <c r="P15" s="25">
        <v>1471388</v>
      </c>
      <c r="Q15" s="25">
        <v>617099</v>
      </c>
      <c r="R15" s="25">
        <v>770</v>
      </c>
      <c r="S15" s="25">
        <v>331540</v>
      </c>
      <c r="T15" s="25">
        <v>33411</v>
      </c>
      <c r="U15" s="25">
        <v>50791</v>
      </c>
      <c r="V15" s="25">
        <v>30619.5</v>
      </c>
      <c r="W15" s="25">
        <v>489.714</v>
      </c>
      <c r="X15" s="25">
        <v>917.80200000000002</v>
      </c>
      <c r="Y15" s="25">
        <v>3887.6880000000001</v>
      </c>
      <c r="Z15" s="25">
        <v>2688</v>
      </c>
      <c r="AA15" s="25">
        <v>1601</v>
      </c>
      <c r="AB15" s="28">
        <v>2928</v>
      </c>
      <c r="AC15" s="28">
        <v>3440</v>
      </c>
    </row>
    <row r="16" spans="1:29" x14ac:dyDescent="0.25">
      <c r="A16" s="20">
        <v>44359</v>
      </c>
      <c r="B16" s="32">
        <v>116</v>
      </c>
      <c r="C16" s="30">
        <v>290</v>
      </c>
      <c r="D16" s="27">
        <v>416058</v>
      </c>
      <c r="E16" s="25">
        <v>416714</v>
      </c>
      <c r="F16" s="25">
        <v>402627</v>
      </c>
      <c r="G16" s="25">
        <v>402209</v>
      </c>
      <c r="H16" s="25">
        <v>228562</v>
      </c>
      <c r="I16" s="25"/>
      <c r="J16" s="25"/>
      <c r="K16" s="25"/>
      <c r="L16" s="25">
        <v>679581</v>
      </c>
      <c r="M16" s="25">
        <v>2629354</v>
      </c>
      <c r="N16" s="25">
        <v>1036096</v>
      </c>
      <c r="O16" s="25">
        <v>358110</v>
      </c>
      <c r="P16" s="25">
        <v>1471388</v>
      </c>
      <c r="Q16" s="25">
        <v>617654</v>
      </c>
      <c r="R16" s="25">
        <v>774</v>
      </c>
      <c r="S16" s="25">
        <v>331621</v>
      </c>
      <c r="T16" s="25">
        <v>33493</v>
      </c>
      <c r="U16" s="25">
        <v>50799</v>
      </c>
      <c r="V16" s="25">
        <v>30621</v>
      </c>
      <c r="W16" s="25">
        <v>489.714</v>
      </c>
      <c r="X16" s="25">
        <v>918.25800000000004</v>
      </c>
      <c r="Y16" s="25">
        <v>3887.636</v>
      </c>
      <c r="Z16" s="25">
        <v>2706</v>
      </c>
      <c r="AA16" s="25">
        <v>1608</v>
      </c>
      <c r="AB16" s="28">
        <v>2928</v>
      </c>
      <c r="AC16" s="28">
        <v>3292</v>
      </c>
    </row>
    <row r="17" spans="1:29" x14ac:dyDescent="0.25">
      <c r="A17" s="20">
        <v>44360</v>
      </c>
      <c r="B17" s="32">
        <v>72</v>
      </c>
      <c r="C17" s="30">
        <v>172</v>
      </c>
      <c r="D17" s="27">
        <v>419813</v>
      </c>
      <c r="E17" s="25">
        <v>420474</v>
      </c>
      <c r="F17" s="25">
        <v>404492</v>
      </c>
      <c r="G17" s="25">
        <v>404072</v>
      </c>
      <c r="H17" s="25">
        <v>228595</v>
      </c>
      <c r="I17" s="25"/>
      <c r="J17" s="25"/>
      <c r="K17" s="25"/>
      <c r="L17" s="25">
        <v>680927</v>
      </c>
      <c r="M17" s="25">
        <v>2629354</v>
      </c>
      <c r="N17" s="25">
        <v>1038162</v>
      </c>
      <c r="O17" s="25">
        <v>358226</v>
      </c>
      <c r="P17" s="25">
        <v>1471388</v>
      </c>
      <c r="Q17" s="25">
        <v>618654</v>
      </c>
      <c r="R17" s="25">
        <v>778</v>
      </c>
      <c r="S17" s="25">
        <v>331717</v>
      </c>
      <c r="T17" s="25">
        <v>33591</v>
      </c>
      <c r="U17" s="25">
        <v>50810</v>
      </c>
      <c r="V17" s="25">
        <v>30622</v>
      </c>
      <c r="W17" s="25">
        <v>489.714</v>
      </c>
      <c r="X17" s="25">
        <v>918.66</v>
      </c>
      <c r="Y17" s="25">
        <v>3887.7460000000001</v>
      </c>
      <c r="Z17" s="25">
        <v>2726</v>
      </c>
      <c r="AA17" s="25">
        <v>1615</v>
      </c>
      <c r="AB17" s="28">
        <v>2790</v>
      </c>
      <c r="AC17" s="28">
        <v>2995</v>
      </c>
    </row>
    <row r="18" spans="1:29" x14ac:dyDescent="0.25">
      <c r="A18" s="20">
        <v>44361</v>
      </c>
      <c r="B18" s="32">
        <v>107</v>
      </c>
      <c r="C18" s="30">
        <v>223</v>
      </c>
      <c r="D18" s="27">
        <v>423831</v>
      </c>
      <c r="E18" s="25">
        <v>424497</v>
      </c>
      <c r="F18" s="25">
        <v>406518</v>
      </c>
      <c r="G18" s="25">
        <v>406096</v>
      </c>
      <c r="H18" s="25">
        <v>228666</v>
      </c>
      <c r="I18" s="25"/>
      <c r="J18" s="25"/>
      <c r="K18" s="25"/>
      <c r="L18" s="25">
        <v>682229</v>
      </c>
      <c r="M18" s="25">
        <v>2629383</v>
      </c>
      <c r="N18" s="25">
        <v>1040172</v>
      </c>
      <c r="O18" s="25">
        <v>358346</v>
      </c>
      <c r="P18" s="25">
        <v>1471388</v>
      </c>
      <c r="Q18" s="25">
        <v>621268</v>
      </c>
      <c r="R18" s="25">
        <v>782</v>
      </c>
      <c r="S18" s="25">
        <v>331796</v>
      </c>
      <c r="T18" s="25">
        <v>33677</v>
      </c>
      <c r="U18" s="25">
        <v>50819</v>
      </c>
      <c r="V18" s="25">
        <v>30627</v>
      </c>
      <c r="W18" s="25">
        <v>489.714</v>
      </c>
      <c r="X18" s="25">
        <v>919.06</v>
      </c>
      <c r="Y18" s="25">
        <v>3887.76</v>
      </c>
      <c r="Z18" s="25">
        <v>2743</v>
      </c>
      <c r="AA18" s="25">
        <v>1622</v>
      </c>
      <c r="AB18" s="28">
        <v>2929</v>
      </c>
      <c r="AC18" s="28">
        <v>2782</v>
      </c>
    </row>
    <row r="19" spans="1:29" x14ac:dyDescent="0.25">
      <c r="A19" s="20">
        <v>44362</v>
      </c>
      <c r="B19" s="32">
        <v>84</v>
      </c>
      <c r="C19" s="30">
        <v>181</v>
      </c>
      <c r="D19" s="27">
        <v>428345</v>
      </c>
      <c r="E19" s="25">
        <v>429016</v>
      </c>
      <c r="F19" s="25">
        <v>408880</v>
      </c>
      <c r="G19" s="25">
        <v>408456</v>
      </c>
      <c r="H19" s="25">
        <v>228806</v>
      </c>
      <c r="I19" s="25"/>
      <c r="J19" s="25"/>
      <c r="K19" s="25"/>
      <c r="L19" s="25">
        <v>683575</v>
      </c>
      <c r="M19" s="25">
        <v>2629383</v>
      </c>
      <c r="N19" s="25">
        <v>1042127</v>
      </c>
      <c r="O19" s="25">
        <v>358466</v>
      </c>
      <c r="P19" s="25">
        <v>1471396</v>
      </c>
      <c r="Q19" s="25">
        <v>625271</v>
      </c>
      <c r="R19" s="25">
        <v>786</v>
      </c>
      <c r="S19" s="25">
        <v>331867</v>
      </c>
      <c r="T19" s="25">
        <v>33757</v>
      </c>
      <c r="U19" s="25">
        <v>50832</v>
      </c>
      <c r="V19" s="25">
        <v>30628</v>
      </c>
      <c r="W19" s="25">
        <v>489.714</v>
      </c>
      <c r="X19" s="25">
        <v>919.51099999999997</v>
      </c>
      <c r="Y19" s="25">
        <v>3887.7719999999999</v>
      </c>
      <c r="Z19" s="25">
        <v>2762</v>
      </c>
      <c r="AA19" s="25">
        <v>1629</v>
      </c>
      <c r="AB19" s="28">
        <v>2227</v>
      </c>
      <c r="AC19" s="28">
        <v>1613</v>
      </c>
    </row>
    <row r="20" spans="1:29" x14ac:dyDescent="0.25">
      <c r="A20" s="20">
        <v>44363</v>
      </c>
      <c r="B20" s="32">
        <v>72</v>
      </c>
      <c r="C20" s="30">
        <v>155</v>
      </c>
      <c r="D20" s="27">
        <v>433982</v>
      </c>
      <c r="E20" s="25">
        <v>434660</v>
      </c>
      <c r="F20" s="25">
        <v>413040</v>
      </c>
      <c r="G20" s="25">
        <v>412612</v>
      </c>
      <c r="H20" s="25">
        <v>229300</v>
      </c>
      <c r="I20" s="25"/>
      <c r="J20" s="25"/>
      <c r="K20" s="25"/>
      <c r="L20" s="25">
        <v>684921</v>
      </c>
      <c r="M20" s="25">
        <v>2629666</v>
      </c>
      <c r="N20" s="25">
        <v>1043190</v>
      </c>
      <c r="O20" s="25">
        <v>358683</v>
      </c>
      <c r="P20" s="25">
        <v>1471402</v>
      </c>
      <c r="Q20" s="25">
        <v>623652</v>
      </c>
      <c r="R20" s="25">
        <v>790</v>
      </c>
      <c r="S20" s="25">
        <v>331937</v>
      </c>
      <c r="T20" s="25">
        <v>33834</v>
      </c>
      <c r="U20" s="25">
        <v>50843</v>
      </c>
      <c r="V20" s="25">
        <v>30630</v>
      </c>
      <c r="W20" s="25">
        <v>489.714</v>
      </c>
      <c r="X20" s="25">
        <v>919.85199999999998</v>
      </c>
      <c r="Y20" s="25">
        <v>3887.779</v>
      </c>
      <c r="Z20" s="25">
        <v>2781</v>
      </c>
      <c r="AA20" s="25">
        <v>1630</v>
      </c>
      <c r="AB20" s="28">
        <v>1893</v>
      </c>
      <c r="AC20" s="28">
        <v>2091</v>
      </c>
    </row>
    <row r="21" spans="1:29" x14ac:dyDescent="0.25">
      <c r="A21" s="20">
        <v>44364</v>
      </c>
      <c r="B21" s="32">
        <v>77</v>
      </c>
      <c r="C21" s="30">
        <v>168</v>
      </c>
      <c r="D21" s="27">
        <v>438160</v>
      </c>
      <c r="E21" s="25">
        <v>438844</v>
      </c>
      <c r="F21" s="25">
        <v>414821</v>
      </c>
      <c r="G21" s="25">
        <v>414391</v>
      </c>
      <c r="H21" s="25">
        <v>229348</v>
      </c>
      <c r="I21" s="25"/>
      <c r="J21" s="25"/>
      <c r="K21" s="25"/>
      <c r="L21" s="25">
        <v>686267</v>
      </c>
      <c r="M21" s="25">
        <v>2629666</v>
      </c>
      <c r="N21" s="25">
        <v>1045249</v>
      </c>
      <c r="O21" s="25">
        <v>358762</v>
      </c>
      <c r="P21" s="25">
        <v>1471402</v>
      </c>
      <c r="Q21" s="25">
        <v>625007</v>
      </c>
      <c r="R21" s="25">
        <v>794</v>
      </c>
      <c r="S21" s="25">
        <v>332003</v>
      </c>
      <c r="T21" s="25">
        <v>33908</v>
      </c>
      <c r="U21" s="25">
        <v>50854</v>
      </c>
      <c r="V21" s="25">
        <v>30632</v>
      </c>
      <c r="W21" s="25">
        <v>489.714</v>
      </c>
      <c r="X21" s="25">
        <v>920.30700000000002</v>
      </c>
      <c r="Y21" s="25">
        <v>3887.7829999999999</v>
      </c>
      <c r="Z21" s="25">
        <v>2802</v>
      </c>
      <c r="AA21" s="25">
        <v>1633</v>
      </c>
      <c r="AB21" s="28">
        <v>2928</v>
      </c>
      <c r="AC21" s="28">
        <v>3215</v>
      </c>
    </row>
    <row r="22" spans="1:29" x14ac:dyDescent="0.25">
      <c r="A22" s="20">
        <v>44365</v>
      </c>
      <c r="B22" s="32">
        <v>102</v>
      </c>
      <c r="C22" s="30">
        <v>255</v>
      </c>
      <c r="D22" s="27">
        <v>441160</v>
      </c>
      <c r="E22" s="25">
        <v>441848</v>
      </c>
      <c r="F22" s="25">
        <v>417093</v>
      </c>
      <c r="G22" s="25">
        <v>416663</v>
      </c>
      <c r="H22" s="25">
        <v>229357</v>
      </c>
      <c r="I22" s="25"/>
      <c r="J22" s="25"/>
      <c r="K22" s="25"/>
      <c r="L22" s="25">
        <v>687613</v>
      </c>
      <c r="M22" s="25">
        <v>2629666</v>
      </c>
      <c r="N22" s="25">
        <v>1047516</v>
      </c>
      <c r="O22" s="25">
        <v>358882</v>
      </c>
      <c r="P22" s="25">
        <v>1471768</v>
      </c>
      <c r="Q22" s="25">
        <v>625562</v>
      </c>
      <c r="R22" s="25">
        <v>797</v>
      </c>
      <c r="S22" s="25">
        <v>332068</v>
      </c>
      <c r="T22" s="25">
        <v>33981</v>
      </c>
      <c r="U22" s="25">
        <v>50865</v>
      </c>
      <c r="V22" s="25">
        <v>30632</v>
      </c>
      <c r="W22" s="25">
        <v>489.714</v>
      </c>
      <c r="X22" s="25">
        <v>920.60400000000004</v>
      </c>
      <c r="Y22" s="25">
        <v>3887.7890000000002</v>
      </c>
      <c r="Z22" s="25">
        <v>2820</v>
      </c>
      <c r="AA22" s="25">
        <v>1637</v>
      </c>
      <c r="AB22" s="28">
        <v>2871</v>
      </c>
      <c r="AC22" s="28">
        <v>3562</v>
      </c>
    </row>
    <row r="23" spans="1:29" x14ac:dyDescent="0.25">
      <c r="A23" s="20">
        <v>44366</v>
      </c>
      <c r="B23" s="32">
        <v>111</v>
      </c>
      <c r="C23" s="30">
        <v>289</v>
      </c>
      <c r="D23" s="27">
        <v>444160</v>
      </c>
      <c r="E23" s="25">
        <v>444852</v>
      </c>
      <c r="F23" s="25">
        <v>419369</v>
      </c>
      <c r="G23" s="25">
        <v>418936</v>
      </c>
      <c r="H23" s="25">
        <v>229366</v>
      </c>
      <c r="I23" s="25"/>
      <c r="J23" s="25"/>
      <c r="K23" s="25"/>
      <c r="L23" s="25">
        <v>688502</v>
      </c>
      <c r="M23" s="25">
        <v>2629666</v>
      </c>
      <c r="N23" s="25">
        <v>1049783</v>
      </c>
      <c r="O23" s="25">
        <v>359002</v>
      </c>
      <c r="P23" s="25">
        <v>1472135</v>
      </c>
      <c r="Q23" s="25">
        <v>626117</v>
      </c>
      <c r="R23" s="25">
        <v>800</v>
      </c>
      <c r="S23" s="25">
        <v>332134</v>
      </c>
      <c r="T23" s="25">
        <v>34055</v>
      </c>
      <c r="U23" s="25">
        <v>50876</v>
      </c>
      <c r="V23" s="25">
        <v>30633</v>
      </c>
      <c r="W23" s="25">
        <v>489.714</v>
      </c>
      <c r="X23" s="25">
        <v>921.202</v>
      </c>
      <c r="Y23" s="25">
        <v>3887.8359999999998</v>
      </c>
      <c r="Z23" s="25">
        <v>2843</v>
      </c>
      <c r="AA23" s="25">
        <v>1642</v>
      </c>
      <c r="AB23" s="28">
        <v>2928</v>
      </c>
      <c r="AC23" s="28">
        <v>3519</v>
      </c>
    </row>
    <row r="24" spans="1:29" x14ac:dyDescent="0.25">
      <c r="A24" s="20">
        <v>44367</v>
      </c>
      <c r="B24" s="32">
        <v>37</v>
      </c>
      <c r="C24" s="30">
        <v>79</v>
      </c>
      <c r="D24" s="27">
        <v>447263</v>
      </c>
      <c r="E24" s="25">
        <v>447961</v>
      </c>
      <c r="F24" s="25">
        <v>420993</v>
      </c>
      <c r="G24" s="25">
        <v>420558</v>
      </c>
      <c r="H24" s="25">
        <v>229366</v>
      </c>
      <c r="I24" s="25"/>
      <c r="J24" s="25"/>
      <c r="K24" s="25"/>
      <c r="L24" s="25">
        <v>689810</v>
      </c>
      <c r="M24" s="25">
        <v>2629666</v>
      </c>
      <c r="N24" s="25">
        <v>1052165</v>
      </c>
      <c r="O24" s="25">
        <v>359127</v>
      </c>
      <c r="P24" s="25">
        <v>1472135</v>
      </c>
      <c r="Q24" s="25">
        <v>626507</v>
      </c>
      <c r="R24" s="25">
        <v>804</v>
      </c>
      <c r="S24" s="25">
        <v>332229</v>
      </c>
      <c r="T24" s="25">
        <v>34154</v>
      </c>
      <c r="U24" s="25">
        <v>50886</v>
      </c>
      <c r="V24" s="25">
        <v>30634</v>
      </c>
      <c r="W24" s="25">
        <v>489.714</v>
      </c>
      <c r="X24" s="25">
        <v>921.60199999999998</v>
      </c>
      <c r="Y24" s="25">
        <v>3887.8470000000002</v>
      </c>
      <c r="Z24" s="25">
        <v>2843</v>
      </c>
      <c r="AA24" s="25">
        <v>1647</v>
      </c>
      <c r="AB24" s="28">
        <v>2923</v>
      </c>
      <c r="AC24" s="28">
        <v>3443</v>
      </c>
    </row>
    <row r="25" spans="1:29" x14ac:dyDescent="0.25">
      <c r="A25" s="20">
        <v>44368</v>
      </c>
      <c r="B25" s="32">
        <v>115</v>
      </c>
      <c r="C25" s="30">
        <v>162</v>
      </c>
      <c r="D25" s="27">
        <v>450246</v>
      </c>
      <c r="E25" s="25">
        <v>450949</v>
      </c>
      <c r="F25" s="25">
        <v>422381</v>
      </c>
      <c r="G25" s="25">
        <v>421945</v>
      </c>
      <c r="H25" s="25">
        <v>229366</v>
      </c>
      <c r="I25" s="25"/>
      <c r="J25" s="25"/>
      <c r="K25" s="25"/>
      <c r="L25" s="25">
        <v>690928</v>
      </c>
      <c r="M25" s="25">
        <v>2629667</v>
      </c>
      <c r="N25" s="25">
        <v>1054466</v>
      </c>
      <c r="O25" s="25">
        <v>359238</v>
      </c>
      <c r="P25" s="25">
        <v>1472135</v>
      </c>
      <c r="Q25" s="25">
        <v>626945</v>
      </c>
      <c r="R25" s="25">
        <v>808</v>
      </c>
      <c r="S25" s="25">
        <v>332297</v>
      </c>
      <c r="T25" s="25">
        <v>34228</v>
      </c>
      <c r="U25" s="25">
        <v>50894</v>
      </c>
      <c r="V25" s="25">
        <v>30641</v>
      </c>
      <c r="W25" s="25">
        <v>489.714</v>
      </c>
      <c r="X25" s="25">
        <v>921.96600000000001</v>
      </c>
      <c r="Y25" s="25">
        <v>3887.8580000000002</v>
      </c>
      <c r="Z25" s="25">
        <v>2843</v>
      </c>
      <c r="AA25" s="25">
        <v>1655</v>
      </c>
      <c r="AB25" s="28">
        <v>2928</v>
      </c>
      <c r="AC25" s="28">
        <v>3478</v>
      </c>
    </row>
    <row r="26" spans="1:29" x14ac:dyDescent="0.25">
      <c r="A26" s="20">
        <v>44369</v>
      </c>
      <c r="B26" s="32">
        <v>83</v>
      </c>
      <c r="C26" s="30">
        <v>175</v>
      </c>
      <c r="D26" s="27">
        <v>453261</v>
      </c>
      <c r="E26" s="25">
        <v>453969</v>
      </c>
      <c r="F26" s="25">
        <v>423790</v>
      </c>
      <c r="G26" s="25">
        <v>423352</v>
      </c>
      <c r="H26" s="25">
        <v>229366</v>
      </c>
      <c r="I26" s="25"/>
      <c r="J26" s="25"/>
      <c r="K26" s="25"/>
      <c r="L26" s="25">
        <v>692065</v>
      </c>
      <c r="M26" s="25">
        <v>2629667</v>
      </c>
      <c r="N26" s="25">
        <v>1056815</v>
      </c>
      <c r="O26" s="25">
        <v>359358</v>
      </c>
      <c r="P26" s="25">
        <v>1472135</v>
      </c>
      <c r="Q26" s="25">
        <v>627193</v>
      </c>
      <c r="R26" s="25">
        <v>811</v>
      </c>
      <c r="S26" s="25">
        <v>332371</v>
      </c>
      <c r="T26" s="25">
        <v>34304</v>
      </c>
      <c r="U26" s="25">
        <v>50903</v>
      </c>
      <c r="V26" s="25">
        <v>30641</v>
      </c>
      <c r="W26" s="25">
        <v>489.714</v>
      </c>
      <c r="X26" s="25">
        <v>922.298</v>
      </c>
      <c r="Y26" s="25">
        <v>3887.873</v>
      </c>
      <c r="Z26" s="25">
        <v>2843</v>
      </c>
      <c r="AA26" s="25">
        <v>1660</v>
      </c>
      <c r="AB26" s="28">
        <v>2547</v>
      </c>
      <c r="AC26" s="28">
        <v>3419</v>
      </c>
    </row>
    <row r="27" spans="1:29" x14ac:dyDescent="0.25">
      <c r="A27" s="20">
        <v>44370</v>
      </c>
      <c r="B27" s="32">
        <v>69</v>
      </c>
      <c r="C27" s="30">
        <v>157</v>
      </c>
      <c r="D27" s="27">
        <v>456870</v>
      </c>
      <c r="E27" s="25">
        <v>457584</v>
      </c>
      <c r="F27" s="25">
        <v>425372</v>
      </c>
      <c r="G27" s="25">
        <v>424933</v>
      </c>
      <c r="H27" s="25">
        <v>229384</v>
      </c>
      <c r="I27" s="25"/>
      <c r="J27" s="25"/>
      <c r="K27" s="25"/>
      <c r="L27" s="25">
        <v>693248</v>
      </c>
      <c r="M27" s="25">
        <v>2629758</v>
      </c>
      <c r="N27" s="25">
        <v>1059091</v>
      </c>
      <c r="O27" s="25">
        <v>359478</v>
      </c>
      <c r="P27" s="25">
        <v>1472135</v>
      </c>
      <c r="Q27" s="25">
        <v>627487</v>
      </c>
      <c r="R27" s="25">
        <v>815</v>
      </c>
      <c r="S27" s="25">
        <v>332450</v>
      </c>
      <c r="T27" s="25">
        <v>34385</v>
      </c>
      <c r="U27" s="25">
        <v>50913</v>
      </c>
      <c r="V27" s="25">
        <v>30642</v>
      </c>
      <c r="W27" s="25">
        <v>489.714</v>
      </c>
      <c r="X27" s="25">
        <v>922.63599999999997</v>
      </c>
      <c r="Y27" s="25">
        <v>3887.8820000000001</v>
      </c>
      <c r="Z27" s="25">
        <v>2844</v>
      </c>
      <c r="AA27" s="25">
        <v>1664</v>
      </c>
      <c r="AB27" s="28">
        <v>2921</v>
      </c>
      <c r="AC27" s="28">
        <v>3496</v>
      </c>
    </row>
    <row r="28" spans="1:29" x14ac:dyDescent="0.25">
      <c r="A28" s="20">
        <v>44371</v>
      </c>
      <c r="B28" s="32">
        <v>95</v>
      </c>
      <c r="C28" s="30">
        <v>215</v>
      </c>
      <c r="D28" s="27">
        <v>460356</v>
      </c>
      <c r="E28" s="25">
        <v>461076</v>
      </c>
      <c r="F28" s="25">
        <v>426992</v>
      </c>
      <c r="G28" s="25">
        <v>426551</v>
      </c>
      <c r="H28" s="25">
        <v>229384</v>
      </c>
      <c r="I28" s="25"/>
      <c r="J28" s="25"/>
      <c r="K28" s="25"/>
      <c r="L28" s="25">
        <v>694594</v>
      </c>
      <c r="M28" s="25">
        <v>2629758</v>
      </c>
      <c r="N28" s="25">
        <v>1061456</v>
      </c>
      <c r="O28" s="25">
        <v>359570</v>
      </c>
      <c r="P28" s="25">
        <v>1472135</v>
      </c>
      <c r="Q28" s="25">
        <v>628136</v>
      </c>
      <c r="R28" s="25">
        <v>819</v>
      </c>
      <c r="S28" s="25">
        <v>332525</v>
      </c>
      <c r="T28" s="25">
        <v>34466</v>
      </c>
      <c r="U28" s="25">
        <v>50923</v>
      </c>
      <c r="V28" s="25">
        <v>30644</v>
      </c>
      <c r="W28" s="25">
        <v>489.714</v>
      </c>
      <c r="X28" s="25">
        <v>922.95500000000004</v>
      </c>
      <c r="Y28" s="25">
        <v>3887.893</v>
      </c>
      <c r="Z28" s="25">
        <v>2864</v>
      </c>
      <c r="AA28" s="25">
        <v>1668</v>
      </c>
      <c r="AB28" s="28">
        <v>2928</v>
      </c>
      <c r="AC28" s="28">
        <v>3419</v>
      </c>
    </row>
    <row r="29" spans="1:29" x14ac:dyDescent="0.25">
      <c r="A29" s="20">
        <v>44372</v>
      </c>
      <c r="B29" s="32">
        <v>114</v>
      </c>
      <c r="C29" s="30">
        <v>271</v>
      </c>
      <c r="D29" s="27">
        <v>464070</v>
      </c>
      <c r="E29" s="25">
        <v>464795</v>
      </c>
      <c r="F29" s="25">
        <v>428369</v>
      </c>
      <c r="G29" s="25">
        <v>427928</v>
      </c>
      <c r="H29" s="25">
        <v>229384</v>
      </c>
      <c r="I29" s="25"/>
      <c r="J29" s="25"/>
      <c r="K29" s="25"/>
      <c r="L29" s="25">
        <v>695731</v>
      </c>
      <c r="M29" s="25">
        <v>2629758</v>
      </c>
      <c r="N29" s="25">
        <v>1063612</v>
      </c>
      <c r="O29" s="25">
        <v>359697</v>
      </c>
      <c r="P29" s="25">
        <v>1472135</v>
      </c>
      <c r="Q29" s="25">
        <v>628874</v>
      </c>
      <c r="R29" s="25">
        <v>823</v>
      </c>
      <c r="S29" s="25">
        <v>332606</v>
      </c>
      <c r="T29" s="25">
        <v>34548</v>
      </c>
      <c r="U29" s="25">
        <v>50935</v>
      </c>
      <c r="V29" s="25">
        <v>30646</v>
      </c>
      <c r="W29" s="25">
        <v>489.714</v>
      </c>
      <c r="X29" s="25">
        <v>923.49199999999996</v>
      </c>
      <c r="Y29" s="25">
        <v>3887.902</v>
      </c>
      <c r="Z29" s="25">
        <v>2884</v>
      </c>
      <c r="AA29" s="25">
        <v>1671</v>
      </c>
      <c r="AB29" s="28">
        <v>2928</v>
      </c>
      <c r="AC29" s="28">
        <v>3446</v>
      </c>
    </row>
    <row r="30" spans="1:29" x14ac:dyDescent="0.25">
      <c r="A30" s="20">
        <v>44373</v>
      </c>
      <c r="B30" s="32">
        <v>109</v>
      </c>
      <c r="C30" s="30">
        <v>269</v>
      </c>
      <c r="D30" s="27">
        <v>467759</v>
      </c>
      <c r="E30" s="25">
        <v>468490</v>
      </c>
      <c r="F30" s="25">
        <v>429896</v>
      </c>
      <c r="G30" s="25">
        <v>429453</v>
      </c>
      <c r="H30" s="25">
        <v>229384</v>
      </c>
      <c r="I30" s="25"/>
      <c r="J30" s="25"/>
      <c r="K30" s="25"/>
      <c r="L30" s="25">
        <v>697077</v>
      </c>
      <c r="M30" s="25">
        <v>2629758</v>
      </c>
      <c r="N30" s="25">
        <v>1065786</v>
      </c>
      <c r="O30" s="55">
        <v>359823</v>
      </c>
      <c r="P30" s="55">
        <v>1472135</v>
      </c>
      <c r="Q30" s="55">
        <v>629661</v>
      </c>
      <c r="R30" s="55">
        <v>827</v>
      </c>
      <c r="S30" s="55">
        <v>332694</v>
      </c>
      <c r="T30" s="55">
        <v>34638</v>
      </c>
      <c r="U30" s="25">
        <v>50951</v>
      </c>
      <c r="V30" s="25">
        <v>30648</v>
      </c>
      <c r="W30" s="25">
        <v>489.714</v>
      </c>
      <c r="X30" s="25">
        <v>923.84900000000005</v>
      </c>
      <c r="Y30" s="25">
        <v>3887.9140000000002</v>
      </c>
      <c r="Z30" s="25">
        <v>2906</v>
      </c>
      <c r="AA30" s="25">
        <v>1674</v>
      </c>
      <c r="AB30" s="28">
        <v>2928</v>
      </c>
      <c r="AC30" s="28">
        <v>3355</v>
      </c>
    </row>
    <row r="31" spans="1:29" x14ac:dyDescent="0.25">
      <c r="A31" s="20">
        <v>44374</v>
      </c>
      <c r="B31" s="32">
        <v>46</v>
      </c>
      <c r="C31" s="30">
        <v>110</v>
      </c>
      <c r="D31" s="27">
        <v>471536</v>
      </c>
      <c r="E31" s="25">
        <v>472273</v>
      </c>
      <c r="F31" s="25">
        <v>431713</v>
      </c>
      <c r="G31" s="25">
        <v>431268</v>
      </c>
      <c r="H31" s="25">
        <v>229403</v>
      </c>
      <c r="I31" s="25"/>
      <c r="J31" s="25"/>
      <c r="K31" s="25"/>
      <c r="L31" s="25">
        <v>698423</v>
      </c>
      <c r="M31" s="25">
        <v>2629758</v>
      </c>
      <c r="N31" s="25">
        <v>1068083</v>
      </c>
      <c r="O31" s="25">
        <v>359943</v>
      </c>
      <c r="P31" s="25">
        <v>1472135</v>
      </c>
      <c r="Q31" s="25">
        <v>630508</v>
      </c>
      <c r="R31" s="25">
        <v>831</v>
      </c>
      <c r="S31" s="25">
        <v>332785</v>
      </c>
      <c r="T31" s="25">
        <v>34733</v>
      </c>
      <c r="U31" s="25">
        <v>50968</v>
      </c>
      <c r="V31" s="25">
        <v>30649</v>
      </c>
      <c r="W31" s="25">
        <v>489.714</v>
      </c>
      <c r="X31" s="25">
        <v>924.53599999999994</v>
      </c>
      <c r="Y31" s="25">
        <v>3887.9270000000001</v>
      </c>
      <c r="Z31" s="25">
        <v>2925</v>
      </c>
      <c r="AA31" s="25">
        <v>1680</v>
      </c>
      <c r="AB31" s="28">
        <v>2928</v>
      </c>
      <c r="AC31" s="28">
        <v>3507</v>
      </c>
    </row>
    <row r="32" spans="1:29" x14ac:dyDescent="0.25">
      <c r="A32" s="20">
        <v>44375</v>
      </c>
      <c r="B32" s="32">
        <v>49</v>
      </c>
      <c r="C32" s="30">
        <v>92</v>
      </c>
      <c r="D32" s="27">
        <v>475172</v>
      </c>
      <c r="E32" s="25">
        <v>475914</v>
      </c>
      <c r="F32" s="25">
        <v>433152</v>
      </c>
      <c r="G32" s="25">
        <v>432706</v>
      </c>
      <c r="H32" s="25">
        <v>229403</v>
      </c>
      <c r="I32" s="25"/>
      <c r="J32" s="25"/>
      <c r="K32" s="25"/>
      <c r="L32" s="25">
        <v>699769</v>
      </c>
      <c r="M32" s="25">
        <v>2629758</v>
      </c>
      <c r="N32" s="25">
        <v>1070326</v>
      </c>
      <c r="O32" s="25">
        <v>360135</v>
      </c>
      <c r="P32" s="25">
        <v>1472135</v>
      </c>
      <c r="Q32" s="25">
        <v>631301</v>
      </c>
      <c r="R32" s="25">
        <v>835</v>
      </c>
      <c r="S32" s="25">
        <v>332857</v>
      </c>
      <c r="T32" s="25">
        <v>34812</v>
      </c>
      <c r="U32" s="25">
        <v>50980</v>
      </c>
      <c r="V32" s="25">
        <v>30661</v>
      </c>
      <c r="W32" s="25">
        <v>489.714</v>
      </c>
      <c r="X32" s="25">
        <v>924.82399999999996</v>
      </c>
      <c r="Y32" s="25">
        <v>3887.9349999999999</v>
      </c>
      <c r="Z32" s="25">
        <v>2946</v>
      </c>
      <c r="AA32" s="25">
        <v>1685</v>
      </c>
      <c r="AB32" s="28">
        <v>2928</v>
      </c>
      <c r="AC32" s="28">
        <v>3332</v>
      </c>
    </row>
    <row r="33" spans="1:29" x14ac:dyDescent="0.25">
      <c r="A33" s="20">
        <v>44376</v>
      </c>
      <c r="B33" s="32">
        <v>19</v>
      </c>
      <c r="C33" s="30">
        <v>36</v>
      </c>
      <c r="D33" s="27">
        <v>479903</v>
      </c>
      <c r="E33" s="25">
        <v>480653</v>
      </c>
      <c r="F33" s="25">
        <v>435027</v>
      </c>
      <c r="G33" s="25">
        <v>434579</v>
      </c>
      <c r="H33" s="25">
        <v>229431</v>
      </c>
      <c r="I33" s="25">
        <v>7140729</v>
      </c>
      <c r="J33" s="25">
        <v>32190</v>
      </c>
      <c r="K33" s="25">
        <v>5086408</v>
      </c>
      <c r="L33" s="25">
        <v>701118</v>
      </c>
      <c r="M33" s="25">
        <v>2629847</v>
      </c>
      <c r="N33" s="25">
        <v>1072854</v>
      </c>
      <c r="O33" s="25">
        <v>360238</v>
      </c>
      <c r="P33" s="25">
        <v>1472135</v>
      </c>
      <c r="Q33" s="25">
        <v>632240</v>
      </c>
      <c r="R33" s="25">
        <v>839</v>
      </c>
      <c r="S33" s="25">
        <v>332925</v>
      </c>
      <c r="T33" s="25">
        <v>34888</v>
      </c>
      <c r="U33" s="25">
        <v>50991</v>
      </c>
      <c r="V33" s="25">
        <v>30661</v>
      </c>
      <c r="W33" s="25">
        <v>489.714</v>
      </c>
      <c r="X33" s="25">
        <v>925.29200000000003</v>
      </c>
      <c r="Y33" s="25">
        <v>3887.9459999999999</v>
      </c>
      <c r="Z33" s="25">
        <v>2970</v>
      </c>
      <c r="AA33" s="25">
        <v>1688</v>
      </c>
      <c r="AB33" s="29">
        <v>2928</v>
      </c>
      <c r="AC33" s="29">
        <v>3412</v>
      </c>
    </row>
    <row r="34" spans="1:29" x14ac:dyDescent="0.25">
      <c r="A34" s="20">
        <v>44377</v>
      </c>
      <c r="B34" s="32">
        <v>19</v>
      </c>
      <c r="C34" s="30">
        <v>36</v>
      </c>
      <c r="D34" s="27">
        <v>482573</v>
      </c>
      <c r="E34" s="25">
        <v>483326</v>
      </c>
      <c r="F34" s="25">
        <v>437057</v>
      </c>
      <c r="G34" s="25">
        <v>436608</v>
      </c>
      <c r="H34" s="25">
        <v>229612</v>
      </c>
      <c r="I34" s="25">
        <v>7142208</v>
      </c>
      <c r="J34" s="25">
        <v>32190</v>
      </c>
      <c r="K34" s="25">
        <v>5088458</v>
      </c>
      <c r="L34" s="25">
        <v>702039</v>
      </c>
      <c r="M34" s="25">
        <v>2629868</v>
      </c>
      <c r="N34" s="25">
        <v>1074418</v>
      </c>
      <c r="O34" s="25">
        <v>360333</v>
      </c>
      <c r="P34" s="25">
        <v>1472135</v>
      </c>
      <c r="Q34" s="25">
        <v>632652</v>
      </c>
      <c r="R34" s="25">
        <v>842</v>
      </c>
      <c r="S34" s="25">
        <v>332952</v>
      </c>
      <c r="T34" s="25">
        <v>34932</v>
      </c>
      <c r="U34" s="25">
        <v>50998</v>
      </c>
      <c r="V34" s="25">
        <v>30662</v>
      </c>
      <c r="W34" s="25">
        <v>489.714</v>
      </c>
      <c r="X34" s="25">
        <v>925.60299999999995</v>
      </c>
      <c r="Y34" s="25">
        <v>3887.953</v>
      </c>
      <c r="Z34" s="25">
        <v>2988</v>
      </c>
      <c r="AA34" s="25">
        <v>1691</v>
      </c>
      <c r="AB34" s="30">
        <v>2928</v>
      </c>
      <c r="AC34" s="30">
        <v>3446</v>
      </c>
    </row>
    <row r="35" spans="1:29" x14ac:dyDescent="0.25">
      <c r="A35" s="20"/>
      <c r="B35" s="32"/>
      <c r="C35" s="33"/>
      <c r="D35" s="27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6"/>
      <c r="AB35" s="31"/>
      <c r="AC35" s="31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2021-07-01T10:55:11Z</dcterms:modified>
</cp:coreProperties>
</file>