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3" i="6" l="1"/>
  <c r="E43" i="6"/>
  <c r="C43" i="6"/>
  <c r="G38" i="4"/>
  <c r="E38" i="4"/>
  <c r="C38" i="4"/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M34" i="4"/>
  <c r="J34" i="4"/>
  <c r="K34" i="4" s="1"/>
  <c r="M33" i="4"/>
  <c r="K33" i="4"/>
  <c r="J33" i="4"/>
  <c r="M32" i="4"/>
  <c r="J32" i="4"/>
  <c r="K32" i="4" s="1"/>
  <c r="G38" i="6" l="1"/>
  <c r="E38" i="6"/>
  <c r="C38" i="6"/>
  <c r="G37" i="6" l="1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4"/>
  <c r="E31" i="4"/>
  <c r="C31" i="4"/>
  <c r="G30" i="4"/>
  <c r="E30" i="4"/>
  <c r="C30" i="4"/>
  <c r="P11" i="4" l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39" i="4"/>
  <c r="P40" i="4"/>
  <c r="P41" i="4"/>
  <c r="P42" i="4"/>
  <c r="P10" i="4"/>
  <c r="P4" i="4"/>
  <c r="P5" i="4"/>
  <c r="P6" i="4"/>
  <c r="P7" i="4"/>
  <c r="P8" i="4"/>
  <c r="P9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39" i="10"/>
  <c r="W40" i="10"/>
  <c r="W10" i="10"/>
  <c r="G29" i="4" l="1"/>
  <c r="E29" i="4"/>
  <c r="C29" i="4"/>
  <c r="G28" i="4" l="1"/>
  <c r="E28" i="4"/>
  <c r="C28" i="4"/>
  <c r="G27" i="4"/>
  <c r="E27" i="4"/>
  <c r="C27" i="4"/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D27" i="10"/>
  <c r="J27" i="10"/>
  <c r="K27" i="10"/>
  <c r="D28" i="10"/>
  <c r="J28" i="10"/>
  <c r="K28" i="10"/>
  <c r="D29" i="10"/>
  <c r="K29" i="10"/>
  <c r="D30" i="10"/>
  <c r="J30" i="10"/>
  <c r="D31" i="10"/>
  <c r="J31" i="10"/>
  <c r="K31" i="10"/>
  <c r="J32" i="10"/>
  <c r="K32" i="10"/>
  <c r="D33" i="10"/>
  <c r="K33" i="10"/>
  <c r="D34" i="10"/>
  <c r="J34" i="10"/>
  <c r="D35" i="10"/>
  <c r="J35" i="10"/>
  <c r="K35" i="10"/>
  <c r="J36" i="10"/>
  <c r="K36" i="10"/>
  <c r="D37" i="10"/>
  <c r="K37" i="10"/>
  <c r="D38" i="10"/>
  <c r="J38" i="10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1" i="4" l="1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I34" i="4" l="1"/>
  <c r="G34" i="4"/>
  <c r="E34" i="4"/>
  <c r="C34" i="4"/>
  <c r="I33" i="4"/>
  <c r="G33" i="4"/>
  <c r="E33" i="4"/>
  <c r="L33" i="4"/>
  <c r="N33" i="4" s="1"/>
  <c r="O33" i="4" s="1"/>
  <c r="P33" i="4" s="1"/>
  <c r="C33" i="4"/>
  <c r="I32" i="4"/>
  <c r="G32" i="4"/>
  <c r="E32" i="4"/>
  <c r="C32" i="4"/>
  <c r="C24" i="4"/>
  <c r="E24" i="4"/>
  <c r="G24" i="4"/>
  <c r="E12" i="4"/>
  <c r="C12" i="4"/>
  <c r="G12" i="4"/>
  <c r="E39" i="4"/>
  <c r="G39" i="4"/>
  <c r="C39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0" i="4"/>
  <c r="E20" i="4"/>
  <c r="G20" i="4"/>
  <c r="C8" i="4"/>
  <c r="G8" i="4"/>
  <c r="E8" i="4"/>
  <c r="C42" i="4"/>
  <c r="E42" i="4"/>
  <c r="G42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11" i="4"/>
  <c r="G11" i="4"/>
  <c r="E11" i="4"/>
  <c r="G10" i="4"/>
  <c r="E10" i="4"/>
  <c r="C10" i="4"/>
  <c r="C13" i="4"/>
  <c r="E13" i="4"/>
  <c r="G13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U31" i="10" l="1"/>
  <c r="W31" i="10" s="1"/>
  <c r="P31" i="4"/>
  <c r="U30" i="10"/>
  <c r="W30" i="10" s="1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4" i="4" l="1"/>
  <c r="N34" i="4" s="1"/>
  <c r="O34" i="4" s="1"/>
  <c r="P34" i="4" s="1"/>
  <c r="L32" i="4"/>
  <c r="N32" i="4" s="1"/>
  <c r="O32" i="4" s="1"/>
  <c r="U33" i="10"/>
  <c r="W33" i="10" s="1"/>
  <c r="G4" i="4"/>
  <c r="C4" i="4"/>
  <c r="E4" i="4"/>
  <c r="L13" i="4"/>
  <c r="N13" i="4" s="1"/>
  <c r="O13" i="4" s="1"/>
  <c r="U13" i="10" s="1"/>
  <c r="I48" i="6"/>
  <c r="L6" i="4"/>
  <c r="N6" i="4" s="1"/>
  <c r="O6" i="4" s="1"/>
  <c r="I6" i="4"/>
  <c r="I4" i="4"/>
  <c r="L4" i="4"/>
  <c r="N4" i="4" s="1"/>
  <c r="O4" i="4" s="1"/>
  <c r="I10" i="4"/>
  <c r="G43" i="4"/>
  <c r="E43" i="4"/>
  <c r="L10" i="4"/>
  <c r="N10" i="4" s="1"/>
  <c r="L7" i="4"/>
  <c r="N7" i="4" s="1"/>
  <c r="O7" i="4" s="1"/>
  <c r="I7" i="4"/>
  <c r="I5" i="4"/>
  <c r="L5" i="4"/>
  <c r="N5" i="4" s="1"/>
  <c r="O5" i="4" s="1"/>
  <c r="I11" i="4"/>
  <c r="L11" i="4"/>
  <c r="N11" i="4" s="1"/>
  <c r="O11" i="4" s="1"/>
  <c r="U11" i="10" s="1"/>
  <c r="I9" i="4"/>
  <c r="L9" i="4"/>
  <c r="N9" i="4" s="1"/>
  <c r="O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U28" i="10" s="1"/>
  <c r="L29" i="4"/>
  <c r="N29" i="4" s="1"/>
  <c r="O29" i="4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38" i="10" l="1"/>
  <c r="W38" i="10" s="1"/>
  <c r="P38" i="4"/>
  <c r="U36" i="10"/>
  <c r="W36" i="10" s="1"/>
  <c r="P36" i="4"/>
  <c r="U35" i="10"/>
  <c r="W35" i="10" s="1"/>
  <c r="P35" i="4"/>
  <c r="U37" i="10"/>
  <c r="W37" i="10" s="1"/>
  <c r="P37" i="4"/>
  <c r="U34" i="10"/>
  <c r="W34" i="10" s="1"/>
  <c r="P32" i="4"/>
  <c r="U32" i="10"/>
  <c r="W32" i="10" s="1"/>
  <c r="U29" i="10"/>
  <c r="W29" i="10" s="1"/>
  <c r="P29" i="4"/>
  <c r="U15" i="10"/>
  <c r="AJ20" i="10"/>
  <c r="AK20" i="10" s="1"/>
  <c r="AJ22" i="10"/>
  <c r="AK22" i="10" s="1"/>
  <c r="AJ24" i="10"/>
  <c r="AK24" i="10" s="1"/>
  <c r="AJ38" i="10"/>
  <c r="AK38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U10" i="10" l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<sst xmlns="http://schemas.openxmlformats.org/spreadsheetml/2006/main" count="127" uniqueCount="85">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</sst>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410</c:v>
                </c:pt>
                <c:pt idx="16">
                  <c:v>200</c:v>
                </c:pt>
                <c:pt idx="17">
                  <c:v>210</c:v>
                </c:pt>
                <c:pt idx="18">
                  <c:v>290</c:v>
                </c:pt>
                <c:pt idx="19">
                  <c:v>280</c:v>
                </c:pt>
                <c:pt idx="20">
                  <c:v>310</c:v>
                </c:pt>
                <c:pt idx="21">
                  <c:v>270</c:v>
                </c:pt>
                <c:pt idx="22">
                  <c:v>230</c:v>
                </c:pt>
                <c:pt idx="23">
                  <c:v>260</c:v>
                </c:pt>
                <c:pt idx="24">
                  <c:v>310</c:v>
                </c:pt>
                <c:pt idx="25">
                  <c:v>320</c:v>
                </c:pt>
                <c:pt idx="26">
                  <c:v>370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66048"/>
        <c:axId val="191667584"/>
      </c:lineChart>
      <c:dateAx>
        <c:axId val="1916660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67584"/>
        <c:crosses val="autoZero"/>
        <c:auto val="1"/>
        <c:lblOffset val="100"/>
        <c:baseTimeUnit val="days"/>
      </c:dateAx>
      <c:valAx>
        <c:axId val="19166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660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2973</c:v>
                </c:pt>
                <c:pt idx="17">
                  <c:v>3160</c:v>
                </c:pt>
                <c:pt idx="18">
                  <c:v>3145</c:v>
                </c:pt>
                <c:pt idx="19">
                  <c:v>3203</c:v>
                </c:pt>
                <c:pt idx="20">
                  <c:v>3491</c:v>
                </c:pt>
                <c:pt idx="21">
                  <c:v>3454</c:v>
                </c:pt>
                <c:pt idx="22">
                  <c:v>3996</c:v>
                </c:pt>
                <c:pt idx="23">
                  <c:v>2868</c:v>
                </c:pt>
                <c:pt idx="24">
                  <c:v>3629</c:v>
                </c:pt>
                <c:pt idx="25">
                  <c:v>3365</c:v>
                </c:pt>
                <c:pt idx="26">
                  <c:v>3678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4531</c:v>
                </c:pt>
                <c:pt idx="17">
                  <c:v>4615</c:v>
                </c:pt>
                <c:pt idx="18">
                  <c:v>4955</c:v>
                </c:pt>
                <c:pt idx="19">
                  <c:v>5315</c:v>
                </c:pt>
                <c:pt idx="20">
                  <c:v>5519</c:v>
                </c:pt>
                <c:pt idx="21">
                  <c:v>5325</c:v>
                </c:pt>
                <c:pt idx="22">
                  <c:v>5200</c:v>
                </c:pt>
                <c:pt idx="23">
                  <c:v>5367</c:v>
                </c:pt>
                <c:pt idx="24">
                  <c:v>5617</c:v>
                </c:pt>
                <c:pt idx="25">
                  <c:v>5447</c:v>
                </c:pt>
                <c:pt idx="26">
                  <c:v>5499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2090</c:v>
                </c:pt>
                <c:pt idx="17">
                  <c:v>2251</c:v>
                </c:pt>
                <c:pt idx="18">
                  <c:v>2267</c:v>
                </c:pt>
                <c:pt idx="19">
                  <c:v>2350</c:v>
                </c:pt>
                <c:pt idx="20">
                  <c:v>2514</c:v>
                </c:pt>
                <c:pt idx="21">
                  <c:v>2312</c:v>
                </c:pt>
                <c:pt idx="22">
                  <c:v>2546</c:v>
                </c:pt>
                <c:pt idx="23">
                  <c:v>2446</c:v>
                </c:pt>
                <c:pt idx="24">
                  <c:v>2485</c:v>
                </c:pt>
                <c:pt idx="25">
                  <c:v>2497</c:v>
                </c:pt>
                <c:pt idx="26">
                  <c:v>2576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27488"/>
        <c:axId val="191729024"/>
      </c:lineChart>
      <c:dateAx>
        <c:axId val="19172748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29024"/>
        <c:crosses val="autoZero"/>
        <c:auto val="1"/>
        <c:lblOffset val="100"/>
        <c:baseTimeUnit val="days"/>
      </c:dateAx>
      <c:valAx>
        <c:axId val="1917290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274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148.4</c:v>
                </c:pt>
                <c:pt idx="18">
                  <c:v>482.3</c:v>
                </c:pt>
                <c:pt idx="19">
                  <c:v>408.1</c:v>
                </c:pt>
                <c:pt idx="20">
                  <c:v>779.1</c:v>
                </c:pt>
                <c:pt idx="21">
                  <c:v>519.4</c:v>
                </c:pt>
                <c:pt idx="22">
                  <c:v>742</c:v>
                </c:pt>
                <c:pt idx="23">
                  <c:v>704.90000000000009</c:v>
                </c:pt>
                <c:pt idx="24">
                  <c:v>482.3</c:v>
                </c:pt>
                <c:pt idx="25">
                  <c:v>816.2</c:v>
                </c:pt>
                <c:pt idx="26">
                  <c:v>1150.1000000000001</c:v>
                </c:pt>
                <c:pt idx="27">
                  <c:v>779.1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36160"/>
        <c:axId val="191837696"/>
      </c:lineChart>
      <c:dateAx>
        <c:axId val="1918361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37696"/>
        <c:crosses val="autoZero"/>
        <c:auto val="1"/>
        <c:lblOffset val="100"/>
        <c:baseTimeUnit val="days"/>
      </c:dateAx>
      <c:valAx>
        <c:axId val="191837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3616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1" sqref="N3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8.2658000000000005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22033.595899999844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8.2658000000000005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23951.668259999693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8.2658000000000005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>
        <v>17</v>
      </c>
      <c r="O4" s="161">
        <f t="shared" si="0"/>
        <v>22044.48944000054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8.2658000000000005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>
        <v>18</v>
      </c>
      <c r="O5" s="161">
        <f t="shared" si="0"/>
        <v>23524.050619999845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8.2658000000000005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>
        <v>20</v>
      </c>
      <c r="O6" s="161">
        <f t="shared" si="0"/>
        <v>21956.662360000228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8.2658000000000005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>
        <v>13</v>
      </c>
      <c r="O7" s="161">
        <f t="shared" si="0"/>
        <v>25769.924720000003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8.2658000000000005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8</v>
      </c>
      <c r="N8" s="160">
        <v>8</v>
      </c>
      <c r="O8" s="161">
        <f t="shared" si="0"/>
        <v>21426.543540000541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8.2658000000000005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>
        <v>5</v>
      </c>
      <c r="O9" s="161">
        <f t="shared" si="0"/>
        <v>22021.975899998459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8.2658000000000005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>
        <v>7</v>
      </c>
      <c r="O10" s="161">
        <f t="shared" si="0"/>
        <v>21961.948260000387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8.2658000000000005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>
        <v>7</v>
      </c>
      <c r="O11" s="161">
        <f t="shared" si="0"/>
        <v>18283.314719999766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8.2658000000000005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17</v>
      </c>
      <c r="N12" s="160">
        <v>17</v>
      </c>
      <c r="O12" s="161">
        <f t="shared" si="0"/>
        <v>20263.340620000003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8.2658000000000005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23</v>
      </c>
      <c r="N13" s="160">
        <v>23</v>
      </c>
      <c r="O13" s="161">
        <f t="shared" si="0"/>
        <v>22500.824160000848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8.2658000000000005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10</v>
      </c>
      <c r="N14" s="160">
        <v>10</v>
      </c>
      <c r="O14" s="161">
        <f t="shared" si="0"/>
        <v>22374.029439999998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8.2658000000000005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5</v>
      </c>
      <c r="N15" s="160">
        <v>5</v>
      </c>
      <c r="O15" s="161">
        <f t="shared" si="0"/>
        <v>19228.729439998766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8.2658000000000005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>
        <v>8</v>
      </c>
      <c r="O16" s="161">
        <f t="shared" si="0"/>
        <v>15643.109440000771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8.2658000000000005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>
        <v>5</v>
      </c>
      <c r="O17" s="161">
        <f t="shared" si="0"/>
        <v>19936.007079999999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8.2658000000000005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410</v>
      </c>
      <c r="L18" s="161">
        <v>12.67</v>
      </c>
      <c r="M18" s="160">
        <f>'Consommation du 01.12 au 31.12'!AC26</f>
        <v>7</v>
      </c>
      <c r="N18" s="160">
        <v>7</v>
      </c>
      <c r="O18" s="161">
        <f t="shared" si="0"/>
        <v>29711.000619999308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9594</v>
      </c>
      <c r="F19" s="161">
        <v>0.99</v>
      </c>
      <c r="G19" s="161">
        <f>'Consommation du 01.12 au 31.12'!U27</f>
        <v>148.4</v>
      </c>
      <c r="H19" s="161">
        <v>8.2658000000000005</v>
      </c>
      <c r="I19" s="161">
        <f>'Consommation du 01.12 au 31.12'!Y27*1000</f>
        <v>17120.000000002619</v>
      </c>
      <c r="J19" s="161">
        <v>0.53</v>
      </c>
      <c r="K19" s="161">
        <f>'Consommation du 01.12 au 31.12'!D27</f>
        <v>200</v>
      </c>
      <c r="L19" s="161">
        <v>12.67</v>
      </c>
      <c r="M19" s="160">
        <f>'Consommation du 01.12 au 31.12'!AC27</f>
        <v>17</v>
      </c>
      <c r="N19" s="160">
        <v>17</v>
      </c>
      <c r="O19" s="161">
        <f t="shared" si="0"/>
        <v>22332.30472000139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10026</v>
      </c>
      <c r="F20" s="161">
        <v>0.99</v>
      </c>
      <c r="G20" s="161">
        <f>'Consommation du 01.12 au 31.12'!U28</f>
        <v>482.3</v>
      </c>
      <c r="H20" s="161">
        <v>8.2658000000000005</v>
      </c>
      <c r="I20" s="161">
        <f>'Consommation du 01.12 au 31.12'!Y28*1000</f>
        <v>14829.999999998108</v>
      </c>
      <c r="J20" s="161">
        <v>0.53</v>
      </c>
      <c r="K20" s="161">
        <f>'Consommation du 01.12 au 31.12'!D28</f>
        <v>210</v>
      </c>
      <c r="L20" s="161">
        <v>12.67</v>
      </c>
      <c r="M20" s="160">
        <f>'Consommation du 01.12 au 31.12'!AC28</f>
        <v>33</v>
      </c>
      <c r="N20" s="160">
        <v>33</v>
      </c>
      <c r="O20" s="161">
        <f t="shared" si="0"/>
        <v>24432.935339998996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10367</v>
      </c>
      <c r="F21" s="161">
        <v>0.99</v>
      </c>
      <c r="G21" s="161">
        <f>'Consommation du 01.12 au 31.12'!U29</f>
        <v>408.1</v>
      </c>
      <c r="H21" s="161">
        <v>8.2658000000000005</v>
      </c>
      <c r="I21" s="161">
        <f>'Consommation du 01.12 au 31.12'!Y29*1000</f>
        <v>18400.000000001455</v>
      </c>
      <c r="J21" s="161">
        <v>0.53</v>
      </c>
      <c r="K21" s="161">
        <f>'Consommation du 01.12 au 31.12'!D29</f>
        <v>290</v>
      </c>
      <c r="L21" s="161">
        <v>12.67</v>
      </c>
      <c r="M21" s="160">
        <f>'Consommation du 01.12 au 31.12'!AC29</f>
        <v>37</v>
      </c>
      <c r="N21" s="160">
        <v>37</v>
      </c>
      <c r="O21" s="161">
        <f t="shared" si="0"/>
        <v>27062.90298000077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10868</v>
      </c>
      <c r="F22" s="161">
        <v>0.99</v>
      </c>
      <c r="G22" s="161">
        <f>'Consommation du 01.12 au 31.12'!U30</f>
        <v>779.1</v>
      </c>
      <c r="H22" s="161">
        <v>8.2658000000000005</v>
      </c>
      <c r="I22" s="161">
        <f>'Consommation du 01.12 au 31.12'!Y30*1000</f>
        <v>13340.000000000146</v>
      </c>
      <c r="J22" s="161">
        <v>0.53</v>
      </c>
      <c r="K22" s="161">
        <f>'Consommation du 01.12 au 31.12'!D30</f>
        <v>280</v>
      </c>
      <c r="L22" s="161">
        <v>12.67</v>
      </c>
      <c r="M22" s="160">
        <f>'Consommation du 01.12 au 31.12'!AC30</f>
        <v>45</v>
      </c>
      <c r="N22" s="160">
        <v>45</v>
      </c>
      <c r="O22" s="161">
        <f t="shared" si="0"/>
        <v>27817.004780000076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11524</v>
      </c>
      <c r="F23" s="161">
        <v>0.99</v>
      </c>
      <c r="G23" s="161">
        <f>'Consommation du 01.12 au 31.12'!U31</f>
        <v>519.4</v>
      </c>
      <c r="H23" s="161">
        <v>8.2658000000000005</v>
      </c>
      <c r="I23" s="161">
        <f>'Consommation du 01.12 au 31.12'!Y31*1000</f>
        <v>19299.999999999272</v>
      </c>
      <c r="J23" s="161">
        <v>0.53</v>
      </c>
      <c r="K23" s="161">
        <f>'Consommation du 01.12 au 31.12'!D31</f>
        <v>310</v>
      </c>
      <c r="L23" s="161">
        <v>12.67</v>
      </c>
      <c r="M23" s="160">
        <f>'Consommation du 01.12 au 31.12'!AC31</f>
        <v>54</v>
      </c>
      <c r="N23" s="160">
        <v>54</v>
      </c>
      <c r="O23" s="161">
        <f t="shared" si="0"/>
        <v>29858.716519999616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11091</v>
      </c>
      <c r="F24" s="161">
        <v>0.99</v>
      </c>
      <c r="G24" s="161">
        <f>'Consommation du 01.12 au 31.12'!U32</f>
        <v>742</v>
      </c>
      <c r="H24" s="161">
        <v>8.2658000000000005</v>
      </c>
      <c r="I24" s="161">
        <f>'Consommation du 01.12 au 31.12'!Y32*1000</f>
        <v>17229.999999999563</v>
      </c>
      <c r="J24" s="161">
        <v>0.53</v>
      </c>
      <c r="K24" s="161">
        <f>'Consommation du 01.12 au 31.12'!D32</f>
        <v>270</v>
      </c>
      <c r="L24" s="161">
        <v>12.67</v>
      </c>
      <c r="M24" s="160">
        <f>'Consommation du 01.12 au 31.12'!AC32</f>
        <v>50</v>
      </c>
      <c r="N24" s="160">
        <v>50</v>
      </c>
      <c r="O24" s="161">
        <f t="shared" si="0"/>
        <v>29666.113599999771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11742</v>
      </c>
      <c r="F25" s="161">
        <v>0.99</v>
      </c>
      <c r="G25" s="161">
        <f>'Consommation du 01.12 au 31.12'!U33</f>
        <v>704.90000000000009</v>
      </c>
      <c r="H25" s="161">
        <v>8.2658000000000005</v>
      </c>
      <c r="I25" s="161">
        <f>'Consommation du 01.12 au 31.12'!Y33*1000</f>
        <v>17770.000000000437</v>
      </c>
      <c r="J25" s="161">
        <v>0.53</v>
      </c>
      <c r="K25" s="161">
        <f>'Consommation du 01.12 au 31.12'!D33</f>
        <v>230</v>
      </c>
      <c r="L25" s="161">
        <v>12.67</v>
      </c>
      <c r="M25" s="160">
        <f>'Consommation du 01.12 au 31.12'!AC33</f>
        <v>47</v>
      </c>
      <c r="N25" s="160">
        <v>47</v>
      </c>
      <c r="O25" s="161">
        <f t="shared" si="0"/>
        <v>29783.34242000023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10681</v>
      </c>
      <c r="F26" s="161">
        <v>0.99</v>
      </c>
      <c r="G26" s="161">
        <f>'Consommation du 01.12 au 31.12'!U34</f>
        <v>482.3</v>
      </c>
      <c r="H26" s="161">
        <v>8.2658000000000005</v>
      </c>
      <c r="I26" s="161">
        <f>'Consommation du 01.12 au 31.12'!Y34*1000</f>
        <v>15560.00000000131</v>
      </c>
      <c r="J26" s="161">
        <v>0.53</v>
      </c>
      <c r="K26" s="161">
        <f>'Consommation du 01.12 au 31.12'!D34</f>
        <v>260</v>
      </c>
      <c r="L26" s="161">
        <v>12.67</v>
      </c>
      <c r="M26" s="160">
        <f>'Consommation du 01.12 au 31.12'!AC34</f>
        <v>47</v>
      </c>
      <c r="N26" s="160">
        <v>47</v>
      </c>
      <c r="O26" s="161">
        <f t="shared" si="0"/>
        <v>26101.785340000697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11731</v>
      </c>
      <c r="F27" s="161">
        <v>0.99</v>
      </c>
      <c r="G27" s="161">
        <f>'Consommation du 01.12 au 31.12'!U35</f>
        <v>816.2</v>
      </c>
      <c r="H27" s="161">
        <v>8.2658000000000005</v>
      </c>
      <c r="I27" s="161">
        <f>'Consommation du 01.12 au 31.12'!Y35*1000</f>
        <v>15799.999999999272</v>
      </c>
      <c r="J27" s="161">
        <v>0.53</v>
      </c>
      <c r="K27" s="161">
        <f>'Consommation du 01.12 au 31.12'!D35</f>
        <v>310</v>
      </c>
      <c r="L27" s="161">
        <v>12.67</v>
      </c>
      <c r="M27" s="160">
        <f>'Consommation du 01.12 au 31.12'!AC35</f>
        <v>66</v>
      </c>
      <c r="N27" s="160">
        <v>66</v>
      </c>
      <c r="O27" s="161">
        <f t="shared" si="0"/>
        <v>30661.935959999617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11309</v>
      </c>
      <c r="F28" s="161">
        <v>0.99</v>
      </c>
      <c r="G28" s="161">
        <f>'Consommation du 01.12 au 31.12'!U36</f>
        <v>1150.1000000000001</v>
      </c>
      <c r="H28" s="161">
        <v>8.2658000000000005</v>
      </c>
      <c r="I28" s="161">
        <f>'Consommation du 01.12 au 31.12'!Y36*1000</f>
        <v>15380.000000001019</v>
      </c>
      <c r="J28" s="161">
        <v>0.53</v>
      </c>
      <c r="K28" s="161">
        <f>'Consommation du 01.12 au 31.12'!D36</f>
        <v>320</v>
      </c>
      <c r="L28" s="161">
        <v>12.67</v>
      </c>
      <c r="M28" s="160">
        <f>'Consommation du 01.12 au 31.12'!AC36</f>
        <v>70</v>
      </c>
      <c r="N28" s="160">
        <v>70</v>
      </c>
      <c r="O28" s="161">
        <f t="shared" si="0"/>
        <v>32908.206580000544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11753</v>
      </c>
      <c r="F29" s="161">
        <v>0.99</v>
      </c>
      <c r="G29" s="161">
        <f>'Consommation du 01.12 au 31.12'!U37</f>
        <v>779.1</v>
      </c>
      <c r="H29" s="161">
        <v>8.2658000000000005</v>
      </c>
      <c r="I29" s="161">
        <f>'Consommation du 01.12 au 31.12'!Y37*1000</f>
        <v>14959.999999999127</v>
      </c>
      <c r="J29" s="161">
        <v>0.53</v>
      </c>
      <c r="K29" s="161">
        <f>'Consommation du 01.12 au 31.12'!D37</f>
        <v>370</v>
      </c>
      <c r="L29" s="161">
        <v>12.67</v>
      </c>
      <c r="M29" s="160">
        <f>'Consommation du 01.12 au 31.12'!AC37</f>
        <v>66</v>
      </c>
      <c r="N29" s="160">
        <v>66</v>
      </c>
      <c r="O29" s="161">
        <f t="shared" si="0"/>
        <v>30692.05477999954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8.2658000000000005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8.2658000000000005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8.2658000000000005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683948.51754000015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38" sqref="X3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206">
        <f t="shared" ref="F10:F40" si="0">D10*12.67</f>
        <v>2407.3000000000002</v>
      </c>
      <c r="G10" s="207"/>
      <c r="H10" s="20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>U10*8.2658</f>
        <v>1533.3059000000001</v>
      </c>
      <c r="X10" s="65">
        <v>17827.68</v>
      </c>
      <c r="Y10" s="154">
        <f t="shared" ref="Y10:Y40" si="1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2">(F10+O10+W10+Z10)</f>
        <v>22033.595899999844</v>
      </c>
      <c r="AK10" s="129">
        <f t="shared" ref="AK10:AK40" si="3">AJ10/AC10</f>
        <v>1694.8919923076803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206">
        <f t="shared" si="0"/>
        <v>2787.4</v>
      </c>
      <c r="G11" s="207"/>
      <c r="H11" s="20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4">L11+K11+J11</f>
        <v>11506</v>
      </c>
      <c r="N11" s="58"/>
      <c r="O11" s="59">
        <f t="shared" ref="O11:O40" si="5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ref="W11:W40" si="6">U11*8.2658</f>
        <v>2146.62826</v>
      </c>
      <c r="X11" s="65">
        <v>17841.25</v>
      </c>
      <c r="Y11" s="149">
        <f t="shared" si="1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2"/>
        <v>23951.668259999689</v>
      </c>
      <c r="AK11" s="129">
        <f t="shared" si="3"/>
        <v>1710.833447142835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206">
        <f t="shared" si="0"/>
        <v>2660.7</v>
      </c>
      <c r="G12" s="207"/>
      <c r="H12" s="20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4"/>
        <v>10340</v>
      </c>
      <c r="N12" s="58"/>
      <c r="O12" s="59">
        <f t="shared" si="5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6"/>
        <v>2453.28944</v>
      </c>
      <c r="X12" s="65">
        <v>17855.64</v>
      </c>
      <c r="Y12" s="149">
        <f t="shared" si="1"/>
        <v>12.630000000001019</v>
      </c>
      <c r="Z12" s="64">
        <f t="shared" si="7"/>
        <v>6693.9000000005399</v>
      </c>
      <c r="AA12" s="58"/>
      <c r="AB12" s="61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2"/>
        <v>22044.48944000054</v>
      </c>
      <c r="AK12" s="129">
        <f t="shared" si="3"/>
        <v>1296.7346729412081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3">
        <f t="shared" si="0"/>
        <v>3674.3</v>
      </c>
      <c r="G13" s="204"/>
      <c r="H13" s="205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4"/>
        <v>9730</v>
      </c>
      <c r="N13" s="58"/>
      <c r="O13" s="59">
        <f t="shared" si="5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6"/>
        <v>2759.9506200000005</v>
      </c>
      <c r="X13" s="65">
        <v>17868.27</v>
      </c>
      <c r="Y13" s="149">
        <f t="shared" si="1"/>
        <v>14.069999999999709</v>
      </c>
      <c r="Z13" s="64">
        <f t="shared" si="7"/>
        <v>7457.0999999998457</v>
      </c>
      <c r="AA13" s="58"/>
      <c r="AB13" s="61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2"/>
        <v>23524.050619999845</v>
      </c>
      <c r="AK13" s="129">
        <f t="shared" si="3"/>
        <v>1306.8917011111025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206">
        <f t="shared" si="0"/>
        <v>2914.1</v>
      </c>
      <c r="G14" s="207"/>
      <c r="H14" s="20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4"/>
        <v>9236</v>
      </c>
      <c r="N14" s="58"/>
      <c r="O14" s="59">
        <f t="shared" si="5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6"/>
        <v>613.32236</v>
      </c>
      <c r="X14" s="65">
        <v>17882.34</v>
      </c>
      <c r="Y14" s="149">
        <f t="shared" si="1"/>
        <v>17.520000000000437</v>
      </c>
      <c r="Z14" s="64">
        <f t="shared" si="7"/>
        <v>9285.6000000002314</v>
      </c>
      <c r="AA14" s="58"/>
      <c r="AB14" s="61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2"/>
        <v>21956.662360000231</v>
      </c>
      <c r="AK14" s="129">
        <f t="shared" si="3"/>
        <v>1097.8331180000116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9">
        <f t="shared" si="0"/>
        <v>5321.4</v>
      </c>
      <c r="G15" s="210"/>
      <c r="H15" s="211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4"/>
        <v>9512</v>
      </c>
      <c r="N15" s="58"/>
      <c r="O15" s="59">
        <f t="shared" si="5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6"/>
        <v>1226.64472</v>
      </c>
      <c r="X15" s="65">
        <v>17899.86</v>
      </c>
      <c r="Y15" s="149">
        <f t="shared" si="1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2"/>
        <v>25769.924720000003</v>
      </c>
      <c r="AK15" s="129">
        <f t="shared" si="3"/>
        <v>1982.3019015384618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3">
        <f t="shared" si="0"/>
        <v>3294.2</v>
      </c>
      <c r="G16" s="204"/>
      <c r="H16" s="205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4"/>
        <v>9554</v>
      </c>
      <c r="N16" s="58"/>
      <c r="O16" s="59">
        <f t="shared" si="5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6"/>
        <v>919.98354000000018</v>
      </c>
      <c r="X16" s="65">
        <v>17918.36</v>
      </c>
      <c r="Y16" s="149">
        <f t="shared" si="1"/>
        <v>14.630000000001019</v>
      </c>
      <c r="Z16" s="64">
        <f t="shared" si="7"/>
        <v>7753.9000000005408</v>
      </c>
      <c r="AA16" s="58"/>
      <c r="AB16" s="61">
        <v>20</v>
      </c>
      <c r="AC16" s="78">
        <v>8</v>
      </c>
      <c r="AD16" s="79">
        <v>6.0199999999999997E-2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2"/>
        <v>21426.543540000541</v>
      </c>
      <c r="AK16" s="129">
        <f t="shared" si="3"/>
        <v>2678.3179425000676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206">
        <f t="shared" si="0"/>
        <v>2660.7</v>
      </c>
      <c r="G17" s="207"/>
      <c r="H17" s="20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4"/>
        <v>9603</v>
      </c>
      <c r="N17" s="58"/>
      <c r="O17" s="59">
        <f t="shared" si="5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6"/>
        <v>1533.3059000000001</v>
      </c>
      <c r="X17" s="65">
        <v>17932.990000000002</v>
      </c>
      <c r="Y17" s="149">
        <f t="shared" si="1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3.73E-2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2"/>
        <v>22021.975899998455</v>
      </c>
      <c r="AK17" s="129">
        <f t="shared" si="3"/>
        <v>4404.3951799996912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9">
        <f t="shared" si="0"/>
        <v>2407.3000000000002</v>
      </c>
      <c r="G18" s="210"/>
      <c r="H18" s="211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4"/>
        <v>9848</v>
      </c>
      <c r="N18" s="58"/>
      <c r="O18" s="59">
        <f t="shared" si="5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6"/>
        <v>2146.62826</v>
      </c>
      <c r="X18" s="65">
        <v>17948.689999999999</v>
      </c>
      <c r="Y18" s="149">
        <f t="shared" si="1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2"/>
        <v>21961.948260000387</v>
      </c>
      <c r="AK18" s="129">
        <f t="shared" si="3"/>
        <v>3137.4211800000553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206">
        <f t="shared" si="0"/>
        <v>1773.8</v>
      </c>
      <c r="G19" s="207"/>
      <c r="H19" s="20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4"/>
        <v>7953</v>
      </c>
      <c r="N19" s="58"/>
      <c r="O19" s="59">
        <f t="shared" si="5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6"/>
        <v>1226.64472</v>
      </c>
      <c r="X19" s="65">
        <v>17963.14</v>
      </c>
      <c r="Y19" s="149">
        <f t="shared" si="1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2"/>
        <v>18283.314719999769</v>
      </c>
      <c r="AK19" s="129">
        <f t="shared" si="3"/>
        <v>2611.9021028571101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3">
        <f t="shared" si="0"/>
        <v>2153.9</v>
      </c>
      <c r="G20" s="204"/>
      <c r="H20" s="205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4"/>
        <v>10151</v>
      </c>
      <c r="N20" s="58"/>
      <c r="O20" s="59">
        <f t="shared" si="5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 t="shared" si="6"/>
        <v>2759.9506200000005</v>
      </c>
      <c r="X20" s="65">
        <v>17977.12</v>
      </c>
      <c r="Y20" s="149">
        <f t="shared" si="1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17</v>
      </c>
      <c r="AD20" s="79">
        <v>0.12230000000000001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2"/>
        <v>20263.340619999999</v>
      </c>
      <c r="AK20" s="129">
        <f t="shared" si="3"/>
        <v>1191.9612129411764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206">
        <f t="shared" si="0"/>
        <v>2534</v>
      </c>
      <c r="G21" s="207"/>
      <c r="H21" s="20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4"/>
        <v>9631</v>
      </c>
      <c r="N21" s="58"/>
      <c r="O21" s="59">
        <f t="shared" si="5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3679.9341600000007</v>
      </c>
      <c r="X21" s="65">
        <v>17987.12</v>
      </c>
      <c r="Y21" s="149">
        <f t="shared" si="1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23</v>
      </c>
      <c r="AD21" s="79">
        <v>0.16550000000000001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2"/>
        <v>22500.824160000848</v>
      </c>
      <c r="AK21" s="129">
        <f>AJ21/AC21</f>
        <v>978.29670260873252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9">
        <f t="shared" si="0"/>
        <v>4814.6000000000004</v>
      </c>
      <c r="G22" s="210"/>
      <c r="H22" s="211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4"/>
        <v>9236</v>
      </c>
      <c r="N22" s="58"/>
      <c r="O22" s="59">
        <f t="shared" si="5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6"/>
        <v>2453.28944</v>
      </c>
      <c r="X22" s="65">
        <v>17999.86</v>
      </c>
      <c r="Y22" s="149">
        <f t="shared" si="1"/>
        <v>11.25</v>
      </c>
      <c r="Z22" s="64">
        <f t="shared" si="7"/>
        <v>5962.5</v>
      </c>
      <c r="AA22" s="58"/>
      <c r="AB22" s="61">
        <v>20</v>
      </c>
      <c r="AC22" s="78">
        <v>10</v>
      </c>
      <c r="AD22" s="79">
        <v>7.8700000000000006E-2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2"/>
        <v>22374.029439999998</v>
      </c>
      <c r="AK22" s="129">
        <f t="shared" si="3"/>
        <v>2237.4029439999999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206">
        <f t="shared" si="0"/>
        <v>1773.8</v>
      </c>
      <c r="G23" s="207"/>
      <c r="H23" s="20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4"/>
        <v>9366</v>
      </c>
      <c r="N23" s="58"/>
      <c r="O23" s="59">
        <f t="shared" si="5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6"/>
        <v>2453.28944</v>
      </c>
      <c r="X23" s="65">
        <v>18011.11</v>
      </c>
      <c r="Y23" s="149">
        <f t="shared" si="1"/>
        <v>10.809999999997672</v>
      </c>
      <c r="Z23" s="64">
        <f t="shared" si="7"/>
        <v>5729.2999999987669</v>
      </c>
      <c r="AA23" s="58"/>
      <c r="AB23" s="61">
        <v>20</v>
      </c>
      <c r="AC23" s="78">
        <v>5</v>
      </c>
      <c r="AD23" s="79">
        <v>3.8199999999999998E-2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2"/>
        <v>19228.729439998766</v>
      </c>
      <c r="AK23" s="129">
        <f t="shared" si="3"/>
        <v>3845.745887999753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206">
        <f t="shared" si="0"/>
        <v>2153.9</v>
      </c>
      <c r="G24" s="207"/>
      <c r="H24" s="20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4"/>
        <v>8658</v>
      </c>
      <c r="N24" s="58"/>
      <c r="O24" s="59">
        <f t="shared" si="5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6"/>
        <v>2453.28944</v>
      </c>
      <c r="X24" s="65">
        <v>18021.919999999998</v>
      </c>
      <c r="Y24" s="149">
        <f t="shared" si="1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5.8400000000000001E-2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15643.109440000771</v>
      </c>
      <c r="AK24" s="129">
        <f t="shared" si="3"/>
        <v>1955.3886800000964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206">
        <f t="shared" si="0"/>
        <v>2407.3000000000002</v>
      </c>
      <c r="G25" s="207"/>
      <c r="H25" s="20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4"/>
        <v>10226</v>
      </c>
      <c r="N25" s="58"/>
      <c r="O25" s="59">
        <f t="shared" si="5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6"/>
        <v>1839.9670800000004</v>
      </c>
      <c r="X25" s="65">
        <v>18026.57</v>
      </c>
      <c r="Y25" s="149">
        <f t="shared" si="1"/>
        <v>10.5</v>
      </c>
      <c r="Z25" s="64">
        <f t="shared" si="7"/>
        <v>5565</v>
      </c>
      <c r="AA25" s="58"/>
      <c r="AB25" s="61">
        <v>15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19936.007080000003</v>
      </c>
      <c r="AK25" s="129">
        <f t="shared" si="3"/>
        <v>3987.2014160000008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410</v>
      </c>
      <c r="E26" s="151"/>
      <c r="F26" s="206">
        <f t="shared" si="0"/>
        <v>5194.7</v>
      </c>
      <c r="G26" s="207"/>
      <c r="H26" s="20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4"/>
        <v>11435</v>
      </c>
      <c r="N26" s="58"/>
      <c r="O26" s="59">
        <f t="shared" si="5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6"/>
        <v>2759.9506200000005</v>
      </c>
      <c r="X26" s="65">
        <v>18037.07</v>
      </c>
      <c r="Y26" s="149">
        <f t="shared" si="1"/>
        <v>19.68999999999869</v>
      </c>
      <c r="Z26" s="64">
        <f t="shared" si="7"/>
        <v>10435.699999999306</v>
      </c>
      <c r="AA26" s="85"/>
      <c r="AB26" s="61">
        <v>16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29711.000619999304</v>
      </c>
      <c r="AK26" s="129">
        <f t="shared" si="3"/>
        <v>4244.4286599999004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200</v>
      </c>
      <c r="E27" s="151"/>
      <c r="F27" s="206">
        <f t="shared" si="0"/>
        <v>2534</v>
      </c>
      <c r="G27" s="207"/>
      <c r="H27" s="208"/>
      <c r="I27" s="143"/>
      <c r="J27" s="94">
        <f>'Suivi EAU-ELEC'!E32</f>
        <v>2973</v>
      </c>
      <c r="K27" s="95">
        <f>'Suivi EAU-ELEC'!G32</f>
        <v>4531</v>
      </c>
      <c r="L27" s="95">
        <f>'Suivi EAU-ELEC'!I32</f>
        <v>2090</v>
      </c>
      <c r="M27" s="82">
        <f t="shared" si="4"/>
        <v>9594</v>
      </c>
      <c r="N27" s="58"/>
      <c r="O27" s="59">
        <f t="shared" si="5"/>
        <v>9498.06</v>
      </c>
      <c r="P27" s="57"/>
      <c r="Q27" s="55"/>
      <c r="R27" s="56"/>
      <c r="S27" s="55"/>
      <c r="T27" s="96"/>
      <c r="U27" s="60">
        <f>'Suivi Gaz'!O27</f>
        <v>148.4</v>
      </c>
      <c r="V27" s="85"/>
      <c r="W27" s="59">
        <f t="shared" si="6"/>
        <v>1226.64472</v>
      </c>
      <c r="X27" s="65">
        <v>18056.759999999998</v>
      </c>
      <c r="Y27" s="149">
        <f t="shared" si="1"/>
        <v>17.120000000002619</v>
      </c>
      <c r="Z27" s="64">
        <f t="shared" si="7"/>
        <v>9073.6000000013883</v>
      </c>
      <c r="AA27" s="85"/>
      <c r="AB27" s="61">
        <v>16</v>
      </c>
      <c r="AC27" s="78">
        <v>17</v>
      </c>
      <c r="AD27" s="79">
        <v>0.125</v>
      </c>
      <c r="AE27" s="83">
        <v>27</v>
      </c>
      <c r="AF27" s="83">
        <v>28</v>
      </c>
      <c r="AG27" s="80">
        <v>23</v>
      </c>
      <c r="AH27" s="81">
        <v>24</v>
      </c>
      <c r="AI27" s="44"/>
      <c r="AJ27" s="130">
        <f t="shared" si="2"/>
        <v>22332.30472000139</v>
      </c>
      <c r="AK27" s="129">
        <f t="shared" si="3"/>
        <v>1313.6649835294936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210</v>
      </c>
      <c r="E28" s="151"/>
      <c r="F28" s="203">
        <f t="shared" si="0"/>
        <v>2660.7</v>
      </c>
      <c r="G28" s="204"/>
      <c r="H28" s="205"/>
      <c r="I28" s="144"/>
      <c r="J28" s="94">
        <f>'Suivi EAU-ELEC'!E33</f>
        <v>3160</v>
      </c>
      <c r="K28" s="95">
        <f>'Suivi EAU-ELEC'!G33</f>
        <v>4615</v>
      </c>
      <c r="L28" s="95">
        <f>'Suivi EAU-ELEC'!I33</f>
        <v>2251</v>
      </c>
      <c r="M28" s="82">
        <f t="shared" si="4"/>
        <v>10026</v>
      </c>
      <c r="N28" s="58"/>
      <c r="O28" s="59">
        <f t="shared" si="5"/>
        <v>9925.74</v>
      </c>
      <c r="P28" s="57"/>
      <c r="Q28" s="55"/>
      <c r="R28" s="56"/>
      <c r="S28" s="55"/>
      <c r="T28" s="96"/>
      <c r="U28" s="60">
        <f>'Suivi Gaz'!O28</f>
        <v>482.3</v>
      </c>
      <c r="V28" s="85"/>
      <c r="W28" s="59">
        <f t="shared" si="6"/>
        <v>3986.5953400000003</v>
      </c>
      <c r="X28" s="65">
        <v>18073.88</v>
      </c>
      <c r="Y28" s="149">
        <f t="shared" si="1"/>
        <v>14.829999999998108</v>
      </c>
      <c r="Z28" s="64">
        <f t="shared" si="7"/>
        <v>7859.8999999989974</v>
      </c>
      <c r="AA28" s="85"/>
      <c r="AB28" s="61">
        <v>16</v>
      </c>
      <c r="AC28" s="78">
        <v>33</v>
      </c>
      <c r="AD28" s="79">
        <v>0.2409</v>
      </c>
      <c r="AE28" s="83">
        <v>27</v>
      </c>
      <c r="AF28" s="83">
        <v>28</v>
      </c>
      <c r="AG28" s="80">
        <v>25</v>
      </c>
      <c r="AH28" s="81">
        <v>26</v>
      </c>
      <c r="AI28" s="44"/>
      <c r="AJ28" s="130">
        <f>(F28+O28+W28+Z28)</f>
        <v>24432.935339998996</v>
      </c>
      <c r="AK28" s="129">
        <f t="shared" si="3"/>
        <v>740.39197999996952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290</v>
      </c>
      <c r="E29" s="151"/>
      <c r="F29" s="206">
        <f t="shared" si="0"/>
        <v>3674.3</v>
      </c>
      <c r="G29" s="207"/>
      <c r="H29" s="208"/>
      <c r="I29" s="144"/>
      <c r="J29" s="94">
        <f>'Suivi EAU-ELEC'!E34</f>
        <v>3145</v>
      </c>
      <c r="K29" s="95">
        <f>'Suivi EAU-ELEC'!G34</f>
        <v>4955</v>
      </c>
      <c r="L29" s="95">
        <f>'Suivi EAU-ELEC'!I34</f>
        <v>2267</v>
      </c>
      <c r="M29" s="82">
        <f t="shared" si="4"/>
        <v>10367</v>
      </c>
      <c r="N29" s="58"/>
      <c r="O29" s="59">
        <f t="shared" si="5"/>
        <v>10263.33</v>
      </c>
      <c r="P29" s="57"/>
      <c r="Q29" s="55"/>
      <c r="R29" s="56"/>
      <c r="S29" s="55"/>
      <c r="T29" s="96"/>
      <c r="U29" s="60">
        <f>'Suivi Gaz'!O29</f>
        <v>408.1</v>
      </c>
      <c r="V29" s="85"/>
      <c r="W29" s="59">
        <f t="shared" si="6"/>
        <v>3373.2729800000002</v>
      </c>
      <c r="X29" s="65">
        <v>18088.71</v>
      </c>
      <c r="Y29" s="149">
        <f t="shared" si="1"/>
        <v>18.400000000001455</v>
      </c>
      <c r="Z29" s="64">
        <f t="shared" si="7"/>
        <v>9752.0000000007713</v>
      </c>
      <c r="AA29" s="85"/>
      <c r="AB29" s="61">
        <v>18</v>
      </c>
      <c r="AC29" s="78">
        <v>37</v>
      </c>
      <c r="AD29" s="79">
        <v>0.28239999999999998</v>
      </c>
      <c r="AE29" s="83">
        <v>27</v>
      </c>
      <c r="AF29" s="83">
        <v>28</v>
      </c>
      <c r="AG29" s="80">
        <v>24</v>
      </c>
      <c r="AH29" s="81">
        <v>25</v>
      </c>
      <c r="AI29" s="44"/>
      <c r="AJ29" s="130">
        <f t="shared" si="2"/>
        <v>27062.902980000774</v>
      </c>
      <c r="AK29" s="129">
        <f t="shared" si="3"/>
        <v>731.42981027029123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280</v>
      </c>
      <c r="E30" s="151"/>
      <c r="F30" s="203">
        <f t="shared" si="0"/>
        <v>3547.6</v>
      </c>
      <c r="G30" s="204"/>
      <c r="H30" s="205"/>
      <c r="I30" s="144"/>
      <c r="J30" s="94">
        <f>'Suivi EAU-ELEC'!E35</f>
        <v>3203</v>
      </c>
      <c r="K30" s="95">
        <f>'Suivi EAU-ELEC'!G35</f>
        <v>5315</v>
      </c>
      <c r="L30" s="95">
        <f>'Suivi EAU-ELEC'!I35</f>
        <v>2350</v>
      </c>
      <c r="M30" s="82">
        <f t="shared" si="4"/>
        <v>10868</v>
      </c>
      <c r="N30" s="58"/>
      <c r="O30" s="59">
        <f t="shared" si="5"/>
        <v>10759.32</v>
      </c>
      <c r="P30" s="57"/>
      <c r="Q30" s="55"/>
      <c r="R30" s="56"/>
      <c r="S30" s="55"/>
      <c r="T30" s="96"/>
      <c r="U30" s="60">
        <f>'Suivi Gaz'!O30</f>
        <v>779.1</v>
      </c>
      <c r="V30" s="85"/>
      <c r="W30" s="59">
        <f t="shared" si="6"/>
        <v>6439.8847800000003</v>
      </c>
      <c r="X30" s="65">
        <v>18107.11</v>
      </c>
      <c r="Y30" s="149">
        <f t="shared" si="1"/>
        <v>13.340000000000146</v>
      </c>
      <c r="Z30" s="64">
        <f t="shared" si="7"/>
        <v>7070.2000000000771</v>
      </c>
      <c r="AA30" s="85"/>
      <c r="AB30" s="61">
        <v>18</v>
      </c>
      <c r="AC30" s="78">
        <v>45</v>
      </c>
      <c r="AD30" s="79">
        <v>0.34620000000000001</v>
      </c>
      <c r="AE30" s="83">
        <v>27</v>
      </c>
      <c r="AF30" s="83">
        <v>28</v>
      </c>
      <c r="AG30" s="80">
        <v>25</v>
      </c>
      <c r="AH30" s="81">
        <v>25</v>
      </c>
      <c r="AI30" s="44"/>
      <c r="AJ30" s="130">
        <f t="shared" si="2"/>
        <v>27817.004780000076</v>
      </c>
      <c r="AK30" s="129">
        <f t="shared" si="3"/>
        <v>618.15566177777941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310</v>
      </c>
      <c r="E31" s="96"/>
      <c r="F31" s="206">
        <f t="shared" si="0"/>
        <v>3927.7</v>
      </c>
      <c r="G31" s="207"/>
      <c r="H31" s="208"/>
      <c r="I31" s="145"/>
      <c r="J31" s="94">
        <f>'Suivi EAU-ELEC'!E36</f>
        <v>3491</v>
      </c>
      <c r="K31" s="95">
        <f>'Suivi EAU-ELEC'!G36</f>
        <v>5519</v>
      </c>
      <c r="L31" s="95">
        <f>'Suivi EAU-ELEC'!I36</f>
        <v>2514</v>
      </c>
      <c r="M31" s="82">
        <f t="shared" si="4"/>
        <v>11524</v>
      </c>
      <c r="N31" s="58"/>
      <c r="O31" s="59">
        <f t="shared" si="5"/>
        <v>11408.760000000002</v>
      </c>
      <c r="P31" s="57"/>
      <c r="Q31" s="55"/>
      <c r="R31" s="56"/>
      <c r="S31" s="55"/>
      <c r="T31" s="96"/>
      <c r="U31" s="60">
        <f>'Suivi Gaz'!O31</f>
        <v>519.4</v>
      </c>
      <c r="V31" s="58"/>
      <c r="W31" s="59">
        <f t="shared" si="6"/>
        <v>4293.2565199999999</v>
      </c>
      <c r="X31" s="65">
        <v>18120.45</v>
      </c>
      <c r="Y31" s="149">
        <f t="shared" si="1"/>
        <v>19.299999999999272</v>
      </c>
      <c r="Z31" s="64">
        <f t="shared" si="7"/>
        <v>10228.999999999616</v>
      </c>
      <c r="AA31" s="58"/>
      <c r="AB31" s="61">
        <v>20</v>
      </c>
      <c r="AC31" s="78">
        <v>54</v>
      </c>
      <c r="AD31" s="79">
        <v>0.46150000000000002</v>
      </c>
      <c r="AE31" s="83">
        <v>26</v>
      </c>
      <c r="AF31" s="83">
        <v>26</v>
      </c>
      <c r="AG31" s="80">
        <v>25.5</v>
      </c>
      <c r="AH31" s="81">
        <v>26</v>
      </c>
      <c r="AI31" s="44"/>
      <c r="AJ31" s="130">
        <f t="shared" si="2"/>
        <v>29858.716519999616</v>
      </c>
      <c r="AK31" s="129">
        <f t="shared" si="3"/>
        <v>552.93919481480771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270</v>
      </c>
      <c r="E32" s="96"/>
      <c r="F32" s="206">
        <f t="shared" si="0"/>
        <v>3420.9</v>
      </c>
      <c r="G32" s="207"/>
      <c r="H32" s="208"/>
      <c r="I32" s="142"/>
      <c r="J32" s="94">
        <f>'Suivi EAU-ELEC'!E37</f>
        <v>3454</v>
      </c>
      <c r="K32" s="95">
        <f>'Suivi EAU-ELEC'!G37</f>
        <v>5325</v>
      </c>
      <c r="L32" s="95">
        <f>'Suivi EAU-ELEC'!I37</f>
        <v>2312</v>
      </c>
      <c r="M32" s="82">
        <f t="shared" si="4"/>
        <v>11091</v>
      </c>
      <c r="N32" s="58"/>
      <c r="O32" s="59">
        <f t="shared" si="5"/>
        <v>10980.09</v>
      </c>
      <c r="P32" s="57"/>
      <c r="Q32" s="55"/>
      <c r="R32" s="56"/>
      <c r="S32" s="55"/>
      <c r="T32" s="96"/>
      <c r="U32" s="60">
        <f>'Suivi Gaz'!O32</f>
        <v>742</v>
      </c>
      <c r="V32" s="58"/>
      <c r="W32" s="59">
        <f t="shared" si="6"/>
        <v>6133.2236000000003</v>
      </c>
      <c r="X32" s="65">
        <v>18139.75</v>
      </c>
      <c r="Y32" s="149">
        <f t="shared" si="1"/>
        <v>17.229999999999563</v>
      </c>
      <c r="Z32" s="64">
        <f t="shared" si="7"/>
        <v>9131.8999999997686</v>
      </c>
      <c r="AA32" s="58"/>
      <c r="AB32" s="61">
        <v>18</v>
      </c>
      <c r="AC32" s="78">
        <v>50</v>
      </c>
      <c r="AD32" s="79">
        <v>0.43859999999999999</v>
      </c>
      <c r="AE32" s="83">
        <v>26</v>
      </c>
      <c r="AF32" s="83">
        <v>28.5</v>
      </c>
      <c r="AG32" s="80">
        <v>26</v>
      </c>
      <c r="AH32" s="81">
        <v>27.5</v>
      </c>
      <c r="AI32" s="44"/>
      <c r="AJ32" s="130">
        <f t="shared" si="2"/>
        <v>29666.113599999768</v>
      </c>
      <c r="AK32" s="129">
        <f t="shared" si="3"/>
        <v>593.32227199999534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230</v>
      </c>
      <c r="E33" s="96"/>
      <c r="F33" s="206">
        <f t="shared" si="0"/>
        <v>2914.1</v>
      </c>
      <c r="G33" s="207"/>
      <c r="H33" s="208"/>
      <c r="I33" s="143"/>
      <c r="J33" s="94">
        <f>'Suivi EAU-ELEC'!E38</f>
        <v>3996</v>
      </c>
      <c r="K33" s="95">
        <f>'Suivi EAU-ELEC'!G38</f>
        <v>5200</v>
      </c>
      <c r="L33" s="95">
        <f>'Suivi EAU-ELEC'!I38</f>
        <v>2546</v>
      </c>
      <c r="M33" s="82">
        <f t="shared" si="4"/>
        <v>11742</v>
      </c>
      <c r="N33" s="58"/>
      <c r="O33" s="59">
        <f t="shared" si="5"/>
        <v>11624.580000000002</v>
      </c>
      <c r="P33" s="57"/>
      <c r="Q33" s="55"/>
      <c r="R33" s="56"/>
      <c r="S33" s="55"/>
      <c r="T33" s="96"/>
      <c r="U33" s="60">
        <f>'Suivi Gaz'!O33</f>
        <v>704.90000000000009</v>
      </c>
      <c r="V33" s="58"/>
      <c r="W33" s="59">
        <f t="shared" si="6"/>
        <v>5826.5624200000011</v>
      </c>
      <c r="X33" s="65">
        <v>18156.98</v>
      </c>
      <c r="Y33" s="149">
        <f t="shared" si="1"/>
        <v>17.770000000000437</v>
      </c>
      <c r="Z33" s="64">
        <f t="shared" si="7"/>
        <v>9418.1000000002314</v>
      </c>
      <c r="AA33" s="58"/>
      <c r="AB33" s="61">
        <v>17</v>
      </c>
      <c r="AC33" s="78">
        <v>47</v>
      </c>
      <c r="AD33" s="79">
        <v>0.4123</v>
      </c>
      <c r="AE33" s="83">
        <v>27.5</v>
      </c>
      <c r="AF33" s="83">
        <v>28.5</v>
      </c>
      <c r="AG33" s="80">
        <v>26</v>
      </c>
      <c r="AH33" s="81">
        <v>26.5</v>
      </c>
      <c r="AI33" s="44"/>
      <c r="AJ33" s="130">
        <f t="shared" si="2"/>
        <v>29783.342420000234</v>
      </c>
      <c r="AK33" s="129">
        <f t="shared" si="3"/>
        <v>633.6881365957496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260</v>
      </c>
      <c r="E34" s="96"/>
      <c r="F34" s="206">
        <f t="shared" si="0"/>
        <v>3294.2</v>
      </c>
      <c r="G34" s="207"/>
      <c r="H34" s="208"/>
      <c r="I34" s="143"/>
      <c r="J34" s="94">
        <f>'Suivi EAU-ELEC'!E39</f>
        <v>2868</v>
      </c>
      <c r="K34" s="95">
        <f>'Suivi EAU-ELEC'!G39</f>
        <v>5367</v>
      </c>
      <c r="L34" s="95">
        <f>'Suivi EAU-ELEC'!I39</f>
        <v>2446</v>
      </c>
      <c r="M34" s="82">
        <f t="shared" si="4"/>
        <v>10681</v>
      </c>
      <c r="N34" s="58"/>
      <c r="O34" s="59">
        <f t="shared" si="5"/>
        <v>10574.189999999999</v>
      </c>
      <c r="P34" s="57"/>
      <c r="Q34" s="55"/>
      <c r="R34" s="56"/>
      <c r="S34" s="55"/>
      <c r="T34" s="96"/>
      <c r="U34" s="60">
        <f>'Suivi Gaz'!O34</f>
        <v>482.3</v>
      </c>
      <c r="V34" s="58"/>
      <c r="W34" s="59">
        <f t="shared" si="6"/>
        <v>3986.5953400000003</v>
      </c>
      <c r="X34" s="65">
        <v>18174.75</v>
      </c>
      <c r="Y34" s="149">
        <f t="shared" si="1"/>
        <v>15.56000000000131</v>
      </c>
      <c r="Z34" s="64">
        <f t="shared" si="7"/>
        <v>8246.8000000006941</v>
      </c>
      <c r="AA34" s="58"/>
      <c r="AB34" s="61">
        <v>17</v>
      </c>
      <c r="AC34" s="78">
        <v>47</v>
      </c>
      <c r="AD34" s="79">
        <v>0.40870000000000001</v>
      </c>
      <c r="AE34" s="83">
        <v>28</v>
      </c>
      <c r="AF34" s="83">
        <v>29</v>
      </c>
      <c r="AG34" s="80">
        <v>27</v>
      </c>
      <c r="AH34" s="81">
        <v>27</v>
      </c>
      <c r="AI34" s="44"/>
      <c r="AJ34" s="130">
        <f t="shared" si="2"/>
        <v>26101.785340000693</v>
      </c>
      <c r="AK34" s="129">
        <f t="shared" si="3"/>
        <v>555.35713489363172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310</v>
      </c>
      <c r="E35" s="96"/>
      <c r="F35" s="209">
        <f t="shared" si="0"/>
        <v>3927.7</v>
      </c>
      <c r="G35" s="210"/>
      <c r="H35" s="211"/>
      <c r="I35" s="143"/>
      <c r="J35" s="94">
        <f>'Suivi EAU-ELEC'!E40</f>
        <v>3629</v>
      </c>
      <c r="K35" s="95">
        <f>'Suivi EAU-ELEC'!G40</f>
        <v>5617</v>
      </c>
      <c r="L35" s="95">
        <f>'Suivi EAU-ELEC'!I40</f>
        <v>2485</v>
      </c>
      <c r="M35" s="82">
        <f t="shared" si="4"/>
        <v>11731</v>
      </c>
      <c r="N35" s="58"/>
      <c r="O35" s="59">
        <f t="shared" si="5"/>
        <v>11613.69</v>
      </c>
      <c r="P35" s="57"/>
      <c r="Q35" s="55"/>
      <c r="R35" s="56"/>
      <c r="S35" s="55"/>
      <c r="T35" s="96"/>
      <c r="U35" s="60">
        <f>'Suivi Gaz'!O35</f>
        <v>816.2</v>
      </c>
      <c r="V35" s="58"/>
      <c r="W35" s="59">
        <f t="shared" si="6"/>
        <v>6746.5459600000004</v>
      </c>
      <c r="X35" s="65">
        <v>18190.310000000001</v>
      </c>
      <c r="Y35" s="149">
        <f t="shared" si="1"/>
        <v>15.799999999999272</v>
      </c>
      <c r="Z35" s="64">
        <f t="shared" si="7"/>
        <v>8373.9999999996144</v>
      </c>
      <c r="AA35" s="58"/>
      <c r="AB35" s="61">
        <v>18</v>
      </c>
      <c r="AC35" s="78">
        <v>66</v>
      </c>
      <c r="AD35" s="79">
        <v>0.56410000000000005</v>
      </c>
      <c r="AE35" s="83">
        <v>28</v>
      </c>
      <c r="AF35" s="83">
        <v>28.5</v>
      </c>
      <c r="AG35" s="80">
        <v>27</v>
      </c>
      <c r="AH35" s="81">
        <v>28</v>
      </c>
      <c r="AI35" s="44"/>
      <c r="AJ35" s="130">
        <f t="shared" si="2"/>
        <v>30661.935959999613</v>
      </c>
      <c r="AK35" s="129">
        <f t="shared" si="3"/>
        <v>464.57478727272144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320</v>
      </c>
      <c r="E36" s="96"/>
      <c r="F36" s="216">
        <f t="shared" si="0"/>
        <v>4054.4</v>
      </c>
      <c r="G36" s="217"/>
      <c r="H36" s="218"/>
      <c r="I36" s="143"/>
      <c r="J36" s="94">
        <f>'Suivi EAU-ELEC'!E41</f>
        <v>3365</v>
      </c>
      <c r="K36" s="95">
        <f>'Suivi EAU-ELEC'!G41</f>
        <v>5447</v>
      </c>
      <c r="L36" s="95">
        <f>'Suivi EAU-ELEC'!I41</f>
        <v>2497</v>
      </c>
      <c r="M36" s="82">
        <f t="shared" si="4"/>
        <v>11309</v>
      </c>
      <c r="N36" s="58"/>
      <c r="O36" s="59">
        <f t="shared" si="5"/>
        <v>11195.91</v>
      </c>
      <c r="P36" s="57"/>
      <c r="Q36" s="55"/>
      <c r="R36" s="56"/>
      <c r="S36" s="55"/>
      <c r="T36" s="96"/>
      <c r="U36" s="60">
        <f>'Suivi Gaz'!O36</f>
        <v>1150.1000000000001</v>
      </c>
      <c r="V36" s="58"/>
      <c r="W36" s="59">
        <f t="shared" si="6"/>
        <v>9506.4965800000009</v>
      </c>
      <c r="X36" s="65">
        <v>18206.11</v>
      </c>
      <c r="Y36" s="149">
        <f t="shared" si="1"/>
        <v>15.380000000001019</v>
      </c>
      <c r="Z36" s="64">
        <f t="shared" si="7"/>
        <v>8151.4000000005408</v>
      </c>
      <c r="AA36" s="58"/>
      <c r="AB36" s="61">
        <v>19</v>
      </c>
      <c r="AC36" s="78">
        <v>70</v>
      </c>
      <c r="AD36" s="79">
        <v>0.61399999999999999</v>
      </c>
      <c r="AE36" s="83">
        <v>27.5</v>
      </c>
      <c r="AF36" s="83">
        <v>28</v>
      </c>
      <c r="AG36" s="80">
        <v>27.5</v>
      </c>
      <c r="AH36" s="81">
        <v>28</v>
      </c>
      <c r="AI36" s="44"/>
      <c r="AJ36" s="130">
        <f t="shared" si="2"/>
        <v>32908.206580000544</v>
      </c>
      <c r="AK36" s="129">
        <f t="shared" si="3"/>
        <v>470.1172368571506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370</v>
      </c>
      <c r="E37" s="96"/>
      <c r="F37" s="219">
        <f t="shared" si="0"/>
        <v>4687.8999999999996</v>
      </c>
      <c r="G37" s="220"/>
      <c r="H37" s="221"/>
      <c r="I37" s="143"/>
      <c r="J37" s="94">
        <f>'Suivi EAU-ELEC'!E42</f>
        <v>3678</v>
      </c>
      <c r="K37" s="95">
        <f>'Suivi EAU-ELEC'!G42</f>
        <v>5499</v>
      </c>
      <c r="L37" s="95">
        <f>'Suivi EAU-ELEC'!I42</f>
        <v>2576</v>
      </c>
      <c r="M37" s="82">
        <f t="shared" si="4"/>
        <v>11753</v>
      </c>
      <c r="N37" s="58"/>
      <c r="O37" s="59">
        <f t="shared" si="5"/>
        <v>11635.47</v>
      </c>
      <c r="P37" s="57"/>
      <c r="Q37" s="55"/>
      <c r="R37" s="56"/>
      <c r="S37" s="55"/>
      <c r="T37" s="96"/>
      <c r="U37" s="60">
        <f>'Suivi Gaz'!O37</f>
        <v>779.1</v>
      </c>
      <c r="V37" s="58"/>
      <c r="W37" s="59">
        <f t="shared" si="6"/>
        <v>6439.8847800000003</v>
      </c>
      <c r="X37" s="65">
        <v>18221.490000000002</v>
      </c>
      <c r="Y37" s="149">
        <f t="shared" si="1"/>
        <v>14.959999999999127</v>
      </c>
      <c r="Z37" s="64">
        <f t="shared" si="7"/>
        <v>7928.7999999995382</v>
      </c>
      <c r="AA37" s="58"/>
      <c r="AB37" s="61">
        <v>18</v>
      </c>
      <c r="AC37" s="78">
        <v>66</v>
      </c>
      <c r="AD37" s="79">
        <v>0.56410000000000005</v>
      </c>
      <c r="AE37" s="83">
        <v>27.5</v>
      </c>
      <c r="AF37" s="83">
        <v>28.5</v>
      </c>
      <c r="AG37" s="80">
        <v>27.5</v>
      </c>
      <c r="AH37" s="81">
        <v>28</v>
      </c>
      <c r="AI37" s="44"/>
      <c r="AJ37" s="130">
        <f t="shared" si="2"/>
        <v>30692.054779999537</v>
      </c>
      <c r="AK37" s="129">
        <f t="shared" si="3"/>
        <v>465.03113303029602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>
        <v>18236.45</v>
      </c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89576.9</v>
      </c>
      <c r="G41" s="213"/>
      <c r="H41" s="214"/>
      <c r="I41" s="102"/>
      <c r="J41" s="104">
        <f>SUM(J10:J40)</f>
        <v>90343</v>
      </c>
      <c r="K41" s="104">
        <f>SUM(K10:K40)</f>
        <v>134985</v>
      </c>
      <c r="L41" s="104">
        <f>SUM(L10:L40)</f>
        <v>62354</v>
      </c>
      <c r="M41" s="104">
        <f>SUM(M10:M40)</f>
        <v>287682</v>
      </c>
      <c r="N41" s="103"/>
      <c r="O41" s="104">
        <f>SUM(O10:O40)</f>
        <v>284805.17999999993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11241.300000000001</v>
      </c>
      <c r="V41" s="58"/>
      <c r="W41" s="104">
        <f>SUM(W10:W40)</f>
        <v>92918.337540000008</v>
      </c>
      <c r="X41" s="140"/>
      <c r="Y41" s="104">
        <f>SUM(Y10:Y40)</f>
        <v>408.77000000000044</v>
      </c>
      <c r="Z41" s="104">
        <f>SUM(Z10:Z40)</f>
        <v>216648.10000000024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683948.51754000015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90343</v>
      </c>
      <c r="H43" s="187"/>
      <c r="I43" s="188"/>
      <c r="J43" s="189">
        <f>G43*F43</f>
        <v>58628.089850000004</v>
      </c>
      <c r="K43" s="190"/>
      <c r="L43" s="191">
        <f>J43+J44+J45</f>
        <v>255665.24046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134985</v>
      </c>
      <c r="H44" s="187"/>
      <c r="I44" s="188"/>
      <c r="J44" s="189">
        <f>G44*F44</f>
        <v>119603.45925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62354</v>
      </c>
      <c r="H45" s="201"/>
      <c r="I45" s="202"/>
      <c r="J45" s="189">
        <f>G45*F45</f>
        <v>77433.691359999997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8.2658000000000005</v>
      </c>
      <c r="G47" s="174">
        <f>U41</f>
        <v>11241.300000000001</v>
      </c>
      <c r="H47" s="175"/>
      <c r="I47" s="176"/>
      <c r="J47" s="174">
        <f>G47*F47</f>
        <v>92918.337540000008</v>
      </c>
      <c r="K47" s="176"/>
      <c r="L47" s="177">
        <f>J47</f>
        <v>92918.337540000008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39" sqref="B3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O4*8.1757</f>
        <v>909.95541000000014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3033.1847000000002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2426.5477600000004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909.95541000000014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1819.9108200000003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1516.5923500000001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O10*8.2658</f>
        <v>1533.3059000000001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43" si="16">O11*8.2658</f>
        <v>2146.62826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2453.28944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2759.9506200000005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613.32236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1226.64472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 t="shared" si="16"/>
        <v>919.98354000000018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si="16"/>
        <v>1533.3059000000001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2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16"/>
        <v>2146.62826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2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16"/>
        <v>1226.64472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2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16"/>
        <v>2759.9506200000005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2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16"/>
        <v>3679.9341600000007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2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16"/>
        <v>2453.28944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2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16"/>
        <v>2453.28944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2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16"/>
        <v>2453.28944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2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16"/>
        <v>1839.9670800000004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2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16"/>
        <v>2759.9506200000005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4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2"/>
        <v>0</v>
      </c>
      <c r="J27" s="18">
        <f t="shared" si="24"/>
        <v>237</v>
      </c>
      <c r="K27" s="18">
        <f t="shared" si="25"/>
        <v>59.25</v>
      </c>
      <c r="L27" s="18">
        <f t="shared" si="31"/>
        <v>1</v>
      </c>
      <c r="M27" s="18">
        <f t="shared" si="7"/>
        <v>28000</v>
      </c>
      <c r="N27" s="18">
        <f t="shared" si="29"/>
        <v>280</v>
      </c>
      <c r="O27" s="18">
        <f t="shared" si="30"/>
        <v>148.4</v>
      </c>
      <c r="P27" s="21">
        <f t="shared" si="16"/>
        <v>1226.64472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>
        <v>55</v>
      </c>
      <c r="C28" s="18">
        <f t="shared" si="18"/>
        <v>5</v>
      </c>
      <c r="D28" s="20">
        <v>60</v>
      </c>
      <c r="E28" s="18">
        <f t="shared" si="19"/>
        <v>5</v>
      </c>
      <c r="F28" s="20">
        <v>68</v>
      </c>
      <c r="G28" s="18">
        <f t="shared" si="20"/>
        <v>0</v>
      </c>
      <c r="H28" s="20">
        <v>50</v>
      </c>
      <c r="I28" s="18">
        <f t="shared" si="32"/>
        <v>3</v>
      </c>
      <c r="J28" s="18">
        <f t="shared" si="24"/>
        <v>233</v>
      </c>
      <c r="K28" s="18">
        <f t="shared" si="25"/>
        <v>58.25</v>
      </c>
      <c r="L28" s="18">
        <f t="shared" si="31"/>
        <v>3.25</v>
      </c>
      <c r="M28" s="18">
        <f t="shared" si="7"/>
        <v>28000</v>
      </c>
      <c r="N28" s="18">
        <f t="shared" si="29"/>
        <v>910</v>
      </c>
      <c r="O28" s="18">
        <f t="shared" si="30"/>
        <v>482.3</v>
      </c>
      <c r="P28" s="21">
        <f t="shared" si="16"/>
        <v>3986.5953400000003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>
        <v>50</v>
      </c>
      <c r="C29" s="18">
        <f t="shared" si="18"/>
        <v>2</v>
      </c>
      <c r="D29" s="20">
        <v>55</v>
      </c>
      <c r="E29" s="18">
        <f t="shared" si="19"/>
        <v>5</v>
      </c>
      <c r="F29" s="20">
        <v>68</v>
      </c>
      <c r="G29" s="18">
        <f t="shared" si="20"/>
        <v>0</v>
      </c>
      <c r="H29" s="20">
        <v>47</v>
      </c>
      <c r="I29" s="18">
        <f t="shared" si="32"/>
        <v>4</v>
      </c>
      <c r="J29" s="18">
        <f t="shared" si="24"/>
        <v>220</v>
      </c>
      <c r="K29" s="18">
        <f t="shared" si="25"/>
        <v>55</v>
      </c>
      <c r="L29" s="18">
        <f t="shared" si="31"/>
        <v>2.75</v>
      </c>
      <c r="M29" s="18">
        <f t="shared" si="7"/>
        <v>28000</v>
      </c>
      <c r="N29" s="18">
        <f t="shared" si="29"/>
        <v>770</v>
      </c>
      <c r="O29" s="18">
        <f t="shared" si="30"/>
        <v>408.1</v>
      </c>
      <c r="P29" s="21">
        <f t="shared" si="16"/>
        <v>3373.2729800000002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>
        <v>48</v>
      </c>
      <c r="C30" s="18">
        <f t="shared" si="18"/>
        <v>7</v>
      </c>
      <c r="D30" s="20">
        <v>50</v>
      </c>
      <c r="E30" s="18">
        <f t="shared" si="19"/>
        <v>10</v>
      </c>
      <c r="F30" s="20">
        <v>68</v>
      </c>
      <c r="G30" s="18">
        <f t="shared" si="20"/>
        <v>0</v>
      </c>
      <c r="H30" s="20">
        <v>43</v>
      </c>
      <c r="I30" s="18">
        <f t="shared" si="32"/>
        <v>4</v>
      </c>
      <c r="J30" s="18">
        <f t="shared" si="24"/>
        <v>209</v>
      </c>
      <c r="K30" s="18">
        <f t="shared" si="25"/>
        <v>52.25</v>
      </c>
      <c r="L30" s="18">
        <f t="shared" si="31"/>
        <v>5.25</v>
      </c>
      <c r="M30" s="18">
        <f t="shared" si="7"/>
        <v>28000</v>
      </c>
      <c r="N30" s="18">
        <f t="shared" si="29"/>
        <v>1470</v>
      </c>
      <c r="O30" s="18">
        <f t="shared" si="30"/>
        <v>779.1</v>
      </c>
      <c r="P30" s="21">
        <f t="shared" si="16"/>
        <v>6439.8847800000003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>
        <v>41</v>
      </c>
      <c r="C31" s="18">
        <f t="shared" si="18"/>
        <v>5</v>
      </c>
      <c r="D31" s="20">
        <v>40</v>
      </c>
      <c r="E31" s="18">
        <f t="shared" si="19"/>
        <v>2</v>
      </c>
      <c r="F31" s="20">
        <v>68</v>
      </c>
      <c r="G31" s="18">
        <f t="shared" si="20"/>
        <v>0</v>
      </c>
      <c r="H31" s="20">
        <v>39</v>
      </c>
      <c r="I31" s="18">
        <f t="shared" si="32"/>
        <v>7</v>
      </c>
      <c r="J31" s="18">
        <f t="shared" si="24"/>
        <v>188</v>
      </c>
      <c r="K31" s="18">
        <f t="shared" si="25"/>
        <v>47</v>
      </c>
      <c r="L31" s="18">
        <f t="shared" si="31"/>
        <v>3.5</v>
      </c>
      <c r="M31" s="18">
        <f t="shared" si="7"/>
        <v>28000</v>
      </c>
      <c r="N31" s="18">
        <f t="shared" si="29"/>
        <v>980</v>
      </c>
      <c r="O31" s="18">
        <f t="shared" si="30"/>
        <v>519.4</v>
      </c>
      <c r="P31" s="21">
        <f t="shared" si="16"/>
        <v>4293.2565199999999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>
        <v>36</v>
      </c>
      <c r="C32" s="18">
        <f t="shared" si="18"/>
        <v>7</v>
      </c>
      <c r="D32" s="20">
        <v>38</v>
      </c>
      <c r="E32" s="18">
        <f t="shared" si="19"/>
        <v>11</v>
      </c>
      <c r="F32" s="20">
        <v>68</v>
      </c>
      <c r="G32" s="18">
        <f t="shared" si="20"/>
        <v>18</v>
      </c>
      <c r="H32" s="20">
        <v>32</v>
      </c>
      <c r="I32" s="18">
        <f t="shared" si="32"/>
        <v>-16</v>
      </c>
      <c r="J32" s="18">
        <f t="shared" si="24"/>
        <v>174</v>
      </c>
      <c r="K32" s="18">
        <f t="shared" si="25"/>
        <v>43.5</v>
      </c>
      <c r="L32" s="18">
        <f t="shared" si="31"/>
        <v>5</v>
      </c>
      <c r="M32" s="18">
        <f t="shared" si="7"/>
        <v>28000</v>
      </c>
      <c r="N32" s="18">
        <f t="shared" si="29"/>
        <v>1400</v>
      </c>
      <c r="O32" s="18">
        <f t="shared" si="30"/>
        <v>742</v>
      </c>
      <c r="P32" s="21">
        <f t="shared" si="16"/>
        <v>6133.2236000000003</v>
      </c>
      <c r="Q32" s="18">
        <v>2003</v>
      </c>
      <c r="R32" s="18">
        <v>34</v>
      </c>
      <c r="S32" s="18">
        <v>62</v>
      </c>
      <c r="T32" s="18">
        <v>2003</v>
      </c>
      <c r="U32" s="18">
        <v>35</v>
      </c>
      <c r="V32" s="18">
        <v>64</v>
      </c>
      <c r="W32" s="18"/>
      <c r="X32" s="18"/>
      <c r="Y32" s="18"/>
      <c r="Z32" s="18"/>
      <c r="AA32" s="18"/>
      <c r="AB32" s="18"/>
      <c r="AC32" s="18">
        <f t="shared" si="13"/>
        <v>4006</v>
      </c>
      <c r="AD32" s="49">
        <f t="shared" si="21"/>
        <v>17.25</v>
      </c>
      <c r="AE32" s="49">
        <f t="shared" si="22"/>
        <v>31.5</v>
      </c>
    </row>
    <row r="33" spans="1:31" ht="32.25" customHeight="1" x14ac:dyDescent="0.3">
      <c r="A33" s="19">
        <f t="shared" si="14"/>
        <v>44189</v>
      </c>
      <c r="B33" s="20">
        <v>57</v>
      </c>
      <c r="C33" s="18">
        <f t="shared" si="18"/>
        <v>4</v>
      </c>
      <c r="D33" s="20">
        <v>56</v>
      </c>
      <c r="E33" s="18">
        <f t="shared" si="19"/>
        <v>6</v>
      </c>
      <c r="F33" s="20">
        <v>50</v>
      </c>
      <c r="G33" s="18">
        <f t="shared" si="20"/>
        <v>6</v>
      </c>
      <c r="H33" s="20">
        <v>48</v>
      </c>
      <c r="I33" s="18">
        <f t="shared" si="32"/>
        <v>3</v>
      </c>
      <c r="J33" s="18">
        <f t="shared" si="24"/>
        <v>211</v>
      </c>
      <c r="K33" s="18">
        <f t="shared" si="25"/>
        <v>52.75</v>
      </c>
      <c r="L33" s="18">
        <f t="shared" si="31"/>
        <v>4.75</v>
      </c>
      <c r="M33" s="18">
        <f t="shared" si="7"/>
        <v>28000</v>
      </c>
      <c r="N33" s="18">
        <f t="shared" si="29"/>
        <v>1330</v>
      </c>
      <c r="O33" s="18">
        <f t="shared" si="30"/>
        <v>704.90000000000009</v>
      </c>
      <c r="P33" s="21">
        <f t="shared" si="16"/>
        <v>5826.5624200000011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>
        <v>53</v>
      </c>
      <c r="C34" s="18">
        <f t="shared" si="18"/>
        <v>3</v>
      </c>
      <c r="D34" s="20">
        <v>50</v>
      </c>
      <c r="E34" s="18">
        <f t="shared" si="19"/>
        <v>2</v>
      </c>
      <c r="F34" s="20">
        <v>44</v>
      </c>
      <c r="G34" s="18">
        <f t="shared" si="20"/>
        <v>0</v>
      </c>
      <c r="H34" s="20">
        <v>45</v>
      </c>
      <c r="I34" s="18">
        <f t="shared" si="32"/>
        <v>8</v>
      </c>
      <c r="J34" s="18">
        <f t="shared" si="24"/>
        <v>192</v>
      </c>
      <c r="K34" s="18">
        <f t="shared" si="25"/>
        <v>48</v>
      </c>
      <c r="L34" s="18">
        <f t="shared" si="31"/>
        <v>3.25</v>
      </c>
      <c r="M34" s="18">
        <f t="shared" si="7"/>
        <v>28000</v>
      </c>
      <c r="N34" s="18">
        <f t="shared" si="29"/>
        <v>910</v>
      </c>
      <c r="O34" s="18">
        <f t="shared" si="30"/>
        <v>482.3</v>
      </c>
      <c r="P34" s="21">
        <f t="shared" si="16"/>
        <v>3986.5953400000003</v>
      </c>
      <c r="Q34" s="18">
        <v>2780</v>
      </c>
      <c r="R34" s="18">
        <v>50</v>
      </c>
      <c r="S34" s="18">
        <v>85</v>
      </c>
      <c r="T34" s="18">
        <v>3083</v>
      </c>
      <c r="U34" s="18">
        <v>48</v>
      </c>
      <c r="V34" s="18">
        <v>85</v>
      </c>
      <c r="W34" s="18">
        <v>3061</v>
      </c>
      <c r="X34" s="18">
        <v>45</v>
      </c>
      <c r="Y34" s="18">
        <v>85</v>
      </c>
      <c r="Z34" s="18">
        <v>3308</v>
      </c>
      <c r="AA34" s="18">
        <v>40</v>
      </c>
      <c r="AB34" s="18">
        <v>85</v>
      </c>
      <c r="AC34" s="18">
        <f t="shared" si="13"/>
        <v>12232</v>
      </c>
      <c r="AD34" s="49">
        <f t="shared" si="21"/>
        <v>45.75</v>
      </c>
      <c r="AE34" s="49">
        <f t="shared" si="22"/>
        <v>85</v>
      </c>
    </row>
    <row r="35" spans="1:31" ht="32.25" customHeight="1" x14ac:dyDescent="0.3">
      <c r="A35" s="19">
        <f t="shared" si="14"/>
        <v>44191</v>
      </c>
      <c r="B35" s="20">
        <v>85</v>
      </c>
      <c r="C35" s="18">
        <f t="shared" si="18"/>
        <v>5</v>
      </c>
      <c r="D35" s="20">
        <v>85</v>
      </c>
      <c r="E35" s="18">
        <f t="shared" si="19"/>
        <v>5</v>
      </c>
      <c r="F35" s="20">
        <v>84</v>
      </c>
      <c r="G35" s="18">
        <f t="shared" si="20"/>
        <v>9</v>
      </c>
      <c r="H35" s="20">
        <v>82</v>
      </c>
      <c r="I35" s="18">
        <f t="shared" si="32"/>
        <v>3</v>
      </c>
      <c r="J35" s="18">
        <f t="shared" si="24"/>
        <v>336</v>
      </c>
      <c r="K35" s="18">
        <f t="shared" si="25"/>
        <v>84</v>
      </c>
      <c r="L35" s="18">
        <f t="shared" si="31"/>
        <v>5.5</v>
      </c>
      <c r="M35" s="18">
        <f t="shared" si="7"/>
        <v>28000</v>
      </c>
      <c r="N35" s="18">
        <f t="shared" si="29"/>
        <v>1540</v>
      </c>
      <c r="O35" s="18">
        <f t="shared" si="30"/>
        <v>816.2</v>
      </c>
      <c r="P35" s="21">
        <f t="shared" si="16"/>
        <v>6746.5459600000004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>
        <v>80</v>
      </c>
      <c r="C36" s="18">
        <f t="shared" si="18"/>
        <v>8</v>
      </c>
      <c r="D36" s="20">
        <v>80</v>
      </c>
      <c r="E36" s="18">
        <f t="shared" si="19"/>
        <v>8</v>
      </c>
      <c r="F36" s="20">
        <v>75</v>
      </c>
      <c r="G36" s="18">
        <f t="shared" si="20"/>
        <v>6</v>
      </c>
      <c r="H36" s="20">
        <v>79</v>
      </c>
      <c r="I36" s="18">
        <f t="shared" si="32"/>
        <v>9</v>
      </c>
      <c r="J36" s="18">
        <f t="shared" si="24"/>
        <v>314</v>
      </c>
      <c r="K36" s="18">
        <f t="shared" si="25"/>
        <v>78.5</v>
      </c>
      <c r="L36" s="18">
        <f t="shared" si="31"/>
        <v>7.75</v>
      </c>
      <c r="M36" s="18">
        <f t="shared" si="7"/>
        <v>28000</v>
      </c>
      <c r="N36" s="18">
        <f t="shared" si="29"/>
        <v>2170</v>
      </c>
      <c r="O36" s="18">
        <f t="shared" si="30"/>
        <v>1150.1000000000001</v>
      </c>
      <c r="P36" s="21">
        <f t="shared" si="16"/>
        <v>9506.4965800000009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>
        <v>72</v>
      </c>
      <c r="C37" s="18">
        <f t="shared" si="18"/>
        <v>5</v>
      </c>
      <c r="D37" s="20">
        <v>72</v>
      </c>
      <c r="E37" s="18">
        <f t="shared" si="19"/>
        <v>4</v>
      </c>
      <c r="F37" s="20">
        <v>69</v>
      </c>
      <c r="G37" s="18">
        <f t="shared" si="20"/>
        <v>7</v>
      </c>
      <c r="H37" s="20">
        <v>70</v>
      </c>
      <c r="I37" s="18">
        <f t="shared" si="32"/>
        <v>5</v>
      </c>
      <c r="J37" s="18">
        <f t="shared" si="24"/>
        <v>283</v>
      </c>
      <c r="K37" s="18">
        <f t="shared" si="25"/>
        <v>70.75</v>
      </c>
      <c r="L37" s="18">
        <f t="shared" si="31"/>
        <v>5.25</v>
      </c>
      <c r="M37" s="18">
        <f t="shared" si="7"/>
        <v>28000</v>
      </c>
      <c r="N37" s="18">
        <f t="shared" si="29"/>
        <v>1470</v>
      </c>
      <c r="O37" s="18">
        <f t="shared" si="30"/>
        <v>779.1</v>
      </c>
      <c r="P37" s="21">
        <f t="shared" si="16"/>
        <v>6439.8847800000003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>
        <v>67</v>
      </c>
      <c r="C38" s="18">
        <f t="shared" si="18"/>
        <v>0</v>
      </c>
      <c r="D38" s="20">
        <v>68</v>
      </c>
      <c r="E38" s="18">
        <f t="shared" si="19"/>
        <v>0</v>
      </c>
      <c r="F38" s="20">
        <v>62</v>
      </c>
      <c r="G38" s="18">
        <f t="shared" si="20"/>
        <v>0</v>
      </c>
      <c r="H38" s="20">
        <v>65</v>
      </c>
      <c r="I38" s="18">
        <f t="shared" si="32"/>
        <v>0</v>
      </c>
      <c r="J38" s="18">
        <f t="shared" si="24"/>
        <v>262</v>
      </c>
      <c r="K38" s="18">
        <f t="shared" si="25"/>
        <v>65.5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2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2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2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2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87</v>
      </c>
      <c r="D43" s="20"/>
      <c r="E43" s="18">
        <f>SUM(E10:E40)</f>
        <v>89</v>
      </c>
      <c r="F43" s="20"/>
      <c r="G43" s="18">
        <f>SUM(G10:G40)</f>
        <v>69</v>
      </c>
      <c r="H43" s="20"/>
      <c r="I43" s="18">
        <f>SUM(I10:I40)</f>
        <v>58</v>
      </c>
      <c r="J43" s="16"/>
      <c r="K43" s="16"/>
      <c r="L43" s="16"/>
      <c r="M43" s="16"/>
      <c r="N43" s="18">
        <f>SUM(N10:N40)</f>
        <v>21210</v>
      </c>
      <c r="O43" s="18">
        <f>N43*0.53</f>
        <v>11241.300000000001</v>
      </c>
      <c r="P43" s="21">
        <f t="shared" si="16"/>
        <v>92918.337540000008</v>
      </c>
      <c r="Q43" s="265">
        <f>SUM(Q10:Q40)</f>
        <v>6692</v>
      </c>
      <c r="R43" s="266"/>
      <c r="S43" s="267"/>
      <c r="T43" s="265">
        <f>SUM(T10:T40)</f>
        <v>7055</v>
      </c>
      <c r="U43" s="266"/>
      <c r="V43" s="267"/>
      <c r="W43" s="265">
        <f>SUM(W10:W40)</f>
        <v>5454</v>
      </c>
      <c r="X43" s="266"/>
      <c r="Y43" s="267"/>
      <c r="Z43" s="265">
        <f>SUM(Z10:Z40)</f>
        <v>4473</v>
      </c>
      <c r="AA43" s="266"/>
      <c r="AB43" s="267"/>
      <c r="AC43" s="138">
        <f>SUM(AC10:AC40)</f>
        <v>23674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23674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23674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21210</v>
      </c>
      <c r="L47" s="29">
        <f>O43</f>
        <v>11241.300000000001</v>
      </c>
      <c r="M47" s="29">
        <f>P43</f>
        <v>92918.337540000008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23674</v>
      </c>
      <c r="L48" s="27">
        <f>K48*0.53</f>
        <v>12547.220000000001</v>
      </c>
      <c r="M48" s="27">
        <f>L48*8.2658</f>
        <v>103712.81107600001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44" sqref="B44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6880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410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127255</v>
      </c>
      <c r="C32" s="41">
        <f t="shared" si="8"/>
        <v>200</v>
      </c>
      <c r="D32" s="42">
        <v>18879924</v>
      </c>
      <c r="E32" s="41">
        <f t="shared" si="9"/>
        <v>2973</v>
      </c>
      <c r="F32" s="42">
        <v>33836652</v>
      </c>
      <c r="G32" s="41">
        <f t="shared" si="10"/>
        <v>4531</v>
      </c>
      <c r="H32" s="42">
        <v>14988775</v>
      </c>
      <c r="I32" s="41">
        <f t="shared" si="3"/>
        <v>2090</v>
      </c>
    </row>
    <row r="33" spans="1:9" ht="21" thickTop="1" thickBot="1" x14ac:dyDescent="0.35">
      <c r="A33" s="39">
        <f t="shared" si="4"/>
        <v>44184</v>
      </c>
      <c r="B33" s="40">
        <v>127275</v>
      </c>
      <c r="C33" s="41">
        <f t="shared" si="8"/>
        <v>210</v>
      </c>
      <c r="D33" s="42">
        <v>18882897</v>
      </c>
      <c r="E33" s="41">
        <f t="shared" si="9"/>
        <v>3160</v>
      </c>
      <c r="F33" s="42">
        <v>33841183</v>
      </c>
      <c r="G33" s="41">
        <f t="shared" si="10"/>
        <v>4615</v>
      </c>
      <c r="H33" s="42">
        <v>14990865</v>
      </c>
      <c r="I33" s="41">
        <f t="shared" si="3"/>
        <v>2251</v>
      </c>
    </row>
    <row r="34" spans="1:9" ht="21" thickTop="1" thickBot="1" x14ac:dyDescent="0.35">
      <c r="A34" s="39">
        <f t="shared" si="4"/>
        <v>44185</v>
      </c>
      <c r="B34" s="40">
        <v>127296</v>
      </c>
      <c r="C34" s="41">
        <f t="shared" si="8"/>
        <v>290</v>
      </c>
      <c r="D34" s="42">
        <v>18886057</v>
      </c>
      <c r="E34" s="41">
        <f t="shared" si="9"/>
        <v>3145</v>
      </c>
      <c r="F34" s="42">
        <v>33845798</v>
      </c>
      <c r="G34" s="41">
        <f t="shared" si="10"/>
        <v>4955</v>
      </c>
      <c r="H34" s="42">
        <v>14993116</v>
      </c>
      <c r="I34" s="41">
        <f t="shared" si="3"/>
        <v>2267</v>
      </c>
    </row>
    <row r="35" spans="1:9" ht="21" thickTop="1" thickBot="1" x14ac:dyDescent="0.35">
      <c r="A35" s="39">
        <f t="shared" si="4"/>
        <v>44186</v>
      </c>
      <c r="B35" s="40">
        <v>127325</v>
      </c>
      <c r="C35" s="41">
        <f t="shared" si="8"/>
        <v>280</v>
      </c>
      <c r="D35" s="42">
        <v>18889202</v>
      </c>
      <c r="E35" s="41">
        <f t="shared" si="9"/>
        <v>3203</v>
      </c>
      <c r="F35" s="42">
        <v>33850753</v>
      </c>
      <c r="G35" s="41">
        <f t="shared" si="10"/>
        <v>5315</v>
      </c>
      <c r="H35" s="42">
        <v>14995383</v>
      </c>
      <c r="I35" s="41">
        <f t="shared" si="3"/>
        <v>2350</v>
      </c>
    </row>
    <row r="36" spans="1:9" ht="21" thickTop="1" thickBot="1" x14ac:dyDescent="0.35">
      <c r="A36" s="39">
        <f t="shared" si="4"/>
        <v>44187</v>
      </c>
      <c r="B36" s="40">
        <v>127353</v>
      </c>
      <c r="C36" s="41">
        <f t="shared" si="8"/>
        <v>310</v>
      </c>
      <c r="D36" s="42">
        <v>18892405</v>
      </c>
      <c r="E36" s="41">
        <f t="shared" si="9"/>
        <v>3491</v>
      </c>
      <c r="F36" s="42">
        <v>33856068</v>
      </c>
      <c r="G36" s="41">
        <f t="shared" si="10"/>
        <v>5519</v>
      </c>
      <c r="H36" s="42">
        <v>14997733</v>
      </c>
      <c r="I36" s="41">
        <f t="shared" si="3"/>
        <v>2514</v>
      </c>
    </row>
    <row r="37" spans="1:9" ht="21" thickTop="1" thickBot="1" x14ac:dyDescent="0.35">
      <c r="A37" s="39">
        <f t="shared" si="4"/>
        <v>44188</v>
      </c>
      <c r="B37" s="40">
        <v>127384</v>
      </c>
      <c r="C37" s="41">
        <f t="shared" si="8"/>
        <v>270</v>
      </c>
      <c r="D37" s="42">
        <v>18895896</v>
      </c>
      <c r="E37" s="41">
        <f t="shared" si="9"/>
        <v>3454</v>
      </c>
      <c r="F37" s="42">
        <v>33861587</v>
      </c>
      <c r="G37" s="41">
        <f t="shared" si="10"/>
        <v>5325</v>
      </c>
      <c r="H37" s="42">
        <v>15000247</v>
      </c>
      <c r="I37" s="41">
        <f t="shared" si="3"/>
        <v>2312</v>
      </c>
    </row>
    <row r="38" spans="1:9" ht="21" thickTop="1" thickBot="1" x14ac:dyDescent="0.35">
      <c r="A38" s="39">
        <f t="shared" si="4"/>
        <v>44189</v>
      </c>
      <c r="B38" s="40">
        <v>127411</v>
      </c>
      <c r="C38" s="41">
        <f t="shared" si="8"/>
        <v>230</v>
      </c>
      <c r="D38" s="42">
        <v>18899350</v>
      </c>
      <c r="E38" s="41">
        <f t="shared" si="9"/>
        <v>3996</v>
      </c>
      <c r="F38" s="42">
        <v>33866912</v>
      </c>
      <c r="G38" s="41">
        <f t="shared" si="10"/>
        <v>5200</v>
      </c>
      <c r="H38" s="42">
        <v>15002559</v>
      </c>
      <c r="I38" s="41">
        <f t="shared" si="3"/>
        <v>2546</v>
      </c>
    </row>
    <row r="39" spans="1:9" ht="21" thickTop="1" thickBot="1" x14ac:dyDescent="0.35">
      <c r="A39" s="39">
        <f t="shared" si="4"/>
        <v>44190</v>
      </c>
      <c r="B39" s="40">
        <v>127434</v>
      </c>
      <c r="C39" s="41">
        <f t="shared" si="8"/>
        <v>260</v>
      </c>
      <c r="D39" s="42">
        <v>18903346</v>
      </c>
      <c r="E39" s="41">
        <f t="shared" si="9"/>
        <v>2868</v>
      </c>
      <c r="F39" s="42">
        <v>33872112</v>
      </c>
      <c r="G39" s="41">
        <f t="shared" si="10"/>
        <v>5367</v>
      </c>
      <c r="H39" s="42">
        <v>15005105</v>
      </c>
      <c r="I39" s="41">
        <f t="shared" si="3"/>
        <v>2446</v>
      </c>
    </row>
    <row r="40" spans="1:9" ht="21" thickTop="1" thickBot="1" x14ac:dyDescent="0.35">
      <c r="A40" s="39">
        <f t="shared" si="4"/>
        <v>44191</v>
      </c>
      <c r="B40" s="40">
        <v>127460</v>
      </c>
      <c r="C40" s="41">
        <f t="shared" si="8"/>
        <v>310</v>
      </c>
      <c r="D40" s="42">
        <v>18906214</v>
      </c>
      <c r="E40" s="41">
        <f t="shared" si="9"/>
        <v>3629</v>
      </c>
      <c r="F40" s="42">
        <v>33877479</v>
      </c>
      <c r="G40" s="41">
        <f t="shared" si="10"/>
        <v>5617</v>
      </c>
      <c r="H40" s="42">
        <v>15007551</v>
      </c>
      <c r="I40" s="41">
        <f t="shared" si="3"/>
        <v>2485</v>
      </c>
    </row>
    <row r="41" spans="1:9" ht="21" thickTop="1" thickBot="1" x14ac:dyDescent="0.35">
      <c r="A41" s="39">
        <f t="shared" si="4"/>
        <v>44192</v>
      </c>
      <c r="B41" s="40">
        <v>127491</v>
      </c>
      <c r="C41" s="41">
        <f t="shared" si="8"/>
        <v>320</v>
      </c>
      <c r="D41" s="42">
        <v>18909843</v>
      </c>
      <c r="E41" s="41">
        <f t="shared" si="9"/>
        <v>3365</v>
      </c>
      <c r="F41" s="42">
        <v>33883096</v>
      </c>
      <c r="G41" s="41">
        <f t="shared" si="10"/>
        <v>5447</v>
      </c>
      <c r="H41" s="42">
        <v>15010036</v>
      </c>
      <c r="I41" s="41">
        <f t="shared" si="3"/>
        <v>2497</v>
      </c>
    </row>
    <row r="42" spans="1:9" ht="21" thickTop="1" thickBot="1" x14ac:dyDescent="0.35">
      <c r="A42" s="39">
        <f t="shared" si="4"/>
        <v>44193</v>
      </c>
      <c r="B42" s="40">
        <v>127523</v>
      </c>
      <c r="C42" s="41">
        <f t="shared" si="8"/>
        <v>370</v>
      </c>
      <c r="D42" s="42">
        <v>18913208</v>
      </c>
      <c r="E42" s="41">
        <f t="shared" si="9"/>
        <v>3678</v>
      </c>
      <c r="F42" s="42">
        <v>33888543</v>
      </c>
      <c r="G42" s="41">
        <f t="shared" si="10"/>
        <v>5499</v>
      </c>
      <c r="H42" s="42">
        <v>15012533</v>
      </c>
      <c r="I42" s="41">
        <f t="shared" si="3"/>
        <v>2576</v>
      </c>
    </row>
    <row r="43" spans="1:9" ht="21" thickTop="1" thickBot="1" x14ac:dyDescent="0.35">
      <c r="A43" s="39">
        <f t="shared" si="4"/>
        <v>44194</v>
      </c>
      <c r="B43" s="40">
        <v>127560</v>
      </c>
      <c r="C43" s="41">
        <f t="shared" si="8"/>
        <v>0</v>
      </c>
      <c r="D43" s="42">
        <v>18916886</v>
      </c>
      <c r="E43" s="41">
        <f t="shared" si="9"/>
        <v>0</v>
      </c>
      <c r="F43" s="42">
        <v>33894042</v>
      </c>
      <c r="G43" s="41">
        <f t="shared" si="10"/>
        <v>0</v>
      </c>
      <c r="H43" s="42">
        <v>15015109</v>
      </c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7070</v>
      </c>
      <c r="E48" s="41">
        <f>SUM(E15:E45)</f>
        <v>90343</v>
      </c>
      <c r="F48" s="53"/>
      <c r="G48" s="41">
        <f>SUM(G15:G45)</f>
        <v>134985</v>
      </c>
      <c r="H48" s="53"/>
      <c r="I48" s="41">
        <f>SUM(I15:I45)</f>
        <v>62354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2" priority="1046" stopIfTrue="1" operator="lessThanOrEqual">
      <formula>0</formula>
    </cfRule>
  </conditionalFormatting>
  <conditionalFormatting sqref="C48">
    <cfRule type="cellIs" dxfId="71" priority="708" stopIfTrue="1" operator="lessThanOrEqual">
      <formula>0</formula>
    </cfRule>
  </conditionalFormatting>
  <conditionalFormatting sqref="C48">
    <cfRule type="cellIs" dxfId="70" priority="707" stopIfTrue="1" operator="lessThanOrEqual">
      <formula>0</formula>
    </cfRule>
  </conditionalFormatting>
  <conditionalFormatting sqref="C48">
    <cfRule type="cellIs" dxfId="69" priority="706" stopIfTrue="1" operator="lessThanOrEqual">
      <formula>0</formula>
    </cfRule>
  </conditionalFormatting>
  <conditionalFormatting sqref="C48">
    <cfRule type="cellIs" dxfId="68" priority="705" stopIfTrue="1" operator="lessThanOrEqual">
      <formula>0</formula>
    </cfRule>
  </conditionalFormatting>
  <conditionalFormatting sqref="E48">
    <cfRule type="cellIs" dxfId="67" priority="232" stopIfTrue="1" operator="lessThanOrEqual">
      <formula>0</formula>
    </cfRule>
  </conditionalFormatting>
  <conditionalFormatting sqref="E48">
    <cfRule type="cellIs" dxfId="66" priority="231" stopIfTrue="1" operator="lessThanOrEqual">
      <formula>0</formula>
    </cfRule>
  </conditionalFormatting>
  <conditionalFormatting sqref="E48">
    <cfRule type="cellIs" dxfId="65" priority="230" stopIfTrue="1" operator="lessThanOrEqual">
      <formula>0</formula>
    </cfRule>
  </conditionalFormatting>
  <conditionalFormatting sqref="E48">
    <cfRule type="cellIs" dxfId="64" priority="229" stopIfTrue="1" operator="lessThanOrEqual">
      <formula>0</formula>
    </cfRule>
  </conditionalFormatting>
  <conditionalFormatting sqref="G48">
    <cfRule type="cellIs" dxfId="63" priority="228" stopIfTrue="1" operator="lessThanOrEqual">
      <formula>0</formula>
    </cfRule>
  </conditionalFormatting>
  <conditionalFormatting sqref="G48">
    <cfRule type="cellIs" dxfId="62" priority="227" stopIfTrue="1" operator="lessThanOrEqual">
      <formula>0</formula>
    </cfRule>
  </conditionalFormatting>
  <conditionalFormatting sqref="G48">
    <cfRule type="cellIs" dxfId="61" priority="226" stopIfTrue="1" operator="lessThanOrEqual">
      <formula>0</formula>
    </cfRule>
  </conditionalFormatting>
  <conditionalFormatting sqref="G48">
    <cfRule type="cellIs" dxfId="60" priority="225" stopIfTrue="1" operator="lessThanOrEqual">
      <formula>0</formula>
    </cfRule>
  </conditionalFormatting>
  <conditionalFormatting sqref="I48">
    <cfRule type="cellIs" dxfId="59" priority="224" stopIfTrue="1" operator="lessThanOrEqual">
      <formula>0</formula>
    </cfRule>
  </conditionalFormatting>
  <conditionalFormatting sqref="I48">
    <cfRule type="cellIs" dxfId="58" priority="223" stopIfTrue="1" operator="lessThanOrEqual">
      <formula>0</formula>
    </cfRule>
  </conditionalFormatting>
  <conditionalFormatting sqref="I48">
    <cfRule type="cellIs" dxfId="57" priority="222" stopIfTrue="1" operator="lessThanOrEqual">
      <formula>0</formula>
    </cfRule>
  </conditionalFormatting>
  <conditionalFormatting sqref="I48">
    <cfRule type="cellIs" dxfId="56" priority="221" stopIfTrue="1" operator="lessThanOrEqual">
      <formula>0</formula>
    </cfRule>
  </conditionalFormatting>
  <conditionalFormatting sqref="C18:C31 C44:C47">
    <cfRule type="cellIs" dxfId="55" priority="60" stopIfTrue="1" operator="lessThanOrEqual">
      <formula>0</formula>
    </cfRule>
  </conditionalFormatting>
  <conditionalFormatting sqref="C18:C31 C44:C47">
    <cfRule type="cellIs" dxfId="54" priority="59" stopIfTrue="1" operator="lessThanOrEqual">
      <formula>0</formula>
    </cfRule>
  </conditionalFormatting>
  <conditionalFormatting sqref="C18:C31 C44:C47">
    <cfRule type="cellIs" dxfId="53" priority="58" stopIfTrue="1" operator="lessThanOrEqual">
      <formula>0</formula>
    </cfRule>
  </conditionalFormatting>
  <conditionalFormatting sqref="C18:C31 C44:C47">
    <cfRule type="cellIs" dxfId="52" priority="57" stopIfTrue="1" operator="lessThanOrEqual">
      <formula>0</formula>
    </cfRule>
  </conditionalFormatting>
  <conditionalFormatting sqref="C9">
    <cfRule type="cellIs" dxfId="51" priority="56" stopIfTrue="1" operator="lessThanOrEqual">
      <formula>0</formula>
    </cfRule>
  </conditionalFormatting>
  <conditionalFormatting sqref="C9">
    <cfRule type="cellIs" dxfId="50" priority="55" stopIfTrue="1" operator="lessThanOrEqual">
      <formula>0</formula>
    </cfRule>
  </conditionalFormatting>
  <conditionalFormatting sqref="C9">
    <cfRule type="cellIs" dxfId="49" priority="54" stopIfTrue="1" operator="lessThanOrEqual">
      <formula>0</formula>
    </cfRule>
  </conditionalFormatting>
  <conditionalFormatting sqref="C9">
    <cfRule type="cellIs" dxfId="48" priority="53" stopIfTrue="1" operator="lessThanOrEqual">
      <formula>0</formula>
    </cfRule>
  </conditionalFormatting>
  <conditionalFormatting sqref="C10:C12">
    <cfRule type="cellIs" dxfId="47" priority="52" stopIfTrue="1" operator="lessThanOrEqual">
      <formula>0</formula>
    </cfRule>
  </conditionalFormatting>
  <conditionalFormatting sqref="C10:C12">
    <cfRule type="cellIs" dxfId="46" priority="51" stopIfTrue="1" operator="lessThanOrEqual">
      <formula>0</formula>
    </cfRule>
  </conditionalFormatting>
  <conditionalFormatting sqref="C10:C12">
    <cfRule type="cellIs" dxfId="45" priority="50" stopIfTrue="1" operator="lessThanOrEqual">
      <formula>0</formula>
    </cfRule>
  </conditionalFormatting>
  <conditionalFormatting sqref="C10:C12">
    <cfRule type="cellIs" dxfId="44" priority="49" stopIfTrue="1" operator="lessThanOrEqual">
      <formula>0</formula>
    </cfRule>
  </conditionalFormatting>
  <conditionalFormatting sqref="C13">
    <cfRule type="cellIs" dxfId="43" priority="48" stopIfTrue="1" operator="lessThanOrEqual">
      <formula>0</formula>
    </cfRule>
  </conditionalFormatting>
  <conditionalFormatting sqref="C13">
    <cfRule type="cellIs" dxfId="42" priority="47" stopIfTrue="1" operator="lessThanOrEqual">
      <formula>0</formula>
    </cfRule>
  </conditionalFormatting>
  <conditionalFormatting sqref="C13">
    <cfRule type="cellIs" dxfId="41" priority="46" stopIfTrue="1" operator="lessThanOrEqual">
      <formula>0</formula>
    </cfRule>
  </conditionalFormatting>
  <conditionalFormatting sqref="C13">
    <cfRule type="cellIs" dxfId="40" priority="45" stopIfTrue="1" operator="lessThanOrEqual">
      <formula>0</formula>
    </cfRule>
  </conditionalFormatting>
  <conditionalFormatting sqref="C14">
    <cfRule type="cellIs" dxfId="39" priority="44" stopIfTrue="1" operator="lessThanOrEqual">
      <formula>0</formula>
    </cfRule>
  </conditionalFormatting>
  <conditionalFormatting sqref="C14">
    <cfRule type="cellIs" dxfId="38" priority="43" stopIfTrue="1" operator="lessThanOrEqual">
      <formula>0</formula>
    </cfRule>
  </conditionalFormatting>
  <conditionalFormatting sqref="C14">
    <cfRule type="cellIs" dxfId="37" priority="42" stopIfTrue="1" operator="lessThanOrEqual">
      <formula>0</formula>
    </cfRule>
  </conditionalFormatting>
  <conditionalFormatting sqref="C14">
    <cfRule type="cellIs" dxfId="36" priority="41" stopIfTrue="1" operator="lessThanOrEqual">
      <formula>0</formula>
    </cfRule>
  </conditionalFormatting>
  <conditionalFormatting sqref="C15">
    <cfRule type="cellIs" dxfId="35" priority="40" stopIfTrue="1" operator="lessThanOrEqual">
      <formula>0</formula>
    </cfRule>
  </conditionalFormatting>
  <conditionalFormatting sqref="C15">
    <cfRule type="cellIs" dxfId="34" priority="39" stopIfTrue="1" operator="lessThanOrEqual">
      <formula>0</formula>
    </cfRule>
  </conditionalFormatting>
  <conditionalFormatting sqref="C15">
    <cfRule type="cellIs" dxfId="33" priority="38" stopIfTrue="1" operator="lessThanOrEqual">
      <formula>0</formula>
    </cfRule>
  </conditionalFormatting>
  <conditionalFormatting sqref="C15">
    <cfRule type="cellIs" dxfId="32" priority="37" stopIfTrue="1" operator="lessThanOrEqual">
      <formula>0</formula>
    </cfRule>
  </conditionalFormatting>
  <conditionalFormatting sqref="C16">
    <cfRule type="cellIs" dxfId="31" priority="36" stopIfTrue="1" operator="lessThanOrEqual">
      <formula>0</formula>
    </cfRule>
  </conditionalFormatting>
  <conditionalFormatting sqref="C16">
    <cfRule type="cellIs" dxfId="30" priority="35" stopIfTrue="1" operator="lessThanOrEqual">
      <formula>0</formula>
    </cfRule>
  </conditionalFormatting>
  <conditionalFormatting sqref="C16">
    <cfRule type="cellIs" dxfId="29" priority="34" stopIfTrue="1" operator="lessThanOrEqual">
      <formula>0</formula>
    </cfRule>
  </conditionalFormatting>
  <conditionalFormatting sqref="C16">
    <cfRule type="cellIs" dxfId="28" priority="33" stopIfTrue="1" operator="lessThanOrEqual">
      <formula>0</formula>
    </cfRule>
  </conditionalFormatting>
  <conditionalFormatting sqref="C17">
    <cfRule type="cellIs" dxfId="27" priority="32" stopIfTrue="1" operator="lessThanOrEqual">
      <formula>0</formula>
    </cfRule>
  </conditionalFormatting>
  <conditionalFormatting sqref="C17">
    <cfRule type="cellIs" dxfId="26" priority="31" stopIfTrue="1" operator="lessThanOrEqual">
      <formula>0</formula>
    </cfRule>
  </conditionalFormatting>
  <conditionalFormatting sqref="C17">
    <cfRule type="cellIs" dxfId="25" priority="30" stopIfTrue="1" operator="lessThanOrEqual">
      <formula>0</formula>
    </cfRule>
  </conditionalFormatting>
  <conditionalFormatting sqref="C17">
    <cfRule type="cellIs" dxfId="24" priority="29" stopIfTrue="1" operator="lessThanOrEqual">
      <formula>0</formula>
    </cfRule>
  </conditionalFormatting>
  <conditionalFormatting sqref="C32:C37">
    <cfRule type="cellIs" dxfId="23" priority="20" stopIfTrue="1" operator="lessThanOrEqual">
      <formula>0</formula>
    </cfRule>
  </conditionalFormatting>
  <conditionalFormatting sqref="C32:C37">
    <cfRule type="cellIs" dxfId="22" priority="19" stopIfTrue="1" operator="lessThanOrEqual">
      <formula>0</formula>
    </cfRule>
  </conditionalFormatting>
  <conditionalFormatting sqref="C32:C37">
    <cfRule type="cellIs" dxfId="21" priority="18" stopIfTrue="1" operator="lessThanOrEqual">
      <formula>0</formula>
    </cfRule>
  </conditionalFormatting>
  <conditionalFormatting sqref="C32:C37">
    <cfRule type="cellIs" dxfId="20" priority="17" stopIfTrue="1" operator="lessThanOrEqual">
      <formula>0</formula>
    </cfRule>
  </conditionalFormatting>
  <conditionalFormatting sqref="C38">
    <cfRule type="cellIs" dxfId="19" priority="16" stopIfTrue="1" operator="lessThanOrEqual">
      <formula>0</formula>
    </cfRule>
  </conditionalFormatting>
  <conditionalFormatting sqref="C38">
    <cfRule type="cellIs" dxfId="18" priority="15" stopIfTrue="1" operator="lessThanOrEqual">
      <formula>0</formula>
    </cfRule>
  </conditionalFormatting>
  <conditionalFormatting sqref="C38">
    <cfRule type="cellIs" dxfId="17" priority="14" stopIfTrue="1" operator="lessThanOrEqual">
      <formula>0</formula>
    </cfRule>
  </conditionalFormatting>
  <conditionalFormatting sqref="C38">
    <cfRule type="cellIs" dxfId="16" priority="13" stopIfTrue="1" operator="lessThanOrEqual">
      <formula>0</formula>
    </cfRule>
  </conditionalFormatting>
  <conditionalFormatting sqref="C39">
    <cfRule type="cellIs" dxfId="15" priority="12" stopIfTrue="1" operator="lessThanOrEqual">
      <formula>0</formula>
    </cfRule>
  </conditionalFormatting>
  <conditionalFormatting sqref="C39">
    <cfRule type="cellIs" dxfId="14" priority="11" stopIfTrue="1" operator="lessThanOrEqual">
      <formula>0</formula>
    </cfRule>
  </conditionalFormatting>
  <conditionalFormatting sqref="C39">
    <cfRule type="cellIs" dxfId="13" priority="10" stopIfTrue="1" operator="lessThanOrEqual">
      <formula>0</formula>
    </cfRule>
  </conditionalFormatting>
  <conditionalFormatting sqref="C39">
    <cfRule type="cellIs" dxfId="12" priority="9" stopIfTrue="1" operator="lessThanOrEqual">
      <formula>0</formula>
    </cfRule>
  </conditionalFormatting>
  <conditionalFormatting sqref="C40:C42">
    <cfRule type="cellIs" dxfId="11" priority="8" stopIfTrue="1" operator="lessThanOrEqual">
      <formula>0</formula>
    </cfRule>
  </conditionalFormatting>
  <conditionalFormatting sqref="C40:C42">
    <cfRule type="cellIs" dxfId="10" priority="7" stopIfTrue="1" operator="lessThanOrEqual">
      <formula>0</formula>
    </cfRule>
  </conditionalFormatting>
  <conditionalFormatting sqref="C40:C42">
    <cfRule type="cellIs" dxfId="9" priority="6" stopIfTrue="1" operator="lessThanOrEqual">
      <formula>0</formula>
    </cfRule>
  </conditionalFormatting>
  <conditionalFormatting sqref="C40:C42">
    <cfRule type="cellIs" dxfId="8" priority="5" stopIfTrue="1" operator="lessThanOrEqual">
      <formula>0</formula>
    </cfRule>
  </conditionalFormatting>
  <conditionalFormatting sqref="C43">
    <cfRule type="cellIs" dxfId="7" priority="4" stopIfTrue="1" operator="lessThanOrEqual">
      <formula>0</formula>
    </cfRule>
  </conditionalFormatting>
  <conditionalFormatting sqref="C43">
    <cfRule type="cellIs" dxfId="5" priority="3" stopIfTrue="1" operator="lessThanOrEqual">
      <formula>0</formula>
    </cfRule>
  </conditionalFormatting>
  <conditionalFormatting sqref="C43">
    <cfRule type="cellIs" dxfId="3" priority="2" stopIfTrue="1" operator="lessThanOrEqual">
      <formula>0</formula>
    </cfRule>
  </conditionalFormatting>
  <conditionalFormatting sqref="C4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2020-12-29T12:25:12Z</dcterms:modified>
</cp:coreProperties>
</file>