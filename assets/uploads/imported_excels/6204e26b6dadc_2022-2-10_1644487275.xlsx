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680" yWindow="120" windowWidth="14175" windowHeight="12060" tabRatio="578" firstSheet="1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13" i="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W28" s="1"/>
  <c r="G3"/>
  <c r="H3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X9"/>
  <c r="AX10" s="1"/>
  <c r="AX13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K5"/>
  <c r="K6" s="1"/>
  <c r="K7" s="1"/>
  <c r="K8" s="1"/>
  <c r="K9" s="1"/>
  <c r="K10" s="1"/>
  <c r="K11" s="1"/>
  <c r="K12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B8"/>
  <c r="B9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F7" i="2"/>
  <c r="F8" s="1"/>
  <c r="F11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H7"/>
  <c r="H8" s="1"/>
  <c r="H11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J3"/>
  <c r="J7" s="1"/>
  <c r="J8" s="1"/>
  <c r="J11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K3"/>
  <c r="L3"/>
  <c r="L7" s="1"/>
  <c r="L8" s="1"/>
  <c r="L11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M3"/>
  <c r="N3"/>
  <c r="O3"/>
  <c r="P3"/>
  <c r="P7" s="1"/>
  <c r="P8" s="1"/>
  <c r="P11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Q9" l="1"/>
  <c r="C10" i="74"/>
  <c r="H8" i="79" l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AA26" i="76"/>
  <c r="X6" i="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Y29" i="5"/>
  <c r="K21" i="2"/>
  <c r="N20"/>
  <c r="R20" s="1"/>
  <c r="G21"/>
  <c r="M21"/>
  <c r="AB21"/>
  <c r="Q21"/>
  <c r="I21"/>
  <c r="Z21"/>
  <c r="X21"/>
  <c r="Q6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Y31" i="5" l="1"/>
  <c r="N22" i="2"/>
  <c r="R22" s="1"/>
  <c r="G23"/>
  <c r="X23"/>
  <c r="AB23"/>
  <c r="Q23"/>
  <c r="M23"/>
  <c r="I23"/>
  <c r="K23"/>
  <c r="Z23"/>
  <c r="Q11"/>
  <c r="I7" i="77"/>
  <c r="I12" s="1"/>
  <c r="Y32" i="5" l="1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V12" s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15" l="1"/>
  <c r="F16" l="1"/>
  <c r="F17" l="1"/>
  <c r="F18" l="1"/>
  <c r="F20" l="1"/>
  <c r="F21" l="1"/>
  <c r="F24" l="1"/>
  <c r="F25" l="1"/>
  <c r="F26" l="1"/>
  <c r="F27" l="1"/>
  <c r="F29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Z26" l="1"/>
  <c r="AJ25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l="1"/>
  <c r="AC12"/>
  <c r="O25" l="1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AC16"/>
  <c r="O3" l="1"/>
  <c r="D10" i="77"/>
  <c r="E10" s="1"/>
  <c r="E12" s="1"/>
  <c r="AB33" i="76"/>
  <c r="AB34" s="1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X20" i="7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S2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T31" s="1"/>
  <c r="F29" i="81" s="1"/>
  <c r="AX37" i="7"/>
  <c r="AX42" s="1"/>
  <c r="M15" i="5"/>
  <c r="N14"/>
  <c r="P14"/>
  <c r="O15"/>
  <c r="AS18"/>
  <c r="AY17"/>
  <c r="BB17" s="1"/>
  <c r="BE17" s="1"/>
  <c r="Q14" l="1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W15" i="5" l="1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Q30" s="1"/>
  <c r="M26" i="81" s="1"/>
  <c r="M31" i="5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I29" i="63" l="1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AB15" s="1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AB16" s="1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AL37" s="1"/>
  <c r="W32"/>
  <c r="AL32" s="1"/>
  <c r="Q33"/>
  <c r="M19" i="3"/>
  <c r="L20"/>
  <c r="Z17"/>
  <c r="N17"/>
  <c r="AB17" s="1"/>
  <c r="J19"/>
  <c r="K18"/>
  <c r="Q32" i="5"/>
  <c r="M28" i="81" s="1"/>
  <c r="M29" l="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AB18" s="1"/>
  <c r="J21" l="1"/>
  <c r="K20"/>
  <c r="L22"/>
  <c r="M21"/>
  <c r="N19"/>
  <c r="AB19" s="1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AB24" s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AB25" s="1"/>
  <c r="J28" l="1"/>
  <c r="K27"/>
  <c r="Z26"/>
  <c r="N26"/>
  <c r="AB26" s="1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AB29" s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B20" s="1"/>
  <c r="F30" i="63"/>
  <c r="AK30" i="3"/>
  <c r="AE30"/>
  <c r="AF30" s="1"/>
  <c r="Z34"/>
  <c r="B18" i="77" s="1"/>
  <c r="W32" i="76" l="1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E24" l="1"/>
  <c r="AA24" s="1"/>
  <c r="AC24" s="1"/>
  <c r="AH24" s="1"/>
  <c r="D25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s="1"/>
  <c r="AA30" s="1"/>
  <c r="AC30" s="1"/>
  <c r="AH30" s="1"/>
  <c r="AN5" i="1" l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AU36" i="1"/>
  <c r="AU38" s="1"/>
  <c r="P30" i="3"/>
  <c r="Q30" s="1"/>
  <c r="Q29"/>
  <c r="AX5" i="1" l="1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<sst xmlns="http://schemas.openxmlformats.org/spreadsheetml/2006/main" count="668" uniqueCount="417">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</sst>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83402496"/>
        <c:axId val="183968512"/>
      </c:lineChart>
      <c:catAx>
        <c:axId val="18340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968512"/>
        <c:crosses val="autoZero"/>
        <c:auto val="1"/>
        <c:lblAlgn val="ctr"/>
        <c:lblOffset val="100"/>
      </c:catAx>
      <c:valAx>
        <c:axId val="183968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0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83989376"/>
        <c:axId val="183990912"/>
      </c:lineChart>
      <c:catAx>
        <c:axId val="18398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990912"/>
        <c:crosses val="autoZero"/>
        <c:auto val="1"/>
        <c:lblAlgn val="ctr"/>
        <c:lblOffset val="100"/>
      </c:catAx>
      <c:valAx>
        <c:axId val="18399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98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73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84007296"/>
        <c:axId val="184017280"/>
      </c:lineChart>
      <c:catAx>
        <c:axId val="18400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017280"/>
        <c:crosses val="autoZero"/>
        <c:auto val="1"/>
        <c:lblAlgn val="ctr"/>
        <c:lblOffset val="100"/>
      </c:catAx>
      <c:valAx>
        <c:axId val="1840172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00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84304000"/>
        <c:axId val="184305536"/>
      </c:lineChart>
      <c:catAx>
        <c:axId val="18430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305536"/>
        <c:crosses val="autoZero"/>
        <c:auto val="1"/>
        <c:lblAlgn val="ctr"/>
        <c:lblOffset val="100"/>
      </c:catAx>
      <c:valAx>
        <c:axId val="184305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30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141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84334208"/>
        <c:axId val="184335744"/>
      </c:lineChart>
      <c:catAx>
        <c:axId val="18433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335744"/>
        <c:crosses val="autoZero"/>
        <c:auto val="1"/>
        <c:lblAlgn val="ctr"/>
        <c:lblOffset val="100"/>
      </c:catAx>
      <c:valAx>
        <c:axId val="184335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33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07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83250944"/>
        <c:axId val="183252480"/>
      </c:lineChart>
      <c:catAx>
        <c:axId val="18325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252480"/>
        <c:crosses val="autoZero"/>
        <c:auto val="1"/>
        <c:lblAlgn val="ctr"/>
        <c:lblOffset val="100"/>
      </c:catAx>
      <c:valAx>
        <c:axId val="18325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25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83285248"/>
        <c:axId val="183286784"/>
      </c:lineChart>
      <c:catAx>
        <c:axId val="18328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286784"/>
        <c:crosses val="autoZero"/>
        <c:auto val="1"/>
        <c:lblAlgn val="ctr"/>
        <c:lblOffset val="100"/>
      </c:catAx>
      <c:valAx>
        <c:axId val="183286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28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83294592"/>
        <c:axId val="184230272"/>
      </c:lineChart>
      <c:catAx>
        <c:axId val="18329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30272"/>
        <c:crosses val="autoZero"/>
        <c:auto val="1"/>
        <c:lblAlgn val="ctr"/>
        <c:lblOffset val="100"/>
      </c:catAx>
      <c:valAx>
        <c:axId val="184230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29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84254848"/>
        <c:axId val="184256384"/>
      </c:lineChart>
      <c:catAx>
        <c:axId val="18425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56384"/>
        <c:crosses val="autoZero"/>
        <c:auto val="1"/>
        <c:lblAlgn val="ctr"/>
        <c:lblOffset val="100"/>
      </c:catAx>
      <c:valAx>
        <c:axId val="184256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5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599"/>
          <c:w val="0.1272403315177628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84158080"/>
        <c:axId val="184159616"/>
      </c:lineChart>
      <c:catAx>
        <c:axId val="18415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59616"/>
        <c:crosses val="autoZero"/>
        <c:auto val="1"/>
        <c:lblAlgn val="ctr"/>
        <c:lblOffset val="100"/>
      </c:catAx>
      <c:valAx>
        <c:axId val="18415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5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84495488"/>
        <c:axId val="184534144"/>
      </c:lineChart>
      <c:catAx>
        <c:axId val="18449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534144"/>
        <c:crosses val="autoZero"/>
        <c:auto val="1"/>
        <c:lblAlgn val="ctr"/>
        <c:lblOffset val="100"/>
      </c:catAx>
      <c:valAx>
        <c:axId val="1845341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49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6377984"/>
        <c:axId val="86379520"/>
      </c:lineChart>
      <c:catAx>
        <c:axId val="8637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79520"/>
        <c:crosses val="autoZero"/>
        <c:auto val="1"/>
        <c:lblAlgn val="ctr"/>
        <c:lblOffset val="100"/>
      </c:catAx>
      <c:valAx>
        <c:axId val="8637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7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70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6392192"/>
        <c:axId val="118113408"/>
      </c:lineChart>
      <c:catAx>
        <c:axId val="8639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13408"/>
        <c:crosses val="autoZero"/>
        <c:auto val="1"/>
        <c:lblAlgn val="ctr"/>
        <c:lblOffset val="100"/>
      </c:catAx>
      <c:valAx>
        <c:axId val="11811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9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599"/>
          <c:w val="0.135416885389377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8133888"/>
        <c:axId val="118135424"/>
      </c:lineChart>
      <c:catAx>
        <c:axId val="11813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35424"/>
        <c:crosses val="autoZero"/>
        <c:auto val="1"/>
        <c:lblAlgn val="ctr"/>
        <c:lblOffset val="100"/>
      </c:catAx>
      <c:valAx>
        <c:axId val="1181354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3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59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8037504"/>
        <c:axId val="118043392"/>
      </c:lineChart>
      <c:catAx>
        <c:axId val="11803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43392"/>
        <c:crosses val="autoZero"/>
        <c:auto val="1"/>
        <c:lblAlgn val="ctr"/>
        <c:lblOffset val="100"/>
      </c:catAx>
      <c:valAx>
        <c:axId val="118043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3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8084352"/>
        <c:axId val="118085888"/>
      </c:lineChart>
      <c:catAx>
        <c:axId val="11808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85888"/>
        <c:crosses val="autoZero"/>
        <c:auto val="1"/>
        <c:lblAlgn val="ctr"/>
        <c:lblOffset val="100"/>
      </c:catAx>
      <c:valAx>
        <c:axId val="11808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8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599"/>
          <c:w val="0.1354168853893777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8176000"/>
        <c:axId val="118177792"/>
      </c:lineChart>
      <c:catAx>
        <c:axId val="11817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77792"/>
        <c:crosses val="autoZero"/>
        <c:auto val="1"/>
        <c:lblAlgn val="ctr"/>
        <c:lblOffset val="100"/>
      </c:catAx>
      <c:valAx>
        <c:axId val="1181777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21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8218752"/>
        <c:axId val="118220288"/>
      </c:lineChart>
      <c:catAx>
        <c:axId val="11821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20288"/>
        <c:crosses val="autoZero"/>
        <c:auto val="1"/>
        <c:lblAlgn val="ctr"/>
        <c:lblOffset val="100"/>
      </c:catAx>
      <c:valAx>
        <c:axId val="118220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1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8253440"/>
        <c:axId val="118254976"/>
      </c:lineChart>
      <c:catAx>
        <c:axId val="11825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54976"/>
        <c:crosses val="autoZero"/>
        <c:auto val="1"/>
        <c:lblAlgn val="ctr"/>
        <c:lblOffset val="100"/>
      </c:catAx>
      <c:valAx>
        <c:axId val="11825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5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81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8291840"/>
        <c:axId val="118297728"/>
      </c:lineChart>
      <c:catAx>
        <c:axId val="11829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97728"/>
        <c:crosses val="autoZero"/>
        <c:auto val="1"/>
        <c:lblAlgn val="ctr"/>
        <c:lblOffset val="100"/>
      </c:catAx>
      <c:valAx>
        <c:axId val="1182977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9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8326400"/>
        <c:axId val="118327936"/>
      </c:lineChart>
      <c:catAx>
        <c:axId val="11832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27936"/>
        <c:crosses val="autoZero"/>
        <c:auto val="1"/>
        <c:lblAlgn val="ctr"/>
        <c:lblOffset val="100"/>
      </c:catAx>
      <c:valAx>
        <c:axId val="1183279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2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8430336"/>
        <c:axId val="118436224"/>
      </c:lineChart>
      <c:catAx>
        <c:axId val="11843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36224"/>
        <c:crosses val="autoZero"/>
        <c:auto val="1"/>
        <c:lblAlgn val="ctr"/>
        <c:lblOffset val="100"/>
      </c:catAx>
      <c:valAx>
        <c:axId val="11843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3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32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8464896"/>
        <c:axId val="118466432"/>
      </c:lineChart>
      <c:catAx>
        <c:axId val="11846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66432"/>
        <c:crosses val="autoZero"/>
        <c:auto val="1"/>
        <c:lblAlgn val="ctr"/>
        <c:lblOffset val="100"/>
      </c:catAx>
      <c:valAx>
        <c:axId val="11846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6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59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8499200"/>
        <c:axId val="118500736"/>
      </c:lineChart>
      <c:catAx>
        <c:axId val="11849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00736"/>
        <c:crosses val="autoZero"/>
        <c:auto val="1"/>
        <c:lblAlgn val="ctr"/>
        <c:lblOffset val="100"/>
      </c:catAx>
      <c:valAx>
        <c:axId val="11850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9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1419"/>
          <c:w val="0.1234311819809437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8534912"/>
        <c:axId val="118536448"/>
      </c:lineChart>
      <c:catAx>
        <c:axId val="1185349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36448"/>
        <c:crosses val="autoZero"/>
        <c:auto val="1"/>
        <c:lblAlgn val="ctr"/>
        <c:lblOffset val="100"/>
      </c:catAx>
      <c:valAx>
        <c:axId val="1185364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3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988"/>
          <c:w val="0.156903985328242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8560640"/>
        <c:axId val="118562176"/>
      </c:lineChart>
      <c:catAx>
        <c:axId val="11856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62176"/>
        <c:crosses val="autoZero"/>
        <c:auto val="1"/>
        <c:lblAlgn val="ctr"/>
        <c:lblOffset val="100"/>
      </c:catAx>
      <c:valAx>
        <c:axId val="118562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6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94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8386688"/>
        <c:axId val="118388224"/>
      </c:lineChart>
      <c:catAx>
        <c:axId val="11838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88224"/>
        <c:crosses val="autoZero"/>
        <c:auto val="1"/>
        <c:lblAlgn val="ctr"/>
        <c:lblOffset val="100"/>
      </c:catAx>
      <c:valAx>
        <c:axId val="118388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8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7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0077312"/>
        <c:axId val="120091392"/>
      </c:lineChart>
      <c:catAx>
        <c:axId val="1200773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91392"/>
        <c:crosses val="autoZero"/>
        <c:auto val="1"/>
        <c:lblAlgn val="ctr"/>
        <c:lblOffset val="100"/>
      </c:catAx>
      <c:valAx>
        <c:axId val="1200913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7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98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 refreshError="1"/>
      <sheetData sheetId="9">
        <row r="19">
          <cell r="F19">
            <v>0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44561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0.25282943274927444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0.36641896420384396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0.30624145744665221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0.13816869912793003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0.27720671693565541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0.30422751428349154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SUM(tanks!AV18)</f>
        <v>0.76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0.76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0.76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0.76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0.76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0.76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0.76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0.76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0.76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0.76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0.76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0.76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0.76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0.76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0.76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0.76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0" sqref="B30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12" sqref="Q12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f t="shared" si="23"/>
        <v>176360</v>
      </c>
      <c r="E13" s="584">
        <f t="shared" si="7"/>
        <v>0</v>
      </c>
      <c r="F13" s="573">
        <f t="shared" si="24"/>
        <v>4116198</v>
      </c>
      <c r="G13" s="449">
        <f t="shared" si="15"/>
        <v>0</v>
      </c>
      <c r="H13" s="426">
        <f t="shared" si="25"/>
        <v>18013006</v>
      </c>
      <c r="I13" s="449">
        <f t="shared" si="16"/>
        <v>0</v>
      </c>
      <c r="J13" s="426">
        <f t="shared" si="26"/>
        <v>29695634</v>
      </c>
      <c r="K13" s="449">
        <f t="shared" si="17"/>
        <v>0</v>
      </c>
      <c r="L13" s="426">
        <f t="shared" si="27"/>
        <v>24526232</v>
      </c>
      <c r="M13" s="449">
        <f t="shared" si="18"/>
        <v>0</v>
      </c>
      <c r="N13" s="297">
        <f>M13+K13+I13+G13+E13</f>
        <v>0</v>
      </c>
      <c r="O13" s="445">
        <f t="shared" si="32"/>
        <v>0</v>
      </c>
      <c r="P13" s="564">
        <f t="shared" si="28"/>
        <v>18920.780999999999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176360</v>
      </c>
      <c r="E14" s="584">
        <f t="shared" si="7"/>
        <v>0</v>
      </c>
      <c r="F14" s="573">
        <f t="shared" si="24"/>
        <v>4116198</v>
      </c>
      <c r="G14" s="449">
        <f t="shared" si="15"/>
        <v>0</v>
      </c>
      <c r="H14" s="426">
        <f t="shared" si="25"/>
        <v>18013006</v>
      </c>
      <c r="I14" s="449">
        <f t="shared" si="16"/>
        <v>0</v>
      </c>
      <c r="J14" s="426">
        <f t="shared" si="26"/>
        <v>29695634</v>
      </c>
      <c r="K14" s="449">
        <f t="shared" si="17"/>
        <v>0</v>
      </c>
      <c r="L14" s="426">
        <f t="shared" si="27"/>
        <v>24526232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18920.780999999999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176360</v>
      </c>
      <c r="E15" s="584">
        <f t="shared" si="7"/>
        <v>0</v>
      </c>
      <c r="F15" s="573">
        <f t="shared" si="24"/>
        <v>4116198</v>
      </c>
      <c r="G15" s="449">
        <f t="shared" si="15"/>
        <v>0</v>
      </c>
      <c r="H15" s="426">
        <f t="shared" si="25"/>
        <v>18013006</v>
      </c>
      <c r="I15" s="449">
        <f t="shared" si="16"/>
        <v>0</v>
      </c>
      <c r="J15" s="426">
        <f t="shared" si="26"/>
        <v>29695634</v>
      </c>
      <c r="K15" s="449">
        <f t="shared" si="17"/>
        <v>0</v>
      </c>
      <c r="L15" s="426">
        <f t="shared" si="27"/>
        <v>24526232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18920.780999999999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f t="shared" si="23"/>
        <v>176360</v>
      </c>
      <c r="E16" s="584">
        <f t="shared" si="7"/>
        <v>0</v>
      </c>
      <c r="F16" s="573">
        <f t="shared" si="24"/>
        <v>4116198</v>
      </c>
      <c r="G16" s="449">
        <f t="shared" si="15"/>
        <v>0</v>
      </c>
      <c r="H16" s="426">
        <f t="shared" si="25"/>
        <v>18013006</v>
      </c>
      <c r="I16" s="449">
        <f t="shared" si="16"/>
        <v>0</v>
      </c>
      <c r="J16" s="426">
        <f t="shared" si="26"/>
        <v>29695634</v>
      </c>
      <c r="K16" s="449">
        <f t="shared" si="17"/>
        <v>0</v>
      </c>
      <c r="L16" s="426">
        <f t="shared" si="27"/>
        <v>24526232</v>
      </c>
      <c r="M16" s="449">
        <f t="shared" si="18"/>
        <v>0</v>
      </c>
      <c r="N16" s="297">
        <f t="shared" si="19"/>
        <v>0</v>
      </c>
      <c r="O16" s="445">
        <f t="shared" si="32"/>
        <v>0</v>
      </c>
      <c r="P16" s="564">
        <f t="shared" si="28"/>
        <v>18920.780999999999</v>
      </c>
      <c r="Q16" s="446">
        <f t="shared" si="1"/>
        <v>0</v>
      </c>
      <c r="R16" s="428">
        <f t="shared" si="29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f t="shared" si="23"/>
        <v>176360</v>
      </c>
      <c r="E17" s="584">
        <f t="shared" si="7"/>
        <v>0</v>
      </c>
      <c r="F17" s="573">
        <f t="shared" si="24"/>
        <v>4116198</v>
      </c>
      <c r="G17" s="449">
        <f t="shared" si="15"/>
        <v>0</v>
      </c>
      <c r="H17" s="426">
        <f t="shared" si="25"/>
        <v>18013006</v>
      </c>
      <c r="I17" s="449">
        <f t="shared" si="16"/>
        <v>0</v>
      </c>
      <c r="J17" s="426">
        <f t="shared" si="26"/>
        <v>29695634</v>
      </c>
      <c r="K17" s="449">
        <f t="shared" si="17"/>
        <v>0</v>
      </c>
      <c r="L17" s="426">
        <f t="shared" si="27"/>
        <v>24526232</v>
      </c>
      <c r="M17" s="449">
        <f t="shared" si="18"/>
        <v>0</v>
      </c>
      <c r="N17" s="297">
        <f t="shared" si="19"/>
        <v>0</v>
      </c>
      <c r="O17" s="445">
        <f t="shared" si="32"/>
        <v>0</v>
      </c>
      <c r="P17" s="564">
        <f t="shared" si="28"/>
        <v>18920.780999999999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f t="shared" si="23"/>
        <v>176360</v>
      </c>
      <c r="E18" s="584">
        <f t="shared" si="7"/>
        <v>0</v>
      </c>
      <c r="F18" s="573">
        <f t="shared" si="24"/>
        <v>4116198</v>
      </c>
      <c r="G18" s="449">
        <f t="shared" si="15"/>
        <v>0</v>
      </c>
      <c r="H18" s="426">
        <f t="shared" si="25"/>
        <v>18013006</v>
      </c>
      <c r="I18" s="449">
        <f t="shared" si="16"/>
        <v>0</v>
      </c>
      <c r="J18" s="426">
        <f t="shared" si="26"/>
        <v>29695634</v>
      </c>
      <c r="K18" s="449">
        <f t="shared" si="17"/>
        <v>0</v>
      </c>
      <c r="L18" s="426">
        <f t="shared" si="27"/>
        <v>24526232</v>
      </c>
      <c r="M18" s="449">
        <f t="shared" si="18"/>
        <v>0</v>
      </c>
      <c r="N18" s="297">
        <f>M18+K18+I18+G18+E18</f>
        <v>0</v>
      </c>
      <c r="O18" s="445">
        <f t="shared" si="32"/>
        <v>0</v>
      </c>
      <c r="P18" s="564">
        <f t="shared" si="28"/>
        <v>18920.780999999999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f t="shared" si="23"/>
        <v>176360</v>
      </c>
      <c r="E19" s="584">
        <f t="shared" si="7"/>
        <v>0</v>
      </c>
      <c r="F19" s="573">
        <f t="shared" si="24"/>
        <v>4116198</v>
      </c>
      <c r="G19" s="449">
        <f t="shared" si="15"/>
        <v>0</v>
      </c>
      <c r="H19" s="426">
        <f t="shared" si="25"/>
        <v>18013006</v>
      </c>
      <c r="I19" s="449">
        <f t="shared" si="16"/>
        <v>0</v>
      </c>
      <c r="J19" s="426">
        <f t="shared" si="26"/>
        <v>29695634</v>
      </c>
      <c r="K19" s="449">
        <f t="shared" si="17"/>
        <v>0</v>
      </c>
      <c r="L19" s="426">
        <f t="shared" si="27"/>
        <v>24526232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4">
        <f t="shared" si="28"/>
        <v>18920.780999999999</v>
      </c>
      <c r="Q19" s="446">
        <f>(P19-P18)*1000</f>
        <v>0</v>
      </c>
      <c r="R19" s="603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f t="shared" si="23"/>
        <v>176360</v>
      </c>
      <c r="E20" s="584">
        <f t="shared" si="7"/>
        <v>0</v>
      </c>
      <c r="F20" s="573">
        <f t="shared" si="24"/>
        <v>4116198</v>
      </c>
      <c r="G20" s="449">
        <f t="shared" si="15"/>
        <v>0</v>
      </c>
      <c r="H20" s="426">
        <f t="shared" si="25"/>
        <v>18013006</v>
      </c>
      <c r="I20" s="449">
        <f t="shared" si="16"/>
        <v>0</v>
      </c>
      <c r="J20" s="426">
        <f t="shared" si="26"/>
        <v>29695634</v>
      </c>
      <c r="K20" s="449">
        <f t="shared" si="17"/>
        <v>0</v>
      </c>
      <c r="L20" s="426">
        <f t="shared" si="27"/>
        <v>24526232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4">
        <f t="shared" si="28"/>
        <v>18920.780999999999</v>
      </c>
      <c r="Q20" s="446">
        <f>(P20-P19)*1000</f>
        <v>0</v>
      </c>
      <c r="R20" s="603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176360</v>
      </c>
      <c r="E21" s="584">
        <f t="shared" si="7"/>
        <v>0</v>
      </c>
      <c r="F21" s="573">
        <f t="shared" si="24"/>
        <v>4116198</v>
      </c>
      <c r="G21" s="449">
        <f t="shared" si="15"/>
        <v>0</v>
      </c>
      <c r="H21" s="426">
        <f t="shared" si="25"/>
        <v>18013006</v>
      </c>
      <c r="I21" s="449">
        <f t="shared" si="16"/>
        <v>0</v>
      </c>
      <c r="J21" s="426">
        <f t="shared" si="26"/>
        <v>29695634</v>
      </c>
      <c r="K21" s="449">
        <f t="shared" si="17"/>
        <v>0</v>
      </c>
      <c r="L21" s="426">
        <f t="shared" si="27"/>
        <v>24526232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18920.780999999999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176360</v>
      </c>
      <c r="E22" s="584">
        <f t="shared" si="7"/>
        <v>0</v>
      </c>
      <c r="F22" s="573">
        <f t="shared" si="24"/>
        <v>4116198</v>
      </c>
      <c r="G22" s="449">
        <f t="shared" si="15"/>
        <v>0</v>
      </c>
      <c r="H22" s="426">
        <f t="shared" si="25"/>
        <v>18013006</v>
      </c>
      <c r="I22" s="449">
        <f t="shared" si="16"/>
        <v>0</v>
      </c>
      <c r="J22" s="426">
        <f t="shared" si="26"/>
        <v>29695634</v>
      </c>
      <c r="K22" s="449">
        <f t="shared" si="17"/>
        <v>0</v>
      </c>
      <c r="L22" s="426">
        <f t="shared" si="27"/>
        <v>24526232</v>
      </c>
      <c r="M22" s="449">
        <f t="shared" si="18"/>
        <v>0</v>
      </c>
      <c r="N22" s="297">
        <f t="shared" si="19"/>
        <v>0</v>
      </c>
      <c r="O22" s="445">
        <f t="shared" si="32"/>
        <v>0</v>
      </c>
      <c r="P22" s="564">
        <f t="shared" si="28"/>
        <v>18920.780999999999</v>
      </c>
      <c r="Q22" s="446">
        <f t="shared" si="1"/>
        <v>0</v>
      </c>
      <c r="R22" s="603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f t="shared" si="23"/>
        <v>176360</v>
      </c>
      <c r="E23" s="584">
        <f t="shared" si="7"/>
        <v>0</v>
      </c>
      <c r="F23" s="573">
        <f t="shared" si="24"/>
        <v>4116198</v>
      </c>
      <c r="G23" s="449">
        <f t="shared" si="15"/>
        <v>0</v>
      </c>
      <c r="H23" s="426">
        <f t="shared" si="25"/>
        <v>18013006</v>
      </c>
      <c r="I23" s="449">
        <f t="shared" si="16"/>
        <v>0</v>
      </c>
      <c r="J23" s="426">
        <f t="shared" si="26"/>
        <v>29695634</v>
      </c>
      <c r="K23" s="449">
        <f t="shared" si="17"/>
        <v>0</v>
      </c>
      <c r="L23" s="426">
        <f t="shared" si="27"/>
        <v>24526232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4">
        <f t="shared" si="28"/>
        <v>18920.780999999999</v>
      </c>
      <c r="Q23" s="446">
        <f t="shared" si="1"/>
        <v>0</v>
      </c>
      <c r="R23" s="603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f t="shared" si="23"/>
        <v>176360</v>
      </c>
      <c r="E24" s="584">
        <f t="shared" si="7"/>
        <v>0</v>
      </c>
      <c r="F24" s="573">
        <f t="shared" si="24"/>
        <v>4116198</v>
      </c>
      <c r="G24" s="449">
        <f t="shared" si="15"/>
        <v>0</v>
      </c>
      <c r="H24" s="426">
        <f t="shared" si="25"/>
        <v>18013006</v>
      </c>
      <c r="I24" s="613">
        <f t="shared" si="16"/>
        <v>0</v>
      </c>
      <c r="J24" s="426">
        <f t="shared" si="26"/>
        <v>29695634</v>
      </c>
      <c r="K24" s="449">
        <f t="shared" si="17"/>
        <v>0</v>
      </c>
      <c r="L24" s="426">
        <f t="shared" si="27"/>
        <v>24526232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4">
        <f t="shared" si="28"/>
        <v>18920.780999999999</v>
      </c>
      <c r="Q24" s="446">
        <f t="shared" si="1"/>
        <v>0</v>
      </c>
      <c r="R24" s="603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f t="shared" si="23"/>
        <v>176360</v>
      </c>
      <c r="E25" s="584">
        <f t="shared" si="7"/>
        <v>0</v>
      </c>
      <c r="F25" s="573">
        <f t="shared" si="24"/>
        <v>4116198</v>
      </c>
      <c r="G25" s="449">
        <f t="shared" si="15"/>
        <v>0</v>
      </c>
      <c r="H25" s="426">
        <f t="shared" si="25"/>
        <v>18013006</v>
      </c>
      <c r="I25" s="449">
        <f t="shared" si="16"/>
        <v>0</v>
      </c>
      <c r="J25" s="426">
        <f t="shared" si="26"/>
        <v>29695634</v>
      </c>
      <c r="K25" s="449">
        <f t="shared" si="17"/>
        <v>0</v>
      </c>
      <c r="L25" s="426">
        <f t="shared" si="27"/>
        <v>24526232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4">
        <f t="shared" si="28"/>
        <v>18920.780999999999</v>
      </c>
      <c r="Q25" s="446">
        <f t="shared" si="1"/>
        <v>0</v>
      </c>
      <c r="R25" s="603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f t="shared" si="23"/>
        <v>176360</v>
      </c>
      <c r="E26" s="584">
        <f t="shared" si="7"/>
        <v>0</v>
      </c>
      <c r="F26" s="573">
        <f t="shared" si="24"/>
        <v>4116198</v>
      </c>
      <c r="G26" s="449">
        <f t="shared" si="15"/>
        <v>0</v>
      </c>
      <c r="H26" s="426">
        <f t="shared" si="25"/>
        <v>18013006</v>
      </c>
      <c r="I26" s="449">
        <f t="shared" si="16"/>
        <v>0</v>
      </c>
      <c r="J26" s="426">
        <f t="shared" si="26"/>
        <v>29695634</v>
      </c>
      <c r="K26" s="449">
        <f t="shared" si="17"/>
        <v>0</v>
      </c>
      <c r="L26" s="426">
        <f t="shared" si="27"/>
        <v>24526232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4">
        <f t="shared" si="28"/>
        <v>18920.780999999999</v>
      </c>
      <c r="Q26" s="446">
        <f t="shared" si="1"/>
        <v>0</v>
      </c>
      <c r="R26" s="603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f t="shared" si="23"/>
        <v>176360</v>
      </c>
      <c r="E27" s="584">
        <f t="shared" si="7"/>
        <v>0</v>
      </c>
      <c r="F27" s="573">
        <f t="shared" si="24"/>
        <v>4116198</v>
      </c>
      <c r="G27" s="449">
        <f t="shared" si="15"/>
        <v>0</v>
      </c>
      <c r="H27" s="426">
        <f t="shared" si="25"/>
        <v>18013006</v>
      </c>
      <c r="I27" s="449">
        <f t="shared" si="16"/>
        <v>0</v>
      </c>
      <c r="J27" s="426">
        <f t="shared" si="26"/>
        <v>29695634</v>
      </c>
      <c r="K27" s="449">
        <f t="shared" si="17"/>
        <v>0</v>
      </c>
      <c r="L27" s="426">
        <f t="shared" si="27"/>
        <v>24526232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4">
        <f t="shared" si="28"/>
        <v>18920.780999999999</v>
      </c>
      <c r="Q27" s="446">
        <f t="shared" si="1"/>
        <v>0</v>
      </c>
      <c r="R27" s="603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176360</v>
      </c>
      <c r="E28" s="584">
        <f t="shared" si="7"/>
        <v>0</v>
      </c>
      <c r="F28" s="573">
        <f t="shared" si="24"/>
        <v>4116198</v>
      </c>
      <c r="G28" s="449">
        <f>F28-F27</f>
        <v>0</v>
      </c>
      <c r="H28" s="426">
        <f t="shared" si="25"/>
        <v>18013006</v>
      </c>
      <c r="I28" s="449">
        <f t="shared" si="16"/>
        <v>0</v>
      </c>
      <c r="J28" s="426">
        <f t="shared" si="26"/>
        <v>29695634</v>
      </c>
      <c r="K28" s="449">
        <f t="shared" si="17"/>
        <v>0</v>
      </c>
      <c r="L28" s="426">
        <f t="shared" si="27"/>
        <v>24526232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18920.780999999999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176360</v>
      </c>
      <c r="E29" s="584">
        <f t="shared" si="7"/>
        <v>0</v>
      </c>
      <c r="F29" s="573">
        <f t="shared" si="24"/>
        <v>4116198</v>
      </c>
      <c r="G29" s="449">
        <f t="shared" ref="G29" si="36">F29-F28</f>
        <v>0</v>
      </c>
      <c r="H29" s="426">
        <f t="shared" si="25"/>
        <v>18013006</v>
      </c>
      <c r="I29" s="449">
        <f t="shared" ref="I29" si="37">H29-H28</f>
        <v>0</v>
      </c>
      <c r="J29" s="426">
        <f t="shared" si="26"/>
        <v>29695634</v>
      </c>
      <c r="K29" s="449">
        <f t="shared" ref="K29" si="38">J29-J28</f>
        <v>0</v>
      </c>
      <c r="L29" s="426">
        <f t="shared" si="27"/>
        <v>24526232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8"/>
        <v>18920.780999999999</v>
      </c>
      <c r="Q29" s="446">
        <f t="shared" ref="Q29" si="42">(P29-P28)*1000</f>
        <v>0</v>
      </c>
      <c r="R29" s="603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10"/>
        <v>33484</v>
      </c>
      <c r="X29" s="428">
        <f t="shared" ref="X29" si="45">W29-W28</f>
        <v>0</v>
      </c>
      <c r="Y29" s="426">
        <f t="shared" si="11"/>
        <v>996900</v>
      </c>
      <c r="Z29" s="428">
        <f t="shared" ref="Z29" si="46">Y29-Y28</f>
        <v>0</v>
      </c>
      <c r="AA29" s="426">
        <f t="shared" si="12"/>
        <v>36796</v>
      </c>
      <c r="AB29" s="428">
        <f t="shared" ref="AB29" si="47">AA29-AA28</f>
        <v>0</v>
      </c>
      <c r="AC29" s="426">
        <f t="shared" si="13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f t="shared" si="23"/>
        <v>176360</v>
      </c>
      <c r="E30" s="584">
        <f t="shared" si="7"/>
        <v>0</v>
      </c>
      <c r="F30" s="573">
        <f t="shared" si="24"/>
        <v>4116198</v>
      </c>
      <c r="G30" s="449">
        <f t="shared" si="15"/>
        <v>0</v>
      </c>
      <c r="H30" s="426">
        <f t="shared" si="25"/>
        <v>18013006</v>
      </c>
      <c r="I30" s="449">
        <f t="shared" si="16"/>
        <v>0</v>
      </c>
      <c r="J30" s="426">
        <f t="shared" si="26"/>
        <v>29695634</v>
      </c>
      <c r="K30" s="449">
        <f t="shared" si="17"/>
        <v>0</v>
      </c>
      <c r="L30" s="426">
        <f t="shared" si="27"/>
        <v>24526232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4">
        <f t="shared" si="28"/>
        <v>18920.780999999999</v>
      </c>
      <c r="Q30" s="446">
        <f t="shared" si="1"/>
        <v>0</v>
      </c>
      <c r="R30" s="603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176360</v>
      </c>
      <c r="E31" s="584">
        <f t="shared" si="7"/>
        <v>0</v>
      </c>
      <c r="F31" s="573">
        <f t="shared" si="24"/>
        <v>4116198</v>
      </c>
      <c r="G31" s="449">
        <f t="shared" si="15"/>
        <v>0</v>
      </c>
      <c r="H31" s="426">
        <f t="shared" si="25"/>
        <v>18013006</v>
      </c>
      <c r="I31" s="449">
        <f t="shared" si="16"/>
        <v>0</v>
      </c>
      <c r="J31" s="426">
        <f t="shared" si="26"/>
        <v>29695634</v>
      </c>
      <c r="K31" s="449">
        <f t="shared" si="17"/>
        <v>0</v>
      </c>
      <c r="L31" s="426">
        <f t="shared" si="27"/>
        <v>24526232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18920.780999999999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C1" zoomScale="90" zoomScaleNormal="90" workbookViewId="0">
      <pane ySplit="1" topLeftCell="A2" activePane="bottomLeft" state="frozen"/>
      <selection activeCell="K1" sqref="K1"/>
      <selection pane="bottomLeft" activeCell="N13" sqref="N1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63.267857142857146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2480</v>
      </c>
      <c r="Y8" s="52">
        <f t="shared" si="21"/>
        <v>9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9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2480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2480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2480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2480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2480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f t="shared" si="40"/>
        <v>151</v>
      </c>
      <c r="C14" s="537">
        <f t="shared" si="41"/>
        <v>158</v>
      </c>
      <c r="D14" s="45">
        <f t="shared" si="32"/>
        <v>0</v>
      </c>
      <c r="E14" s="45">
        <f t="shared" si="12"/>
        <v>0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f t="shared" si="14"/>
        <v>2385</v>
      </c>
      <c r="L14" s="52">
        <f t="shared" si="15"/>
        <v>0</v>
      </c>
      <c r="M14" s="537">
        <f t="shared" si="16"/>
        <v>176306</v>
      </c>
      <c r="N14" s="380">
        <f t="shared" si="2"/>
        <v>0</v>
      </c>
      <c r="O14" s="64">
        <f t="shared" si="3"/>
        <v>1869</v>
      </c>
      <c r="P14" s="537">
        <f t="shared" si="3"/>
        <v>2142</v>
      </c>
      <c r="Q14" s="537">
        <f t="shared" si="3"/>
        <v>179665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0</v>
      </c>
      <c r="V14" s="62">
        <f t="shared" si="18"/>
        <v>0</v>
      </c>
      <c r="W14" s="384" t="e">
        <f t="shared" si="19"/>
        <v>#DIV/0!</v>
      </c>
      <c r="X14" s="537">
        <f t="shared" si="20"/>
        <v>2480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7"/>
        <v>0</v>
      </c>
      <c r="AL14" s="303">
        <f t="shared" si="8"/>
        <v>0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151</v>
      </c>
      <c r="C15" s="537">
        <f t="shared" si="41"/>
        <v>158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2385</v>
      </c>
      <c r="L15" s="52">
        <f t="shared" si="15"/>
        <v>0</v>
      </c>
      <c r="M15" s="537">
        <f t="shared" si="16"/>
        <v>176306</v>
      </c>
      <c r="N15" s="380">
        <f t="shared" si="2"/>
        <v>0</v>
      </c>
      <c r="O15" s="64">
        <f t="shared" si="3"/>
        <v>1869</v>
      </c>
      <c r="P15" s="537">
        <f t="shared" si="3"/>
        <v>2142</v>
      </c>
      <c r="Q15" s="537">
        <f t="shared" si="3"/>
        <v>179665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2480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151</v>
      </c>
      <c r="C16" s="537">
        <f t="shared" si="41"/>
        <v>158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2385</v>
      </c>
      <c r="L16" s="52">
        <f t="shared" si="15"/>
        <v>0</v>
      </c>
      <c r="M16" s="537">
        <f t="shared" si="16"/>
        <v>176306</v>
      </c>
      <c r="N16" s="380">
        <f t="shared" si="2"/>
        <v>0</v>
      </c>
      <c r="O16" s="64">
        <f t="shared" si="3"/>
        <v>1869</v>
      </c>
      <c r="P16" s="537">
        <f t="shared" si="3"/>
        <v>2142</v>
      </c>
      <c r="Q16" s="537">
        <f t="shared" si="3"/>
        <v>179665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2480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f t="shared" si="40"/>
        <v>151</v>
      </c>
      <c r="C17" s="537">
        <f t="shared" si="41"/>
        <v>158</v>
      </c>
      <c r="D17" s="45">
        <f t="shared" si="32"/>
        <v>0</v>
      </c>
      <c r="E17" s="45">
        <f t="shared" si="12"/>
        <v>0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f t="shared" si="14"/>
        <v>2385</v>
      </c>
      <c r="L17" s="52">
        <f t="shared" si="15"/>
        <v>0</v>
      </c>
      <c r="M17" s="537">
        <f t="shared" si="16"/>
        <v>176306</v>
      </c>
      <c r="N17" s="380">
        <f t="shared" si="2"/>
        <v>0</v>
      </c>
      <c r="O17" s="64">
        <f t="shared" si="3"/>
        <v>1869</v>
      </c>
      <c r="P17" s="537">
        <f t="shared" si="3"/>
        <v>2142</v>
      </c>
      <c r="Q17" s="537">
        <f t="shared" si="3"/>
        <v>179665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0</v>
      </c>
      <c r="V17" s="62">
        <f t="shared" si="18"/>
        <v>0</v>
      </c>
      <c r="W17" s="384"/>
      <c r="X17" s="537">
        <f t="shared" si="20"/>
        <v>2480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0</v>
      </c>
      <c r="AJ17" s="303">
        <f>-tanks!AW18</f>
        <v>0</v>
      </c>
      <c r="AK17" s="303">
        <f t="shared" si="27"/>
        <v>0</v>
      </c>
      <c r="AL17" s="303">
        <f t="shared" si="8"/>
        <v>0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f t="shared" si="40"/>
        <v>151</v>
      </c>
      <c r="C18" s="537">
        <f t="shared" si="41"/>
        <v>158</v>
      </c>
      <c r="D18" s="45">
        <f t="shared" si="32"/>
        <v>0</v>
      </c>
      <c r="E18" s="45">
        <f t="shared" si="12"/>
        <v>0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f t="shared" si="14"/>
        <v>2385</v>
      </c>
      <c r="L18" s="52">
        <f t="shared" si="15"/>
        <v>0</v>
      </c>
      <c r="M18" s="537">
        <f t="shared" si="16"/>
        <v>176306</v>
      </c>
      <c r="N18" s="380">
        <f t="shared" si="2"/>
        <v>0</v>
      </c>
      <c r="O18" s="64">
        <v>1869</v>
      </c>
      <c r="P18" s="537">
        <f t="shared" ref="P18:P32" si="45">P17</f>
        <v>2142</v>
      </c>
      <c r="Q18" s="537">
        <f t="shared" ref="Q18:Q32" si="46">Q17</f>
        <v>179665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0</v>
      </c>
      <c r="V18" s="62">
        <f t="shared" si="18"/>
        <v>0</v>
      </c>
      <c r="W18" s="384"/>
      <c r="X18" s="537">
        <f t="shared" si="20"/>
        <v>2480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0</v>
      </c>
      <c r="AJ18" s="303">
        <f>-tanks!AW19</f>
        <v>0</v>
      </c>
      <c r="AK18" s="303">
        <f t="shared" si="27"/>
        <v>0</v>
      </c>
      <c r="AL18" s="303">
        <f t="shared" si="8"/>
        <v>0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f t="shared" si="40"/>
        <v>151</v>
      </c>
      <c r="C19" s="537">
        <f t="shared" si="41"/>
        <v>158</v>
      </c>
      <c r="D19" s="45">
        <f t="shared" si="32"/>
        <v>0</v>
      </c>
      <c r="E19" s="45">
        <f t="shared" si="12"/>
        <v>0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2385</v>
      </c>
      <c r="L19" s="52">
        <f t="shared" si="15"/>
        <v>0</v>
      </c>
      <c r="M19" s="537">
        <f t="shared" si="16"/>
        <v>176306</v>
      </c>
      <c r="N19" s="380">
        <f t="shared" si="2"/>
        <v>0</v>
      </c>
      <c r="O19" s="64">
        <f t="shared" ref="O19:O32" si="48">O18</f>
        <v>1869</v>
      </c>
      <c r="P19" s="537">
        <f t="shared" si="45"/>
        <v>2142</v>
      </c>
      <c r="Q19" s="537">
        <f t="shared" si="46"/>
        <v>179665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0</v>
      </c>
      <c r="V19" s="62">
        <f t="shared" si="18"/>
        <v>0</v>
      </c>
      <c r="W19" s="384"/>
      <c r="X19" s="537">
        <f t="shared" si="20"/>
        <v>2480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0</v>
      </c>
      <c r="AJ19" s="303">
        <f>-tanks!AW20</f>
        <v>0</v>
      </c>
      <c r="AK19" s="303">
        <f t="shared" si="27"/>
        <v>0</v>
      </c>
      <c r="AL19" s="303">
        <f t="shared" si="8"/>
        <v>0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f t="shared" si="40"/>
        <v>151</v>
      </c>
      <c r="C20" s="537">
        <f t="shared" si="41"/>
        <v>158</v>
      </c>
      <c r="D20" s="45">
        <f>C19-C20</f>
        <v>0</v>
      </c>
      <c r="E20" s="45">
        <f t="shared" si="12"/>
        <v>0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2385</v>
      </c>
      <c r="L20" s="52">
        <f t="shared" si="15"/>
        <v>0</v>
      </c>
      <c r="M20" s="537">
        <f t="shared" si="16"/>
        <v>176306</v>
      </c>
      <c r="N20" s="380">
        <f t="shared" si="2"/>
        <v>0</v>
      </c>
      <c r="O20" s="64">
        <f t="shared" si="48"/>
        <v>1869</v>
      </c>
      <c r="P20" s="537">
        <f t="shared" si="45"/>
        <v>2142</v>
      </c>
      <c r="Q20" s="537">
        <f t="shared" si="46"/>
        <v>179665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2480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f t="shared" si="40"/>
        <v>151</v>
      </c>
      <c r="C21" s="537">
        <f t="shared" si="41"/>
        <v>158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2385</v>
      </c>
      <c r="L21" s="52">
        <f t="shared" si="15"/>
        <v>0</v>
      </c>
      <c r="M21" s="537">
        <f t="shared" si="16"/>
        <v>176306</v>
      </c>
      <c r="N21" s="380">
        <f t="shared" si="2"/>
        <v>0</v>
      </c>
      <c r="O21" s="64">
        <f t="shared" si="48"/>
        <v>1869</v>
      </c>
      <c r="P21" s="537">
        <f t="shared" si="45"/>
        <v>2142</v>
      </c>
      <c r="Q21" s="537">
        <f t="shared" si="46"/>
        <v>179665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2480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151</v>
      </c>
      <c r="C22" s="537">
        <f t="shared" si="41"/>
        <v>158</v>
      </c>
      <c r="D22" s="45">
        <f t="shared" si="49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2385</v>
      </c>
      <c r="L22" s="52">
        <f t="shared" si="15"/>
        <v>0</v>
      </c>
      <c r="M22" s="537">
        <f t="shared" si="16"/>
        <v>176306</v>
      </c>
      <c r="N22" s="380">
        <f t="shared" si="2"/>
        <v>0</v>
      </c>
      <c r="O22" s="64">
        <f t="shared" si="48"/>
        <v>1869</v>
      </c>
      <c r="P22" s="537">
        <f t="shared" si="45"/>
        <v>2142</v>
      </c>
      <c r="Q22" s="537">
        <f t="shared" si="46"/>
        <v>179665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2480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151</v>
      </c>
      <c r="C23" s="537">
        <f t="shared" si="41"/>
        <v>158</v>
      </c>
      <c r="D23" s="45">
        <f t="shared" si="49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2385</v>
      </c>
      <c r="L23" s="52">
        <f t="shared" si="15"/>
        <v>0</v>
      </c>
      <c r="M23" s="537">
        <f t="shared" si="16"/>
        <v>176306</v>
      </c>
      <c r="N23" s="380">
        <f t="shared" si="2"/>
        <v>0</v>
      </c>
      <c r="O23" s="64">
        <f t="shared" si="48"/>
        <v>1869</v>
      </c>
      <c r="P23" s="537">
        <f t="shared" si="45"/>
        <v>2142</v>
      </c>
      <c r="Q23" s="537">
        <f t="shared" si="46"/>
        <v>179665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2480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f t="shared" si="40"/>
        <v>151</v>
      </c>
      <c r="C24" s="537">
        <f t="shared" si="41"/>
        <v>158</v>
      </c>
      <c r="D24" s="45">
        <f t="shared" si="49"/>
        <v>0</v>
      </c>
      <c r="E24" s="45">
        <f t="shared" si="12"/>
        <v>0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2385</v>
      </c>
      <c r="L24" s="52">
        <f t="shared" si="15"/>
        <v>0</v>
      </c>
      <c r="M24" s="537">
        <f t="shared" si="16"/>
        <v>176306</v>
      </c>
      <c r="N24" s="380">
        <f t="shared" si="2"/>
        <v>0</v>
      </c>
      <c r="O24" s="64">
        <f t="shared" si="48"/>
        <v>1869</v>
      </c>
      <c r="P24" s="537">
        <f t="shared" si="45"/>
        <v>2142</v>
      </c>
      <c r="Q24" s="537">
        <f t="shared" si="46"/>
        <v>179665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2480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f t="shared" si="40"/>
        <v>151</v>
      </c>
      <c r="C25" s="537">
        <f t="shared" si="41"/>
        <v>158</v>
      </c>
      <c r="D25" s="45">
        <f t="shared" si="49"/>
        <v>0</v>
      </c>
      <c r="E25" s="45">
        <f t="shared" si="12"/>
        <v>0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2385</v>
      </c>
      <c r="L25" s="52">
        <f t="shared" si="15"/>
        <v>0</v>
      </c>
      <c r="M25" s="537">
        <f t="shared" si="16"/>
        <v>176306</v>
      </c>
      <c r="N25" s="380">
        <f t="shared" si="2"/>
        <v>0</v>
      </c>
      <c r="O25" s="64">
        <f t="shared" si="48"/>
        <v>1869</v>
      </c>
      <c r="P25" s="537">
        <f t="shared" si="45"/>
        <v>2142</v>
      </c>
      <c r="Q25" s="537">
        <f t="shared" si="46"/>
        <v>179665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2480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f t="shared" si="40"/>
        <v>151</v>
      </c>
      <c r="C26" s="537">
        <f t="shared" si="41"/>
        <v>158</v>
      </c>
      <c r="D26" s="45">
        <f t="shared" si="49"/>
        <v>0</v>
      </c>
      <c r="E26" s="45">
        <f t="shared" si="12"/>
        <v>0</v>
      </c>
      <c r="F26" s="537">
        <f t="shared" si="42"/>
        <v>2086</v>
      </c>
      <c r="G26" s="52">
        <f t="shared" si="0"/>
        <v>0</v>
      </c>
      <c r="H26" s="537">
        <f t="shared" si="43"/>
        <v>31734</v>
      </c>
      <c r="I26" s="380">
        <f t="shared" si="1"/>
        <v>0</v>
      </c>
      <c r="J26" s="66">
        <f t="shared" si="13"/>
        <v>0</v>
      </c>
      <c r="K26" s="537">
        <f t="shared" si="14"/>
        <v>2385</v>
      </c>
      <c r="L26" s="52">
        <f t="shared" si="15"/>
        <v>0</v>
      </c>
      <c r="M26" s="537">
        <f t="shared" si="16"/>
        <v>176306</v>
      </c>
      <c r="N26" s="380">
        <f t="shared" si="2"/>
        <v>0</v>
      </c>
      <c r="O26" s="64">
        <f t="shared" si="48"/>
        <v>1869</v>
      </c>
      <c r="P26" s="537">
        <f t="shared" si="45"/>
        <v>2142</v>
      </c>
      <c r="Q26" s="537">
        <f t="shared" si="46"/>
        <v>179665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2480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f t="shared" si="40"/>
        <v>151</v>
      </c>
      <c r="C27" s="537">
        <f t="shared" si="41"/>
        <v>158</v>
      </c>
      <c r="D27" s="45">
        <f t="shared" si="49"/>
        <v>0</v>
      </c>
      <c r="E27" s="45">
        <f t="shared" si="12"/>
        <v>0</v>
      </c>
      <c r="F27" s="537">
        <f t="shared" si="42"/>
        <v>2086</v>
      </c>
      <c r="G27" s="52">
        <f t="shared" si="0"/>
        <v>0</v>
      </c>
      <c r="H27" s="537">
        <f t="shared" si="43"/>
        <v>31734</v>
      </c>
      <c r="I27" s="380">
        <f t="shared" si="1"/>
        <v>0</v>
      </c>
      <c r="J27" s="66">
        <f t="shared" si="13"/>
        <v>0</v>
      </c>
      <c r="K27" s="537">
        <f t="shared" si="14"/>
        <v>2385</v>
      </c>
      <c r="L27" s="52">
        <f t="shared" si="15"/>
        <v>0</v>
      </c>
      <c r="M27" s="537">
        <f t="shared" si="16"/>
        <v>176306</v>
      </c>
      <c r="N27" s="380">
        <f t="shared" si="2"/>
        <v>0</v>
      </c>
      <c r="O27" s="64">
        <f t="shared" si="48"/>
        <v>1869</v>
      </c>
      <c r="P27" s="537">
        <f t="shared" si="45"/>
        <v>2142</v>
      </c>
      <c r="Q27" s="537">
        <f t="shared" si="46"/>
        <v>179665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2480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f t="shared" si="40"/>
        <v>151</v>
      </c>
      <c r="C28" s="537">
        <f t="shared" si="41"/>
        <v>158</v>
      </c>
      <c r="D28" s="45">
        <f t="shared" si="49"/>
        <v>0</v>
      </c>
      <c r="E28" s="45">
        <f t="shared" si="12"/>
        <v>0</v>
      </c>
      <c r="F28" s="537">
        <f t="shared" si="42"/>
        <v>2086</v>
      </c>
      <c r="G28" s="52">
        <f t="shared" si="0"/>
        <v>0</v>
      </c>
      <c r="H28" s="537">
        <f t="shared" si="43"/>
        <v>31734</v>
      </c>
      <c r="I28" s="380">
        <f t="shared" si="1"/>
        <v>0</v>
      </c>
      <c r="J28" s="66">
        <f t="shared" si="13"/>
        <v>0</v>
      </c>
      <c r="K28" s="537">
        <f t="shared" si="14"/>
        <v>2385</v>
      </c>
      <c r="L28" s="52">
        <f t="shared" si="15"/>
        <v>0</v>
      </c>
      <c r="M28" s="537">
        <f t="shared" si="16"/>
        <v>176306</v>
      </c>
      <c r="N28" s="380">
        <f t="shared" si="2"/>
        <v>0</v>
      </c>
      <c r="O28" s="64">
        <f t="shared" si="48"/>
        <v>1869</v>
      </c>
      <c r="P28" s="537">
        <f t="shared" si="45"/>
        <v>2142</v>
      </c>
      <c r="Q28" s="537">
        <f t="shared" si="46"/>
        <v>179665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2480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151</v>
      </c>
      <c r="C29" s="537">
        <f t="shared" si="41"/>
        <v>158</v>
      </c>
      <c r="D29" s="45">
        <f t="shared" si="49"/>
        <v>0</v>
      </c>
      <c r="E29" s="45">
        <f t="shared" si="12"/>
        <v>0</v>
      </c>
      <c r="F29" s="537">
        <f t="shared" si="42"/>
        <v>2086</v>
      </c>
      <c r="G29" s="52">
        <f t="shared" si="0"/>
        <v>0</v>
      </c>
      <c r="H29" s="537">
        <f t="shared" si="43"/>
        <v>31734</v>
      </c>
      <c r="I29" s="380">
        <f t="shared" si="1"/>
        <v>0</v>
      </c>
      <c r="J29" s="66">
        <f t="shared" si="13"/>
        <v>0</v>
      </c>
      <c r="K29" s="537">
        <f t="shared" si="14"/>
        <v>2385</v>
      </c>
      <c r="L29" s="52">
        <f t="shared" si="15"/>
        <v>0</v>
      </c>
      <c r="M29" s="537">
        <f t="shared" si="16"/>
        <v>176306</v>
      </c>
      <c r="N29" s="380">
        <f t="shared" si="2"/>
        <v>0</v>
      </c>
      <c r="O29" s="64">
        <f t="shared" si="48"/>
        <v>1869</v>
      </c>
      <c r="P29" s="537">
        <f t="shared" si="45"/>
        <v>2142</v>
      </c>
      <c r="Q29" s="537">
        <f t="shared" si="46"/>
        <v>179665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2480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151</v>
      </c>
      <c r="C30" s="537">
        <f t="shared" si="41"/>
        <v>158</v>
      </c>
      <c r="D30" s="45">
        <f t="shared" ref="D30" si="54">C29-C30</f>
        <v>0</v>
      </c>
      <c r="E30" s="45">
        <f t="shared" ref="E30" si="55">D30*8.38</f>
        <v>0</v>
      </c>
      <c r="F30" s="537">
        <f t="shared" si="42"/>
        <v>2086</v>
      </c>
      <c r="G30" s="52">
        <f t="shared" ref="G30" si="56">F30-F29</f>
        <v>0</v>
      </c>
      <c r="H30" s="537">
        <f t="shared" si="43"/>
        <v>31734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4"/>
        <v>2385</v>
      </c>
      <c r="L30" s="52">
        <f t="shared" ref="L30" si="59">K30-K29</f>
        <v>0</v>
      </c>
      <c r="M30" s="537">
        <f t="shared" si="16"/>
        <v>176306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2142</v>
      </c>
      <c r="Q30" s="537">
        <f t="shared" si="46"/>
        <v>179665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18"/>
        <v>0</v>
      </c>
      <c r="W30" s="384"/>
      <c r="X30" s="537">
        <f t="shared" si="20"/>
        <v>2480</v>
      </c>
      <c r="Y30" s="52">
        <f t="shared" ref="Y30" si="65">X30-X29</f>
        <v>0</v>
      </c>
      <c r="Z30" s="537">
        <f t="shared" si="22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3"/>
        <v>1943</v>
      </c>
      <c r="AD30" s="259">
        <f t="shared" ref="AD30" si="68">AC30-AC29</f>
        <v>0</v>
      </c>
      <c r="AE30" s="537">
        <f t="shared" si="24"/>
        <v>366210</v>
      </c>
      <c r="AF30" s="293">
        <f t="shared" ref="AF30" si="69"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f t="shared" si="40"/>
        <v>151</v>
      </c>
      <c r="C31" s="537">
        <f t="shared" si="41"/>
        <v>158</v>
      </c>
      <c r="D31" s="45">
        <f t="shared" si="49"/>
        <v>0</v>
      </c>
      <c r="E31" s="45">
        <f t="shared" si="12"/>
        <v>0</v>
      </c>
      <c r="F31" s="537">
        <f t="shared" si="42"/>
        <v>2086</v>
      </c>
      <c r="G31" s="52">
        <f t="shared" si="0"/>
        <v>0</v>
      </c>
      <c r="H31" s="537">
        <f t="shared" si="43"/>
        <v>31734</v>
      </c>
      <c r="I31" s="380">
        <f t="shared" si="1"/>
        <v>0</v>
      </c>
      <c r="J31" s="66">
        <f t="shared" si="13"/>
        <v>0</v>
      </c>
      <c r="K31" s="537">
        <f t="shared" si="14"/>
        <v>2385</v>
      </c>
      <c r="L31" s="52">
        <f t="shared" si="15"/>
        <v>0</v>
      </c>
      <c r="M31" s="537">
        <f t="shared" si="16"/>
        <v>176306</v>
      </c>
      <c r="N31" s="380">
        <f t="shared" si="2"/>
        <v>0</v>
      </c>
      <c r="O31" s="64">
        <f t="shared" si="48"/>
        <v>1869</v>
      </c>
      <c r="P31" s="537">
        <f t="shared" si="45"/>
        <v>2142</v>
      </c>
      <c r="Q31" s="537">
        <f t="shared" si="46"/>
        <v>179665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2480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151</v>
      </c>
      <c r="C32" s="537">
        <f t="shared" si="41"/>
        <v>158</v>
      </c>
      <c r="D32" s="45">
        <f t="shared" si="49"/>
        <v>0</v>
      </c>
      <c r="E32" s="45">
        <f t="shared" si="12"/>
        <v>0</v>
      </c>
      <c r="F32" s="537">
        <f t="shared" si="42"/>
        <v>2086</v>
      </c>
      <c r="G32" s="52">
        <f t="shared" si="0"/>
        <v>0</v>
      </c>
      <c r="H32" s="537">
        <f t="shared" si="43"/>
        <v>31734</v>
      </c>
      <c r="I32" s="380">
        <f t="shared" si="1"/>
        <v>0</v>
      </c>
      <c r="J32" s="66">
        <f t="shared" si="13"/>
        <v>0</v>
      </c>
      <c r="K32" s="537">
        <f t="shared" si="14"/>
        <v>2385</v>
      </c>
      <c r="L32" s="52">
        <f t="shared" si="15"/>
        <v>0</v>
      </c>
      <c r="M32" s="537">
        <f t="shared" si="16"/>
        <v>176306</v>
      </c>
      <c r="N32" s="380">
        <f t="shared" si="2"/>
        <v>0</v>
      </c>
      <c r="O32" s="64">
        <f t="shared" si="48"/>
        <v>1869</v>
      </c>
      <c r="P32" s="537">
        <f t="shared" si="45"/>
        <v>2142</v>
      </c>
      <c r="Q32" s="537">
        <f t="shared" si="46"/>
        <v>179665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2480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63.267857142857146</v>
      </c>
      <c r="U36" s="70">
        <f>SUM(U5:U35)</f>
        <v>34</v>
      </c>
      <c r="V36" s="62">
        <f>SUM(V5:V35)</f>
        <v>2583</v>
      </c>
      <c r="AE36" s="71" t="s">
        <v>379</v>
      </c>
      <c r="AG36" s="329"/>
      <c r="AH36" s="62">
        <f>SUM(AH5:AH35)</f>
        <v>0</v>
      </c>
      <c r="AL36" s="62">
        <f>SUM(AL5:AL35)</f>
        <v>34</v>
      </c>
      <c r="AM36" s="62">
        <f>SUM(AM5:AM35)</f>
        <v>9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75.970588235294116</v>
      </c>
      <c r="AH37" s="62">
        <f>AF37+AA37</f>
        <v>0</v>
      </c>
      <c r="AI37" s="306">
        <f>SUM(AI5:AI35)</f>
        <v>2583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AX25" sqref="AX2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8149232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ref="AT9" si="42">AT8</f>
        <v>171</v>
      </c>
      <c r="AU9" s="408">
        <f t="shared" ref="AU9:AU33" si="43">AU8</f>
        <v>1.1000000000000001</v>
      </c>
      <c r="AV9" s="201">
        <f t="shared" ref="AV9:AV33" si="44">AV8</f>
        <v>100</v>
      </c>
      <c r="AW9" s="5">
        <v>2.9</v>
      </c>
      <c r="AX9" s="201">
        <f t="shared" ref="AX9:AX33" si="45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ref="AT10" si="46">AT9</f>
        <v>171</v>
      </c>
      <c r="AU10" s="408">
        <f t="shared" si="43"/>
        <v>1.1000000000000001</v>
      </c>
      <c r="AV10" s="201">
        <f t="shared" si="44"/>
        <v>100</v>
      </c>
      <c r="AW10" s="5">
        <v>2.9</v>
      </c>
      <c r="AX10" s="201">
        <f t="shared" si="45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ref="AT11" si="47">AT10</f>
        <v>171</v>
      </c>
      <c r="AU11" s="408">
        <f t="shared" si="43"/>
        <v>1.1000000000000001</v>
      </c>
      <c r="AV11" s="201">
        <f t="shared" si="44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ref="AT12" si="48">AT11</f>
        <v>171</v>
      </c>
      <c r="AU12" s="408">
        <f t="shared" si="43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ref="AT13" si="49">AT12</f>
        <v>171</v>
      </c>
      <c r="AU13" s="408">
        <f t="shared" si="43"/>
        <v>1.1000000000000001</v>
      </c>
      <c r="AV13" s="201">
        <f t="shared" si="44"/>
        <v>99</v>
      </c>
      <c r="AW13" s="5">
        <v>2.9</v>
      </c>
      <c r="AX13" s="201">
        <f t="shared" si="45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50">SUM(M14-M13)</f>
        <v>0</v>
      </c>
      <c r="O14" s="393">
        <f t="shared" si="12"/>
        <v>529.52</v>
      </c>
      <c r="P14" s="482">
        <f t="shared" ref="P14:P33" si="51">SUM(O14-O13)</f>
        <v>0</v>
      </c>
      <c r="Q14" s="482">
        <f t="shared" ref="Q14:Q33" si="52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ref="AT14" si="53">AT13</f>
        <v>171</v>
      </c>
      <c r="AU14" s="408">
        <f t="shared" si="43"/>
        <v>1.1000000000000001</v>
      </c>
      <c r="AV14" s="201">
        <f t="shared" si="44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50"/>
        <v>0</v>
      </c>
      <c r="O15" s="393">
        <f t="shared" si="12"/>
        <v>529.52</v>
      </c>
      <c r="P15" s="482">
        <f t="shared" si="51"/>
        <v>0</v>
      </c>
      <c r="Q15" s="482">
        <f t="shared" si="52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ref="AT15" si="54">AT14</f>
        <v>171</v>
      </c>
      <c r="AU15" s="408">
        <f t="shared" si="43"/>
        <v>1.1000000000000001</v>
      </c>
      <c r="AV15" s="201">
        <f t="shared" si="44"/>
        <v>99</v>
      </c>
      <c r="AW15" s="5">
        <v>2.9</v>
      </c>
      <c r="AX15" s="201">
        <f t="shared" si="45"/>
        <v>82</v>
      </c>
      <c r="AY15" s="409">
        <f t="shared" si="36"/>
        <v>153.9</v>
      </c>
      <c r="AZ15" s="409">
        <f t="shared" si="37"/>
        <v>108.9</v>
      </c>
      <c r="BA15" s="409">
        <f t="shared" si="38"/>
        <v>237.79999999999998</v>
      </c>
      <c r="BB15" s="21">
        <f t="shared" si="39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32"/>
        <v>0</v>
      </c>
      <c r="BG15" s="82">
        <f t="shared" si="4"/>
        <v>0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50"/>
        <v>0</v>
      </c>
      <c r="O16" s="393">
        <f t="shared" si="12"/>
        <v>529.52</v>
      </c>
      <c r="P16" s="482">
        <f t="shared" si="51"/>
        <v>0</v>
      </c>
      <c r="Q16" s="482">
        <f t="shared" si="52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ref="AT16" si="55">AT15</f>
        <v>171</v>
      </c>
      <c r="AU16" s="408">
        <f t="shared" si="43"/>
        <v>1.1000000000000001</v>
      </c>
      <c r="AV16" s="201">
        <f t="shared" si="44"/>
        <v>99</v>
      </c>
      <c r="AW16" s="5">
        <v>2.9</v>
      </c>
      <c r="AX16" s="201">
        <f t="shared" si="45"/>
        <v>82</v>
      </c>
      <c r="AY16" s="409">
        <f t="shared" si="36"/>
        <v>153.9</v>
      </c>
      <c r="AZ16" s="409">
        <f t="shared" si="37"/>
        <v>108.9</v>
      </c>
      <c r="BA16" s="409">
        <f t="shared" si="38"/>
        <v>237.79999999999998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50"/>
        <v>0</v>
      </c>
      <c r="O17" s="393">
        <f t="shared" si="12"/>
        <v>529.52</v>
      </c>
      <c r="P17" s="482">
        <f t="shared" si="51"/>
        <v>0</v>
      </c>
      <c r="Q17" s="482">
        <f t="shared" si="52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ref="AT17" si="56">AT16</f>
        <v>171</v>
      </c>
      <c r="AU17" s="408">
        <f t="shared" si="43"/>
        <v>1.1000000000000001</v>
      </c>
      <c r="AV17" s="201">
        <f t="shared" si="44"/>
        <v>99</v>
      </c>
      <c r="AW17" s="5">
        <v>2.9</v>
      </c>
      <c r="AX17" s="201">
        <f t="shared" si="45"/>
        <v>82</v>
      </c>
      <c r="AY17" s="409">
        <f t="shared" si="36"/>
        <v>153.9</v>
      </c>
      <c r="AZ17" s="409">
        <f t="shared" si="37"/>
        <v>108.9</v>
      </c>
      <c r="BA17" s="409">
        <f t="shared" si="38"/>
        <v>237.79999999999998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50"/>
        <v>0</v>
      </c>
      <c r="O18" s="393">
        <f t="shared" si="12"/>
        <v>529.52</v>
      </c>
      <c r="P18" s="482">
        <f t="shared" si="51"/>
        <v>0</v>
      </c>
      <c r="Q18" s="482">
        <f t="shared" si="52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154709</v>
      </c>
      <c r="Y18" s="309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f t="shared" ref="AT18" si="57">AT17</f>
        <v>171</v>
      </c>
      <c r="AU18" s="408">
        <f t="shared" si="43"/>
        <v>1.1000000000000001</v>
      </c>
      <c r="AV18" s="201">
        <f t="shared" si="44"/>
        <v>99</v>
      </c>
      <c r="AW18" s="5">
        <v>2.9</v>
      </c>
      <c r="AX18" s="201">
        <f t="shared" si="45"/>
        <v>82</v>
      </c>
      <c r="AY18" s="409">
        <f t="shared" si="36"/>
        <v>153.9</v>
      </c>
      <c r="AZ18" s="409">
        <f t="shared" si="37"/>
        <v>108.9</v>
      </c>
      <c r="BA18" s="409">
        <f t="shared" si="38"/>
        <v>237.79999999999998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32"/>
        <v>0</v>
      </c>
      <c r="BG18" s="82">
        <f t="shared" si="4"/>
        <v>0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50"/>
        <v>0</v>
      </c>
      <c r="O19" s="393">
        <f t="shared" si="12"/>
        <v>529.52</v>
      </c>
      <c r="P19" s="482">
        <f t="shared" si="51"/>
        <v>0</v>
      </c>
      <c r="Q19" s="482">
        <f t="shared" si="52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154709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ref="AT19" si="58">AT18</f>
        <v>171</v>
      </c>
      <c r="AU19" s="408">
        <f t="shared" si="43"/>
        <v>1.1000000000000001</v>
      </c>
      <c r="AV19" s="201">
        <f t="shared" si="44"/>
        <v>99</v>
      </c>
      <c r="AW19" s="5">
        <v>2.9</v>
      </c>
      <c r="AX19" s="201">
        <f t="shared" si="45"/>
        <v>82</v>
      </c>
      <c r="AY19" s="409">
        <f>AS19*AT19</f>
        <v>153.9</v>
      </c>
      <c r="AZ19" s="409">
        <f>AU19*AV19</f>
        <v>108.9</v>
      </c>
      <c r="BA19" s="409">
        <f>AW19*AX19</f>
        <v>237.79999999999998</v>
      </c>
      <c r="BB19" s="21">
        <f t="shared" si="39"/>
        <v>0</v>
      </c>
      <c r="BC19" s="21">
        <f t="shared" ref="BB19:BD20" si="59">AZ19-AZ18</f>
        <v>0</v>
      </c>
      <c r="BD19" s="21">
        <f t="shared" si="59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f t="shared" si="8"/>
        <v>626864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50"/>
        <v>0</v>
      </c>
      <c r="O20" s="393">
        <f t="shared" si="12"/>
        <v>529.52</v>
      </c>
      <c r="P20" s="482">
        <f t="shared" si="51"/>
        <v>0</v>
      </c>
      <c r="Q20" s="482">
        <f t="shared" si="52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154709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f t="shared" ref="AT20" si="60">AT19</f>
        <v>171</v>
      </c>
      <c r="AU20" s="408">
        <f t="shared" si="43"/>
        <v>1.1000000000000001</v>
      </c>
      <c r="AV20" s="201">
        <f t="shared" si="44"/>
        <v>99</v>
      </c>
      <c r="AW20" s="5">
        <v>2.9</v>
      </c>
      <c r="AX20" s="201">
        <f t="shared" si="45"/>
        <v>82</v>
      </c>
      <c r="AY20" s="409">
        <f>AS20*AT20</f>
        <v>153.9</v>
      </c>
      <c r="AZ20" s="409">
        <f>AU20*AV20</f>
        <v>108.9</v>
      </c>
      <c r="BA20" s="409">
        <f>AW20*AX20</f>
        <v>237.79999999999998</v>
      </c>
      <c r="BB20" s="21">
        <f t="shared" si="59"/>
        <v>0</v>
      </c>
      <c r="BC20" s="21">
        <f t="shared" si="59"/>
        <v>0</v>
      </c>
      <c r="BD20" s="21">
        <f t="shared" si="59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626864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50"/>
        <v>0</v>
      </c>
      <c r="O21" s="393">
        <f t="shared" si="12"/>
        <v>529.52</v>
      </c>
      <c r="P21" s="482">
        <f t="shared" si="51"/>
        <v>0</v>
      </c>
      <c r="Q21" s="482">
        <f t="shared" si="52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154709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ref="AT21" si="61">AT20</f>
        <v>171</v>
      </c>
      <c r="AU21" s="408">
        <f t="shared" si="43"/>
        <v>1.1000000000000001</v>
      </c>
      <c r="AV21" s="201">
        <f t="shared" si="44"/>
        <v>99</v>
      </c>
      <c r="AW21" s="5">
        <v>2.9</v>
      </c>
      <c r="AX21" s="201">
        <f t="shared" si="45"/>
        <v>82</v>
      </c>
      <c r="AY21" s="409">
        <f>AS21*AT21</f>
        <v>153.9</v>
      </c>
      <c r="AZ21" s="409">
        <f>AU21*AV21</f>
        <v>108.9</v>
      </c>
      <c r="BA21" s="409">
        <f>AW21*AX21</f>
        <v>237.79999999999998</v>
      </c>
      <c r="BB21" s="21">
        <f t="shared" ref="BB21:BD33" si="62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626864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50"/>
        <v>0</v>
      </c>
      <c r="O22" s="393">
        <f t="shared" si="12"/>
        <v>529.52</v>
      </c>
      <c r="P22" s="482">
        <f t="shared" si="51"/>
        <v>0</v>
      </c>
      <c r="Q22" s="482">
        <f t="shared" si="52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154709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63">AS21</f>
        <v>0.9</v>
      </c>
      <c r="AT22" s="201">
        <f t="shared" si="63"/>
        <v>171</v>
      </c>
      <c r="AU22" s="408">
        <f t="shared" si="43"/>
        <v>1.1000000000000001</v>
      </c>
      <c r="AV22" s="201">
        <f t="shared" si="44"/>
        <v>99</v>
      </c>
      <c r="AW22" s="5">
        <v>2.9</v>
      </c>
      <c r="AX22" s="201">
        <f t="shared" si="45"/>
        <v>82</v>
      </c>
      <c r="AY22" s="409">
        <f t="shared" si="36"/>
        <v>153.9</v>
      </c>
      <c r="AZ22" s="409">
        <f t="shared" si="37"/>
        <v>108.9</v>
      </c>
      <c r="BA22" s="409">
        <f t="shared" si="38"/>
        <v>237.79999999999998</v>
      </c>
      <c r="BB22" s="21">
        <f>AY22-AY21</f>
        <v>0</v>
      </c>
      <c r="BC22" s="21">
        <f t="shared" si="62"/>
        <v>0</v>
      </c>
      <c r="BD22" s="21">
        <f t="shared" si="62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626864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50"/>
        <v>0</v>
      </c>
      <c r="O23" s="393">
        <f t="shared" si="12"/>
        <v>529.52</v>
      </c>
      <c r="P23" s="482">
        <f t="shared" si="51"/>
        <v>0</v>
      </c>
      <c r="Q23" s="482">
        <f t="shared" si="52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154709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63"/>
        <v>0.9</v>
      </c>
      <c r="AT23" s="201">
        <f t="shared" si="63"/>
        <v>171</v>
      </c>
      <c r="AU23" s="408">
        <f t="shared" si="43"/>
        <v>1.1000000000000001</v>
      </c>
      <c r="AV23" s="201">
        <f t="shared" si="44"/>
        <v>99</v>
      </c>
      <c r="AW23" s="5">
        <v>2.9</v>
      </c>
      <c r="AX23" s="201">
        <f t="shared" si="45"/>
        <v>82</v>
      </c>
      <c r="AY23" s="409">
        <f t="shared" si="36"/>
        <v>153.9</v>
      </c>
      <c r="AZ23" s="409">
        <f t="shared" si="37"/>
        <v>108.9</v>
      </c>
      <c r="BA23" s="409">
        <f t="shared" si="38"/>
        <v>237.79999999999998</v>
      </c>
      <c r="BB23" s="21">
        <f t="shared" si="62"/>
        <v>0</v>
      </c>
      <c r="BC23" s="21">
        <f t="shared" si="62"/>
        <v>0</v>
      </c>
      <c r="BD23" s="21">
        <f t="shared" si="62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626864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50"/>
        <v>0</v>
      </c>
      <c r="O24" s="393">
        <f t="shared" si="12"/>
        <v>529.52</v>
      </c>
      <c r="P24" s="482">
        <f t="shared" si="51"/>
        <v>0</v>
      </c>
      <c r="Q24" s="482">
        <f t="shared" si="52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154709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63"/>
        <v>0.9</v>
      </c>
      <c r="AT24" s="201">
        <f t="shared" si="63"/>
        <v>171</v>
      </c>
      <c r="AU24" s="408">
        <f t="shared" si="43"/>
        <v>1.1000000000000001</v>
      </c>
      <c r="AV24" s="201">
        <f t="shared" si="44"/>
        <v>99</v>
      </c>
      <c r="AW24" s="5">
        <v>2.9</v>
      </c>
      <c r="AX24" s="201">
        <f t="shared" si="45"/>
        <v>82</v>
      </c>
      <c r="AY24" s="409">
        <f t="shared" si="36"/>
        <v>153.9</v>
      </c>
      <c r="AZ24" s="409">
        <f t="shared" si="37"/>
        <v>108.9</v>
      </c>
      <c r="BA24" s="409">
        <f t="shared" si="38"/>
        <v>237.79999999999998</v>
      </c>
      <c r="BB24" s="21">
        <f t="shared" si="62"/>
        <v>0</v>
      </c>
      <c r="BC24" s="21">
        <f t="shared" si="62"/>
        <v>0</v>
      </c>
      <c r="BD24" s="21">
        <f t="shared" si="62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f t="shared" si="8"/>
        <v>626864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7003</v>
      </c>
      <c r="L25" s="263">
        <f t="shared" si="40"/>
        <v>0</v>
      </c>
      <c r="M25" s="393">
        <f t="shared" si="11"/>
        <v>457.44</v>
      </c>
      <c r="N25" s="482">
        <f t="shared" si="50"/>
        <v>0</v>
      </c>
      <c r="O25" s="393">
        <f t="shared" si="12"/>
        <v>529.52</v>
      </c>
      <c r="P25" s="482">
        <f t="shared" si="51"/>
        <v>0</v>
      </c>
      <c r="Q25" s="482">
        <f t="shared" si="52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154709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63"/>
        <v>0.9</v>
      </c>
      <c r="AT25" s="201">
        <f t="shared" si="63"/>
        <v>171</v>
      </c>
      <c r="AU25" s="408">
        <f t="shared" si="43"/>
        <v>1.1000000000000001</v>
      </c>
      <c r="AV25" s="201">
        <f t="shared" si="44"/>
        <v>99</v>
      </c>
      <c r="AW25" s="5">
        <v>2.9</v>
      </c>
      <c r="AX25" s="201">
        <f t="shared" si="45"/>
        <v>82</v>
      </c>
      <c r="AY25" s="409">
        <f t="shared" si="36"/>
        <v>153.9</v>
      </c>
      <c r="AZ25" s="409">
        <f t="shared" si="37"/>
        <v>108.9</v>
      </c>
      <c r="BA25" s="409">
        <f t="shared" si="38"/>
        <v>237.79999999999998</v>
      </c>
      <c r="BB25" s="21">
        <f t="shared" si="62"/>
        <v>0</v>
      </c>
      <c r="BC25" s="21">
        <f t="shared" si="62"/>
        <v>0</v>
      </c>
      <c r="BD25" s="21">
        <f t="shared" si="62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626864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7003</v>
      </c>
      <c r="L26" s="263">
        <f t="shared" si="40"/>
        <v>0</v>
      </c>
      <c r="M26" s="393">
        <f t="shared" si="11"/>
        <v>457.44</v>
      </c>
      <c r="N26" s="482">
        <f t="shared" si="50"/>
        <v>0</v>
      </c>
      <c r="O26" s="393">
        <f t="shared" si="12"/>
        <v>529.52</v>
      </c>
      <c r="P26" s="482">
        <f t="shared" si="51"/>
        <v>0</v>
      </c>
      <c r="Q26" s="482">
        <f t="shared" si="52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154709</v>
      </c>
      <c r="Y26" s="309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63"/>
        <v>0.9</v>
      </c>
      <c r="AT26" s="201">
        <f t="shared" si="63"/>
        <v>171</v>
      </c>
      <c r="AU26" s="408">
        <f t="shared" si="43"/>
        <v>1.1000000000000001</v>
      </c>
      <c r="AV26" s="201">
        <f t="shared" si="44"/>
        <v>99</v>
      </c>
      <c r="AW26" s="5">
        <v>2.9</v>
      </c>
      <c r="AX26" s="201">
        <f t="shared" si="45"/>
        <v>82</v>
      </c>
      <c r="AY26" s="409">
        <f t="shared" si="36"/>
        <v>153.9</v>
      </c>
      <c r="AZ26" s="409">
        <f t="shared" si="37"/>
        <v>108.9</v>
      </c>
      <c r="BA26" s="409">
        <f t="shared" si="38"/>
        <v>237.79999999999998</v>
      </c>
      <c r="BB26" s="21">
        <f>AY26-AY25</f>
        <v>0</v>
      </c>
      <c r="BC26" s="21">
        <f t="shared" si="62"/>
        <v>0</v>
      </c>
      <c r="BD26" s="21">
        <f t="shared" si="62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626864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7003</v>
      </c>
      <c r="L27" s="263">
        <f t="shared" si="40"/>
        <v>0</v>
      </c>
      <c r="M27" s="393">
        <f t="shared" si="11"/>
        <v>457.44</v>
      </c>
      <c r="N27" s="482">
        <f t="shared" si="50"/>
        <v>0</v>
      </c>
      <c r="O27" s="393">
        <f t="shared" si="12"/>
        <v>529.52</v>
      </c>
      <c r="P27" s="482">
        <f t="shared" si="51"/>
        <v>0</v>
      </c>
      <c r="Q27" s="482">
        <f t="shared" si="52"/>
        <v>0</v>
      </c>
      <c r="R27" s="484"/>
      <c r="S27" s="484"/>
      <c r="T27" s="5">
        <v>5180</v>
      </c>
      <c r="U27" s="5">
        <f t="shared" si="3"/>
        <v>-1</v>
      </c>
      <c r="V27" s="5">
        <f t="shared" si="14"/>
        <v>478</v>
      </c>
      <c r="W27" s="309">
        <f t="shared" si="15"/>
        <v>0</v>
      </c>
      <c r="X27" s="5">
        <f t="shared" si="16"/>
        <v>154709</v>
      </c>
      <c r="Y27" s="309">
        <f t="shared" si="41"/>
        <v>0</v>
      </c>
      <c r="Z27" s="5">
        <f t="shared" si="17"/>
        <v>99258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63"/>
        <v>0.9</v>
      </c>
      <c r="AT27" s="201">
        <f t="shared" si="63"/>
        <v>171</v>
      </c>
      <c r="AU27" s="408">
        <f t="shared" si="43"/>
        <v>1.1000000000000001</v>
      </c>
      <c r="AV27" s="201">
        <f t="shared" si="44"/>
        <v>99</v>
      </c>
      <c r="AW27" s="5">
        <v>2.9</v>
      </c>
      <c r="AX27" s="201">
        <f t="shared" si="45"/>
        <v>82</v>
      </c>
      <c r="AY27" s="409">
        <f t="shared" si="36"/>
        <v>153.9</v>
      </c>
      <c r="AZ27" s="409">
        <f t="shared" si="37"/>
        <v>108.9</v>
      </c>
      <c r="BA27" s="409">
        <f t="shared" si="38"/>
        <v>237.79999999999998</v>
      </c>
      <c r="BB27" s="21">
        <f t="shared" si="62"/>
        <v>0</v>
      </c>
      <c r="BC27" s="21">
        <f t="shared" si="62"/>
        <v>0</v>
      </c>
      <c r="BD27" s="21">
        <f t="shared" si="62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f t="shared" si="8"/>
        <v>626864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7003</v>
      </c>
      <c r="L28" s="263">
        <f t="shared" si="40"/>
        <v>0</v>
      </c>
      <c r="M28" s="393">
        <f t="shared" si="11"/>
        <v>457.44</v>
      </c>
      <c r="N28" s="482">
        <f t="shared" si="50"/>
        <v>0</v>
      </c>
      <c r="O28" s="393">
        <f t="shared" si="12"/>
        <v>529.52</v>
      </c>
      <c r="P28" s="482">
        <f t="shared" si="51"/>
        <v>0</v>
      </c>
      <c r="Q28" s="482">
        <f t="shared" si="52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154709</v>
      </c>
      <c r="Y28" s="309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63"/>
        <v>0.9</v>
      </c>
      <c r="AT28" s="201">
        <f t="shared" si="63"/>
        <v>171</v>
      </c>
      <c r="AU28" s="408">
        <f t="shared" si="43"/>
        <v>1.1000000000000001</v>
      </c>
      <c r="AV28" s="201">
        <f t="shared" si="44"/>
        <v>99</v>
      </c>
      <c r="AW28" s="5">
        <v>2.9</v>
      </c>
      <c r="AX28" s="201">
        <f t="shared" si="45"/>
        <v>82</v>
      </c>
      <c r="AY28" s="409">
        <f t="shared" si="36"/>
        <v>153.9</v>
      </c>
      <c r="AZ28" s="409">
        <f t="shared" si="37"/>
        <v>108.9</v>
      </c>
      <c r="BA28" s="409">
        <f t="shared" si="38"/>
        <v>237.79999999999998</v>
      </c>
      <c r="BB28" s="21">
        <f t="shared" si="62"/>
        <v>0</v>
      </c>
      <c r="BC28" s="21">
        <f t="shared" si="62"/>
        <v>0</v>
      </c>
      <c r="BD28" s="21">
        <f t="shared" si="62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f t="shared" si="8"/>
        <v>626864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7003</v>
      </c>
      <c r="L29" s="263">
        <f t="shared" si="40"/>
        <v>0</v>
      </c>
      <c r="M29" s="393">
        <f t="shared" si="11"/>
        <v>457.44</v>
      </c>
      <c r="N29" s="482">
        <f t="shared" si="50"/>
        <v>0</v>
      </c>
      <c r="O29" s="393">
        <f t="shared" si="12"/>
        <v>529.52</v>
      </c>
      <c r="P29" s="482">
        <f t="shared" si="51"/>
        <v>0</v>
      </c>
      <c r="Q29" s="482">
        <f t="shared" si="52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154709</v>
      </c>
      <c r="Y29" s="309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63"/>
        <v>0.9</v>
      </c>
      <c r="AT29" s="201">
        <f t="shared" si="63"/>
        <v>171</v>
      </c>
      <c r="AU29" s="408">
        <f t="shared" si="43"/>
        <v>1.1000000000000001</v>
      </c>
      <c r="AV29" s="201">
        <f t="shared" si="44"/>
        <v>99</v>
      </c>
      <c r="AW29" s="5">
        <v>2.9</v>
      </c>
      <c r="AX29" s="201">
        <f t="shared" si="45"/>
        <v>82</v>
      </c>
      <c r="AY29" s="409">
        <f t="shared" si="36"/>
        <v>153.9</v>
      </c>
      <c r="AZ29" s="409">
        <f t="shared" si="37"/>
        <v>108.9</v>
      </c>
      <c r="BA29" s="409">
        <f t="shared" si="38"/>
        <v>237.79999999999998</v>
      </c>
      <c r="BB29" s="21">
        <f t="shared" si="62"/>
        <v>0</v>
      </c>
      <c r="BC29" s="21">
        <f t="shared" si="62"/>
        <v>0</v>
      </c>
      <c r="BD29" s="21">
        <f t="shared" si="62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626864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7003</v>
      </c>
      <c r="L30" s="263">
        <f t="shared" si="40"/>
        <v>0</v>
      </c>
      <c r="M30" s="393">
        <f t="shared" si="11"/>
        <v>457.44</v>
      </c>
      <c r="N30" s="482">
        <f t="shared" si="50"/>
        <v>0</v>
      </c>
      <c r="O30" s="393">
        <f t="shared" si="12"/>
        <v>529.52</v>
      </c>
      <c r="P30" s="482">
        <f t="shared" si="51"/>
        <v>0</v>
      </c>
      <c r="Q30" s="482">
        <f t="shared" si="52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v>154709</v>
      </c>
      <c r="Y30" s="309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63"/>
        <v>0.9</v>
      </c>
      <c r="AT30" s="201">
        <f t="shared" si="63"/>
        <v>171</v>
      </c>
      <c r="AU30" s="408">
        <f t="shared" si="43"/>
        <v>1.1000000000000001</v>
      </c>
      <c r="AV30" s="201">
        <f t="shared" si="44"/>
        <v>99</v>
      </c>
      <c r="AW30" s="5">
        <v>2.9</v>
      </c>
      <c r="AX30" s="201">
        <f t="shared" si="45"/>
        <v>82</v>
      </c>
      <c r="AY30" s="409">
        <f t="shared" si="36"/>
        <v>153.9</v>
      </c>
      <c r="AZ30" s="409">
        <f t="shared" si="37"/>
        <v>108.9</v>
      </c>
      <c r="BA30" s="409">
        <f t="shared" si="38"/>
        <v>237.79999999999998</v>
      </c>
      <c r="BB30" s="21">
        <f t="shared" si="62"/>
        <v>0</v>
      </c>
      <c r="BC30" s="21">
        <f t="shared" si="62"/>
        <v>0</v>
      </c>
      <c r="BD30" s="21">
        <f t="shared" si="62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626864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7003</v>
      </c>
      <c r="L31" s="263">
        <f t="shared" si="40"/>
        <v>0</v>
      </c>
      <c r="M31" s="393">
        <f t="shared" si="11"/>
        <v>457.44</v>
      </c>
      <c r="N31" s="482">
        <f t="shared" si="50"/>
        <v>0</v>
      </c>
      <c r="O31" s="393">
        <f t="shared" si="12"/>
        <v>529.52</v>
      </c>
      <c r="P31" s="482">
        <f t="shared" si="51"/>
        <v>0</v>
      </c>
      <c r="Q31" s="482">
        <f t="shared" si="52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154709</v>
      </c>
      <c r="Y31" s="309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63"/>
        <v>0.9</v>
      </c>
      <c r="AT31" s="201">
        <f t="shared" si="63"/>
        <v>171</v>
      </c>
      <c r="AU31" s="408">
        <f t="shared" si="43"/>
        <v>1.1000000000000001</v>
      </c>
      <c r="AV31" s="201">
        <f t="shared" si="44"/>
        <v>99</v>
      </c>
      <c r="AW31" s="5">
        <v>2.9</v>
      </c>
      <c r="AX31" s="201">
        <f t="shared" si="45"/>
        <v>82</v>
      </c>
      <c r="AY31" s="409">
        <f t="shared" si="36"/>
        <v>153.9</v>
      </c>
      <c r="AZ31" s="409">
        <f>AU31*AV31</f>
        <v>108.9</v>
      </c>
      <c r="BA31" s="409">
        <f t="shared" si="38"/>
        <v>237.79999999999998</v>
      </c>
      <c r="BB31" s="21">
        <f t="shared" si="62"/>
        <v>0</v>
      </c>
      <c r="BC31" s="21">
        <f t="shared" si="62"/>
        <v>0</v>
      </c>
      <c r="BD31" s="21">
        <f t="shared" si="62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626864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7003</v>
      </c>
      <c r="L32" s="263">
        <f t="shared" si="40"/>
        <v>0</v>
      </c>
      <c r="M32" s="393">
        <f t="shared" si="11"/>
        <v>457.44</v>
      </c>
      <c r="N32" s="482">
        <f t="shared" si="50"/>
        <v>0</v>
      </c>
      <c r="O32" s="393">
        <f t="shared" si="12"/>
        <v>529.52</v>
      </c>
      <c r="P32" s="482">
        <f t="shared" si="51"/>
        <v>0</v>
      </c>
      <c r="Q32" s="482">
        <f t="shared" si="52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154709</v>
      </c>
      <c r="Y32" s="309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63"/>
        <v>0.9</v>
      </c>
      <c r="AT32" s="201">
        <f t="shared" si="63"/>
        <v>171</v>
      </c>
      <c r="AU32" s="408">
        <f t="shared" si="43"/>
        <v>1.1000000000000001</v>
      </c>
      <c r="AV32" s="201">
        <f t="shared" si="44"/>
        <v>99</v>
      </c>
      <c r="AW32" s="5">
        <v>2.9</v>
      </c>
      <c r="AX32" s="201">
        <f t="shared" si="45"/>
        <v>82</v>
      </c>
      <c r="AY32" s="409">
        <f t="shared" si="36"/>
        <v>153.9</v>
      </c>
      <c r="AZ32" s="409">
        <f t="shared" si="37"/>
        <v>108.9</v>
      </c>
      <c r="BA32" s="409">
        <f t="shared" si="38"/>
        <v>237.79999999999998</v>
      </c>
      <c r="BB32" s="21">
        <f t="shared" si="62"/>
        <v>0</v>
      </c>
      <c r="BC32" s="21">
        <f t="shared" si="62"/>
        <v>0</v>
      </c>
      <c r="BD32" s="21">
        <f t="shared" si="62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626864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7003</v>
      </c>
      <c r="L33" s="263">
        <f t="shared" si="40"/>
        <v>0</v>
      </c>
      <c r="M33" s="393">
        <f t="shared" si="11"/>
        <v>457.44</v>
      </c>
      <c r="N33" s="482">
        <f t="shared" si="50"/>
        <v>0</v>
      </c>
      <c r="O33" s="393">
        <f t="shared" si="12"/>
        <v>529.52</v>
      </c>
      <c r="P33" s="482">
        <f t="shared" si="51"/>
        <v>0</v>
      </c>
      <c r="Q33" s="482">
        <f t="shared" si="52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154709</v>
      </c>
      <c r="Y33" s="309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63"/>
        <v>0.9</v>
      </c>
      <c r="AT33" s="201">
        <f t="shared" si="63"/>
        <v>171</v>
      </c>
      <c r="AU33" s="408">
        <f t="shared" si="43"/>
        <v>1.1000000000000001</v>
      </c>
      <c r="AV33" s="201">
        <f t="shared" si="44"/>
        <v>99</v>
      </c>
      <c r="AW33" s="5">
        <v>2.9</v>
      </c>
      <c r="AX33" s="201">
        <f t="shared" si="45"/>
        <v>82</v>
      </c>
      <c r="AY33" s="409">
        <f t="shared" si="36"/>
        <v>153.9</v>
      </c>
      <c r="AZ33" s="409">
        <f t="shared" si="37"/>
        <v>108.9</v>
      </c>
      <c r="BA33" s="409">
        <f t="shared" si="38"/>
        <v>237.79999999999998</v>
      </c>
      <c r="BB33" s="21">
        <f t="shared" si="62"/>
        <v>0</v>
      </c>
      <c r="BC33" s="21">
        <f t="shared" si="62"/>
        <v>0</v>
      </c>
      <c r="BD33" s="21">
        <f t="shared" si="62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-1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abSelected="1" zoomScale="70" zoomScaleNormal="70" workbookViewId="0">
      <pane ySplit="1" topLeftCell="A4" activePane="bottomLeft" state="frozen"/>
      <selection pane="bottomLeft" activeCell="M23" sqref="M2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 t="shared" ref="AG5" si="27">SUM(320*AF5)</f>
        <v>100.54545454543337</v>
      </c>
      <c r="AH5" s="388">
        <f t="shared" si="23"/>
        <v>149.45454545456664</v>
      </c>
      <c r="AI5" s="73">
        <f t="shared" ref="AI5:AI30" si="28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8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9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8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8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8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9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8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8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11443</v>
      </c>
      <c r="C12" s="276">
        <f t="shared" si="9"/>
        <v>0</v>
      </c>
      <c r="D12" s="503">
        <f t="shared" si="10"/>
        <v>623766</v>
      </c>
      <c r="E12" s="276">
        <f t="shared" si="11"/>
        <v>0</v>
      </c>
      <c r="F12" s="276">
        <f t="shared" si="0"/>
        <v>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13576</v>
      </c>
      <c r="S12" s="276">
        <f t="shared" si="4"/>
        <v>0</v>
      </c>
      <c r="T12" s="503">
        <f t="shared" si="18"/>
        <v>333512</v>
      </c>
      <c r="U12" s="276">
        <f t="shared" si="19"/>
        <v>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0</v>
      </c>
      <c r="AA12" s="276">
        <f t="shared" si="20"/>
        <v>0</v>
      </c>
      <c r="AB12" s="276">
        <f t="shared" si="21"/>
        <v>250</v>
      </c>
      <c r="AC12" s="276">
        <f t="shared" si="22"/>
        <v>0</v>
      </c>
      <c r="AD12" s="73">
        <f>ELEC!Q13</f>
        <v>0</v>
      </c>
      <c r="AE12" s="73" t="e">
        <f t="shared" si="25"/>
        <v>#DIV/0!</v>
      </c>
      <c r="AF12" s="387" t="e">
        <f t="shared" si="26"/>
        <v>#DIV/0!</v>
      </c>
      <c r="AG12" s="387" t="e">
        <f t="shared" si="26"/>
        <v>#DIV/0!</v>
      </c>
      <c r="AH12" s="388" t="e">
        <f t="shared" si="23"/>
        <v>#DIV/0!</v>
      </c>
      <c r="AI12" s="73">
        <f t="shared" si="28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4"/>
        <v>0</v>
      </c>
    </row>
    <row r="13" spans="1:38" ht="15.75" thickBot="1">
      <c r="A13" s="4">
        <f>ELEC!C14</f>
        <v>44603</v>
      </c>
      <c r="B13" s="502">
        <f t="shared" ref="B11:B30" si="30">B12</f>
        <v>11443</v>
      </c>
      <c r="C13" s="276">
        <f t="shared" si="9"/>
        <v>0</v>
      </c>
      <c r="D13" s="503">
        <f t="shared" si="10"/>
        <v>623766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9"/>
        <v>13576</v>
      </c>
      <c r="S13" s="276">
        <f t="shared" si="4"/>
        <v>0</v>
      </c>
      <c r="T13" s="503">
        <f t="shared" si="18"/>
        <v>333512</v>
      </c>
      <c r="U13" s="276">
        <f t="shared" si="19"/>
        <v>0</v>
      </c>
      <c r="V13" s="276">
        <v>250</v>
      </c>
      <c r="W13" s="323"/>
      <c r="X13" s="260">
        <v>13550</v>
      </c>
      <c r="Y13" s="276" t="str">
        <f t="shared" si="5"/>
        <v>oil change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8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30"/>
        <v>11443</v>
      </c>
      <c r="C14" s="276">
        <f t="shared" si="9"/>
        <v>0</v>
      </c>
      <c r="D14" s="503">
        <f t="shared" si="10"/>
        <v>623766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9"/>
        <v>13576</v>
      </c>
      <c r="S14" s="276">
        <f t="shared" si="4"/>
        <v>0</v>
      </c>
      <c r="T14" s="503">
        <f t="shared" si="18"/>
        <v>333512</v>
      </c>
      <c r="U14" s="276">
        <f t="shared" si="19"/>
        <v>0</v>
      </c>
      <c r="V14" s="276">
        <v>250</v>
      </c>
      <c r="W14" s="323"/>
      <c r="X14" s="260">
        <v>13550</v>
      </c>
      <c r="Y14" s="276" t="str">
        <f t="shared" si="5"/>
        <v>oil change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8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f t="shared" si="30"/>
        <v>11443</v>
      </c>
      <c r="C15" s="276">
        <f t="shared" si="9"/>
        <v>0</v>
      </c>
      <c r="D15" s="503">
        <f t="shared" si="10"/>
        <v>623766</v>
      </c>
      <c r="E15" s="276">
        <f t="shared" si="11"/>
        <v>0</v>
      </c>
      <c r="F15" s="276">
        <f t="shared" si="0"/>
        <v>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9"/>
        <v>13576</v>
      </c>
      <c r="S15" s="276">
        <f t="shared" si="4"/>
        <v>0</v>
      </c>
      <c r="T15" s="503">
        <f t="shared" si="18"/>
        <v>333512</v>
      </c>
      <c r="U15" s="276">
        <f t="shared" si="19"/>
        <v>0</v>
      </c>
      <c r="V15" s="276">
        <v>250</v>
      </c>
      <c r="W15" s="323"/>
      <c r="X15" s="260">
        <v>13550</v>
      </c>
      <c r="Y15" s="276" t="str">
        <f t="shared" si="5"/>
        <v>oil change</v>
      </c>
      <c r="Z15" s="276">
        <f t="shared" si="6"/>
        <v>0</v>
      </c>
      <c r="AA15" s="276">
        <f t="shared" si="20"/>
        <v>0</v>
      </c>
      <c r="AB15" s="276">
        <f t="shared" si="21"/>
        <v>250</v>
      </c>
      <c r="AC15" s="276">
        <f t="shared" si="22"/>
        <v>0</v>
      </c>
      <c r="AD15" s="73">
        <f>ELEC!Q16</f>
        <v>0</v>
      </c>
      <c r="AE15" s="73" t="e">
        <f t="shared" si="25"/>
        <v>#DIV/0!</v>
      </c>
      <c r="AF15" s="387" t="e">
        <f t="shared" si="26"/>
        <v>#DIV/0!</v>
      </c>
      <c r="AG15" s="387" t="e">
        <f t="shared" si="26"/>
        <v>#DIV/0!</v>
      </c>
      <c r="AH15" s="388" t="e">
        <f t="shared" si="23"/>
        <v>#DIV/0!</v>
      </c>
      <c r="AI15" s="73">
        <f t="shared" si="28"/>
        <v>0</v>
      </c>
      <c r="AJ15" s="278">
        <f t="shared" si="7"/>
        <v>0.25738396624472576</v>
      </c>
      <c r="AK15" s="278" t="e">
        <f t="shared" si="8"/>
        <v>#DIV/0!</v>
      </c>
      <c r="AL15">
        <f t="shared" si="24"/>
        <v>0</v>
      </c>
    </row>
    <row r="16" spans="1:38" ht="15.75" thickBot="1">
      <c r="A16" s="4">
        <f>ELEC!C17</f>
        <v>44606</v>
      </c>
      <c r="B16" s="502">
        <f t="shared" si="30"/>
        <v>11443</v>
      </c>
      <c r="C16" s="276">
        <f t="shared" si="9"/>
        <v>0</v>
      </c>
      <c r="D16" s="503">
        <f t="shared" si="10"/>
        <v>623766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29"/>
        <v>13576</v>
      </c>
      <c r="S16" s="276">
        <f t="shared" si="4"/>
        <v>0</v>
      </c>
      <c r="T16" s="503">
        <f t="shared" si="18"/>
        <v>333512</v>
      </c>
      <c r="U16" s="276">
        <f t="shared" si="19"/>
        <v>0</v>
      </c>
      <c r="V16" s="276">
        <v>250</v>
      </c>
      <c r="W16" s="323"/>
      <c r="X16" s="260">
        <v>13550</v>
      </c>
      <c r="Y16" s="276" t="str">
        <f t="shared" si="5"/>
        <v>oil change</v>
      </c>
      <c r="Z16" s="276">
        <f t="shared" si="6"/>
        <v>0</v>
      </c>
      <c r="AA16" s="276">
        <f t="shared" si="20"/>
        <v>0</v>
      </c>
      <c r="AB16" s="276">
        <f t="shared" si="21"/>
        <v>250</v>
      </c>
      <c r="AC16" s="276">
        <f t="shared" si="22"/>
        <v>0</v>
      </c>
      <c r="AD16" s="73">
        <f>ELEC!Q17</f>
        <v>0</v>
      </c>
      <c r="AE16" s="73" t="e">
        <f t="shared" si="25"/>
        <v>#DIV/0!</v>
      </c>
      <c r="AF16" s="387" t="e">
        <f t="shared" si="26"/>
        <v>#DIV/0!</v>
      </c>
      <c r="AG16" s="387" t="e">
        <f t="shared" si="26"/>
        <v>#DIV/0!</v>
      </c>
      <c r="AH16" s="388" t="e">
        <f t="shared" si="23"/>
        <v>#DIV/0!</v>
      </c>
      <c r="AI16" s="73">
        <f t="shared" si="28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4"/>
        <v>0</v>
      </c>
    </row>
    <row r="17" spans="1:38" ht="15.75" thickBot="1">
      <c r="A17" s="4">
        <f>ELEC!C18</f>
        <v>44607</v>
      </c>
      <c r="B17" s="502">
        <f t="shared" si="30"/>
        <v>11443</v>
      </c>
      <c r="C17" s="276">
        <f t="shared" si="9"/>
        <v>0</v>
      </c>
      <c r="D17" s="503">
        <f t="shared" si="10"/>
        <v>623766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9"/>
        <v>13576</v>
      </c>
      <c r="S17" s="276">
        <f t="shared" si="4"/>
        <v>0</v>
      </c>
      <c r="T17" s="503">
        <f t="shared" si="18"/>
        <v>333512</v>
      </c>
      <c r="U17" s="276">
        <f t="shared" si="19"/>
        <v>0</v>
      </c>
      <c r="V17" s="276">
        <v>250</v>
      </c>
      <c r="W17" s="323"/>
      <c r="X17" s="260">
        <v>13550</v>
      </c>
      <c r="Y17" s="276" t="str">
        <f t="shared" si="5"/>
        <v>oil change</v>
      </c>
      <c r="Z17" s="276">
        <f t="shared" si="6"/>
        <v>0</v>
      </c>
      <c r="AA17" s="276">
        <f t="shared" si="20"/>
        <v>0</v>
      </c>
      <c r="AB17" s="276">
        <f t="shared" si="21"/>
        <v>250</v>
      </c>
      <c r="AC17" s="276">
        <f t="shared" si="22"/>
        <v>0</v>
      </c>
      <c r="AD17" s="73">
        <f>ELEC!Q18</f>
        <v>0</v>
      </c>
      <c r="AE17" s="73" t="e">
        <f t="shared" si="25"/>
        <v>#DIV/0!</v>
      </c>
      <c r="AF17" s="387" t="e">
        <f t="shared" si="26"/>
        <v>#DIV/0!</v>
      </c>
      <c r="AG17" s="387" t="e">
        <f t="shared" si="26"/>
        <v>#DIV/0!</v>
      </c>
      <c r="AH17" s="388" t="e">
        <f t="shared" si="23"/>
        <v>#DIV/0!</v>
      </c>
      <c r="AI17" s="73">
        <f t="shared" si="28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4"/>
        <v>0</v>
      </c>
    </row>
    <row r="18" spans="1:38" ht="15.75" thickBot="1">
      <c r="A18" s="4">
        <f>ELEC!C19</f>
        <v>44608</v>
      </c>
      <c r="B18" s="502">
        <f t="shared" si="30"/>
        <v>11443</v>
      </c>
      <c r="C18" s="276">
        <f t="shared" si="9"/>
        <v>0</v>
      </c>
      <c r="D18" s="503">
        <f t="shared" si="10"/>
        <v>623766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9"/>
        <v>13576</v>
      </c>
      <c r="S18" s="276">
        <f t="shared" si="4"/>
        <v>0</v>
      </c>
      <c r="T18" s="503">
        <f t="shared" si="18"/>
        <v>333512</v>
      </c>
      <c r="U18" s="276">
        <f t="shared" si="19"/>
        <v>0</v>
      </c>
      <c r="V18" s="276">
        <v>250</v>
      </c>
      <c r="W18" s="323"/>
      <c r="X18" s="260">
        <v>13550</v>
      </c>
      <c r="Y18" s="276" t="str">
        <f t="shared" si="5"/>
        <v>oil change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8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44609</v>
      </c>
      <c r="B19" s="502">
        <f t="shared" si="30"/>
        <v>11443</v>
      </c>
      <c r="C19" s="276">
        <f t="shared" si="9"/>
        <v>0</v>
      </c>
      <c r="D19" s="503">
        <f t="shared" si="10"/>
        <v>623766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1">IF(J19-P19&lt;=0,"ok","oil change")</f>
        <v>ok</v>
      </c>
      <c r="R19" s="502">
        <f t="shared" si="29"/>
        <v>13576</v>
      </c>
      <c r="S19" s="276">
        <f t="shared" si="4"/>
        <v>0</v>
      </c>
      <c r="T19" s="503">
        <f t="shared" si="18"/>
        <v>333512</v>
      </c>
      <c r="U19" s="276">
        <f t="shared" si="19"/>
        <v>0</v>
      </c>
      <c r="V19" s="276">
        <v>250</v>
      </c>
      <c r="W19" s="323"/>
      <c r="X19" s="260">
        <v>13550</v>
      </c>
      <c r="Y19" s="276" t="str">
        <f t="shared" si="5"/>
        <v>oil change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8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44610</v>
      </c>
      <c r="B20" s="502">
        <f t="shared" si="30"/>
        <v>11443</v>
      </c>
      <c r="C20" s="276">
        <f>B20-B19</f>
        <v>0</v>
      </c>
      <c r="D20" s="503">
        <f t="shared" si="10"/>
        <v>623766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1"/>
        <v>ok</v>
      </c>
      <c r="R20" s="502">
        <f t="shared" si="29"/>
        <v>13576</v>
      </c>
      <c r="S20" s="276">
        <f t="shared" si="4"/>
        <v>0</v>
      </c>
      <c r="T20" s="503">
        <f t="shared" si="18"/>
        <v>333512</v>
      </c>
      <c r="U20" s="276">
        <f t="shared" si="19"/>
        <v>0</v>
      </c>
      <c r="V20" s="276">
        <v>250</v>
      </c>
      <c r="W20" s="323"/>
      <c r="X20" s="260">
        <v>13550</v>
      </c>
      <c r="Y20" s="276" t="str">
        <f t="shared" ref="Y20" si="32">IF(R20-X20&lt;=0,"ok","oil change")</f>
        <v>oil change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30"/>
        <v>11443</v>
      </c>
      <c r="C21" s="276">
        <f>B21-B20</f>
        <v>0</v>
      </c>
      <c r="D21" s="503">
        <f t="shared" si="10"/>
        <v>623766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1"/>
        <v>ok</v>
      </c>
      <c r="R21" s="502">
        <f t="shared" si="29"/>
        <v>13576</v>
      </c>
      <c r="S21" s="276">
        <f t="shared" si="4"/>
        <v>0</v>
      </c>
      <c r="T21" s="503">
        <f t="shared" si="18"/>
        <v>333512</v>
      </c>
      <c r="U21" s="276">
        <f t="shared" si="19"/>
        <v>0</v>
      </c>
      <c r="V21" s="276">
        <v>250</v>
      </c>
      <c r="W21" s="196"/>
      <c r="X21" s="260">
        <v>13550</v>
      </c>
      <c r="Y21" s="276" t="str">
        <f>Y20</f>
        <v>oil change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8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f t="shared" si="30"/>
        <v>11443</v>
      </c>
      <c r="C22" s="276">
        <f t="shared" si="9"/>
        <v>0</v>
      </c>
      <c r="D22" s="503">
        <f t="shared" si="10"/>
        <v>623766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1"/>
        <v>ok</v>
      </c>
      <c r="R22" s="502">
        <f t="shared" si="29"/>
        <v>13576</v>
      </c>
      <c r="S22" s="276">
        <f t="shared" si="4"/>
        <v>0</v>
      </c>
      <c r="T22" s="503">
        <f t="shared" si="18"/>
        <v>333512</v>
      </c>
      <c r="U22" s="276">
        <f t="shared" si="19"/>
        <v>0</v>
      </c>
      <c r="V22" s="276">
        <v>250</v>
      </c>
      <c r="W22" s="196"/>
      <c r="X22" s="260">
        <v>13550</v>
      </c>
      <c r="Y22" s="276" t="str">
        <f t="shared" ref="Y22:Y30" si="33">Y21</f>
        <v>oil change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8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44613</v>
      </c>
      <c r="B23" s="502">
        <f t="shared" si="30"/>
        <v>11443</v>
      </c>
      <c r="C23" s="276">
        <f t="shared" si="9"/>
        <v>0</v>
      </c>
      <c r="D23" s="503">
        <f t="shared" si="10"/>
        <v>623766</v>
      </c>
      <c r="E23" s="276">
        <f>150*C23</f>
        <v>0</v>
      </c>
      <c r="F23" s="276">
        <f t="shared" si="0"/>
        <v>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1"/>
        <v>ok</v>
      </c>
      <c r="R23" s="502">
        <f t="shared" si="29"/>
        <v>13576</v>
      </c>
      <c r="S23" s="276">
        <f>R23-R22</f>
        <v>0</v>
      </c>
      <c r="T23" s="503">
        <f t="shared" si="18"/>
        <v>333512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3"/>
        <v>oil change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8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44614</v>
      </c>
      <c r="B24" s="502">
        <f t="shared" si="30"/>
        <v>11443</v>
      </c>
      <c r="C24" s="276">
        <f t="shared" si="9"/>
        <v>0</v>
      </c>
      <c r="D24" s="503">
        <f t="shared" si="10"/>
        <v>623766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1"/>
        <v>ok</v>
      </c>
      <c r="R24" s="502">
        <f t="shared" si="29"/>
        <v>13576</v>
      </c>
      <c r="S24" s="276">
        <f t="shared" si="4"/>
        <v>0</v>
      </c>
      <c r="T24" s="503">
        <f t="shared" si="18"/>
        <v>333512</v>
      </c>
      <c r="U24" s="276">
        <f t="shared" si="19"/>
        <v>0</v>
      </c>
      <c r="V24" s="276">
        <v>250</v>
      </c>
      <c r="W24" s="196"/>
      <c r="X24" s="260">
        <v>13550</v>
      </c>
      <c r="Y24" s="276" t="str">
        <f t="shared" si="33"/>
        <v>oil change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8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44615</v>
      </c>
      <c r="B25" s="502">
        <f t="shared" si="30"/>
        <v>11443</v>
      </c>
      <c r="C25" s="276">
        <f t="shared" si="9"/>
        <v>0</v>
      </c>
      <c r="D25" s="503">
        <f t="shared" si="10"/>
        <v>623766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1"/>
        <v>ok</v>
      </c>
      <c r="R25" s="502">
        <f t="shared" si="29"/>
        <v>13576</v>
      </c>
      <c r="S25" s="276">
        <f t="shared" si="4"/>
        <v>0</v>
      </c>
      <c r="T25" s="503">
        <f t="shared" si="18"/>
        <v>333512</v>
      </c>
      <c r="U25" s="276">
        <f t="shared" si="19"/>
        <v>0</v>
      </c>
      <c r="V25" s="276">
        <v>250</v>
      </c>
      <c r="W25" s="196"/>
      <c r="X25" s="260">
        <v>13550</v>
      </c>
      <c r="Y25" s="276" t="str">
        <f t="shared" si="33"/>
        <v>oil change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8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44616</v>
      </c>
      <c r="B26" s="502">
        <f t="shared" si="30"/>
        <v>11443</v>
      </c>
      <c r="C26" s="276">
        <f>B26-B25</f>
        <v>0</v>
      </c>
      <c r="D26" s="503">
        <f t="shared" si="10"/>
        <v>623766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1"/>
        <v>ok</v>
      </c>
      <c r="R26" s="502">
        <f t="shared" si="29"/>
        <v>13576</v>
      </c>
      <c r="S26" s="276">
        <f t="shared" ref="S26" si="34">R26-R25</f>
        <v>0</v>
      </c>
      <c r="T26" s="503">
        <f t="shared" si="18"/>
        <v>333512</v>
      </c>
      <c r="U26" s="276">
        <f t="shared" si="19"/>
        <v>0</v>
      </c>
      <c r="V26" s="276">
        <v>250</v>
      </c>
      <c r="W26" s="196"/>
      <c r="X26" s="260">
        <v>13550</v>
      </c>
      <c r="Y26" s="276" t="str">
        <f t="shared" si="33"/>
        <v>oil change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8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44617</v>
      </c>
      <c r="B27" s="502">
        <f t="shared" si="30"/>
        <v>11443</v>
      </c>
      <c r="C27" s="276">
        <f>B27-B26</f>
        <v>0</v>
      </c>
      <c r="D27" s="503">
        <f t="shared" si="10"/>
        <v>623766</v>
      </c>
      <c r="E27" s="276">
        <f t="shared" ref="E27:E30" si="35"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1"/>
        <v>ok</v>
      </c>
      <c r="R27" s="502">
        <f t="shared" si="29"/>
        <v>13576</v>
      </c>
      <c r="S27" s="276">
        <f t="shared" si="4"/>
        <v>0</v>
      </c>
      <c r="T27" s="503">
        <f t="shared" si="18"/>
        <v>333512</v>
      </c>
      <c r="U27" s="276">
        <f t="shared" si="19"/>
        <v>0</v>
      </c>
      <c r="V27" s="276">
        <v>250</v>
      </c>
      <c r="W27" s="196"/>
      <c r="X27" s="260">
        <v>13550</v>
      </c>
      <c r="Y27" s="276" t="str">
        <f t="shared" si="33"/>
        <v>oil change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8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30"/>
        <v>11443</v>
      </c>
      <c r="C28" s="276">
        <f t="shared" si="9"/>
        <v>0</v>
      </c>
      <c r="D28" s="503">
        <f t="shared" si="10"/>
        <v>623766</v>
      </c>
      <c r="E28" s="276">
        <f t="shared" si="35"/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1"/>
        <v>ok</v>
      </c>
      <c r="R28" s="502">
        <f t="shared" si="29"/>
        <v>13576</v>
      </c>
      <c r="S28" s="276">
        <f t="shared" si="4"/>
        <v>0</v>
      </c>
      <c r="T28" s="503">
        <f t="shared" si="18"/>
        <v>333512</v>
      </c>
      <c r="U28" s="276">
        <f t="shared" si="19"/>
        <v>0</v>
      </c>
      <c r="V28" s="276">
        <v>250</v>
      </c>
      <c r="W28" s="196"/>
      <c r="X28" s="260">
        <v>13550</v>
      </c>
      <c r="Y28" s="276" t="str">
        <f t="shared" si="33"/>
        <v>oil change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8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f t="shared" si="30"/>
        <v>11443</v>
      </c>
      <c r="C29" s="276">
        <f t="shared" si="9"/>
        <v>0</v>
      </c>
      <c r="D29" s="503">
        <f t="shared" si="10"/>
        <v>623766</v>
      </c>
      <c r="E29" s="276">
        <f t="shared" si="35"/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1"/>
        <v>ok</v>
      </c>
      <c r="R29" s="502">
        <f t="shared" si="29"/>
        <v>13576</v>
      </c>
      <c r="S29" s="276">
        <f t="shared" si="4"/>
        <v>0</v>
      </c>
      <c r="T29" s="503">
        <f>T28+U29</f>
        <v>333512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3"/>
        <v>oil change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8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44620</v>
      </c>
      <c r="B30" s="502">
        <f t="shared" si="30"/>
        <v>11443</v>
      </c>
      <c r="C30" s="276">
        <f t="shared" si="9"/>
        <v>0</v>
      </c>
      <c r="D30" s="503">
        <f t="shared" si="10"/>
        <v>623766</v>
      </c>
      <c r="E30" s="276">
        <f t="shared" si="35"/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1"/>
        <v>ok</v>
      </c>
      <c r="R30" s="502">
        <f t="shared" si="29"/>
        <v>13576</v>
      </c>
      <c r="S30" s="276">
        <f t="shared" si="4"/>
        <v>0</v>
      </c>
      <c r="T30" s="503">
        <f t="shared" si="18"/>
        <v>333512</v>
      </c>
      <c r="U30" s="276">
        <f t="shared" si="19"/>
        <v>0</v>
      </c>
      <c r="V30" s="276">
        <v>250</v>
      </c>
      <c r="W30" s="274"/>
      <c r="X30" s="260">
        <v>13550</v>
      </c>
      <c r="Y30" s="276" t="str">
        <f t="shared" si="33"/>
        <v>oil change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8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70</v>
      </c>
      <c r="V34" s="40"/>
      <c r="X34">
        <v>341</v>
      </c>
      <c r="Z34" s="404">
        <f>SUM(Z3:Z33)</f>
        <v>70</v>
      </c>
      <c r="AF34" s="387">
        <f t="shared" ref="AF34" si="36">SUM(AE34/1600)</f>
        <v>0</v>
      </c>
      <c r="AL34">
        <f>SUM(AL3:AL33)</f>
        <v>6</v>
      </c>
    </row>
    <row r="35" spans="1:38">
      <c r="C35" s="40">
        <f>SUM(C3:C33)</f>
        <v>15</v>
      </c>
      <c r="K35" s="40">
        <f>SUM(K3:K33)</f>
        <v>0</v>
      </c>
      <c r="S35" s="40">
        <f>SUM(S3:S33)</f>
        <v>55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B1" activePane="topRight" state="frozen"/>
      <selection pane="topRight" activeCell="AS24" sqref="AS23:AS2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151</v>
      </c>
      <c r="C15" s="203">
        <f>B15*$B$4</f>
        <v>3248.9354838709678</v>
      </c>
      <c r="D15">
        <f t="shared" si="19"/>
        <v>151</v>
      </c>
      <c r="E15" s="203">
        <f t="shared" si="18"/>
        <v>3248.9354838709678</v>
      </c>
      <c r="F15">
        <f t="shared" si="20"/>
        <v>151</v>
      </c>
      <c r="G15" s="203">
        <f t="shared" si="1"/>
        <v>3248.9354838709678</v>
      </c>
      <c r="H15" s="203">
        <f t="shared" si="21"/>
        <v>151</v>
      </c>
      <c r="I15" s="203">
        <f t="shared" si="2"/>
        <v>3248.9354838709678</v>
      </c>
      <c r="J15" s="203">
        <f t="shared" si="22"/>
        <v>151</v>
      </c>
      <c r="K15" s="203">
        <f t="shared" si="3"/>
        <v>3248.9354838709678</v>
      </c>
      <c r="L15" s="203">
        <f t="shared" si="23"/>
        <v>151</v>
      </c>
      <c r="M15" s="203">
        <f t="shared" si="4"/>
        <v>3248.9354838709678</v>
      </c>
      <c r="N15" s="203">
        <f t="shared" si="24"/>
        <v>151</v>
      </c>
      <c r="O15" s="203">
        <f t="shared" si="5"/>
        <v>3248.9354838709678</v>
      </c>
      <c r="P15" s="203">
        <f t="shared" si="25"/>
        <v>151</v>
      </c>
      <c r="Q15" s="203">
        <f t="shared" si="6"/>
        <v>3248.9354838709678</v>
      </c>
      <c r="R15" s="203">
        <f t="shared" si="26"/>
        <v>151</v>
      </c>
      <c r="S15" s="203">
        <f t="shared" si="7"/>
        <v>3248.9354838709678</v>
      </c>
      <c r="T15" s="203">
        <f t="shared" si="27"/>
        <v>151</v>
      </c>
      <c r="U15" s="203">
        <f t="shared" si="8"/>
        <v>3248.9354838709678</v>
      </c>
      <c r="V15" s="203">
        <f t="shared" si="28"/>
        <v>151</v>
      </c>
      <c r="W15" s="203">
        <f t="shared" si="9"/>
        <v>3248.9354838709678</v>
      </c>
      <c r="X15" s="35">
        <f t="shared" si="10"/>
        <v>0.48709677419354847</v>
      </c>
      <c r="Y15" s="36">
        <f t="shared" si="29"/>
        <v>35738.290322580651</v>
      </c>
      <c r="Z15" s="203">
        <f>'B5'!C14</f>
        <v>158</v>
      </c>
      <c r="AA15" s="203">
        <f t="shared" si="30"/>
        <v>1580</v>
      </c>
      <c r="AB15" s="203">
        <f t="shared" si="31"/>
        <v>158</v>
      </c>
      <c r="AC15" s="203">
        <f t="shared" si="30"/>
        <v>1580</v>
      </c>
      <c r="AD15" s="203">
        <f t="shared" si="32"/>
        <v>158</v>
      </c>
      <c r="AE15" s="203">
        <f t="shared" si="11"/>
        <v>1580</v>
      </c>
      <c r="AF15" s="203">
        <f t="shared" si="33"/>
        <v>158</v>
      </c>
      <c r="AG15" s="203">
        <f t="shared" si="12"/>
        <v>1580</v>
      </c>
      <c r="AH15" s="203">
        <f t="shared" si="34"/>
        <v>158</v>
      </c>
      <c r="AI15" s="203">
        <f t="shared" si="13"/>
        <v>1580</v>
      </c>
      <c r="AJ15" s="203">
        <f t="shared" si="35"/>
        <v>158</v>
      </c>
      <c r="AK15" s="203">
        <f t="shared" si="14"/>
        <v>1580</v>
      </c>
      <c r="AL15" s="203">
        <f t="shared" si="36"/>
        <v>158</v>
      </c>
      <c r="AM15" s="203">
        <f t="shared" si="15"/>
        <v>1580</v>
      </c>
      <c r="AN15" s="35">
        <f t="shared" si="16"/>
        <v>0.56428571428571428</v>
      </c>
      <c r="AO15" s="36">
        <f t="shared" si="41"/>
        <v>11060</v>
      </c>
      <c r="AQ15" s="223">
        <f t="shared" si="37"/>
        <v>0.5033698001783441</v>
      </c>
      <c r="AR15" s="38">
        <f t="shared" si="38"/>
        <v>46798.290322580651</v>
      </c>
      <c r="AS15" s="197">
        <f t="shared" si="42"/>
        <v>0</v>
      </c>
      <c r="AT15" s="340"/>
      <c r="AU15" s="549"/>
      <c r="AV15" s="485">
        <f>IF(AT15&gt;0,AU15,AV14)</f>
        <v>0.76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44603</v>
      </c>
      <c r="B16">
        <f>'B5'!B15</f>
        <v>151</v>
      </c>
      <c r="C16" s="203">
        <f t="shared" si="18"/>
        <v>3248.9354838709678</v>
      </c>
      <c r="D16">
        <f t="shared" si="19"/>
        <v>151</v>
      </c>
      <c r="E16" s="203">
        <f t="shared" si="18"/>
        <v>3248.9354838709678</v>
      </c>
      <c r="F16">
        <f t="shared" si="20"/>
        <v>151</v>
      </c>
      <c r="G16" s="203">
        <f t="shared" si="1"/>
        <v>3248.9354838709678</v>
      </c>
      <c r="H16" s="203">
        <f t="shared" si="21"/>
        <v>151</v>
      </c>
      <c r="I16" s="203">
        <f t="shared" si="2"/>
        <v>3248.9354838709678</v>
      </c>
      <c r="J16" s="203">
        <f t="shared" si="22"/>
        <v>151</v>
      </c>
      <c r="K16" s="203">
        <f t="shared" si="3"/>
        <v>3248.9354838709678</v>
      </c>
      <c r="L16" s="203">
        <f t="shared" si="23"/>
        <v>151</v>
      </c>
      <c r="M16" s="203">
        <f t="shared" si="4"/>
        <v>3248.9354838709678</v>
      </c>
      <c r="N16" s="203">
        <f t="shared" si="24"/>
        <v>151</v>
      </c>
      <c r="O16" s="203">
        <f t="shared" si="5"/>
        <v>3248.9354838709678</v>
      </c>
      <c r="P16" s="203">
        <f t="shared" si="25"/>
        <v>151</v>
      </c>
      <c r="Q16" s="203">
        <f t="shared" si="6"/>
        <v>3248.9354838709678</v>
      </c>
      <c r="R16" s="203">
        <f t="shared" si="26"/>
        <v>151</v>
      </c>
      <c r="S16" s="203">
        <f t="shared" si="7"/>
        <v>3248.9354838709678</v>
      </c>
      <c r="T16" s="203">
        <f t="shared" si="27"/>
        <v>151</v>
      </c>
      <c r="U16" s="203">
        <f t="shared" si="8"/>
        <v>3248.9354838709678</v>
      </c>
      <c r="V16" s="203">
        <f t="shared" si="28"/>
        <v>151</v>
      </c>
      <c r="W16" s="203">
        <f t="shared" si="9"/>
        <v>3248.9354838709678</v>
      </c>
      <c r="X16" s="35">
        <f t="shared" si="10"/>
        <v>0.48709677419354847</v>
      </c>
      <c r="Y16" s="36">
        <f t="shared" si="29"/>
        <v>35738.290322580651</v>
      </c>
      <c r="Z16" s="203">
        <f>'B5'!C15</f>
        <v>158</v>
      </c>
      <c r="AA16" s="203">
        <f t="shared" si="30"/>
        <v>1580</v>
      </c>
      <c r="AB16" s="203">
        <f t="shared" si="31"/>
        <v>158</v>
      </c>
      <c r="AC16" s="203">
        <f t="shared" si="30"/>
        <v>1580</v>
      </c>
      <c r="AD16" s="203">
        <f t="shared" si="32"/>
        <v>158</v>
      </c>
      <c r="AE16" s="203">
        <f t="shared" si="11"/>
        <v>1580</v>
      </c>
      <c r="AF16" s="203">
        <f t="shared" si="33"/>
        <v>158</v>
      </c>
      <c r="AG16" s="203">
        <f t="shared" si="12"/>
        <v>1580</v>
      </c>
      <c r="AH16" s="203">
        <f t="shared" si="34"/>
        <v>158</v>
      </c>
      <c r="AI16" s="203">
        <f t="shared" si="13"/>
        <v>1580</v>
      </c>
      <c r="AJ16" s="203">
        <f t="shared" si="35"/>
        <v>158</v>
      </c>
      <c r="AK16" s="203">
        <f t="shared" si="14"/>
        <v>1580</v>
      </c>
      <c r="AL16" s="203">
        <f t="shared" si="36"/>
        <v>158</v>
      </c>
      <c r="AM16" s="203">
        <f t="shared" si="15"/>
        <v>1580</v>
      </c>
      <c r="AN16" s="35">
        <f t="shared" si="16"/>
        <v>0.56428571428571428</v>
      </c>
      <c r="AO16" s="36">
        <f t="shared" si="41"/>
        <v>11060</v>
      </c>
      <c r="AQ16" s="223">
        <f t="shared" si="37"/>
        <v>0.5033698001783441</v>
      </c>
      <c r="AR16" s="38">
        <f t="shared" si="38"/>
        <v>46798.290322580651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151</v>
      </c>
      <c r="C17" s="203">
        <f t="shared" si="18"/>
        <v>3248.9354838709678</v>
      </c>
      <c r="D17">
        <f t="shared" si="19"/>
        <v>151</v>
      </c>
      <c r="E17" s="203">
        <f t="shared" si="18"/>
        <v>3248.9354838709678</v>
      </c>
      <c r="F17">
        <f t="shared" si="20"/>
        <v>151</v>
      </c>
      <c r="G17" s="203">
        <f t="shared" si="1"/>
        <v>3248.9354838709678</v>
      </c>
      <c r="H17" s="203">
        <f t="shared" si="21"/>
        <v>151</v>
      </c>
      <c r="I17" s="203">
        <f t="shared" si="2"/>
        <v>3248.9354838709678</v>
      </c>
      <c r="J17" s="203">
        <f t="shared" si="22"/>
        <v>151</v>
      </c>
      <c r="K17" s="203">
        <f t="shared" si="3"/>
        <v>3248.9354838709678</v>
      </c>
      <c r="L17" s="203">
        <f t="shared" si="23"/>
        <v>151</v>
      </c>
      <c r="M17" s="203">
        <f t="shared" si="4"/>
        <v>3248.9354838709678</v>
      </c>
      <c r="N17" s="203">
        <f t="shared" si="24"/>
        <v>151</v>
      </c>
      <c r="O17" s="203">
        <f t="shared" si="5"/>
        <v>3248.9354838709678</v>
      </c>
      <c r="P17" s="203">
        <f t="shared" si="25"/>
        <v>151</v>
      </c>
      <c r="Q17" s="203">
        <f t="shared" si="6"/>
        <v>3248.9354838709678</v>
      </c>
      <c r="R17" s="203">
        <f t="shared" si="26"/>
        <v>151</v>
      </c>
      <c r="S17" s="203">
        <f t="shared" si="7"/>
        <v>3248.9354838709678</v>
      </c>
      <c r="T17" s="203">
        <f t="shared" si="27"/>
        <v>151</v>
      </c>
      <c r="U17" s="203">
        <f t="shared" si="8"/>
        <v>3248.9354838709678</v>
      </c>
      <c r="V17" s="203">
        <f t="shared" si="28"/>
        <v>151</v>
      </c>
      <c r="W17" s="203">
        <f t="shared" si="9"/>
        <v>3248.9354838709678</v>
      </c>
      <c r="X17" s="35">
        <f t="shared" si="10"/>
        <v>0.48709677419354847</v>
      </c>
      <c r="Y17" s="36">
        <f t="shared" si="29"/>
        <v>35738.290322580651</v>
      </c>
      <c r="Z17" s="203">
        <f>'B5'!C16</f>
        <v>158</v>
      </c>
      <c r="AA17" s="203">
        <f t="shared" si="30"/>
        <v>1580</v>
      </c>
      <c r="AB17" s="203">
        <f t="shared" si="31"/>
        <v>158</v>
      </c>
      <c r="AC17" s="203">
        <f t="shared" si="30"/>
        <v>1580</v>
      </c>
      <c r="AD17" s="203">
        <f t="shared" si="32"/>
        <v>158</v>
      </c>
      <c r="AE17" s="203">
        <f t="shared" si="11"/>
        <v>1580</v>
      </c>
      <c r="AF17" s="203">
        <f t="shared" si="33"/>
        <v>158</v>
      </c>
      <c r="AG17" s="203">
        <f t="shared" si="12"/>
        <v>1580</v>
      </c>
      <c r="AH17" s="203">
        <f t="shared" si="34"/>
        <v>158</v>
      </c>
      <c r="AI17" s="203">
        <f t="shared" si="13"/>
        <v>1580</v>
      </c>
      <c r="AJ17" s="203">
        <f t="shared" si="35"/>
        <v>158</v>
      </c>
      <c r="AK17" s="203">
        <f t="shared" si="14"/>
        <v>1580</v>
      </c>
      <c r="AL17" s="203">
        <f t="shared" si="36"/>
        <v>158</v>
      </c>
      <c r="AM17" s="203">
        <f t="shared" si="15"/>
        <v>1580</v>
      </c>
      <c r="AN17" s="35">
        <f t="shared" si="16"/>
        <v>0.56428571428571428</v>
      </c>
      <c r="AO17" s="36">
        <f>SUM(AA17+AC17+AE17+AG17+AI17+AK17+AM17)</f>
        <v>11060</v>
      </c>
      <c r="AQ17" s="223">
        <f t="shared" si="37"/>
        <v>0.5033698001783441</v>
      </c>
      <c r="AR17" s="38">
        <f t="shared" si="38"/>
        <v>46798.290322580651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151</v>
      </c>
      <c r="C18" s="203">
        <f t="shared" si="18"/>
        <v>3248.9354838709678</v>
      </c>
      <c r="D18">
        <f t="shared" si="19"/>
        <v>151</v>
      </c>
      <c r="E18" s="203">
        <f t="shared" si="18"/>
        <v>3248.9354838709678</v>
      </c>
      <c r="F18">
        <f t="shared" si="20"/>
        <v>151</v>
      </c>
      <c r="G18" s="203">
        <f t="shared" si="1"/>
        <v>3248.9354838709678</v>
      </c>
      <c r="H18" s="203">
        <f t="shared" si="21"/>
        <v>151</v>
      </c>
      <c r="I18" s="203">
        <f t="shared" si="2"/>
        <v>3248.9354838709678</v>
      </c>
      <c r="J18" s="203">
        <f t="shared" si="22"/>
        <v>151</v>
      </c>
      <c r="K18" s="203">
        <f t="shared" si="3"/>
        <v>3248.9354838709678</v>
      </c>
      <c r="L18" s="203">
        <f t="shared" si="23"/>
        <v>151</v>
      </c>
      <c r="M18" s="203">
        <f t="shared" si="4"/>
        <v>3248.9354838709678</v>
      </c>
      <c r="N18" s="203">
        <f t="shared" si="24"/>
        <v>151</v>
      </c>
      <c r="O18" s="203">
        <f t="shared" si="5"/>
        <v>3248.9354838709678</v>
      </c>
      <c r="P18" s="203">
        <f t="shared" si="25"/>
        <v>151</v>
      </c>
      <c r="Q18" s="203">
        <f t="shared" si="6"/>
        <v>3248.9354838709678</v>
      </c>
      <c r="R18" s="203">
        <f t="shared" si="26"/>
        <v>151</v>
      </c>
      <c r="S18" s="203">
        <f t="shared" si="7"/>
        <v>3248.9354838709678</v>
      </c>
      <c r="T18" s="203">
        <f t="shared" si="27"/>
        <v>151</v>
      </c>
      <c r="U18" s="203">
        <f t="shared" si="8"/>
        <v>3248.9354838709678</v>
      </c>
      <c r="V18" s="203">
        <f t="shared" si="28"/>
        <v>151</v>
      </c>
      <c r="W18" s="203">
        <f t="shared" si="9"/>
        <v>3248.9354838709678</v>
      </c>
      <c r="X18" s="35">
        <f t="shared" si="10"/>
        <v>0.48709677419354847</v>
      </c>
      <c r="Y18" s="36">
        <f t="shared" si="29"/>
        <v>35738.290322580651</v>
      </c>
      <c r="Z18" s="203">
        <f>'B5'!C17</f>
        <v>158</v>
      </c>
      <c r="AA18" s="203">
        <f t="shared" si="30"/>
        <v>1580</v>
      </c>
      <c r="AB18" s="203">
        <f t="shared" si="31"/>
        <v>158</v>
      </c>
      <c r="AC18" s="203">
        <f t="shared" si="30"/>
        <v>1580</v>
      </c>
      <c r="AD18" s="203">
        <f t="shared" si="32"/>
        <v>158</v>
      </c>
      <c r="AE18" s="203">
        <f t="shared" si="11"/>
        <v>1580</v>
      </c>
      <c r="AF18" s="203">
        <f t="shared" si="33"/>
        <v>158</v>
      </c>
      <c r="AG18" s="203">
        <f t="shared" si="12"/>
        <v>1580</v>
      </c>
      <c r="AH18" s="203">
        <f t="shared" si="34"/>
        <v>158</v>
      </c>
      <c r="AI18" s="203">
        <f t="shared" si="13"/>
        <v>1580</v>
      </c>
      <c r="AJ18" s="203">
        <f t="shared" si="35"/>
        <v>158</v>
      </c>
      <c r="AK18" s="203">
        <f t="shared" si="14"/>
        <v>1580</v>
      </c>
      <c r="AL18" s="203">
        <f t="shared" si="36"/>
        <v>158</v>
      </c>
      <c r="AM18" s="203">
        <f t="shared" si="15"/>
        <v>1580</v>
      </c>
      <c r="AN18" s="35">
        <f t="shared" si="16"/>
        <v>0.56428571428571428</v>
      </c>
      <c r="AO18" s="36">
        <f t="shared" si="41"/>
        <v>11060</v>
      </c>
      <c r="AQ18" s="223">
        <f t="shared" si="37"/>
        <v>0.5033698001783441</v>
      </c>
      <c r="AR18" s="38">
        <f t="shared" si="38"/>
        <v>46798.290322580651</v>
      </c>
      <c r="AS18" s="197">
        <f>SUM(AR18-AR17-AT18)</f>
        <v>0</v>
      </c>
      <c r="AT18" s="340"/>
      <c r="AU18" s="549"/>
      <c r="AV18" s="485">
        <f t="shared" si="45"/>
        <v>0.76</v>
      </c>
      <c r="AW18" s="279">
        <f>-SUM('B5'!AI17)</f>
        <v>0</v>
      </c>
      <c r="AX18" s="279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44606</v>
      </c>
      <c r="B19">
        <f>'B5'!B18</f>
        <v>151</v>
      </c>
      <c r="C19" s="203">
        <f t="shared" si="18"/>
        <v>3248.9354838709678</v>
      </c>
      <c r="D19">
        <f t="shared" si="19"/>
        <v>151</v>
      </c>
      <c r="E19" s="203">
        <f t="shared" si="18"/>
        <v>3248.9354838709678</v>
      </c>
      <c r="F19">
        <f t="shared" si="20"/>
        <v>151</v>
      </c>
      <c r="G19" s="203">
        <f t="shared" si="1"/>
        <v>3248.9354838709678</v>
      </c>
      <c r="H19" s="203">
        <f t="shared" si="21"/>
        <v>151</v>
      </c>
      <c r="I19" s="203">
        <f t="shared" si="2"/>
        <v>3248.9354838709678</v>
      </c>
      <c r="J19" s="203">
        <f t="shared" si="22"/>
        <v>151</v>
      </c>
      <c r="K19" s="203">
        <f t="shared" si="3"/>
        <v>3248.9354838709678</v>
      </c>
      <c r="L19" s="203">
        <f t="shared" si="23"/>
        <v>151</v>
      </c>
      <c r="M19" s="203">
        <f t="shared" si="4"/>
        <v>3248.9354838709678</v>
      </c>
      <c r="N19" s="203">
        <f t="shared" si="24"/>
        <v>151</v>
      </c>
      <c r="O19" s="203">
        <f t="shared" si="5"/>
        <v>3248.9354838709678</v>
      </c>
      <c r="P19" s="203">
        <f t="shared" si="25"/>
        <v>151</v>
      </c>
      <c r="Q19" s="203">
        <f t="shared" si="6"/>
        <v>3248.9354838709678</v>
      </c>
      <c r="R19" s="203">
        <f t="shared" si="26"/>
        <v>151</v>
      </c>
      <c r="S19" s="203">
        <f t="shared" si="7"/>
        <v>3248.9354838709678</v>
      </c>
      <c r="T19" s="203">
        <f t="shared" si="27"/>
        <v>151</v>
      </c>
      <c r="U19" s="203">
        <f t="shared" si="8"/>
        <v>3248.9354838709678</v>
      </c>
      <c r="V19" s="203">
        <f t="shared" si="28"/>
        <v>151</v>
      </c>
      <c r="W19" s="203">
        <f t="shared" si="9"/>
        <v>3248.9354838709678</v>
      </c>
      <c r="X19" s="35">
        <f t="shared" si="10"/>
        <v>0.48709677419354847</v>
      </c>
      <c r="Y19" s="36">
        <f t="shared" si="29"/>
        <v>35738.290322580651</v>
      </c>
      <c r="Z19" s="203">
        <f>'B5'!C18</f>
        <v>158</v>
      </c>
      <c r="AA19" s="203">
        <f t="shared" si="30"/>
        <v>1580</v>
      </c>
      <c r="AB19" s="203">
        <f t="shared" si="31"/>
        <v>158</v>
      </c>
      <c r="AC19" s="203">
        <f t="shared" si="30"/>
        <v>1580</v>
      </c>
      <c r="AD19" s="203">
        <f t="shared" si="32"/>
        <v>158</v>
      </c>
      <c r="AE19" s="203">
        <f t="shared" si="11"/>
        <v>1580</v>
      </c>
      <c r="AF19" s="203">
        <f t="shared" si="33"/>
        <v>158</v>
      </c>
      <c r="AG19" s="203">
        <f t="shared" si="12"/>
        <v>1580</v>
      </c>
      <c r="AH19" s="203">
        <f t="shared" si="34"/>
        <v>158</v>
      </c>
      <c r="AI19" s="203">
        <f t="shared" si="13"/>
        <v>1580</v>
      </c>
      <c r="AJ19" s="203">
        <f t="shared" si="35"/>
        <v>158</v>
      </c>
      <c r="AK19" s="203">
        <f t="shared" si="14"/>
        <v>1580</v>
      </c>
      <c r="AL19" s="203">
        <f t="shared" si="36"/>
        <v>158</v>
      </c>
      <c r="AM19" s="203">
        <f t="shared" si="15"/>
        <v>1580</v>
      </c>
      <c r="AN19" s="35">
        <f t="shared" si="16"/>
        <v>0.56428571428571428</v>
      </c>
      <c r="AO19" s="36">
        <f t="shared" si="41"/>
        <v>11060</v>
      </c>
      <c r="AQ19" s="223">
        <f t="shared" si="37"/>
        <v>0.5033698001783441</v>
      </c>
      <c r="AR19" s="38">
        <f t="shared" si="38"/>
        <v>46798.290322580651</v>
      </c>
      <c r="AS19" s="197">
        <f t="shared" ref="AS19:AS32" si="47">SUM(AR19-AR18-AT19)</f>
        <v>0</v>
      </c>
      <c r="AT19" s="340"/>
      <c r="AU19" s="549"/>
      <c r="AV19" s="485">
        <f t="shared" si="45"/>
        <v>0.76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44607</v>
      </c>
      <c r="B20">
        <f>'B5'!B19</f>
        <v>151</v>
      </c>
      <c r="C20" s="203">
        <f t="shared" si="18"/>
        <v>3248.9354838709678</v>
      </c>
      <c r="D20">
        <f t="shared" si="19"/>
        <v>151</v>
      </c>
      <c r="E20" s="203">
        <f t="shared" si="18"/>
        <v>3248.9354838709678</v>
      </c>
      <c r="F20">
        <f t="shared" si="20"/>
        <v>151</v>
      </c>
      <c r="G20" s="203">
        <f t="shared" si="1"/>
        <v>3248.9354838709678</v>
      </c>
      <c r="H20" s="203">
        <f t="shared" si="21"/>
        <v>151</v>
      </c>
      <c r="I20" s="203">
        <f t="shared" si="2"/>
        <v>3248.9354838709678</v>
      </c>
      <c r="J20" s="203">
        <f t="shared" si="22"/>
        <v>151</v>
      </c>
      <c r="K20" s="203">
        <f t="shared" si="3"/>
        <v>3248.9354838709678</v>
      </c>
      <c r="L20" s="203">
        <f t="shared" si="23"/>
        <v>151</v>
      </c>
      <c r="M20" s="203">
        <f t="shared" si="4"/>
        <v>3248.9354838709678</v>
      </c>
      <c r="N20" s="203">
        <f t="shared" si="24"/>
        <v>151</v>
      </c>
      <c r="O20" s="203">
        <f t="shared" si="5"/>
        <v>3248.9354838709678</v>
      </c>
      <c r="P20" s="203">
        <f t="shared" si="25"/>
        <v>151</v>
      </c>
      <c r="Q20" s="203">
        <f t="shared" si="6"/>
        <v>3248.9354838709678</v>
      </c>
      <c r="R20" s="203">
        <f t="shared" si="26"/>
        <v>151</v>
      </c>
      <c r="S20" s="203">
        <f t="shared" si="7"/>
        <v>3248.9354838709678</v>
      </c>
      <c r="T20" s="203">
        <f t="shared" si="27"/>
        <v>151</v>
      </c>
      <c r="U20" s="203">
        <f t="shared" si="8"/>
        <v>3248.9354838709678</v>
      </c>
      <c r="V20" s="203">
        <f t="shared" si="28"/>
        <v>151</v>
      </c>
      <c r="W20" s="203">
        <f t="shared" si="9"/>
        <v>3248.9354838709678</v>
      </c>
      <c r="X20" s="35">
        <f t="shared" si="10"/>
        <v>0.48709677419354847</v>
      </c>
      <c r="Y20" s="36">
        <f t="shared" si="29"/>
        <v>35738.290322580651</v>
      </c>
      <c r="Z20" s="203">
        <f>'B5'!C19</f>
        <v>158</v>
      </c>
      <c r="AA20" s="203">
        <f t="shared" si="30"/>
        <v>1580</v>
      </c>
      <c r="AB20" s="203">
        <f t="shared" si="31"/>
        <v>158</v>
      </c>
      <c r="AC20" s="203">
        <f t="shared" si="30"/>
        <v>1580</v>
      </c>
      <c r="AD20" s="203">
        <f t="shared" si="32"/>
        <v>158</v>
      </c>
      <c r="AE20" s="203">
        <f t="shared" si="11"/>
        <v>1580</v>
      </c>
      <c r="AF20" s="203">
        <f t="shared" si="33"/>
        <v>158</v>
      </c>
      <c r="AG20" s="203">
        <f t="shared" si="12"/>
        <v>1580</v>
      </c>
      <c r="AH20" s="203">
        <f t="shared" si="34"/>
        <v>158</v>
      </c>
      <c r="AI20" s="203">
        <f t="shared" si="13"/>
        <v>1580</v>
      </c>
      <c r="AJ20" s="203">
        <f t="shared" si="35"/>
        <v>158</v>
      </c>
      <c r="AK20" s="203">
        <f t="shared" si="14"/>
        <v>1580</v>
      </c>
      <c r="AL20" s="203">
        <f t="shared" si="36"/>
        <v>158</v>
      </c>
      <c r="AM20" s="203">
        <f t="shared" si="15"/>
        <v>1580</v>
      </c>
      <c r="AN20" s="35">
        <f t="shared" si="16"/>
        <v>0.56428571428571428</v>
      </c>
      <c r="AO20" s="36">
        <f t="shared" si="41"/>
        <v>11060</v>
      </c>
      <c r="AQ20" s="223">
        <f t="shared" si="37"/>
        <v>0.5033698001783441</v>
      </c>
      <c r="AR20" s="38">
        <f t="shared" si="38"/>
        <v>46798.290322580651</v>
      </c>
      <c r="AS20" s="197">
        <f t="shared" si="47"/>
        <v>0</v>
      </c>
      <c r="AT20" s="340"/>
      <c r="AU20" s="549"/>
      <c r="AV20" s="485">
        <f t="shared" si="45"/>
        <v>0.76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44608</v>
      </c>
      <c r="B21">
        <f>'B5'!B20</f>
        <v>151</v>
      </c>
      <c r="C21" s="203">
        <f t="shared" si="18"/>
        <v>3248.9354838709678</v>
      </c>
      <c r="D21">
        <f t="shared" si="19"/>
        <v>151</v>
      </c>
      <c r="E21" s="203">
        <f t="shared" si="18"/>
        <v>3248.9354838709678</v>
      </c>
      <c r="F21">
        <f t="shared" si="20"/>
        <v>151</v>
      </c>
      <c r="G21" s="203">
        <f t="shared" si="1"/>
        <v>3248.9354838709678</v>
      </c>
      <c r="H21" s="203">
        <f t="shared" si="21"/>
        <v>151</v>
      </c>
      <c r="I21" s="203">
        <f t="shared" si="2"/>
        <v>3248.9354838709678</v>
      </c>
      <c r="J21" s="203">
        <f t="shared" si="22"/>
        <v>151</v>
      </c>
      <c r="K21" s="203">
        <f t="shared" si="3"/>
        <v>3248.9354838709678</v>
      </c>
      <c r="L21" s="203">
        <f t="shared" si="23"/>
        <v>151</v>
      </c>
      <c r="M21" s="203">
        <f t="shared" si="4"/>
        <v>3248.9354838709678</v>
      </c>
      <c r="N21" s="203">
        <f t="shared" si="24"/>
        <v>151</v>
      </c>
      <c r="O21" s="203">
        <f t="shared" si="5"/>
        <v>3248.9354838709678</v>
      </c>
      <c r="P21" s="203">
        <f t="shared" si="25"/>
        <v>151</v>
      </c>
      <c r="Q21" s="203">
        <f t="shared" si="6"/>
        <v>3248.9354838709678</v>
      </c>
      <c r="R21" s="203">
        <f t="shared" si="26"/>
        <v>151</v>
      </c>
      <c r="S21" s="203">
        <f t="shared" si="7"/>
        <v>3248.9354838709678</v>
      </c>
      <c r="T21" s="203">
        <f t="shared" si="27"/>
        <v>151</v>
      </c>
      <c r="U21" s="203">
        <f t="shared" si="8"/>
        <v>3248.9354838709678</v>
      </c>
      <c r="V21" s="203">
        <f t="shared" si="28"/>
        <v>151</v>
      </c>
      <c r="W21" s="203">
        <f t="shared" si="9"/>
        <v>3248.9354838709678</v>
      </c>
      <c r="X21" s="35">
        <f t="shared" si="10"/>
        <v>0.48709677419354847</v>
      </c>
      <c r="Y21" s="36">
        <f t="shared" si="29"/>
        <v>35738.290322580651</v>
      </c>
      <c r="Z21" s="203">
        <f>'B5'!C20</f>
        <v>158</v>
      </c>
      <c r="AA21" s="203">
        <f t="shared" si="30"/>
        <v>1580</v>
      </c>
      <c r="AB21" s="203">
        <f t="shared" si="31"/>
        <v>158</v>
      </c>
      <c r="AC21" s="203">
        <f t="shared" si="30"/>
        <v>1580</v>
      </c>
      <c r="AD21" s="203">
        <f t="shared" si="32"/>
        <v>158</v>
      </c>
      <c r="AE21" s="203">
        <f t="shared" si="11"/>
        <v>1580</v>
      </c>
      <c r="AF21" s="203">
        <f t="shared" si="33"/>
        <v>158</v>
      </c>
      <c r="AG21" s="203">
        <f t="shared" si="12"/>
        <v>1580</v>
      </c>
      <c r="AH21" s="203">
        <f t="shared" si="34"/>
        <v>158</v>
      </c>
      <c r="AI21" s="203">
        <f t="shared" si="13"/>
        <v>1580</v>
      </c>
      <c r="AJ21" s="203">
        <f t="shared" si="35"/>
        <v>158</v>
      </c>
      <c r="AK21" s="203">
        <f t="shared" si="14"/>
        <v>1580</v>
      </c>
      <c r="AL21" s="203">
        <f t="shared" si="36"/>
        <v>158</v>
      </c>
      <c r="AM21" s="203">
        <f t="shared" si="15"/>
        <v>1580</v>
      </c>
      <c r="AN21" s="35">
        <f t="shared" si="16"/>
        <v>0.56428571428571428</v>
      </c>
      <c r="AO21" s="36">
        <f t="shared" si="41"/>
        <v>11060</v>
      </c>
      <c r="AQ21" s="223">
        <f t="shared" si="37"/>
        <v>0.5033698001783441</v>
      </c>
      <c r="AR21" s="38">
        <f t="shared" si="38"/>
        <v>46798.290322580651</v>
      </c>
      <c r="AS21" s="197">
        <f>SUM(AR21-AR20-AT21)</f>
        <v>0</v>
      </c>
      <c r="AT21" s="340"/>
      <c r="AU21" s="549"/>
      <c r="AV21" s="485">
        <f t="shared" si="45"/>
        <v>0.76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44609</v>
      </c>
      <c r="B22">
        <f>'B5'!B21</f>
        <v>151</v>
      </c>
      <c r="C22" s="203">
        <f t="shared" si="18"/>
        <v>3248.9354838709678</v>
      </c>
      <c r="D22">
        <f t="shared" si="19"/>
        <v>151</v>
      </c>
      <c r="E22" s="203">
        <f t="shared" si="18"/>
        <v>3248.9354838709678</v>
      </c>
      <c r="F22">
        <f t="shared" si="20"/>
        <v>151</v>
      </c>
      <c r="G22" s="203">
        <f t="shared" si="1"/>
        <v>3248.9354838709678</v>
      </c>
      <c r="H22" s="203">
        <f t="shared" si="21"/>
        <v>151</v>
      </c>
      <c r="I22" s="203">
        <f t="shared" si="2"/>
        <v>3248.9354838709678</v>
      </c>
      <c r="J22" s="203">
        <f t="shared" si="22"/>
        <v>151</v>
      </c>
      <c r="K22" s="203">
        <f t="shared" si="3"/>
        <v>3248.9354838709678</v>
      </c>
      <c r="L22" s="203">
        <f t="shared" si="23"/>
        <v>151</v>
      </c>
      <c r="M22" s="203">
        <f t="shared" si="4"/>
        <v>3248.9354838709678</v>
      </c>
      <c r="N22" s="203">
        <f t="shared" si="24"/>
        <v>151</v>
      </c>
      <c r="O22" s="203">
        <f t="shared" si="5"/>
        <v>3248.9354838709678</v>
      </c>
      <c r="P22" s="203">
        <f t="shared" si="25"/>
        <v>151</v>
      </c>
      <c r="Q22" s="203">
        <f t="shared" si="6"/>
        <v>3248.9354838709678</v>
      </c>
      <c r="R22" s="203">
        <f t="shared" si="26"/>
        <v>151</v>
      </c>
      <c r="S22" s="203">
        <f t="shared" si="7"/>
        <v>3248.9354838709678</v>
      </c>
      <c r="T22" s="203">
        <f t="shared" si="27"/>
        <v>151</v>
      </c>
      <c r="U22" s="203">
        <f t="shared" si="8"/>
        <v>3248.9354838709678</v>
      </c>
      <c r="V22" s="203">
        <f t="shared" si="28"/>
        <v>151</v>
      </c>
      <c r="W22" s="203">
        <f t="shared" si="9"/>
        <v>3248.9354838709678</v>
      </c>
      <c r="X22" s="35">
        <f t="shared" si="10"/>
        <v>0.48709677419354847</v>
      </c>
      <c r="Y22" s="36">
        <f t="shared" si="29"/>
        <v>35738.290322580651</v>
      </c>
      <c r="Z22" s="203">
        <f>'B5'!C21</f>
        <v>158</v>
      </c>
      <c r="AA22" s="203">
        <f t="shared" si="30"/>
        <v>1580</v>
      </c>
      <c r="AB22" s="203">
        <f t="shared" si="31"/>
        <v>158</v>
      </c>
      <c r="AC22" s="203">
        <f t="shared" si="30"/>
        <v>1580</v>
      </c>
      <c r="AD22" s="203">
        <f t="shared" si="32"/>
        <v>158</v>
      </c>
      <c r="AE22" s="203">
        <f t="shared" si="11"/>
        <v>1580</v>
      </c>
      <c r="AF22" s="203">
        <f t="shared" si="33"/>
        <v>158</v>
      </c>
      <c r="AG22" s="203">
        <f t="shared" si="12"/>
        <v>1580</v>
      </c>
      <c r="AH22" s="203">
        <f t="shared" si="34"/>
        <v>158</v>
      </c>
      <c r="AI22" s="203">
        <f t="shared" si="13"/>
        <v>1580</v>
      </c>
      <c r="AJ22" s="203">
        <f t="shared" si="35"/>
        <v>158</v>
      </c>
      <c r="AK22" s="203">
        <f t="shared" si="14"/>
        <v>1580</v>
      </c>
      <c r="AL22" s="203">
        <f t="shared" si="36"/>
        <v>158</v>
      </c>
      <c r="AM22" s="203">
        <f t="shared" si="15"/>
        <v>1580</v>
      </c>
      <c r="AN22" s="35">
        <f t="shared" si="16"/>
        <v>0.56428571428571428</v>
      </c>
      <c r="AO22" s="36">
        <f t="shared" si="41"/>
        <v>11060</v>
      </c>
      <c r="AQ22" s="223">
        <f t="shared" si="37"/>
        <v>0.5033698001783441</v>
      </c>
      <c r="AR22" s="38">
        <f t="shared" si="38"/>
        <v>46798.290322580651</v>
      </c>
      <c r="AS22" s="197">
        <f t="shared" si="47"/>
        <v>0</v>
      </c>
      <c r="AT22" s="340"/>
      <c r="AU22" s="549"/>
      <c r="AV22" s="485">
        <f t="shared" si="43"/>
        <v>0.76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44610</v>
      </c>
      <c r="B23">
        <f>'B5'!B22</f>
        <v>151</v>
      </c>
      <c r="C23" s="203">
        <f t="shared" si="18"/>
        <v>3248.9354838709678</v>
      </c>
      <c r="D23">
        <f t="shared" si="19"/>
        <v>151</v>
      </c>
      <c r="E23" s="203">
        <f t="shared" si="18"/>
        <v>3248.9354838709678</v>
      </c>
      <c r="F23">
        <f t="shared" si="20"/>
        <v>151</v>
      </c>
      <c r="G23" s="203">
        <f t="shared" si="1"/>
        <v>3248.9354838709678</v>
      </c>
      <c r="H23" s="203">
        <f t="shared" si="21"/>
        <v>151</v>
      </c>
      <c r="I23" s="203">
        <f t="shared" si="2"/>
        <v>3248.9354838709678</v>
      </c>
      <c r="J23" s="203">
        <f t="shared" si="22"/>
        <v>151</v>
      </c>
      <c r="K23" s="203">
        <f t="shared" si="3"/>
        <v>3248.9354838709678</v>
      </c>
      <c r="L23" s="203">
        <f t="shared" si="23"/>
        <v>151</v>
      </c>
      <c r="M23" s="203">
        <f t="shared" si="4"/>
        <v>3248.9354838709678</v>
      </c>
      <c r="N23" s="203">
        <f t="shared" si="24"/>
        <v>151</v>
      </c>
      <c r="O23" s="203">
        <f t="shared" si="5"/>
        <v>3248.9354838709678</v>
      </c>
      <c r="P23" s="203">
        <f t="shared" si="25"/>
        <v>151</v>
      </c>
      <c r="Q23" s="203">
        <f t="shared" si="6"/>
        <v>3248.9354838709678</v>
      </c>
      <c r="R23" s="203">
        <f t="shared" si="26"/>
        <v>151</v>
      </c>
      <c r="S23" s="203">
        <f t="shared" si="7"/>
        <v>3248.9354838709678</v>
      </c>
      <c r="T23" s="203">
        <f t="shared" si="27"/>
        <v>151</v>
      </c>
      <c r="U23" s="203">
        <f t="shared" si="8"/>
        <v>3248.9354838709678</v>
      </c>
      <c r="V23" s="203">
        <f t="shared" si="28"/>
        <v>151</v>
      </c>
      <c r="W23" s="203">
        <f t="shared" si="9"/>
        <v>3248.9354838709678</v>
      </c>
      <c r="X23" s="35">
        <f t="shared" si="10"/>
        <v>0.48709677419354847</v>
      </c>
      <c r="Y23" s="36">
        <f t="shared" si="29"/>
        <v>35738.290322580651</v>
      </c>
      <c r="Z23" s="203">
        <f>'B5'!C22</f>
        <v>158</v>
      </c>
      <c r="AA23" s="203">
        <f t="shared" si="30"/>
        <v>1580</v>
      </c>
      <c r="AB23" s="203">
        <f t="shared" si="31"/>
        <v>158</v>
      </c>
      <c r="AC23" s="203">
        <f t="shared" si="30"/>
        <v>1580</v>
      </c>
      <c r="AD23" s="203">
        <f t="shared" si="32"/>
        <v>158</v>
      </c>
      <c r="AE23" s="203">
        <f t="shared" si="11"/>
        <v>1580</v>
      </c>
      <c r="AF23" s="203">
        <f t="shared" si="33"/>
        <v>158</v>
      </c>
      <c r="AG23" s="203">
        <f t="shared" si="12"/>
        <v>1580</v>
      </c>
      <c r="AH23" s="203">
        <f t="shared" si="34"/>
        <v>158</v>
      </c>
      <c r="AI23" s="203">
        <f t="shared" si="13"/>
        <v>1580</v>
      </c>
      <c r="AJ23" s="203">
        <f t="shared" si="35"/>
        <v>158</v>
      </c>
      <c r="AK23" s="203">
        <f t="shared" si="14"/>
        <v>1580</v>
      </c>
      <c r="AL23" s="203">
        <f t="shared" si="36"/>
        <v>158</v>
      </c>
      <c r="AM23" s="203">
        <f t="shared" si="15"/>
        <v>1580</v>
      </c>
      <c r="AN23" s="35">
        <f t="shared" si="16"/>
        <v>0.56428571428571428</v>
      </c>
      <c r="AO23" s="36">
        <f t="shared" si="41"/>
        <v>11060</v>
      </c>
      <c r="AQ23" s="223">
        <f t="shared" si="37"/>
        <v>0.5033698001783441</v>
      </c>
      <c r="AR23" s="38">
        <f t="shared" si="38"/>
        <v>46798.290322580651</v>
      </c>
      <c r="AS23" s="197">
        <f t="shared" si="47"/>
        <v>0</v>
      </c>
      <c r="AT23" s="340"/>
      <c r="AU23" s="549"/>
      <c r="AV23" s="485">
        <f t="shared" si="43"/>
        <v>0.76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151</v>
      </c>
      <c r="C24" s="203">
        <f t="shared" si="18"/>
        <v>3248.9354838709678</v>
      </c>
      <c r="D24">
        <f t="shared" si="19"/>
        <v>151</v>
      </c>
      <c r="E24" s="203">
        <f t="shared" si="18"/>
        <v>3248.9354838709678</v>
      </c>
      <c r="F24">
        <f t="shared" si="20"/>
        <v>151</v>
      </c>
      <c r="G24" s="203">
        <f t="shared" si="1"/>
        <v>3248.9354838709678</v>
      </c>
      <c r="H24" s="203">
        <f t="shared" si="21"/>
        <v>151</v>
      </c>
      <c r="I24" s="203">
        <f t="shared" si="2"/>
        <v>3248.9354838709678</v>
      </c>
      <c r="J24" s="203">
        <f t="shared" si="22"/>
        <v>151</v>
      </c>
      <c r="K24" s="203">
        <f t="shared" si="3"/>
        <v>3248.9354838709678</v>
      </c>
      <c r="L24" s="203">
        <f t="shared" si="23"/>
        <v>151</v>
      </c>
      <c r="M24" s="203">
        <f t="shared" si="4"/>
        <v>3248.9354838709678</v>
      </c>
      <c r="N24" s="203">
        <f t="shared" si="24"/>
        <v>151</v>
      </c>
      <c r="O24" s="203">
        <f t="shared" si="5"/>
        <v>3248.9354838709678</v>
      </c>
      <c r="P24" s="203">
        <f t="shared" si="25"/>
        <v>151</v>
      </c>
      <c r="Q24" s="203">
        <f t="shared" si="6"/>
        <v>3248.9354838709678</v>
      </c>
      <c r="R24" s="203">
        <f t="shared" si="26"/>
        <v>151</v>
      </c>
      <c r="S24" s="203">
        <f t="shared" si="7"/>
        <v>3248.9354838709678</v>
      </c>
      <c r="T24" s="203">
        <f t="shared" si="27"/>
        <v>151</v>
      </c>
      <c r="U24" s="203">
        <f t="shared" si="8"/>
        <v>3248.9354838709678</v>
      </c>
      <c r="V24" s="203">
        <f t="shared" si="28"/>
        <v>151</v>
      </c>
      <c r="W24" s="203">
        <f t="shared" si="9"/>
        <v>3248.9354838709678</v>
      </c>
      <c r="X24" s="35">
        <f t="shared" si="10"/>
        <v>0.48709677419354847</v>
      </c>
      <c r="Y24" s="36">
        <f t="shared" si="29"/>
        <v>35738.290322580651</v>
      </c>
      <c r="Z24" s="203">
        <f>'B5'!C23</f>
        <v>158</v>
      </c>
      <c r="AA24" s="203">
        <f t="shared" si="30"/>
        <v>1580</v>
      </c>
      <c r="AB24" s="203">
        <f t="shared" si="31"/>
        <v>158</v>
      </c>
      <c r="AC24" s="203">
        <f t="shared" si="30"/>
        <v>1580</v>
      </c>
      <c r="AD24" s="203">
        <f t="shared" si="32"/>
        <v>158</v>
      </c>
      <c r="AE24" s="203">
        <f t="shared" si="11"/>
        <v>1580</v>
      </c>
      <c r="AF24" s="203">
        <f t="shared" si="33"/>
        <v>158</v>
      </c>
      <c r="AG24" s="203">
        <f t="shared" si="12"/>
        <v>1580</v>
      </c>
      <c r="AH24" s="203">
        <f t="shared" si="34"/>
        <v>158</v>
      </c>
      <c r="AI24" s="203">
        <f t="shared" si="13"/>
        <v>1580</v>
      </c>
      <c r="AJ24" s="203">
        <f t="shared" si="35"/>
        <v>158</v>
      </c>
      <c r="AK24" s="203">
        <f t="shared" si="14"/>
        <v>1580</v>
      </c>
      <c r="AL24" s="203">
        <f t="shared" si="36"/>
        <v>158</v>
      </c>
      <c r="AM24" s="203">
        <f t="shared" si="15"/>
        <v>1580</v>
      </c>
      <c r="AN24" s="35">
        <f t="shared" si="16"/>
        <v>0.56428571428571428</v>
      </c>
      <c r="AO24" s="36">
        <f t="shared" si="41"/>
        <v>11060</v>
      </c>
      <c r="AQ24" s="223">
        <f t="shared" si="37"/>
        <v>0.5033698001783441</v>
      </c>
      <c r="AR24" s="38">
        <f t="shared" si="38"/>
        <v>46798.290322580651</v>
      </c>
      <c r="AS24" s="197">
        <f t="shared" si="47"/>
        <v>0</v>
      </c>
      <c r="AT24" s="340"/>
      <c r="AU24" s="549"/>
      <c r="AV24" s="485">
        <f t="shared" si="43"/>
        <v>0.76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151</v>
      </c>
      <c r="C25" s="203">
        <f t="shared" si="18"/>
        <v>3248.9354838709678</v>
      </c>
      <c r="D25">
        <f t="shared" si="19"/>
        <v>151</v>
      </c>
      <c r="E25" s="203">
        <f t="shared" si="18"/>
        <v>3248.9354838709678</v>
      </c>
      <c r="F25">
        <f t="shared" si="20"/>
        <v>151</v>
      </c>
      <c r="G25" s="203">
        <f t="shared" si="1"/>
        <v>3248.9354838709678</v>
      </c>
      <c r="H25" s="203">
        <f t="shared" si="21"/>
        <v>151</v>
      </c>
      <c r="I25" s="203">
        <f t="shared" si="2"/>
        <v>3248.9354838709678</v>
      </c>
      <c r="J25" s="203">
        <f t="shared" si="22"/>
        <v>151</v>
      </c>
      <c r="K25" s="203">
        <f t="shared" si="3"/>
        <v>3248.9354838709678</v>
      </c>
      <c r="L25" s="203">
        <f t="shared" si="23"/>
        <v>151</v>
      </c>
      <c r="M25" s="203">
        <f t="shared" si="4"/>
        <v>3248.9354838709678</v>
      </c>
      <c r="N25" s="203">
        <f t="shared" si="24"/>
        <v>151</v>
      </c>
      <c r="O25" s="203">
        <f t="shared" si="5"/>
        <v>3248.9354838709678</v>
      </c>
      <c r="P25" s="203">
        <f t="shared" si="25"/>
        <v>151</v>
      </c>
      <c r="Q25" s="203">
        <f t="shared" si="6"/>
        <v>3248.9354838709678</v>
      </c>
      <c r="R25" s="203">
        <f t="shared" si="26"/>
        <v>151</v>
      </c>
      <c r="S25" s="203">
        <f t="shared" si="7"/>
        <v>3248.9354838709678</v>
      </c>
      <c r="T25" s="203">
        <f t="shared" si="27"/>
        <v>151</v>
      </c>
      <c r="U25" s="203">
        <f t="shared" si="8"/>
        <v>3248.9354838709678</v>
      </c>
      <c r="V25" s="203">
        <f t="shared" si="28"/>
        <v>151</v>
      </c>
      <c r="W25" s="203">
        <f t="shared" si="9"/>
        <v>3248.9354838709678</v>
      </c>
      <c r="X25" s="35">
        <f t="shared" si="10"/>
        <v>0.48709677419354847</v>
      </c>
      <c r="Y25" s="36">
        <f t="shared" si="29"/>
        <v>35738.290322580651</v>
      </c>
      <c r="Z25" s="203">
        <f>'B5'!C24</f>
        <v>158</v>
      </c>
      <c r="AA25" s="203">
        <f t="shared" si="30"/>
        <v>1580</v>
      </c>
      <c r="AB25" s="203">
        <f t="shared" si="31"/>
        <v>158</v>
      </c>
      <c r="AC25" s="203">
        <f t="shared" si="30"/>
        <v>1580</v>
      </c>
      <c r="AD25" s="203">
        <f t="shared" si="32"/>
        <v>158</v>
      </c>
      <c r="AE25" s="203">
        <f t="shared" si="11"/>
        <v>1580</v>
      </c>
      <c r="AF25" s="203">
        <f t="shared" si="33"/>
        <v>158</v>
      </c>
      <c r="AG25" s="203">
        <f t="shared" si="12"/>
        <v>1580</v>
      </c>
      <c r="AH25" s="203">
        <f t="shared" si="34"/>
        <v>158</v>
      </c>
      <c r="AI25" s="203">
        <f t="shared" si="13"/>
        <v>1580</v>
      </c>
      <c r="AJ25" s="203">
        <f t="shared" si="35"/>
        <v>158</v>
      </c>
      <c r="AK25" s="203">
        <f t="shared" si="14"/>
        <v>1580</v>
      </c>
      <c r="AL25" s="203">
        <f t="shared" si="36"/>
        <v>158</v>
      </c>
      <c r="AM25" s="203">
        <f t="shared" si="15"/>
        <v>1580</v>
      </c>
      <c r="AN25" s="35">
        <f t="shared" si="16"/>
        <v>0.56428571428571428</v>
      </c>
      <c r="AO25" s="36">
        <f t="shared" si="41"/>
        <v>11060</v>
      </c>
      <c r="AQ25" s="223">
        <f t="shared" si="37"/>
        <v>0.5033698001783441</v>
      </c>
      <c r="AR25" s="38">
        <f>Y25+AO25</f>
        <v>46798.290322580651</v>
      </c>
      <c r="AS25" s="197">
        <f t="shared" si="47"/>
        <v>0</v>
      </c>
      <c r="AT25" s="340"/>
      <c r="AU25" s="550"/>
      <c r="AV25" s="485">
        <f t="shared" si="43"/>
        <v>0.76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44613</v>
      </c>
      <c r="B26">
        <f>'B5'!B25</f>
        <v>151</v>
      </c>
      <c r="C26" s="203">
        <f t="shared" si="18"/>
        <v>3248.9354838709678</v>
      </c>
      <c r="D26">
        <f t="shared" si="19"/>
        <v>151</v>
      </c>
      <c r="E26" s="203">
        <f t="shared" si="18"/>
        <v>3248.9354838709678</v>
      </c>
      <c r="F26">
        <f t="shared" si="20"/>
        <v>151</v>
      </c>
      <c r="G26" s="203">
        <f t="shared" si="1"/>
        <v>3248.9354838709678</v>
      </c>
      <c r="H26" s="203">
        <f t="shared" si="21"/>
        <v>151</v>
      </c>
      <c r="I26" s="203">
        <f t="shared" si="2"/>
        <v>3248.9354838709678</v>
      </c>
      <c r="J26" s="203">
        <f t="shared" si="22"/>
        <v>151</v>
      </c>
      <c r="K26" s="203">
        <f t="shared" si="3"/>
        <v>3248.9354838709678</v>
      </c>
      <c r="L26" s="203">
        <f t="shared" si="23"/>
        <v>151</v>
      </c>
      <c r="M26" s="203">
        <f t="shared" si="4"/>
        <v>3248.9354838709678</v>
      </c>
      <c r="N26" s="203">
        <f t="shared" si="24"/>
        <v>151</v>
      </c>
      <c r="O26" s="203">
        <f t="shared" si="5"/>
        <v>3248.9354838709678</v>
      </c>
      <c r="P26" s="203">
        <f t="shared" si="25"/>
        <v>151</v>
      </c>
      <c r="Q26" s="203">
        <f t="shared" si="6"/>
        <v>3248.9354838709678</v>
      </c>
      <c r="R26" s="203">
        <f t="shared" si="26"/>
        <v>151</v>
      </c>
      <c r="S26" s="203">
        <f t="shared" si="7"/>
        <v>3248.9354838709678</v>
      </c>
      <c r="T26" s="203">
        <f t="shared" si="27"/>
        <v>151</v>
      </c>
      <c r="U26" s="203">
        <f t="shared" si="8"/>
        <v>3248.9354838709678</v>
      </c>
      <c r="V26" s="203">
        <f t="shared" si="28"/>
        <v>151</v>
      </c>
      <c r="W26" s="203">
        <f t="shared" si="9"/>
        <v>3248.9354838709678</v>
      </c>
      <c r="X26" s="35">
        <f t="shared" si="10"/>
        <v>0.48709677419354847</v>
      </c>
      <c r="Y26" s="36">
        <f t="shared" si="29"/>
        <v>35738.290322580651</v>
      </c>
      <c r="Z26" s="203">
        <f>'B5'!C25</f>
        <v>158</v>
      </c>
      <c r="AA26" s="203">
        <f t="shared" si="30"/>
        <v>1580</v>
      </c>
      <c r="AB26" s="203">
        <f t="shared" si="31"/>
        <v>158</v>
      </c>
      <c r="AC26" s="203">
        <f t="shared" si="30"/>
        <v>1580</v>
      </c>
      <c r="AD26" s="203">
        <f t="shared" si="32"/>
        <v>158</v>
      </c>
      <c r="AE26" s="203">
        <f t="shared" si="11"/>
        <v>1580</v>
      </c>
      <c r="AF26" s="203">
        <f t="shared" si="33"/>
        <v>158</v>
      </c>
      <c r="AG26" s="203">
        <f t="shared" si="12"/>
        <v>1580</v>
      </c>
      <c r="AH26" s="203">
        <f t="shared" si="34"/>
        <v>158</v>
      </c>
      <c r="AI26" s="203">
        <f t="shared" si="13"/>
        <v>1580</v>
      </c>
      <c r="AJ26" s="203">
        <f t="shared" si="35"/>
        <v>158</v>
      </c>
      <c r="AK26" s="203">
        <f t="shared" si="14"/>
        <v>1580</v>
      </c>
      <c r="AL26" s="203">
        <f t="shared" si="36"/>
        <v>158</v>
      </c>
      <c r="AM26" s="203">
        <f t="shared" si="15"/>
        <v>1580</v>
      </c>
      <c r="AN26" s="35">
        <f t="shared" si="16"/>
        <v>0.56428571428571428</v>
      </c>
      <c r="AO26" s="36">
        <f t="shared" si="41"/>
        <v>11060</v>
      </c>
      <c r="AQ26" s="223">
        <f t="shared" si="37"/>
        <v>0.5033698001783441</v>
      </c>
      <c r="AR26" s="38">
        <f t="shared" si="38"/>
        <v>46798.290322580651</v>
      </c>
      <c r="AS26" s="197">
        <f t="shared" si="47"/>
        <v>0</v>
      </c>
      <c r="AT26" s="340"/>
      <c r="AU26" s="549"/>
      <c r="AV26" s="485">
        <f t="shared" si="43"/>
        <v>0.76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44614</v>
      </c>
      <c r="B27">
        <f>'B5'!B26</f>
        <v>151</v>
      </c>
      <c r="C27" s="203">
        <f t="shared" si="18"/>
        <v>3248.9354838709678</v>
      </c>
      <c r="D27">
        <f t="shared" si="19"/>
        <v>151</v>
      </c>
      <c r="E27" s="203">
        <f t="shared" si="18"/>
        <v>3248.9354838709678</v>
      </c>
      <c r="F27">
        <f t="shared" si="20"/>
        <v>151</v>
      </c>
      <c r="G27" s="203">
        <f t="shared" si="1"/>
        <v>3248.9354838709678</v>
      </c>
      <c r="H27" s="203">
        <f t="shared" si="21"/>
        <v>151</v>
      </c>
      <c r="I27" s="203">
        <f t="shared" si="2"/>
        <v>3248.9354838709678</v>
      </c>
      <c r="J27" s="203">
        <f t="shared" si="22"/>
        <v>151</v>
      </c>
      <c r="K27" s="203">
        <f t="shared" si="3"/>
        <v>3248.9354838709678</v>
      </c>
      <c r="L27" s="203">
        <f t="shared" si="23"/>
        <v>151</v>
      </c>
      <c r="M27" s="203">
        <f t="shared" si="4"/>
        <v>3248.9354838709678</v>
      </c>
      <c r="N27" s="203">
        <f t="shared" si="24"/>
        <v>151</v>
      </c>
      <c r="O27" s="203">
        <f t="shared" si="5"/>
        <v>3248.9354838709678</v>
      </c>
      <c r="P27" s="203">
        <f t="shared" si="25"/>
        <v>151</v>
      </c>
      <c r="Q27" s="203">
        <f t="shared" si="6"/>
        <v>3248.9354838709678</v>
      </c>
      <c r="R27" s="203">
        <f t="shared" si="26"/>
        <v>151</v>
      </c>
      <c r="S27" s="203">
        <f t="shared" si="7"/>
        <v>3248.9354838709678</v>
      </c>
      <c r="T27" s="203">
        <f t="shared" si="27"/>
        <v>151</v>
      </c>
      <c r="U27" s="203">
        <f t="shared" si="8"/>
        <v>3248.9354838709678</v>
      </c>
      <c r="V27" s="203">
        <f t="shared" si="28"/>
        <v>151</v>
      </c>
      <c r="W27" s="203">
        <f t="shared" si="9"/>
        <v>3248.9354838709678</v>
      </c>
      <c r="X27" s="35">
        <f t="shared" si="10"/>
        <v>0.48709677419354847</v>
      </c>
      <c r="Y27" s="36">
        <f t="shared" si="29"/>
        <v>35738.290322580651</v>
      </c>
      <c r="Z27" s="203">
        <f>'B5'!C26</f>
        <v>158</v>
      </c>
      <c r="AA27" s="203">
        <f t="shared" si="30"/>
        <v>1580</v>
      </c>
      <c r="AB27" s="203">
        <f t="shared" si="31"/>
        <v>158</v>
      </c>
      <c r="AC27" s="203">
        <f t="shared" si="30"/>
        <v>1580</v>
      </c>
      <c r="AD27" s="203">
        <f t="shared" si="32"/>
        <v>158</v>
      </c>
      <c r="AE27" s="203">
        <f t="shared" si="11"/>
        <v>1580</v>
      </c>
      <c r="AF27" s="203">
        <f t="shared" si="33"/>
        <v>158</v>
      </c>
      <c r="AG27" s="203">
        <f t="shared" si="12"/>
        <v>1580</v>
      </c>
      <c r="AH27" s="203">
        <f t="shared" si="34"/>
        <v>158</v>
      </c>
      <c r="AI27" s="203">
        <f t="shared" si="13"/>
        <v>1580</v>
      </c>
      <c r="AJ27" s="203">
        <f t="shared" si="35"/>
        <v>158</v>
      </c>
      <c r="AK27" s="203">
        <f t="shared" si="14"/>
        <v>1580</v>
      </c>
      <c r="AL27" s="203">
        <f t="shared" si="36"/>
        <v>158</v>
      </c>
      <c r="AM27" s="203">
        <f t="shared" si="15"/>
        <v>1580</v>
      </c>
      <c r="AN27" s="35">
        <f t="shared" si="16"/>
        <v>0.56428571428571428</v>
      </c>
      <c r="AO27" s="36">
        <f t="shared" si="41"/>
        <v>11060</v>
      </c>
      <c r="AQ27" s="223">
        <f t="shared" si="37"/>
        <v>0.5033698001783441</v>
      </c>
      <c r="AR27" s="38">
        <f t="shared" si="38"/>
        <v>46798.290322580651</v>
      </c>
      <c r="AS27" s="197">
        <f t="shared" si="47"/>
        <v>0</v>
      </c>
      <c r="AT27" s="340"/>
      <c r="AU27" s="549"/>
      <c r="AV27" s="485">
        <f t="shared" si="43"/>
        <v>0.76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44615</v>
      </c>
      <c r="B28">
        <f>'B5'!B27</f>
        <v>151</v>
      </c>
      <c r="C28" s="203">
        <f t="shared" si="18"/>
        <v>3248.9354838709678</v>
      </c>
      <c r="D28">
        <f t="shared" si="19"/>
        <v>151</v>
      </c>
      <c r="E28" s="203">
        <f t="shared" si="18"/>
        <v>3248.9354838709678</v>
      </c>
      <c r="F28">
        <f t="shared" si="20"/>
        <v>151</v>
      </c>
      <c r="G28" s="203">
        <f t="shared" si="1"/>
        <v>3248.9354838709678</v>
      </c>
      <c r="H28" s="203">
        <f t="shared" si="21"/>
        <v>151</v>
      </c>
      <c r="I28" s="203">
        <f t="shared" si="2"/>
        <v>3248.9354838709678</v>
      </c>
      <c r="J28" s="203">
        <f t="shared" si="22"/>
        <v>151</v>
      </c>
      <c r="K28" s="203">
        <f t="shared" si="3"/>
        <v>3248.9354838709678</v>
      </c>
      <c r="L28" s="203">
        <f t="shared" si="23"/>
        <v>151</v>
      </c>
      <c r="M28" s="203">
        <f t="shared" si="4"/>
        <v>3248.9354838709678</v>
      </c>
      <c r="N28" s="203">
        <f t="shared" si="24"/>
        <v>151</v>
      </c>
      <c r="O28" s="203">
        <f t="shared" si="5"/>
        <v>3248.9354838709678</v>
      </c>
      <c r="P28" s="203">
        <f t="shared" si="25"/>
        <v>151</v>
      </c>
      <c r="Q28" s="203">
        <f t="shared" si="6"/>
        <v>3248.9354838709678</v>
      </c>
      <c r="R28" s="203">
        <f t="shared" si="26"/>
        <v>151</v>
      </c>
      <c r="S28" s="203">
        <f t="shared" si="7"/>
        <v>3248.9354838709678</v>
      </c>
      <c r="T28" s="203">
        <f t="shared" si="27"/>
        <v>151</v>
      </c>
      <c r="U28" s="203">
        <f t="shared" si="8"/>
        <v>3248.9354838709678</v>
      </c>
      <c r="V28" s="203">
        <f t="shared" si="28"/>
        <v>151</v>
      </c>
      <c r="W28" s="203">
        <f t="shared" si="9"/>
        <v>3248.9354838709678</v>
      </c>
      <c r="X28" s="35">
        <f t="shared" si="10"/>
        <v>0.48709677419354847</v>
      </c>
      <c r="Y28" s="36">
        <f t="shared" si="29"/>
        <v>35738.290322580651</v>
      </c>
      <c r="Z28" s="203">
        <f>'B5'!C27</f>
        <v>158</v>
      </c>
      <c r="AA28" s="203">
        <f t="shared" si="30"/>
        <v>1580</v>
      </c>
      <c r="AB28" s="203">
        <f t="shared" si="31"/>
        <v>158</v>
      </c>
      <c r="AC28" s="203">
        <f t="shared" si="30"/>
        <v>1580</v>
      </c>
      <c r="AD28" s="203">
        <f t="shared" si="32"/>
        <v>158</v>
      </c>
      <c r="AE28" s="203">
        <f t="shared" si="11"/>
        <v>1580</v>
      </c>
      <c r="AF28" s="203">
        <f t="shared" si="33"/>
        <v>158</v>
      </c>
      <c r="AG28" s="203">
        <f t="shared" si="12"/>
        <v>1580</v>
      </c>
      <c r="AH28" s="203">
        <f t="shared" si="34"/>
        <v>158</v>
      </c>
      <c r="AI28" s="203">
        <f t="shared" si="13"/>
        <v>1580</v>
      </c>
      <c r="AJ28" s="203">
        <f t="shared" si="35"/>
        <v>158</v>
      </c>
      <c r="AK28" s="203">
        <f t="shared" si="14"/>
        <v>1580</v>
      </c>
      <c r="AL28" s="203">
        <f t="shared" si="36"/>
        <v>158</v>
      </c>
      <c r="AM28" s="203">
        <f t="shared" si="15"/>
        <v>1580</v>
      </c>
      <c r="AN28" s="35">
        <f t="shared" si="16"/>
        <v>0.56428571428571428</v>
      </c>
      <c r="AO28" s="36">
        <f t="shared" si="41"/>
        <v>11060</v>
      </c>
      <c r="AQ28" s="223">
        <f t="shared" si="37"/>
        <v>0.5033698001783441</v>
      </c>
      <c r="AR28" s="38">
        <f t="shared" si="38"/>
        <v>46798.290322580651</v>
      </c>
      <c r="AS28" s="197">
        <f t="shared" si="47"/>
        <v>0</v>
      </c>
      <c r="AT28" s="340"/>
      <c r="AU28" s="550"/>
      <c r="AV28" s="485">
        <f t="shared" si="43"/>
        <v>0.76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44616</v>
      </c>
      <c r="B29">
        <f>'B5'!B28</f>
        <v>151</v>
      </c>
      <c r="C29" s="203">
        <f t="shared" si="18"/>
        <v>3248.9354838709678</v>
      </c>
      <c r="D29">
        <f t="shared" si="19"/>
        <v>151</v>
      </c>
      <c r="E29" s="203">
        <f t="shared" si="18"/>
        <v>3248.9354838709678</v>
      </c>
      <c r="F29">
        <f t="shared" si="20"/>
        <v>151</v>
      </c>
      <c r="G29" s="203">
        <f t="shared" si="1"/>
        <v>3248.9354838709678</v>
      </c>
      <c r="H29" s="203">
        <f t="shared" si="21"/>
        <v>151</v>
      </c>
      <c r="I29" s="203">
        <f t="shared" si="2"/>
        <v>3248.9354838709678</v>
      </c>
      <c r="J29" s="203">
        <f t="shared" si="22"/>
        <v>151</v>
      </c>
      <c r="K29" s="203">
        <f t="shared" si="3"/>
        <v>3248.9354838709678</v>
      </c>
      <c r="L29" s="203">
        <f t="shared" si="23"/>
        <v>151</v>
      </c>
      <c r="M29" s="203">
        <f t="shared" si="4"/>
        <v>3248.9354838709678</v>
      </c>
      <c r="N29" s="203">
        <f t="shared" si="24"/>
        <v>151</v>
      </c>
      <c r="O29" s="203">
        <f t="shared" si="5"/>
        <v>3248.9354838709678</v>
      </c>
      <c r="P29" s="203">
        <f t="shared" si="25"/>
        <v>151</v>
      </c>
      <c r="Q29" s="203">
        <f t="shared" si="6"/>
        <v>3248.9354838709678</v>
      </c>
      <c r="R29" s="203">
        <f t="shared" si="26"/>
        <v>151</v>
      </c>
      <c r="S29" s="203">
        <f t="shared" si="7"/>
        <v>3248.9354838709678</v>
      </c>
      <c r="T29" s="203">
        <f t="shared" si="27"/>
        <v>151</v>
      </c>
      <c r="U29" s="203">
        <f t="shared" si="8"/>
        <v>3248.9354838709678</v>
      </c>
      <c r="V29" s="203">
        <f t="shared" si="28"/>
        <v>151</v>
      </c>
      <c r="W29" s="203">
        <f t="shared" si="9"/>
        <v>3248.9354838709678</v>
      </c>
      <c r="X29" s="35">
        <f t="shared" si="10"/>
        <v>0.48709677419354847</v>
      </c>
      <c r="Y29" s="36">
        <f t="shared" si="29"/>
        <v>35738.290322580651</v>
      </c>
      <c r="Z29" s="203">
        <f>'B5'!C28</f>
        <v>158</v>
      </c>
      <c r="AA29" s="203">
        <f t="shared" si="30"/>
        <v>1580</v>
      </c>
      <c r="AB29" s="203">
        <f t="shared" si="31"/>
        <v>158</v>
      </c>
      <c r="AC29" s="203">
        <f t="shared" si="30"/>
        <v>1580</v>
      </c>
      <c r="AD29" s="203">
        <f t="shared" si="32"/>
        <v>158</v>
      </c>
      <c r="AE29" s="203">
        <f t="shared" si="11"/>
        <v>1580</v>
      </c>
      <c r="AF29" s="203">
        <f t="shared" si="33"/>
        <v>158</v>
      </c>
      <c r="AG29" s="203">
        <f t="shared" si="12"/>
        <v>1580</v>
      </c>
      <c r="AH29" s="203">
        <f t="shared" si="34"/>
        <v>158</v>
      </c>
      <c r="AI29" s="203">
        <f t="shared" si="13"/>
        <v>1580</v>
      </c>
      <c r="AJ29" s="203">
        <f t="shared" si="35"/>
        <v>158</v>
      </c>
      <c r="AK29" s="203">
        <f t="shared" si="14"/>
        <v>1580</v>
      </c>
      <c r="AL29" s="203">
        <f t="shared" si="36"/>
        <v>158</v>
      </c>
      <c r="AM29" s="203">
        <f t="shared" si="15"/>
        <v>1580</v>
      </c>
      <c r="AN29" s="35">
        <f t="shared" si="16"/>
        <v>0.56428571428571428</v>
      </c>
      <c r="AO29" s="36">
        <f t="shared" si="41"/>
        <v>11060</v>
      </c>
      <c r="AQ29" s="223">
        <f t="shared" si="37"/>
        <v>0.5033698001783441</v>
      </c>
      <c r="AR29" s="38">
        <f t="shared" si="38"/>
        <v>46798.290322580651</v>
      </c>
      <c r="AS29" s="197">
        <f>SUM(AR29-AR28-AT29)</f>
        <v>0</v>
      </c>
      <c r="AT29" s="340"/>
      <c r="AU29" s="550"/>
      <c r="AV29" s="485">
        <f t="shared" si="43"/>
        <v>0.76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44617</v>
      </c>
      <c r="B30">
        <f>'B5'!B29</f>
        <v>151</v>
      </c>
      <c r="C30" s="203">
        <f t="shared" si="18"/>
        <v>3248.9354838709678</v>
      </c>
      <c r="D30">
        <f t="shared" ref="D30:D33" si="48">SUM(B30)</f>
        <v>151</v>
      </c>
      <c r="E30" s="203">
        <f t="shared" si="18"/>
        <v>3248.9354838709678</v>
      </c>
      <c r="F30">
        <f t="shared" ref="F30:F33" si="49">SUM(D30)</f>
        <v>151</v>
      </c>
      <c r="G30" s="203">
        <f t="shared" si="1"/>
        <v>3248.9354838709678</v>
      </c>
      <c r="H30" s="203">
        <f t="shared" ref="H30:H33" si="50">SUM(F30)</f>
        <v>151</v>
      </c>
      <c r="I30" s="203">
        <f t="shared" si="2"/>
        <v>3248.9354838709678</v>
      </c>
      <c r="J30" s="203">
        <f t="shared" ref="J30:J33" si="51">SUM(H30)</f>
        <v>151</v>
      </c>
      <c r="K30" s="203">
        <f t="shared" si="3"/>
        <v>3248.9354838709678</v>
      </c>
      <c r="L30" s="203">
        <f t="shared" ref="L30:L33" si="52">SUM(J30)</f>
        <v>151</v>
      </c>
      <c r="M30" s="203">
        <f t="shared" si="4"/>
        <v>3248.9354838709678</v>
      </c>
      <c r="N30" s="203">
        <f t="shared" ref="N30:N33" si="53">SUM(L30)</f>
        <v>151</v>
      </c>
      <c r="O30" s="203">
        <f t="shared" si="5"/>
        <v>3248.9354838709678</v>
      </c>
      <c r="P30" s="203">
        <f t="shared" ref="P30:P33" si="54">SUM(N30)</f>
        <v>151</v>
      </c>
      <c r="Q30" s="203">
        <f t="shared" si="6"/>
        <v>3248.9354838709678</v>
      </c>
      <c r="R30" s="203">
        <f t="shared" ref="R30:R33" si="55">SUM(P30)</f>
        <v>151</v>
      </c>
      <c r="S30" s="203">
        <f t="shared" si="7"/>
        <v>3248.9354838709678</v>
      </c>
      <c r="T30" s="203">
        <f t="shared" ref="T30:T33" si="56">SUM(R30)</f>
        <v>151</v>
      </c>
      <c r="U30" s="203">
        <f t="shared" si="8"/>
        <v>3248.9354838709678</v>
      </c>
      <c r="V30" s="203">
        <f t="shared" ref="V30:V33" si="57">SUM(T30)</f>
        <v>151</v>
      </c>
      <c r="W30" s="203">
        <f t="shared" si="9"/>
        <v>3248.9354838709678</v>
      </c>
      <c r="X30" s="35">
        <f t="shared" ref="X30:X33" si="58">SUM(Y30/73370)</f>
        <v>0.48709677419354847</v>
      </c>
      <c r="Y30" s="36">
        <f t="shared" ref="Y30:Y33" si="59">SUM(C30+E30+G30+I30+K30+M30+O30+Q30+S30+U30+W30)</f>
        <v>35738.290322580651</v>
      </c>
      <c r="Z30" s="203">
        <f>'B5'!C29</f>
        <v>158</v>
      </c>
      <c r="AA30" s="203">
        <f t="shared" si="30"/>
        <v>1580</v>
      </c>
      <c r="AB30" s="203">
        <f t="shared" ref="AB30:AB33" si="60">SUM(Z30)</f>
        <v>158</v>
      </c>
      <c r="AC30" s="203">
        <f t="shared" si="30"/>
        <v>1580</v>
      </c>
      <c r="AD30" s="203">
        <f t="shared" ref="AD30:AD33" si="61">SUM(AB30)</f>
        <v>158</v>
      </c>
      <c r="AE30" s="203">
        <f t="shared" si="11"/>
        <v>1580</v>
      </c>
      <c r="AF30" s="203">
        <f t="shared" ref="AF30:AF33" si="62">SUM(AD30)</f>
        <v>158</v>
      </c>
      <c r="AG30" s="203">
        <f t="shared" si="12"/>
        <v>1580</v>
      </c>
      <c r="AH30" s="203">
        <f t="shared" ref="AH30:AH33" si="63">SUM(AF30)</f>
        <v>158</v>
      </c>
      <c r="AI30" s="203">
        <f t="shared" si="13"/>
        <v>1580</v>
      </c>
      <c r="AJ30" s="203">
        <f t="shared" ref="AJ30:AJ33" si="64">SUM(AH30)</f>
        <v>158</v>
      </c>
      <c r="AK30" s="203">
        <f t="shared" si="14"/>
        <v>1580</v>
      </c>
      <c r="AL30" s="203">
        <f t="shared" ref="AL30:AL33" si="65">SUM(AJ30)</f>
        <v>158</v>
      </c>
      <c r="AM30" s="203">
        <f t="shared" si="15"/>
        <v>1580</v>
      </c>
      <c r="AN30" s="35">
        <f t="shared" ref="AN30:AN33" si="66">SUM(AO30/19600)</f>
        <v>0.56428571428571428</v>
      </c>
      <c r="AO30" s="36">
        <f t="shared" ref="AO30:AO33" si="67">SUM(AA30+AC30+AE30+AG30+AI30+AK30+AM30)</f>
        <v>11060</v>
      </c>
      <c r="AQ30" s="223">
        <f t="shared" si="37"/>
        <v>0.5033698001783441</v>
      </c>
      <c r="AR30" s="38">
        <f t="shared" si="38"/>
        <v>46798.290322580651</v>
      </c>
      <c r="AS30" s="197">
        <f>SUM(AR30-AR29-AT30)</f>
        <v>0</v>
      </c>
      <c r="AT30" s="340"/>
      <c r="AU30" s="550"/>
      <c r="AV30" s="485">
        <f t="shared" si="43"/>
        <v>0.76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151</v>
      </c>
      <c r="C31" s="203">
        <f t="shared" si="18"/>
        <v>3248.9354838709678</v>
      </c>
      <c r="D31">
        <f t="shared" si="48"/>
        <v>151</v>
      </c>
      <c r="E31" s="203">
        <f t="shared" si="18"/>
        <v>3248.9354838709678</v>
      </c>
      <c r="F31">
        <f t="shared" si="49"/>
        <v>151</v>
      </c>
      <c r="G31" s="203">
        <f t="shared" si="1"/>
        <v>3248.9354838709678</v>
      </c>
      <c r="H31" s="203">
        <f t="shared" si="50"/>
        <v>151</v>
      </c>
      <c r="I31" s="203">
        <f t="shared" si="2"/>
        <v>3248.9354838709678</v>
      </c>
      <c r="J31" s="203">
        <f t="shared" si="51"/>
        <v>151</v>
      </c>
      <c r="K31" s="203">
        <f t="shared" si="3"/>
        <v>3248.9354838709678</v>
      </c>
      <c r="L31" s="203">
        <f t="shared" si="52"/>
        <v>151</v>
      </c>
      <c r="M31" s="203">
        <f t="shared" si="4"/>
        <v>3248.9354838709678</v>
      </c>
      <c r="N31" s="203">
        <f t="shared" si="53"/>
        <v>151</v>
      </c>
      <c r="O31" s="203">
        <f t="shared" si="5"/>
        <v>3248.9354838709678</v>
      </c>
      <c r="P31" s="203">
        <f t="shared" si="54"/>
        <v>151</v>
      </c>
      <c r="Q31" s="203">
        <f t="shared" si="6"/>
        <v>3248.9354838709678</v>
      </c>
      <c r="R31" s="203">
        <f t="shared" si="55"/>
        <v>151</v>
      </c>
      <c r="S31" s="203">
        <f t="shared" si="7"/>
        <v>3248.9354838709678</v>
      </c>
      <c r="T31" s="203">
        <f t="shared" si="56"/>
        <v>151</v>
      </c>
      <c r="U31" s="203">
        <f t="shared" si="8"/>
        <v>3248.9354838709678</v>
      </c>
      <c r="V31" s="203">
        <f t="shared" si="57"/>
        <v>151</v>
      </c>
      <c r="W31" s="203">
        <f t="shared" si="9"/>
        <v>3248.9354838709678</v>
      </c>
      <c r="X31" s="35">
        <f t="shared" si="58"/>
        <v>0.48709677419354847</v>
      </c>
      <c r="Y31" s="36">
        <f t="shared" si="59"/>
        <v>35738.290322580651</v>
      </c>
      <c r="Z31" s="203">
        <f>'B5'!C30</f>
        <v>158</v>
      </c>
      <c r="AA31" s="203">
        <f t="shared" si="30"/>
        <v>1580</v>
      </c>
      <c r="AB31" s="203">
        <f t="shared" si="60"/>
        <v>158</v>
      </c>
      <c r="AC31" s="203">
        <f t="shared" si="30"/>
        <v>1580</v>
      </c>
      <c r="AD31" s="203">
        <f t="shared" si="61"/>
        <v>158</v>
      </c>
      <c r="AE31" s="203">
        <f t="shared" si="11"/>
        <v>1580</v>
      </c>
      <c r="AF31" s="203">
        <f t="shared" si="62"/>
        <v>158</v>
      </c>
      <c r="AG31" s="203">
        <f t="shared" si="12"/>
        <v>1580</v>
      </c>
      <c r="AH31" s="203">
        <f t="shared" si="63"/>
        <v>158</v>
      </c>
      <c r="AI31" s="203">
        <f t="shared" si="13"/>
        <v>1580</v>
      </c>
      <c r="AJ31" s="203">
        <f t="shared" si="64"/>
        <v>158</v>
      </c>
      <c r="AK31" s="203">
        <f t="shared" si="14"/>
        <v>1580</v>
      </c>
      <c r="AL31" s="203">
        <f t="shared" si="65"/>
        <v>158</v>
      </c>
      <c r="AM31" s="203">
        <f t="shared" si="15"/>
        <v>1580</v>
      </c>
      <c r="AN31" s="35">
        <f t="shared" si="66"/>
        <v>0.56428571428571428</v>
      </c>
      <c r="AO31" s="36">
        <f t="shared" si="67"/>
        <v>11060</v>
      </c>
      <c r="AQ31" s="223">
        <f t="shared" si="37"/>
        <v>0.5033698001783441</v>
      </c>
      <c r="AR31" s="38">
        <f t="shared" si="38"/>
        <v>46798.290322580651</v>
      </c>
      <c r="AS31" s="197">
        <f t="shared" si="47"/>
        <v>0</v>
      </c>
      <c r="AT31" s="340"/>
      <c r="AU31" s="575"/>
      <c r="AV31" s="485">
        <f t="shared" si="43"/>
        <v>0.76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151</v>
      </c>
      <c r="C32" s="203">
        <f t="shared" si="18"/>
        <v>3248.9354838709678</v>
      </c>
      <c r="D32">
        <f t="shared" si="48"/>
        <v>151</v>
      </c>
      <c r="E32" s="203">
        <f t="shared" si="18"/>
        <v>3248.9354838709678</v>
      </c>
      <c r="F32">
        <f t="shared" si="49"/>
        <v>151</v>
      </c>
      <c r="G32" s="203">
        <f t="shared" si="1"/>
        <v>3248.9354838709678</v>
      </c>
      <c r="H32" s="203">
        <f t="shared" si="50"/>
        <v>151</v>
      </c>
      <c r="I32" s="203">
        <f t="shared" si="2"/>
        <v>3248.9354838709678</v>
      </c>
      <c r="J32" s="203">
        <f t="shared" si="51"/>
        <v>151</v>
      </c>
      <c r="K32" s="203">
        <f t="shared" si="3"/>
        <v>3248.9354838709678</v>
      </c>
      <c r="L32" s="203">
        <f t="shared" si="52"/>
        <v>151</v>
      </c>
      <c r="M32" s="203">
        <f t="shared" si="4"/>
        <v>3248.9354838709678</v>
      </c>
      <c r="N32" s="203">
        <f t="shared" si="53"/>
        <v>151</v>
      </c>
      <c r="O32" s="203">
        <f t="shared" si="5"/>
        <v>3248.9354838709678</v>
      </c>
      <c r="P32" s="203">
        <f t="shared" si="54"/>
        <v>151</v>
      </c>
      <c r="Q32" s="203">
        <f t="shared" si="6"/>
        <v>3248.9354838709678</v>
      </c>
      <c r="R32" s="203">
        <f t="shared" si="55"/>
        <v>151</v>
      </c>
      <c r="S32" s="203">
        <f t="shared" si="7"/>
        <v>3248.9354838709678</v>
      </c>
      <c r="T32" s="203">
        <f t="shared" si="56"/>
        <v>151</v>
      </c>
      <c r="U32" s="203">
        <f t="shared" si="8"/>
        <v>3248.9354838709678</v>
      </c>
      <c r="V32" s="203">
        <f t="shared" si="57"/>
        <v>151</v>
      </c>
      <c r="W32" s="203">
        <f t="shared" si="9"/>
        <v>3248.9354838709678</v>
      </c>
      <c r="X32" s="35">
        <f t="shared" si="58"/>
        <v>0.48709677419354847</v>
      </c>
      <c r="Y32" s="36">
        <f t="shared" si="59"/>
        <v>35738.290322580651</v>
      </c>
      <c r="Z32" s="203">
        <f>'B5'!C31</f>
        <v>158</v>
      </c>
      <c r="AA32" s="203">
        <f t="shared" si="30"/>
        <v>1580</v>
      </c>
      <c r="AB32" s="203">
        <f t="shared" si="60"/>
        <v>158</v>
      </c>
      <c r="AC32" s="203">
        <f t="shared" si="30"/>
        <v>1580</v>
      </c>
      <c r="AD32" s="203">
        <f t="shared" si="61"/>
        <v>158</v>
      </c>
      <c r="AE32" s="203">
        <f t="shared" si="11"/>
        <v>1580</v>
      </c>
      <c r="AF32" s="203">
        <f t="shared" si="62"/>
        <v>158</v>
      </c>
      <c r="AG32" s="203">
        <f t="shared" si="12"/>
        <v>1580</v>
      </c>
      <c r="AH32" s="203">
        <f t="shared" si="63"/>
        <v>158</v>
      </c>
      <c r="AI32" s="203">
        <f t="shared" si="13"/>
        <v>1580</v>
      </c>
      <c r="AJ32" s="203">
        <f t="shared" si="64"/>
        <v>158</v>
      </c>
      <c r="AK32" s="203">
        <f t="shared" si="14"/>
        <v>1580</v>
      </c>
      <c r="AL32" s="203">
        <f t="shared" si="65"/>
        <v>158</v>
      </c>
      <c r="AM32" s="203">
        <f t="shared" si="15"/>
        <v>1580</v>
      </c>
      <c r="AN32" s="35">
        <f t="shared" si="66"/>
        <v>0.56428571428571428</v>
      </c>
      <c r="AO32" s="36">
        <f t="shared" si="67"/>
        <v>11060</v>
      </c>
      <c r="AQ32" s="223">
        <f t="shared" si="37"/>
        <v>0.5033698001783441</v>
      </c>
      <c r="AR32" s="38">
        <f t="shared" si="38"/>
        <v>46798.290322580651</v>
      </c>
      <c r="AS32" s="197">
        <f t="shared" si="47"/>
        <v>0</v>
      </c>
      <c r="AT32" s="340"/>
      <c r="AU32" s="549"/>
      <c r="AV32" s="485">
        <f>IF(AT32&gt;0,AU32,AV31)</f>
        <v>0.76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44620</v>
      </c>
      <c r="B33">
        <f>'B5'!B32</f>
        <v>151</v>
      </c>
      <c r="C33" s="203">
        <f t="shared" si="18"/>
        <v>3248.9354838709678</v>
      </c>
      <c r="D33">
        <f t="shared" si="48"/>
        <v>151</v>
      </c>
      <c r="E33" s="203">
        <f t="shared" si="18"/>
        <v>3248.9354838709678</v>
      </c>
      <c r="F33">
        <f t="shared" si="49"/>
        <v>151</v>
      </c>
      <c r="G33" s="203">
        <f t="shared" si="1"/>
        <v>3248.9354838709678</v>
      </c>
      <c r="H33" s="203">
        <f t="shared" si="50"/>
        <v>151</v>
      </c>
      <c r="I33" s="203">
        <f t="shared" si="2"/>
        <v>3248.9354838709678</v>
      </c>
      <c r="J33" s="203">
        <f t="shared" si="51"/>
        <v>151</v>
      </c>
      <c r="K33" s="203">
        <f t="shared" si="3"/>
        <v>3248.9354838709678</v>
      </c>
      <c r="L33" s="203">
        <f t="shared" si="52"/>
        <v>151</v>
      </c>
      <c r="M33" s="203">
        <f t="shared" si="4"/>
        <v>3248.9354838709678</v>
      </c>
      <c r="N33" s="203">
        <f t="shared" si="53"/>
        <v>151</v>
      </c>
      <c r="O33" s="203">
        <f t="shared" si="5"/>
        <v>3248.9354838709678</v>
      </c>
      <c r="P33" s="203">
        <f t="shared" si="54"/>
        <v>151</v>
      </c>
      <c r="Q33" s="203">
        <f t="shared" si="6"/>
        <v>3248.9354838709678</v>
      </c>
      <c r="R33" s="203">
        <f t="shared" si="55"/>
        <v>151</v>
      </c>
      <c r="S33" s="203">
        <f t="shared" si="7"/>
        <v>3248.9354838709678</v>
      </c>
      <c r="T33" s="203">
        <f t="shared" si="56"/>
        <v>151</v>
      </c>
      <c r="U33" s="203">
        <f t="shared" si="8"/>
        <v>3248.9354838709678</v>
      </c>
      <c r="V33" s="203">
        <f t="shared" si="57"/>
        <v>151</v>
      </c>
      <c r="W33" s="203">
        <f t="shared" si="9"/>
        <v>3248.9354838709678</v>
      </c>
      <c r="X33" s="35">
        <f t="shared" si="58"/>
        <v>0.48709677419354847</v>
      </c>
      <c r="Y33" s="36">
        <f t="shared" si="59"/>
        <v>35738.290322580651</v>
      </c>
      <c r="Z33" s="203">
        <f>'B5'!C32</f>
        <v>158</v>
      </c>
      <c r="AA33" s="203">
        <f t="shared" si="30"/>
        <v>1580</v>
      </c>
      <c r="AB33" s="203">
        <f t="shared" si="60"/>
        <v>158</v>
      </c>
      <c r="AC33" s="203">
        <f t="shared" si="30"/>
        <v>1580</v>
      </c>
      <c r="AD33" s="203">
        <f t="shared" si="61"/>
        <v>158</v>
      </c>
      <c r="AE33" s="203">
        <f t="shared" si="11"/>
        <v>1580</v>
      </c>
      <c r="AF33" s="203">
        <f t="shared" si="62"/>
        <v>158</v>
      </c>
      <c r="AG33" s="203">
        <f t="shared" si="12"/>
        <v>1580</v>
      </c>
      <c r="AH33" s="203">
        <f t="shared" si="63"/>
        <v>158</v>
      </c>
      <c r="AI33" s="203">
        <f t="shared" si="13"/>
        <v>1580</v>
      </c>
      <c r="AJ33" s="203">
        <f t="shared" si="64"/>
        <v>158</v>
      </c>
      <c r="AK33" s="203">
        <f t="shared" si="14"/>
        <v>1580</v>
      </c>
      <c r="AL33" s="203">
        <f t="shared" si="65"/>
        <v>158</v>
      </c>
      <c r="AM33" s="203">
        <f t="shared" si="15"/>
        <v>1580</v>
      </c>
      <c r="AN33" s="35">
        <f t="shared" si="66"/>
        <v>0.56428571428571428</v>
      </c>
      <c r="AO33" s="36">
        <f t="shared" si="67"/>
        <v>11060</v>
      </c>
      <c r="AQ33" s="223">
        <f t="shared" si="37"/>
        <v>0.5033698001783441</v>
      </c>
      <c r="AR33" s="38">
        <f t="shared" si="38"/>
        <v>46798.290322580651</v>
      </c>
      <c r="AS33" s="197">
        <f>SUM(AR33-AR32-AT33)</f>
        <v>0</v>
      </c>
      <c r="AT33" s="340"/>
      <c r="AU33" s="549"/>
      <c r="AV33" s="485">
        <f>IF(AT33&gt;0,AU33,AV32)</f>
        <v>0.76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10000</v>
      </c>
      <c r="AU37" s="545">
        <f>SUM(AU6:AU36)/AS37</f>
        <v>0.76</v>
      </c>
      <c r="AX37" s="203">
        <f>SUM(AX6:AX36)</f>
        <v>-10790.451612903213</v>
      </c>
      <c r="AY37" s="203">
        <f>SUM(AY6:AY36)</f>
        <v>-13373.451612903213</v>
      </c>
    </row>
    <row r="38" spans="1:63">
      <c r="AS38" s="206"/>
      <c r="AT38" s="82">
        <f>+AT37*AU37</f>
        <v>7600</v>
      </c>
    </row>
    <row r="40" spans="1:63">
      <c r="AS40" s="165">
        <f>SUM(AS6:AS36)/'EDl log'!A35</f>
        <v>-4457.8172043010709</v>
      </c>
      <c r="AT40" s="203"/>
    </row>
    <row r="41" spans="1:63">
      <c r="AX41">
        <v>43309</v>
      </c>
    </row>
    <row r="42" spans="1:63">
      <c r="AR42" s="203">
        <f>AR33-22000</f>
        <v>24798.290322580651</v>
      </c>
      <c r="AU42" s="203"/>
      <c r="AX42">
        <f>AX37/AX41</f>
        <v>-0.24915032932885112</v>
      </c>
    </row>
    <row r="43" spans="1:63">
      <c r="AR43">
        <f>AR42/5500</f>
        <v>4.5087800586510278</v>
      </c>
    </row>
    <row r="44" spans="1:63">
      <c r="AR44">
        <f>AR43*2</f>
        <v>9.0175601173020556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G15" sqref="G1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1729.0735483870892</v>
      </c>
      <c r="R4" s="285">
        <f>SUM(P4:Q4)</f>
        <v>1953.5624609670465</v>
      </c>
      <c r="S4" s="287">
        <f>SUM(ELEC!N4)</f>
        <v>7726.7999999998137</v>
      </c>
      <c r="T4" s="321">
        <f>IF(S4&gt;0,R4/S4,0)</f>
        <v>0.25282943274927444</v>
      </c>
      <c r="U4" s="245"/>
      <c r="V4" s="166" t="s">
        <v>200</v>
      </c>
      <c r="W4" s="167">
        <v>44218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1482.3187096774157</v>
      </c>
      <c r="R5" s="285">
        <f t="shared" ref="R5:R30" si="10">SUM(P5:Q5)</f>
        <v>1670.1376388411209</v>
      </c>
      <c r="S5" s="287">
        <f>SUM(ELEC!N5)</f>
        <v>4558</v>
      </c>
      <c r="T5" s="321">
        <f>IF(S5&gt;0,R5/S5,0)</f>
        <v>0.36641896420384396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1565.9187096774212</v>
      </c>
      <c r="R6" s="285">
        <f t="shared" si="10"/>
        <v>1737.3077880948579</v>
      </c>
      <c r="S6" s="287">
        <f>SUM(ELEC!N6)</f>
        <v>5673</v>
      </c>
      <c r="T6" s="321">
        <f t="shared" ref="T6:T30" si="16">IF(S6&gt;0,R6/S6,0)</f>
        <v>0.30624145744665221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817.34322580645824</v>
      </c>
      <c r="R9" s="285">
        <f>SUM(P9:Q9)</f>
        <v>1000.3966491658517</v>
      </c>
      <c r="S9" s="287">
        <f>SUM(ELEC!N9)</f>
        <v>7240.3999999999069</v>
      </c>
      <c r="T9" s="321">
        <f t="shared" si="16"/>
        <v>0.13816869912793003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1378.64</v>
      </c>
      <c r="R10" s="285">
        <f t="shared" si="10"/>
        <v>1550.0290784174367</v>
      </c>
      <c r="S10" s="287">
        <f>SUM(ELEC!N10)</f>
        <v>5591.6000000000931</v>
      </c>
      <c r="T10" s="321">
        <f t="shared" si="16"/>
        <v>0.27720671693565541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1227.4490322580575</v>
      </c>
      <c r="R12" s="285">
        <f t="shared" si="10"/>
        <v>1398.8381106754941</v>
      </c>
      <c r="S12" s="287">
        <f>SUM(ELEC!N12)</f>
        <v>4598</v>
      </c>
      <c r="T12" s="321">
        <f t="shared" si="16"/>
        <v>0.30422751428349154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f t="shared" si="11"/>
        <v>1110053</v>
      </c>
      <c r="C13" s="254">
        <f t="shared" si="0"/>
        <v>0</v>
      </c>
      <c r="D13" s="295">
        <f t="shared" si="12"/>
        <v>0</v>
      </c>
      <c r="E13" s="295">
        <f t="shared" si="13"/>
        <v>1110053</v>
      </c>
      <c r="F13" s="617">
        <f t="shared" si="7"/>
        <v>160656</v>
      </c>
      <c r="G13" s="160">
        <f t="shared" si="1"/>
        <v>0</v>
      </c>
      <c r="H13" s="617">
        <f t="shared" si="14"/>
        <v>548794</v>
      </c>
      <c r="I13" s="161">
        <f t="shared" si="2"/>
        <v>0</v>
      </c>
      <c r="J13" s="617">
        <f t="shared" si="15"/>
        <v>400603</v>
      </c>
      <c r="K13" s="162">
        <f t="shared" si="8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171.38907841743662</v>
      </c>
      <c r="P13" s="285">
        <f t="shared" si="9"/>
        <v>171.38907841743662</v>
      </c>
      <c r="Q13" s="285">
        <f>SUM(-tanks!AX15*tanks!$AU$37)</f>
        <v>0</v>
      </c>
      <c r="R13" s="285">
        <f t="shared" si="10"/>
        <v>171.38907841743662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1110053</v>
      </c>
      <c r="C14" s="254">
        <f t="shared" si="0"/>
        <v>0</v>
      </c>
      <c r="D14" s="295">
        <f t="shared" si="12"/>
        <v>0</v>
      </c>
      <c r="E14" s="295">
        <f t="shared" si="13"/>
        <v>1110053</v>
      </c>
      <c r="F14" s="617">
        <f t="shared" si="7"/>
        <v>160656</v>
      </c>
      <c r="G14" s="160">
        <f t="shared" si="1"/>
        <v>0</v>
      </c>
      <c r="H14" s="617">
        <f t="shared" si="14"/>
        <v>548794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1110053</v>
      </c>
      <c r="C15" s="254">
        <f t="shared" si="0"/>
        <v>0</v>
      </c>
      <c r="D15" s="295">
        <f t="shared" si="12"/>
        <v>0</v>
      </c>
      <c r="E15" s="295">
        <f t="shared" si="13"/>
        <v>1110053</v>
      </c>
      <c r="F15" s="617">
        <f t="shared" si="7"/>
        <v>160656</v>
      </c>
      <c r="G15" s="160">
        <f t="shared" si="1"/>
        <v>0</v>
      </c>
      <c r="H15" s="617">
        <f t="shared" si="14"/>
        <v>548794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f t="shared" si="11"/>
        <v>1110053</v>
      </c>
      <c r="C16" s="254">
        <f t="shared" si="0"/>
        <v>0</v>
      </c>
      <c r="D16" s="295">
        <f t="shared" si="12"/>
        <v>0</v>
      </c>
      <c r="E16" s="295">
        <f t="shared" si="13"/>
        <v>1110053</v>
      </c>
      <c r="F16" s="617">
        <f t="shared" si="7"/>
        <v>160656</v>
      </c>
      <c r="G16" s="160">
        <f t="shared" si="1"/>
        <v>0</v>
      </c>
      <c r="H16" s="617">
        <f t="shared" si="14"/>
        <v>548794</v>
      </c>
      <c r="I16" s="161">
        <f t="shared" si="2"/>
        <v>0</v>
      </c>
      <c r="J16" s="617">
        <f t="shared" si="15"/>
        <v>400603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171.38907841743662</v>
      </c>
      <c r="P16" s="285">
        <f>SUM(L16:O16)</f>
        <v>171.38907841743662</v>
      </c>
      <c r="Q16" s="285">
        <f>SUM(-tanks!AX18*tanks!$AU$37)</f>
        <v>0</v>
      </c>
      <c r="R16" s="285">
        <f>SUM(P16:Q16)</f>
        <v>171.38907841743662</v>
      </c>
      <c r="S16" s="287">
        <f>SUM(ELEC!N16)</f>
        <v>0</v>
      </c>
      <c r="T16" s="321">
        <f>IF(S16&gt;0,R16/S16,0)</f>
        <v>0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1110053</v>
      </c>
      <c r="C17" s="254">
        <f t="shared" si="0"/>
        <v>0</v>
      </c>
      <c r="D17" s="295">
        <f t="shared" si="12"/>
        <v>0</v>
      </c>
      <c r="E17" s="295">
        <f t="shared" si="13"/>
        <v>1110053</v>
      </c>
      <c r="F17" s="617">
        <f t="shared" si="7"/>
        <v>160656</v>
      </c>
      <c r="G17" s="160">
        <f>F17-F16</f>
        <v>0</v>
      </c>
      <c r="H17" s="617">
        <f t="shared" si="14"/>
        <v>548794</v>
      </c>
      <c r="I17" s="161">
        <f t="shared" si="2"/>
        <v>0</v>
      </c>
      <c r="J17" s="617">
        <f t="shared" si="15"/>
        <v>400603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0</v>
      </c>
      <c r="R17" s="285">
        <f>SUM(P17:Q17)</f>
        <v>171.38907841743662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f t="shared" si="11"/>
        <v>1110053</v>
      </c>
      <c r="C18" s="254">
        <f>SUM(B18-B17)</f>
        <v>0</v>
      </c>
      <c r="D18" s="295">
        <f>SUM(G18+I18+K18)</f>
        <v>0</v>
      </c>
      <c r="E18" s="295">
        <f t="shared" si="13"/>
        <v>1110053</v>
      </c>
      <c r="F18" s="617">
        <f t="shared" si="7"/>
        <v>160656</v>
      </c>
      <c r="G18" s="160">
        <f t="shared" si="1"/>
        <v>0</v>
      </c>
      <c r="H18" s="617">
        <f t="shared" si="14"/>
        <v>548794</v>
      </c>
      <c r="I18" s="161">
        <f t="shared" si="2"/>
        <v>0</v>
      </c>
      <c r="J18" s="617">
        <f t="shared" si="15"/>
        <v>400603</v>
      </c>
      <c r="K18" s="162">
        <f t="shared" si="8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171.38907841743662</v>
      </c>
      <c r="P18" s="285">
        <f t="shared" si="9"/>
        <v>171.38907841743662</v>
      </c>
      <c r="Q18" s="285">
        <f>SUM(-tanks!AX20*tanks!$AU$37)</f>
        <v>0</v>
      </c>
      <c r="R18" s="285">
        <f t="shared" si="10"/>
        <v>171.38907841743662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f t="shared" si="11"/>
        <v>1110053</v>
      </c>
      <c r="C19" s="254">
        <f t="shared" si="0"/>
        <v>0</v>
      </c>
      <c r="D19" s="295">
        <f t="shared" si="12"/>
        <v>0</v>
      </c>
      <c r="E19" s="295">
        <f t="shared" si="13"/>
        <v>1110053</v>
      </c>
      <c r="F19" s="617">
        <f t="shared" si="7"/>
        <v>160656</v>
      </c>
      <c r="G19" s="160">
        <f t="shared" si="1"/>
        <v>0</v>
      </c>
      <c r="H19" s="617">
        <f t="shared" si="14"/>
        <v>548794</v>
      </c>
      <c r="I19" s="161">
        <f t="shared" si="2"/>
        <v>0</v>
      </c>
      <c r="J19" s="617">
        <f t="shared" si="15"/>
        <v>400603</v>
      </c>
      <c r="K19" s="162">
        <f t="shared" si="8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171.38907841743662</v>
      </c>
      <c r="P19" s="285">
        <f>SUM(L19:O19)</f>
        <v>171.38907841743662</v>
      </c>
      <c r="Q19" s="285">
        <f>SUM(-tanks!AX21*tanks!$AU$37)</f>
        <v>0</v>
      </c>
      <c r="R19" s="285">
        <f>SUM(P19:Q19)</f>
        <v>171.38907841743662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1110053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160656</v>
      </c>
      <c r="G20" s="160">
        <f t="shared" si="1"/>
        <v>0</v>
      </c>
      <c r="H20" s="617">
        <f t="shared" si="14"/>
        <v>548794</v>
      </c>
      <c r="I20" s="161">
        <f t="shared" si="2"/>
        <v>0</v>
      </c>
      <c r="J20" s="617">
        <f t="shared" si="15"/>
        <v>400603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0</v>
      </c>
      <c r="R20" s="285">
        <f t="shared" si="10"/>
        <v>171.38907841743662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1110053</v>
      </c>
      <c r="C21" s="254">
        <f t="shared" si="0"/>
        <v>0</v>
      </c>
      <c r="D21" s="295">
        <f t="shared" si="12"/>
        <v>0</v>
      </c>
      <c r="E21" s="295">
        <f t="shared" si="13"/>
        <v>1110053</v>
      </c>
      <c r="F21" s="617">
        <f t="shared" si="7"/>
        <v>160656</v>
      </c>
      <c r="G21" s="160">
        <f t="shared" si="1"/>
        <v>0</v>
      </c>
      <c r="H21" s="617">
        <f t="shared" si="14"/>
        <v>548794</v>
      </c>
      <c r="I21" s="161">
        <f t="shared" si="2"/>
        <v>0</v>
      </c>
      <c r="J21" s="617">
        <f t="shared" si="15"/>
        <v>400603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44249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44611</v>
      </c>
      <c r="B22" s="617">
        <f t="shared" si="11"/>
        <v>1110053</v>
      </c>
      <c r="C22" s="254">
        <f t="shared" si="0"/>
        <v>0</v>
      </c>
      <c r="D22" s="295">
        <f t="shared" si="12"/>
        <v>0</v>
      </c>
      <c r="E22" s="295">
        <f t="shared" si="13"/>
        <v>1110053</v>
      </c>
      <c r="F22" s="617">
        <f t="shared" si="7"/>
        <v>160656</v>
      </c>
      <c r="G22" s="160">
        <f t="shared" si="1"/>
        <v>0</v>
      </c>
      <c r="H22" s="617">
        <f t="shared" si="14"/>
        <v>548794</v>
      </c>
      <c r="I22" s="161">
        <f t="shared" si="2"/>
        <v>0</v>
      </c>
      <c r="J22" s="617">
        <f t="shared" si="15"/>
        <v>400603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44612</v>
      </c>
      <c r="B23" s="617">
        <f t="shared" si="11"/>
        <v>1110053</v>
      </c>
      <c r="C23" s="254">
        <f t="shared" si="0"/>
        <v>0</v>
      </c>
      <c r="D23" s="295">
        <f t="shared" si="12"/>
        <v>0</v>
      </c>
      <c r="E23" s="295">
        <f t="shared" si="13"/>
        <v>1110053</v>
      </c>
      <c r="F23" s="617">
        <f t="shared" si="7"/>
        <v>160656</v>
      </c>
      <c r="G23" s="160">
        <f t="shared" si="1"/>
        <v>0</v>
      </c>
      <c r="H23" s="617">
        <f t="shared" si="14"/>
        <v>548794</v>
      </c>
      <c r="I23" s="161">
        <f t="shared" si="2"/>
        <v>0</v>
      </c>
      <c r="J23" s="617">
        <f t="shared" si="15"/>
        <v>400603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0</v>
      </c>
      <c r="R23" s="285">
        <f t="shared" si="10"/>
        <v>171.38907841743662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44613</v>
      </c>
      <c r="B24" s="617">
        <f t="shared" si="11"/>
        <v>1110053</v>
      </c>
      <c r="C24" s="254">
        <f t="shared" si="0"/>
        <v>0</v>
      </c>
      <c r="D24" s="295">
        <f t="shared" si="12"/>
        <v>0</v>
      </c>
      <c r="E24" s="295">
        <f t="shared" si="13"/>
        <v>1110053</v>
      </c>
      <c r="F24" s="617">
        <f t="shared" si="7"/>
        <v>160656</v>
      </c>
      <c r="G24" s="160">
        <f t="shared" si="1"/>
        <v>0</v>
      </c>
      <c r="H24" s="617">
        <f t="shared" si="14"/>
        <v>548794</v>
      </c>
      <c r="I24" s="161">
        <f t="shared" si="2"/>
        <v>0</v>
      </c>
      <c r="J24" s="617">
        <f t="shared" si="15"/>
        <v>400603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0</v>
      </c>
      <c r="R24" s="285">
        <f t="shared" si="10"/>
        <v>171.38907841743662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44614</v>
      </c>
      <c r="B25" s="617">
        <f t="shared" si="11"/>
        <v>1110053</v>
      </c>
      <c r="C25" s="254">
        <f t="shared" si="0"/>
        <v>0</v>
      </c>
      <c r="D25" s="295">
        <f t="shared" si="12"/>
        <v>0</v>
      </c>
      <c r="E25" s="295">
        <f t="shared" si="13"/>
        <v>1110053</v>
      </c>
      <c r="F25" s="617">
        <f t="shared" si="7"/>
        <v>160656</v>
      </c>
      <c r="G25" s="160">
        <f t="shared" si="1"/>
        <v>0</v>
      </c>
      <c r="H25" s="617">
        <f t="shared" si="14"/>
        <v>548794</v>
      </c>
      <c r="I25" s="161">
        <f t="shared" si="2"/>
        <v>0</v>
      </c>
      <c r="J25" s="617">
        <f t="shared" si="15"/>
        <v>400603</v>
      </c>
      <c r="K25" s="162">
        <f t="shared" si="8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171.38907841743662</v>
      </c>
      <c r="P25" s="285">
        <f t="shared" si="9"/>
        <v>171.38907841743662</v>
      </c>
      <c r="Q25" s="285">
        <f>SUM(-tanks!AX27*tanks!$AU$37)</f>
        <v>0</v>
      </c>
      <c r="R25" s="285">
        <f t="shared" si="10"/>
        <v>171.38907841743662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f t="shared" si="11"/>
        <v>1110053</v>
      </c>
      <c r="C26" s="254">
        <f t="shared" si="0"/>
        <v>0</v>
      </c>
      <c r="D26" s="295">
        <f t="shared" si="12"/>
        <v>0</v>
      </c>
      <c r="E26" s="295">
        <f t="shared" si="13"/>
        <v>1110053</v>
      </c>
      <c r="F26" s="617">
        <f t="shared" si="7"/>
        <v>160656</v>
      </c>
      <c r="G26" s="160">
        <f t="shared" si="1"/>
        <v>0</v>
      </c>
      <c r="H26" s="617">
        <f t="shared" si="14"/>
        <v>548794</v>
      </c>
      <c r="I26" s="161">
        <f t="shared" si="2"/>
        <v>0</v>
      </c>
      <c r="J26" s="617">
        <f t="shared" si="15"/>
        <v>400603</v>
      </c>
      <c r="K26" s="162">
        <f t="shared" si="8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171.38907841743662</v>
      </c>
      <c r="P26" s="285">
        <f t="shared" si="9"/>
        <v>171.38907841743662</v>
      </c>
      <c r="Q26" s="285">
        <f>SUM(-tanks!AX28*tanks!$AU$37)</f>
        <v>0</v>
      </c>
      <c r="R26" s="285">
        <f t="shared" si="10"/>
        <v>171.38907841743662</v>
      </c>
      <c r="S26" s="287">
        <f>SUM(ELEC!N26)</f>
        <v>0</v>
      </c>
      <c r="T26" s="321">
        <f t="shared" si="16"/>
        <v>0</v>
      </c>
      <c r="V26" s="246">
        <f>W9</f>
        <v>400529</v>
      </c>
      <c r="W26" s="170">
        <f>J31</f>
        <v>400603</v>
      </c>
      <c r="X26" s="172" t="s">
        <v>199</v>
      </c>
      <c r="Y26" s="172">
        <v>80</v>
      </c>
      <c r="Z26" s="172">
        <v>1</v>
      </c>
      <c r="AA26" s="323">
        <f>(W26-V26)*Z26</f>
        <v>74</v>
      </c>
      <c r="AB26" s="323">
        <f>AA26*Y26</f>
        <v>5920</v>
      </c>
      <c r="AC26" s="244">
        <f>AC9</f>
        <v>1033333</v>
      </c>
      <c r="AD26" s="476">
        <f>SUM(K36)</f>
        <v>0.10407876230661041</v>
      </c>
    </row>
    <row r="27" spans="1:32" ht="20.100000000000001" customHeight="1">
      <c r="A27" s="163">
        <f>ELEC!C27</f>
        <v>44616</v>
      </c>
      <c r="B27" s="617">
        <f t="shared" si="11"/>
        <v>1110053</v>
      </c>
      <c r="C27" s="254">
        <f t="shared" si="0"/>
        <v>0</v>
      </c>
      <c r="D27" s="295">
        <f t="shared" si="12"/>
        <v>0</v>
      </c>
      <c r="E27" s="295">
        <f t="shared" si="13"/>
        <v>1110053</v>
      </c>
      <c r="F27" s="617">
        <f t="shared" si="7"/>
        <v>160656</v>
      </c>
      <c r="G27" s="160">
        <f t="shared" si="1"/>
        <v>0</v>
      </c>
      <c r="H27" s="617">
        <f t="shared" si="14"/>
        <v>548794</v>
      </c>
      <c r="I27" s="161">
        <f t="shared" si="2"/>
        <v>0</v>
      </c>
      <c r="J27" s="617">
        <f t="shared" si="15"/>
        <v>400603</v>
      </c>
      <c r="K27" s="162">
        <f t="shared" si="8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171.38907841743662</v>
      </c>
      <c r="P27" s="285">
        <f t="shared" si="9"/>
        <v>171.38907841743662</v>
      </c>
      <c r="Q27" s="285">
        <f>SUM(-tanks!AX29*tanks!$AU$37)</f>
        <v>0</v>
      </c>
      <c r="R27" s="285">
        <f t="shared" si="10"/>
        <v>171.38907841743662</v>
      </c>
      <c r="S27" s="287">
        <f>SUM(ELEC!N27)</f>
        <v>0</v>
      </c>
      <c r="T27" s="321">
        <f t="shared" si="16"/>
        <v>0</v>
      </c>
      <c r="V27" s="246">
        <f>W10</f>
        <v>548374</v>
      </c>
      <c r="W27" s="170">
        <f>H31</f>
        <v>548794</v>
      </c>
      <c r="X27" s="172" t="s">
        <v>212</v>
      </c>
      <c r="Y27" s="172">
        <v>112</v>
      </c>
      <c r="Z27" s="172">
        <v>1</v>
      </c>
      <c r="AA27" s="323">
        <f>(W27-V27)*Z27</f>
        <v>420</v>
      </c>
      <c r="AB27" s="323">
        <f>SUM(AA27*Y27)</f>
        <v>47040</v>
      </c>
      <c r="AC27" s="244">
        <f>AC10</f>
        <v>6200000</v>
      </c>
      <c r="AD27" s="476">
        <f>SUM(I36)</f>
        <v>0.59071729957805907</v>
      </c>
    </row>
    <row r="28" spans="1:32" ht="20.100000000000001" customHeight="1">
      <c r="A28" s="163">
        <f>ELEC!C28</f>
        <v>44617</v>
      </c>
      <c r="B28" s="617">
        <f t="shared" si="11"/>
        <v>1110053</v>
      </c>
      <c r="C28" s="254">
        <f t="shared" si="0"/>
        <v>0</v>
      </c>
      <c r="D28" s="295">
        <f t="shared" si="12"/>
        <v>0</v>
      </c>
      <c r="E28" s="295">
        <f>B27+D28</f>
        <v>1110053</v>
      </c>
      <c r="F28" s="617">
        <f t="shared" si="7"/>
        <v>160656</v>
      </c>
      <c r="G28" s="160">
        <f t="shared" si="1"/>
        <v>0</v>
      </c>
      <c r="H28" s="617">
        <f t="shared" si="14"/>
        <v>548794</v>
      </c>
      <c r="I28" s="161">
        <f t="shared" si="2"/>
        <v>0</v>
      </c>
      <c r="J28" s="617">
        <f t="shared" si="15"/>
        <v>400603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160656</v>
      </c>
      <c r="X28" s="172" t="s">
        <v>197</v>
      </c>
      <c r="Y28" s="172">
        <v>320</v>
      </c>
      <c r="Z28" s="172">
        <v>1</v>
      </c>
      <c r="AA28" s="323">
        <f>(W28-V28)*Z28</f>
        <v>217</v>
      </c>
      <c r="AB28" s="323">
        <f>SUM(AA28*Y28)</f>
        <v>69440</v>
      </c>
      <c r="AC28" s="244">
        <f>AC11</f>
        <v>1000</v>
      </c>
      <c r="AD28" s="476">
        <f>SUM(G36)</f>
        <v>0.30520393811533048</v>
      </c>
      <c r="AE28" s="40">
        <f>SUM(AB28*5%)</f>
        <v>3472</v>
      </c>
      <c r="AF28" s="82">
        <f>SUM(AE28/7)*31</f>
        <v>15376</v>
      </c>
    </row>
    <row r="29" spans="1:32" ht="20.100000000000001" customHeight="1">
      <c r="A29" s="163">
        <f>ELEC!C29</f>
        <v>44618</v>
      </c>
      <c r="B29" s="617">
        <f t="shared" si="11"/>
        <v>1110053</v>
      </c>
      <c r="C29" s="254">
        <f t="shared" si="0"/>
        <v>0</v>
      </c>
      <c r="D29" s="295">
        <f t="shared" si="12"/>
        <v>0</v>
      </c>
      <c r="E29" s="295">
        <f>B28+D29</f>
        <v>1110053</v>
      </c>
      <c r="F29" s="617">
        <f t="shared" si="7"/>
        <v>160656</v>
      </c>
      <c r="G29" s="160">
        <f t="shared" si="1"/>
        <v>0</v>
      </c>
      <c r="H29" s="617">
        <f t="shared" si="14"/>
        <v>548794</v>
      </c>
      <c r="I29" s="161">
        <f t="shared" si="2"/>
        <v>0</v>
      </c>
      <c r="J29" s="617">
        <f t="shared" si="15"/>
        <v>400603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711</v>
      </c>
      <c r="AB29" s="323">
        <f>SUM(AB26:AB28)</f>
        <v>122400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f t="shared" si="11"/>
        <v>1110053</v>
      </c>
      <c r="C30" s="254">
        <f t="shared" si="0"/>
        <v>0</v>
      </c>
      <c r="D30" s="295">
        <f t="shared" si="12"/>
        <v>0</v>
      </c>
      <c r="E30" s="295">
        <f t="shared" si="13"/>
        <v>1110053</v>
      </c>
      <c r="F30" s="617">
        <f t="shared" si="7"/>
        <v>160656</v>
      </c>
      <c r="G30" s="160">
        <f t="shared" si="1"/>
        <v>0</v>
      </c>
      <c r="H30" s="617">
        <f t="shared" si="14"/>
        <v>548794</v>
      </c>
      <c r="I30" s="161">
        <f t="shared" si="2"/>
        <v>0</v>
      </c>
      <c r="J30" s="617">
        <f t="shared" si="15"/>
        <v>400603</v>
      </c>
      <c r="K30" s="162">
        <f t="shared" si="8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171.38907841743662</v>
      </c>
      <c r="P30" s="285">
        <f t="shared" si="9"/>
        <v>171.38907841743662</v>
      </c>
      <c r="Q30" s="285">
        <f>SUM(-tanks!AX32*tanks!$AU$37)</f>
        <v>0</v>
      </c>
      <c r="R30" s="285">
        <f t="shared" si="10"/>
        <v>171.38907841743662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7356733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1110053</v>
      </c>
      <c r="C31" s="254">
        <f>SUM(B31-B30)</f>
        <v>0</v>
      </c>
      <c r="D31" s="295">
        <f t="shared" si="12"/>
        <v>0</v>
      </c>
      <c r="E31" s="295">
        <f>B30+D31</f>
        <v>1110053</v>
      </c>
      <c r="F31" s="617">
        <f t="shared" si="7"/>
        <v>160656</v>
      </c>
      <c r="G31" s="160">
        <f>F31-F30</f>
        <v>0</v>
      </c>
      <c r="H31" s="617">
        <f t="shared" si="14"/>
        <v>548794</v>
      </c>
      <c r="I31" s="161">
        <f>H31-H30</f>
        <v>0</v>
      </c>
      <c r="J31" s="617">
        <f t="shared" si="15"/>
        <v>400603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70</v>
      </c>
      <c r="X32" s="222">
        <f>SUM(W32/A35)</f>
        <v>23.333333333333332</v>
      </c>
      <c r="Y32" s="250">
        <f>SUM(X32/1)</f>
        <v>23.333333333333332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809240.63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8165973.6299999999</v>
      </c>
      <c r="AC34" s="244">
        <f>SUM(AC30)</f>
        <v>0</v>
      </c>
    </row>
    <row r="35" spans="1:32" ht="15.75" thickBot="1">
      <c r="A35" s="501">
        <f>A37-COUNTIF(C4:C31,0)</f>
        <v>3</v>
      </c>
      <c r="C35" s="173">
        <f>SUM(C4:C34)/A35</f>
        <v>237</v>
      </c>
      <c r="D35" s="173"/>
      <c r="E35" s="173"/>
      <c r="F35" s="568"/>
      <c r="G35" s="568">
        <f>SUM(G4:G34)/A35</f>
        <v>72.333333333333329</v>
      </c>
      <c r="H35" s="173"/>
      <c r="I35" s="173">
        <f>SUM(I4:I34)/A35</f>
        <v>140</v>
      </c>
      <c r="K35" s="173">
        <f>SUM(K4:K34)/A35</f>
        <v>24.666666666666668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0.30520393811533048</v>
      </c>
      <c r="H36" s="212"/>
      <c r="I36" s="225">
        <f>SUM(I35/C35)</f>
        <v>0.59071729957805907</v>
      </c>
      <c r="J36" s="212"/>
      <c r="K36" s="225">
        <f>SUM(K35/C35)</f>
        <v>0.10407876230661041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4880.0882255389715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4880.0882255389715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3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3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3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3" sqref="F1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29.833333333333332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-5.8000000000000114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9</v>
      </c>
      <c r="G9">
        <f t="shared" si="1"/>
        <v>963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14" sqref="J1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/>
      <c r="C18" s="615"/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/>
      <c r="C25" s="615"/>
      <c r="D25" s="615">
        <v>0</v>
      </c>
      <c r="E25" s="615">
        <v>0</v>
      </c>
      <c r="F25" s="615">
        <v>0</v>
      </c>
      <c r="G25" s="615">
        <v>0</v>
      </c>
      <c r="H25" s="616">
        <f t="shared" si="3"/>
        <v>7003</v>
      </c>
      <c r="I25" s="600">
        <f t="shared" si="4"/>
        <v>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/>
      <c r="C26" s="615"/>
      <c r="D26" s="615">
        <v>0</v>
      </c>
      <c r="E26" s="615">
        <v>0</v>
      </c>
      <c r="F26" s="615">
        <v>0</v>
      </c>
      <c r="G26" s="615">
        <v>0</v>
      </c>
      <c r="H26" s="616">
        <f t="shared" si="3"/>
        <v>7003</v>
      </c>
      <c r="I26" s="600">
        <f t="shared" si="4"/>
        <v>0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/>
      <c r="C27" s="615"/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7003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/>
      <c r="C28" s="615"/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7003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7003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7003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7003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7003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7003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F10" sqref="F10:G3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404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0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0</v>
      </c>
      <c r="G22" s="261">
        <f>'General information '!C17</f>
        <v>0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0</v>
      </c>
      <c r="G23" s="261">
        <f>'General information '!C18</f>
        <v>0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0</v>
      </c>
      <c r="G24" s="261">
        <f>'General information '!C19</f>
        <v>0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0</v>
      </c>
      <c r="G25" s="261">
        <f>'General information '!C20</f>
        <v>0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0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0</v>
      </c>
      <c r="G26" s="261">
        <f>'General information '!C21</f>
        <v>0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0</v>
      </c>
      <c r="G29" s="261">
        <f>'General information '!C24</f>
        <v>0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0</v>
      </c>
      <c r="G30" s="261">
        <f>'General information '!C25</f>
        <v>0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0</v>
      </c>
      <c r="G31" s="261">
        <f>'General information '!C26</f>
        <v>0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0</v>
      </c>
      <c r="G32" s="261">
        <f>'General information '!C27</f>
        <v>0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0</v>
      </c>
      <c r="G33" s="261">
        <f>'General information '!C28</f>
        <v>0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0</v>
      </c>
      <c r="G36" s="261">
        <f>'General information '!C31</f>
        <v>0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H52" sqref="H52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9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10000</v>
      </c>
      <c r="C8" s="466">
        <f>SUM(tanks!AU37)</f>
        <v>0.76</v>
      </c>
      <c r="D8" s="191">
        <f>SUM(B8*C8)*D4</f>
        <v>11457000</v>
      </c>
      <c r="E8" s="192">
        <f>SUM(D8/D4/F4)</f>
        <v>271.42857142857144</v>
      </c>
      <c r="F8" s="192">
        <f>SUM(E8*F4)</f>
        <v>7600</v>
      </c>
      <c r="G8" s="574">
        <f>E8*$G$4</f>
        <v>2442.8571428571431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711</v>
      </c>
      <c r="C10" s="181"/>
      <c r="D10" s="183">
        <f>'EDl log'!AB30</f>
        <v>7356733</v>
      </c>
      <c r="E10" s="182">
        <f>SUM(D10/D4/F4)</f>
        <v>174.2888651978204</v>
      </c>
      <c r="F10" s="182">
        <f>SUM(E10*F4)</f>
        <v>4880.0882255389715</v>
      </c>
      <c r="G10" s="478">
        <f>E10*$G$4</f>
        <v>1568.5997867803835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738.57457948353465</v>
      </c>
      <c r="F12" s="180">
        <f>SUM(F6:F10)</f>
        <v>20680.088225538973</v>
      </c>
      <c r="G12" s="179">
        <f>SUM(G6:G10)</f>
        <v>12211.456929637527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-67917.443070362468</v>
      </c>
      <c r="I14" s="406">
        <f>SUM(G12-I12)</f>
        <v>-39032.462790792582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29.833333333333332</v>
      </c>
      <c r="C16" s="415">
        <f>'[12]Utility Cost '!$B$16</f>
        <v>15.821428571428571</v>
      </c>
      <c r="D16" s="415"/>
      <c r="E16" s="580">
        <f>B16-C16</f>
        <v>14.011904761904761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70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-119</v>
      </c>
      <c r="F18" s="495">
        <f>B18-D18</f>
        <v>-132.66666666666666</v>
      </c>
    </row>
    <row r="19" spans="1:10">
      <c r="A19" s="489" t="s">
        <v>412</v>
      </c>
      <c r="B19" s="493">
        <f>GEN!AL34</f>
        <v>6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11.666666666666666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2022-02-10T09:59:55Z</dcterms:modified>
</cp:coreProperties>
</file>