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Nov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 s="1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/>
  <c r="AV35" i="7"/>
  <c r="AW35" i="7" s="1"/>
  <c r="AV10" i="7"/>
  <c r="R5" i="9" s="1"/>
  <c r="G5" i="5" s="1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/>
  <c r="R18" i="9"/>
  <c r="G18" i="5" s="1"/>
  <c r="AV24" i="7"/>
  <c r="AW24" i="7" s="1"/>
  <c r="AV25" i="7"/>
  <c r="R20" i="9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/>
  <c r="X9" i="7"/>
  <c r="AM9" i="7" s="1"/>
  <c r="Y9" i="7"/>
  <c r="M4" i="9" s="1"/>
  <c r="Z9" i="7"/>
  <c r="AO9" i="7" s="1"/>
  <c r="AA9" i="7"/>
  <c r="O4" i="9" s="1"/>
  <c r="AB9" i="7"/>
  <c r="P4" i="9" s="1"/>
  <c r="AC9" i="7"/>
  <c r="Q4" i="9" s="1"/>
  <c r="R10" i="7"/>
  <c r="F5" i="9" s="1"/>
  <c r="T10" i="7"/>
  <c r="AI10" i="7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N5" i="9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K6" i="9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AL16" i="7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/>
  <c r="Z22" i="7"/>
  <c r="AA22" i="7"/>
  <c r="O17" i="9" s="1"/>
  <c r="AB22" i="7"/>
  <c r="AQ22" i="7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AI26" i="7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/>
  <c r="Z28" i="7"/>
  <c r="AO28" i="7"/>
  <c r="AA28" i="7"/>
  <c r="AB28" i="7"/>
  <c r="AQ28" i="7" s="1"/>
  <c r="AC28" i="7"/>
  <c r="AR28" i="7" s="1"/>
  <c r="R29" i="7"/>
  <c r="AG29" i="7" s="1"/>
  <c r="S29" i="7"/>
  <c r="G24" i="9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J25" i="9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AR30" i="7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/>
  <c r="AC31" i="7"/>
  <c r="Q26" i="9" s="1"/>
  <c r="R32" i="7"/>
  <c r="AG32" i="7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/>
  <c r="U35" i="7"/>
  <c r="I30" i="9" s="1"/>
  <c r="V35" i="7"/>
  <c r="J30" i="9" s="1"/>
  <c r="W35" i="7"/>
  <c r="K30" i="9"/>
  <c r="X35" i="7"/>
  <c r="AM35" i="7" s="1"/>
  <c r="Y35" i="7"/>
  <c r="M30" i="9" s="1"/>
  <c r="Z35" i="7"/>
  <c r="N30" i="9"/>
  <c r="AA35" i="7"/>
  <c r="O30" i="9" s="1"/>
  <c r="AB35" i="7"/>
  <c r="P30" i="9" s="1"/>
  <c r="AC35" i="7"/>
  <c r="AR35" i="7"/>
  <c r="R8" i="7"/>
  <c r="AG8" i="7" s="1"/>
  <c r="T8" i="7"/>
  <c r="AI8" i="7" s="1"/>
  <c r="U8" i="7"/>
  <c r="AJ8" i="7" s="1"/>
  <c r="V8" i="7"/>
  <c r="AK8" i="7" s="1"/>
  <c r="W8" i="7"/>
  <c r="K3" i="9" s="1"/>
  <c r="X8" i="7"/>
  <c r="L3" i="9" s="1"/>
  <c r="Y8" i="7"/>
  <c r="M3" i="9" s="1"/>
  <c r="Z8" i="7"/>
  <c r="AO8" i="7" s="1"/>
  <c r="AA8" i="7"/>
  <c r="AP8" i="7" s="1"/>
  <c r="AB8" i="7"/>
  <c r="AQ8" i="7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L2" i="9" s="1"/>
  <c r="Y7" i="7"/>
  <c r="M2" i="9" s="1"/>
  <c r="Z7" i="7"/>
  <c r="AO7" i="7" s="1"/>
  <c r="AA7" i="7"/>
  <c r="AP7" i="7" s="1"/>
  <c r="AB7" i="7"/>
  <c r="P2" i="9" s="1"/>
  <c r="AC7" i="7"/>
  <c r="AR7" i="7" s="1"/>
  <c r="Q9" i="7"/>
  <c r="AF9" i="7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AC22" i="7"/>
  <c r="Q17" i="9" s="1"/>
  <c r="AC23" i="7"/>
  <c r="Q18" i="9" s="1"/>
  <c r="X22" i="7"/>
  <c r="L17" i="9"/>
  <c r="AK20" i="7"/>
  <c r="AH22" i="7"/>
  <c r="R28" i="9"/>
  <c r="G28" i="5" s="1"/>
  <c r="F20" i="9"/>
  <c r="N23" i="9"/>
  <c r="N28" i="9"/>
  <c r="T20" i="7"/>
  <c r="T21" i="7"/>
  <c r="AI21" i="7" s="1"/>
  <c r="F22" i="9"/>
  <c r="AR22" i="7"/>
  <c r="F25" i="9"/>
  <c r="AN20" i="7"/>
  <c r="AG19" i="7"/>
  <c r="I27" i="9"/>
  <c r="Q30" i="9"/>
  <c r="AW25" i="7"/>
  <c r="AJ35" i="7"/>
  <c r="AO31" i="7"/>
  <c r="AH21" i="7"/>
  <c r="AI31" i="7"/>
  <c r="N19" i="9"/>
  <c r="AO24" i="7"/>
  <c r="AL21" i="7"/>
  <c r="M23" i="9"/>
  <c r="R19" i="9"/>
  <c r="G19" i="5" s="1"/>
  <c r="K26" i="9"/>
  <c r="AJ30" i="7"/>
  <c r="I15" i="9"/>
  <c r="AN27" i="7"/>
  <c r="AM7" i="7"/>
  <c r="R22" i="9"/>
  <c r="G22" i="5" s="1"/>
  <c r="R29" i="9"/>
  <c r="G29" i="5" s="1"/>
  <c r="L29" i="9"/>
  <c r="AG15" i="7"/>
  <c r="AL19" i="7"/>
  <c r="F14" i="9"/>
  <c r="AM22" i="7"/>
  <c r="F19" i="9"/>
  <c r="AN36" i="7"/>
  <c r="AN25" i="7"/>
  <c r="F31" i="9"/>
  <c r="I29" i="9"/>
  <c r="AO29" i="7"/>
  <c r="AN21" i="7"/>
  <c r="AP10" i="7"/>
  <c r="AN14" i="7"/>
  <c r="N12" i="9"/>
  <c r="K12" i="9"/>
  <c r="AK17" i="7"/>
  <c r="P17" i="9"/>
  <c r="R10" i="9"/>
  <c r="G10" i="5" s="1"/>
  <c r="AW15" i="7"/>
  <c r="J22" i="9"/>
  <c r="K20" i="9"/>
  <c r="K11" i="9"/>
  <c r="AP13" i="7"/>
  <c r="AH15" i="7"/>
  <c r="AN11" i="7"/>
  <c r="AP35" i="7"/>
  <c r="I17" i="9"/>
  <c r="I9" i="9"/>
  <c r="J13" i="9"/>
  <c r="AO19" i="7"/>
  <c r="K14" i="9"/>
  <c r="AR20" i="7"/>
  <c r="AK19" i="7"/>
  <c r="AQ21" i="7"/>
  <c r="N15" i="9"/>
  <c r="F15" i="9"/>
  <c r="R17" i="9"/>
  <c r="G17" i="5"/>
  <c r="H18" i="9"/>
  <c r="F17" i="9"/>
  <c r="AN23" i="7"/>
  <c r="Q20" i="9"/>
  <c r="Q19" i="9"/>
  <c r="AP24" i="7"/>
  <c r="AK24" i="7"/>
  <c r="G19" i="9"/>
  <c r="Q21" i="9"/>
  <c r="P21" i="9"/>
  <c r="AM28" i="7"/>
  <c r="Q24" i="9"/>
  <c r="O23" i="9"/>
  <c r="AP28" i="7"/>
  <c r="H24" i="9"/>
  <c r="AH29" i="7"/>
  <c r="N24" i="9"/>
  <c r="H25" i="9"/>
  <c r="F24" i="9"/>
  <c r="AR31" i="7"/>
  <c r="AM30" i="7"/>
  <c r="J26" i="9"/>
  <c r="G26" i="9"/>
  <c r="Q28" i="9"/>
  <c r="AL33" i="7"/>
  <c r="F27" i="9"/>
  <c r="M28" i="9"/>
  <c r="AJ33" i="7"/>
  <c r="AO35" i="7"/>
  <c r="AH35" i="7"/>
  <c r="F30" i="9"/>
  <c r="R30" i="9"/>
  <c r="G30" i="5" s="1"/>
  <c r="AR36" i="7"/>
  <c r="AL35" i="7"/>
  <c r="AK35" i="7"/>
  <c r="R21" i="9"/>
  <c r="G21" i="5" s="1"/>
  <c r="AO18" i="7"/>
  <c r="AJ36" i="7"/>
  <c r="P26" i="9"/>
  <c r="K25" i="9"/>
  <c r="P22" i="9"/>
  <c r="P23" i="9"/>
  <c r="AI35" i="7"/>
  <c r="P25" i="9"/>
  <c r="M10" i="9"/>
  <c r="AR9" i="7"/>
  <c r="AM8" i="7"/>
  <c r="R7" i="9"/>
  <c r="G7" i="5" s="1"/>
  <c r="AL11" i="7"/>
  <c r="AL14" i="7"/>
  <c r="J8" i="9"/>
  <c r="G13" i="9"/>
  <c r="M11" i="9"/>
  <c r="G12" i="9"/>
  <c r="Q10" i="9"/>
  <c r="Q11" i="9"/>
  <c r="AJ15" i="7"/>
  <c r="R11" i="9"/>
  <c r="G11" i="5" s="1"/>
  <c r="P9" i="9"/>
  <c r="AK15" i="7"/>
  <c r="J10" i="9"/>
  <c r="E9" i="9"/>
  <c r="R6" i="9"/>
  <c r="G6" i="5" s="1"/>
  <c r="AW19" i="7"/>
  <c r="L11" i="9"/>
  <c r="J5" i="9"/>
  <c r="F11" i="9"/>
  <c r="G4" i="9"/>
  <c r="F4" i="9"/>
  <c r="AQ19" i="7"/>
  <c r="AG18" i="7"/>
  <c r="AM12" i="7"/>
  <c r="AQ17" i="7"/>
  <c r="P10" i="9"/>
  <c r="AL9" i="7"/>
  <c r="AR18" i="7"/>
  <c r="H3" i="9"/>
  <c r="AQ7" i="7"/>
  <c r="AL8" i="7"/>
  <c r="AF8" i="7"/>
  <c r="AI11" i="7"/>
  <c r="AQ11" i="7"/>
  <c r="G6" i="9"/>
  <c r="N4" i="9"/>
  <c r="AO10" i="7"/>
  <c r="AI13" i="7"/>
  <c r="AR11" i="7" l="1"/>
  <c r="AO12" i="7"/>
  <c r="AO11" i="7"/>
  <c r="K7" i="9"/>
  <c r="AJ12" i="7"/>
  <c r="I6" i="9"/>
  <c r="AI12" i="7"/>
  <c r="AH12" i="7"/>
  <c r="AL10" i="7"/>
  <c r="G5" i="9"/>
  <c r="AG10" i="7"/>
  <c r="AF11" i="7"/>
  <c r="AS11" i="7" s="1"/>
  <c r="AW10" i="7"/>
  <c r="M5" i="9"/>
  <c r="P5" i="9"/>
  <c r="AR10" i="7"/>
  <c r="AS10" i="7" s="1"/>
  <c r="L5" i="9"/>
  <c r="I5" i="9"/>
  <c r="H5" i="9"/>
  <c r="AQ9" i="7"/>
  <c r="AP9" i="7"/>
  <c r="L4" i="9"/>
  <c r="I3" i="9"/>
  <c r="I4" i="9"/>
  <c r="F3" i="9"/>
  <c r="P3" i="9"/>
  <c r="O2" i="9"/>
  <c r="N2" i="9"/>
  <c r="N3" i="9"/>
  <c r="J3" i="9"/>
  <c r="AJ7" i="7"/>
  <c r="AH8" i="7"/>
  <c r="R4" i="9"/>
  <c r="G4" i="5" s="1"/>
  <c r="AK7" i="7"/>
  <c r="AW13" i="7"/>
  <c r="AW17" i="7"/>
  <c r="AD7" i="7"/>
  <c r="K2" i="9"/>
  <c r="AI9" i="7"/>
  <c r="G29" i="9"/>
  <c r="AL32" i="7"/>
  <c r="AJ24" i="7"/>
  <c r="P18" i="9"/>
  <c r="H21" i="9"/>
  <c r="H9" i="9"/>
  <c r="E9" i="5" s="1"/>
  <c r="AN9" i="7"/>
  <c r="G18" i="9"/>
  <c r="J21" i="9"/>
  <c r="H12" i="9"/>
  <c r="J7" i="9"/>
  <c r="AN34" i="7"/>
  <c r="N27" i="9"/>
  <c r="L16" i="9"/>
  <c r="AI19" i="7"/>
  <c r="AQ24" i="7"/>
  <c r="AP20" i="7"/>
  <c r="AG21" i="7"/>
  <c r="Q3" i="9"/>
  <c r="AD10" i="7"/>
  <c r="AD11" i="7"/>
  <c r="L6" i="9"/>
  <c r="E4" i="9"/>
  <c r="O9" i="9"/>
  <c r="AN8" i="7"/>
  <c r="AD9" i="7"/>
  <c r="F6" i="9"/>
  <c r="AN12" i="7"/>
  <c r="O3" i="9"/>
  <c r="J4" i="9"/>
  <c r="P8" i="9"/>
  <c r="AG33" i="7"/>
  <c r="AR12" i="7"/>
  <c r="O6" i="9"/>
  <c r="K21" i="9"/>
  <c r="AP27" i="7"/>
  <c r="AI25" i="7"/>
  <c r="K23" i="9"/>
  <c r="AI7" i="7"/>
  <c r="AN7" i="7"/>
  <c r="Q2" i="9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AS32" i="7" s="1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E24" i="5" s="1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AS21" i="7" s="1"/>
  <c r="H16" i="9"/>
  <c r="AD21" i="7"/>
  <c r="E15" i="9"/>
  <c r="E16" i="9"/>
  <c r="L14" i="9"/>
  <c r="K15" i="9"/>
  <c r="AQ18" i="7"/>
  <c r="O13" i="9"/>
  <c r="AP19" i="7"/>
  <c r="M14" i="9"/>
  <c r="E14" i="5" s="1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S14" i="7" s="1"/>
  <c r="AR14" i="7"/>
  <c r="K8" i="9"/>
  <c r="AJ13" i="7"/>
  <c r="G8" i="9"/>
  <c r="R9" i="9"/>
  <c r="G9" i="5" s="1"/>
  <c r="AC38" i="7"/>
  <c r="Q8" i="9"/>
  <c r="AQ12" i="7"/>
  <c r="M8" i="9"/>
  <c r="AM13" i="7"/>
  <c r="AG13" i="7"/>
  <c r="AS13" i="7" s="1"/>
  <c r="F7" i="9"/>
  <c r="E8" i="9"/>
  <c r="AD13" i="7"/>
  <c r="AS26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E30" i="9"/>
  <c r="AD35" i="7"/>
  <c r="O26" i="9"/>
  <c r="AP31" i="7"/>
  <c r="AO22" i="7"/>
  <c r="AS22" i="7" s="1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E25" i="5" s="1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12" i="7" l="1"/>
  <c r="E5" i="5"/>
  <c r="AS9" i="7"/>
  <c r="E4" i="5"/>
  <c r="E3" i="5"/>
  <c r="AS8" i="7"/>
  <c r="E2" i="5"/>
  <c r="E8" i="5"/>
  <c r="AS24" i="7"/>
  <c r="AS34" i="7"/>
  <c r="AS35" i="7"/>
  <c r="E6" i="5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<sst xmlns="http://schemas.openxmlformats.org/spreadsheetml/2006/main" count="127" uniqueCount="49">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</sst>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K19" sqref="K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76160</v>
      </c>
      <c r="F2" s="11">
        <v>5.0000000000000001E-3</v>
      </c>
      <c r="G2" s="12">
        <f>Submetering!R2</f>
        <v>652.98322500000006</v>
      </c>
      <c r="H2" s="11">
        <v>0.52800000000000002</v>
      </c>
      <c r="I2" s="12">
        <f>Hotel!B7</f>
        <v>275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75770</v>
      </c>
      <c r="F3" s="11">
        <v>5.0000000000000001E-3</v>
      </c>
      <c r="G3" s="12">
        <f>Submetering!R3</f>
        <v>611.72225600000002</v>
      </c>
      <c r="H3" s="11">
        <v>0.52800000000000002</v>
      </c>
      <c r="I3" s="12">
        <f>Hotel!B8</f>
        <v>109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11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72280</v>
      </c>
      <c r="F4" s="11">
        <v>5.0000000000000001E-3</v>
      </c>
      <c r="G4" s="12">
        <f>Submetering!R4</f>
        <v>752.16096700000003</v>
      </c>
      <c r="H4" s="11">
        <v>0.52800000000000002</v>
      </c>
      <c r="I4" s="12">
        <f>Hotel!B9</f>
        <v>122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76330</v>
      </c>
      <c r="F5" s="11">
        <v>5.0000000000000001E-3</v>
      </c>
      <c r="G5" s="12">
        <f>Submetering!R5</f>
        <v>631.02784700000007</v>
      </c>
      <c r="H5" s="11">
        <v>0.52800000000000002</v>
      </c>
      <c r="I5" s="12">
        <f>Hotel!B10</f>
        <v>122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72930</v>
      </c>
      <c r="F6" s="11">
        <v>5.0000000000000001E-3</v>
      </c>
      <c r="G6" s="12">
        <f>Submetering!R6</f>
        <v>649.19781499999999</v>
      </c>
      <c r="H6" s="11">
        <v>0.52800000000000002</v>
      </c>
      <c r="I6" s="12">
        <f>Hotel!B11</f>
        <v>155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8680</v>
      </c>
      <c r="F2" s="4">
        <f>Hotel!R7</f>
        <v>12120</v>
      </c>
      <c r="G2" s="4">
        <f>Hotel!S7</f>
        <v>90</v>
      </c>
      <c r="H2" s="4">
        <f>Hotel!T7</f>
        <v>1530</v>
      </c>
      <c r="I2" s="4">
        <f>Hotel!U7</f>
        <v>5660</v>
      </c>
      <c r="J2" s="4">
        <f>Hotel!V7</f>
        <v>4410</v>
      </c>
      <c r="K2" s="4">
        <f>Hotel!W7</f>
        <v>3490</v>
      </c>
      <c r="L2" s="4">
        <f>Hotel!X7</f>
        <v>4810</v>
      </c>
      <c r="M2" s="4">
        <f>Hotel!Y7</f>
        <v>6540</v>
      </c>
      <c r="N2" s="4">
        <f>Hotel!Z7</f>
        <v>2960</v>
      </c>
      <c r="O2" s="4">
        <f>Hotel!AA7</f>
        <v>3640</v>
      </c>
      <c r="P2" s="4">
        <f>Hotel!AB7</f>
        <v>8280</v>
      </c>
      <c r="Q2" s="4">
        <f>Hotel!AC7</f>
        <v>13950</v>
      </c>
      <c r="R2" s="4">
        <f>Hotel!AV7*0.00378541*100</f>
        <v>652.98322500000006</v>
      </c>
      <c r="S2" s="4">
        <f>Hotel!B7</f>
        <v>275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7600</v>
      </c>
      <c r="F3" s="4">
        <f>Hotel!R8</f>
        <v>12190</v>
      </c>
      <c r="G3" s="4">
        <f>Hotel!S8</f>
        <v>90</v>
      </c>
      <c r="H3" s="4">
        <f>Hotel!T8</f>
        <v>1580</v>
      </c>
      <c r="I3" s="4">
        <f>Hotel!U8</f>
        <v>5860</v>
      </c>
      <c r="J3" s="4">
        <f>Hotel!V8</f>
        <v>4630</v>
      </c>
      <c r="K3" s="4">
        <f>Hotel!W8</f>
        <v>2930</v>
      </c>
      <c r="L3" s="4">
        <f>Hotel!X8</f>
        <v>5000</v>
      </c>
      <c r="M3" s="4">
        <f>Hotel!Y8</f>
        <v>6350</v>
      </c>
      <c r="N3" s="4">
        <f>Hotel!Z8</f>
        <v>2990</v>
      </c>
      <c r="O3" s="4">
        <f>Hotel!AA8</f>
        <v>3830</v>
      </c>
      <c r="P3" s="4">
        <f>Hotel!AB8</f>
        <v>8420</v>
      </c>
      <c r="Q3" s="4">
        <f>Hotel!AC8</f>
        <v>14300</v>
      </c>
      <c r="R3" s="4">
        <f>Hotel!AV8*0.00378541*100</f>
        <v>611.72225600000002</v>
      </c>
      <c r="S3" s="4">
        <f>Hotel!B8</f>
        <v>109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5140</v>
      </c>
      <c r="F4" s="4">
        <f>Hotel!R9</f>
        <v>13290</v>
      </c>
      <c r="G4" s="4">
        <f>Hotel!S9</f>
        <v>60</v>
      </c>
      <c r="H4" s="4">
        <f>Hotel!T9</f>
        <v>1550</v>
      </c>
      <c r="I4" s="4">
        <f>Hotel!U9</f>
        <v>5300</v>
      </c>
      <c r="J4" s="4">
        <f>Hotel!V9</f>
        <v>4610</v>
      </c>
      <c r="K4" s="4">
        <f>Hotel!W9</f>
        <v>3070</v>
      </c>
      <c r="L4" s="4">
        <f>Hotel!X9</f>
        <v>4850</v>
      </c>
      <c r="M4" s="4">
        <f>Hotel!Y9</f>
        <v>5980</v>
      </c>
      <c r="N4" s="4">
        <f>Hotel!Z9</f>
        <v>2770</v>
      </c>
      <c r="O4" s="4">
        <f>Hotel!AA9</f>
        <v>3460</v>
      </c>
      <c r="P4" s="4">
        <f>Hotel!AB9</f>
        <v>8140</v>
      </c>
      <c r="Q4" s="4">
        <f>Hotel!AC9</f>
        <v>14060</v>
      </c>
      <c r="R4" s="4">
        <f>Hotel!AV9*0.00378541*100</f>
        <v>752.16096700000003</v>
      </c>
      <c r="S4" s="4">
        <f>Hotel!B9</f>
        <v>122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9170</v>
      </c>
      <c r="F5" s="4">
        <f>Hotel!R10</f>
        <v>12140</v>
      </c>
      <c r="G5" s="4">
        <f>Hotel!S10</f>
        <v>110</v>
      </c>
      <c r="H5" s="4">
        <f>Hotel!T10</f>
        <v>1590</v>
      </c>
      <c r="I5" s="4">
        <f>Hotel!U10</f>
        <v>5460</v>
      </c>
      <c r="J5" s="4">
        <f>Hotel!V10</f>
        <v>4730</v>
      </c>
      <c r="K5" s="4">
        <f>Hotel!W10</f>
        <v>3260</v>
      </c>
      <c r="L5" s="4">
        <f>Hotel!X10</f>
        <v>5050</v>
      </c>
      <c r="M5" s="4">
        <f>Hotel!Y10</f>
        <v>6270</v>
      </c>
      <c r="N5" s="4">
        <f>Hotel!Z10</f>
        <v>2770</v>
      </c>
      <c r="O5" s="4">
        <f>Hotel!AA10</f>
        <v>3460</v>
      </c>
      <c r="P5" s="4">
        <f>Hotel!AB10</f>
        <v>8190</v>
      </c>
      <c r="Q5" s="4">
        <f>Hotel!AC10</f>
        <v>14130</v>
      </c>
      <c r="R5" s="4">
        <f>Hotel!AV10*0.00378541*100</f>
        <v>631.02784700000007</v>
      </c>
      <c r="S5" s="4">
        <f>Hotel!B10</f>
        <v>122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9430</v>
      </c>
      <c r="F6" s="4">
        <f>Hotel!R11</f>
        <v>9510</v>
      </c>
      <c r="G6" s="4">
        <f>Hotel!S11</f>
        <v>90</v>
      </c>
      <c r="H6" s="4">
        <f>Hotel!T11</f>
        <v>1530</v>
      </c>
      <c r="I6" s="4">
        <f>Hotel!U11</f>
        <v>5600</v>
      </c>
      <c r="J6" s="4">
        <f>Hotel!V11</f>
        <v>4630</v>
      </c>
      <c r="K6" s="4">
        <f>Hotel!W11</f>
        <v>3360</v>
      </c>
      <c r="L6" s="4">
        <f>Hotel!X11</f>
        <v>4760</v>
      </c>
      <c r="M6" s="4">
        <f>Hotel!Y11</f>
        <v>5860</v>
      </c>
      <c r="N6" s="4">
        <f>Hotel!Z11</f>
        <v>2750</v>
      </c>
      <c r="O6" s="4">
        <f>Hotel!AA11</f>
        <v>3550</v>
      </c>
      <c r="P6" s="4">
        <f>Hotel!AB11</f>
        <v>7990</v>
      </c>
      <c r="Q6" s="4">
        <f>Hotel!AC11</f>
        <v>13870</v>
      </c>
      <c r="R6" s="4">
        <f>Hotel!AV11*0.00378541*100</f>
        <v>649.19781499999999</v>
      </c>
      <c r="S6" s="4">
        <f>Hotel!B11</f>
        <v>155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 t="str">
        <f>Hotel!Q12</f>
        <v>0</v>
      </c>
      <c r="F7" s="4" t="str">
        <f>Hotel!R12</f>
        <v>0</v>
      </c>
      <c r="G7" s="4" t="str">
        <f>Hotel!S12</f>
        <v>0</v>
      </c>
      <c r="H7" s="4" t="str">
        <f>Hotel!T12</f>
        <v>0</v>
      </c>
      <c r="I7" s="4" t="str">
        <f>Hotel!U12</f>
        <v>0</v>
      </c>
      <c r="J7" s="4" t="str">
        <f>Hotel!V12</f>
        <v>0</v>
      </c>
      <c r="K7" s="4" t="str">
        <f>Hotel!W12</f>
        <v>0</v>
      </c>
      <c r="L7" s="4" t="str">
        <f>Hotel!X12</f>
        <v>0</v>
      </c>
      <c r="M7" s="4" t="str">
        <f>Hotel!Y12</f>
        <v>0</v>
      </c>
      <c r="N7" s="4" t="str">
        <f>Hotel!Z12</f>
        <v>0</v>
      </c>
      <c r="O7" s="4" t="str">
        <f>Hotel!AA12</f>
        <v>0</v>
      </c>
      <c r="P7" s="4" t="str">
        <f>Hotel!AB12</f>
        <v>0</v>
      </c>
      <c r="Q7" s="4" t="str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G17" sqref="AG1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43769</v>
      </c>
      <c r="B2" s="40">
        <v>244</v>
      </c>
      <c r="C2" s="24">
        <v>5767340</v>
      </c>
      <c r="D2" s="24">
        <v>11863670</v>
      </c>
      <c r="E2" s="24">
        <v>1415460</v>
      </c>
      <c r="F2" s="24">
        <v>2552110</v>
      </c>
      <c r="G2" s="24">
        <v>7712760</v>
      </c>
      <c r="H2" s="24">
        <v>3599300</v>
      </c>
      <c r="I2" s="24">
        <v>3625060</v>
      </c>
      <c r="J2" s="24">
        <v>4070770</v>
      </c>
      <c r="K2" s="24">
        <v>6662030</v>
      </c>
      <c r="L2" s="24">
        <v>2341280</v>
      </c>
      <c r="M2" s="24">
        <v>6198740</v>
      </c>
      <c r="N2" s="24">
        <v>8377810</v>
      </c>
      <c r="O2" s="24">
        <v>10825280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607474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607474</v>
      </c>
    </row>
    <row r="7" spans="1:49" x14ac:dyDescent="0.25">
      <c r="A7" s="23">
        <v>43770</v>
      </c>
      <c r="B7" s="40">
        <v>275</v>
      </c>
      <c r="C7" s="24">
        <v>5776020</v>
      </c>
      <c r="D7" s="24">
        <v>11875790</v>
      </c>
      <c r="E7" s="24">
        <v>1415550</v>
      </c>
      <c r="F7" s="24">
        <v>2553640</v>
      </c>
      <c r="G7" s="24">
        <v>7718420</v>
      </c>
      <c r="H7" s="24">
        <v>3603710</v>
      </c>
      <c r="I7" s="24">
        <v>3628550</v>
      </c>
      <c r="J7" s="24">
        <v>4075580</v>
      </c>
      <c r="K7" s="24">
        <v>6668570</v>
      </c>
      <c r="L7" s="24">
        <v>2344240</v>
      </c>
      <c r="M7" s="24">
        <v>6202380</v>
      </c>
      <c r="N7" s="24">
        <v>8386090</v>
      </c>
      <c r="O7" s="24">
        <v>10839230</v>
      </c>
      <c r="Q7" s="37">
        <f>IF((C7-C2&lt;0), "0",C7-C2)</f>
        <v>8680</v>
      </c>
      <c r="R7" s="37">
        <f t="shared" ref="R7:AC7" si="0">IF((D7-D2&lt;0), "0",D7-D2)</f>
        <v>12120</v>
      </c>
      <c r="S7" s="37">
        <f>IF((E7-E2&lt;0), "0",E7-E2)</f>
        <v>90</v>
      </c>
      <c r="T7" s="37">
        <f t="shared" si="0"/>
        <v>1530</v>
      </c>
      <c r="U7" s="37">
        <f t="shared" si="0"/>
        <v>5660</v>
      </c>
      <c r="V7" s="37">
        <f t="shared" si="0"/>
        <v>4410</v>
      </c>
      <c r="W7" s="37">
        <f t="shared" si="0"/>
        <v>3490</v>
      </c>
      <c r="X7" s="37">
        <f t="shared" si="0"/>
        <v>4810</v>
      </c>
      <c r="Y7" s="37">
        <f t="shared" si="0"/>
        <v>6540</v>
      </c>
      <c r="Z7" s="37">
        <f t="shared" si="0"/>
        <v>2960</v>
      </c>
      <c r="AA7" s="37">
        <f t="shared" si="0"/>
        <v>3640</v>
      </c>
      <c r="AB7" s="37">
        <f t="shared" si="0"/>
        <v>8280</v>
      </c>
      <c r="AC7" s="37">
        <f t="shared" si="0"/>
        <v>13950</v>
      </c>
      <c r="AD7" s="34">
        <f>SUM(Q7:AC7)</f>
        <v>76160</v>
      </c>
      <c r="AF7" s="20">
        <f t="shared" ref="AF7:AF36" si="1">Q7*$D$39</f>
        <v>43.4</v>
      </c>
      <c r="AG7" s="20">
        <f t="shared" ref="AG7:AG36" si="2">R7*$D$39</f>
        <v>60.6</v>
      </c>
      <c r="AH7" s="20">
        <f t="shared" ref="AH7:AH36" si="3">S7*$D$39</f>
        <v>0.45</v>
      </c>
      <c r="AI7" s="20">
        <f t="shared" ref="AI7:AI36" si="4">T7*$D$39</f>
        <v>7.65</v>
      </c>
      <c r="AJ7" s="20">
        <f t="shared" ref="AJ7:AJ36" si="5">U7*$D$39</f>
        <v>28.3</v>
      </c>
      <c r="AK7" s="20">
        <f t="shared" ref="AK7:AK36" si="6">V7*$D$39</f>
        <v>22.05</v>
      </c>
      <c r="AL7" s="20">
        <f t="shared" ref="AL7:AL36" si="7">W7*$D$39</f>
        <v>17.45</v>
      </c>
      <c r="AM7" s="20">
        <f t="shared" ref="AM7:AM36" si="8">X7*$D$39</f>
        <v>24.05</v>
      </c>
      <c r="AN7" s="20">
        <f t="shared" ref="AN7:AN36" si="9">Y7*$D$39</f>
        <v>32.700000000000003</v>
      </c>
      <c r="AO7" s="20">
        <f t="shared" ref="AO7:AO36" si="10">Z7*$D$39</f>
        <v>14.8</v>
      </c>
      <c r="AP7" s="20">
        <f t="shared" ref="AP7:AP36" si="11">AA7*$D$39</f>
        <v>18.2</v>
      </c>
      <c r="AQ7" s="20">
        <f t="shared" ref="AQ7:AQ36" si="12">AB7*$D$39</f>
        <v>41.4</v>
      </c>
      <c r="AR7" s="20">
        <f t="shared" ref="AR7:AR36" si="13">AC7*$D$39</f>
        <v>69.75</v>
      </c>
      <c r="AS7" s="35">
        <f>SUM(AF7:AR7)</f>
        <v>380.8</v>
      </c>
      <c r="AU7" s="47">
        <v>609199</v>
      </c>
      <c r="AV7" s="37">
        <f>IF((AU7-AU6&lt;0),"0",AU7-AU6)</f>
        <v>1725</v>
      </c>
      <c r="AW7" s="50">
        <v>0</v>
      </c>
    </row>
    <row r="8" spans="1:49" x14ac:dyDescent="0.25">
      <c r="A8" s="23">
        <v>43771</v>
      </c>
      <c r="B8" s="40">
        <v>109</v>
      </c>
      <c r="C8" s="24">
        <v>5783620</v>
      </c>
      <c r="D8" s="24">
        <v>11887980</v>
      </c>
      <c r="E8" s="24">
        <v>1415640</v>
      </c>
      <c r="F8" s="24">
        <v>2555220</v>
      </c>
      <c r="G8" s="24">
        <v>7724280</v>
      </c>
      <c r="H8" s="24">
        <v>3608340</v>
      </c>
      <c r="I8" s="24">
        <v>3631480</v>
      </c>
      <c r="J8" s="24">
        <v>4080580</v>
      </c>
      <c r="K8" s="24">
        <v>6674920</v>
      </c>
      <c r="L8" s="24">
        <v>2347230</v>
      </c>
      <c r="M8" s="24">
        <v>6206210</v>
      </c>
      <c r="N8" s="24">
        <v>8394510</v>
      </c>
      <c r="O8" s="24">
        <v>10853530</v>
      </c>
      <c r="Q8" s="37">
        <f>IF((C8-C7&lt;0), "0",C8-C7)</f>
        <v>7600</v>
      </c>
      <c r="R8" s="37">
        <f t="shared" ref="R8:AC8" si="14">IF((D8-D7&lt;0), "0",D8-D7)</f>
        <v>12190</v>
      </c>
      <c r="S8" s="37">
        <f t="shared" ref="S8:S35" si="15">IF((E8-E7&lt;0), "0",E8-E7)</f>
        <v>90</v>
      </c>
      <c r="T8" s="37">
        <f t="shared" si="14"/>
        <v>1580</v>
      </c>
      <c r="U8" s="37">
        <f t="shared" si="14"/>
        <v>5860</v>
      </c>
      <c r="V8" s="37">
        <f t="shared" si="14"/>
        <v>4630</v>
      </c>
      <c r="W8" s="37">
        <f t="shared" si="14"/>
        <v>2930</v>
      </c>
      <c r="X8" s="37">
        <f t="shared" si="14"/>
        <v>5000</v>
      </c>
      <c r="Y8" s="37">
        <f t="shared" si="14"/>
        <v>6350</v>
      </c>
      <c r="Z8" s="37">
        <f t="shared" si="14"/>
        <v>2990</v>
      </c>
      <c r="AA8" s="37">
        <f t="shared" si="14"/>
        <v>3830</v>
      </c>
      <c r="AB8" s="37">
        <f t="shared" si="14"/>
        <v>8420</v>
      </c>
      <c r="AC8" s="37">
        <f t="shared" si="14"/>
        <v>14300</v>
      </c>
      <c r="AD8" s="35">
        <f>SUM(Q8:AC8)</f>
        <v>75770</v>
      </c>
      <c r="AF8" s="20">
        <f t="shared" si="1"/>
        <v>38</v>
      </c>
      <c r="AG8" s="20">
        <f t="shared" si="2"/>
        <v>60.95</v>
      </c>
      <c r="AH8" s="20">
        <f t="shared" si="3"/>
        <v>0.45</v>
      </c>
      <c r="AI8" s="20">
        <f t="shared" si="4"/>
        <v>7.9</v>
      </c>
      <c r="AJ8" s="20">
        <f t="shared" si="5"/>
        <v>29.3</v>
      </c>
      <c r="AK8" s="20">
        <f t="shared" si="6"/>
        <v>23.150000000000002</v>
      </c>
      <c r="AL8" s="20">
        <f t="shared" si="7"/>
        <v>14.65</v>
      </c>
      <c r="AM8" s="20">
        <f t="shared" si="8"/>
        <v>25</v>
      </c>
      <c r="AN8" s="20">
        <f t="shared" si="9"/>
        <v>31.75</v>
      </c>
      <c r="AO8" s="20">
        <f t="shared" si="10"/>
        <v>14.950000000000001</v>
      </c>
      <c r="AP8" s="20">
        <f t="shared" si="11"/>
        <v>19.150000000000002</v>
      </c>
      <c r="AQ8" s="20">
        <f t="shared" si="12"/>
        <v>42.1</v>
      </c>
      <c r="AR8" s="20">
        <f t="shared" si="13"/>
        <v>71.5</v>
      </c>
      <c r="AS8" s="35">
        <f>SUM(AF8:AR8)</f>
        <v>378.85</v>
      </c>
      <c r="AU8" s="47">
        <v>610815</v>
      </c>
      <c r="AV8" s="37">
        <f>IF((AU8-AU7&lt;0),"0",AU8-AU7)</f>
        <v>1616</v>
      </c>
      <c r="AW8" s="35">
        <v>0</v>
      </c>
    </row>
    <row r="9" spans="1:49" x14ac:dyDescent="0.25">
      <c r="A9" s="23">
        <v>43772</v>
      </c>
      <c r="B9" s="40">
        <v>122</v>
      </c>
      <c r="C9" s="24">
        <v>5788760</v>
      </c>
      <c r="D9" s="24">
        <v>11901270</v>
      </c>
      <c r="E9" s="24">
        <v>1415700</v>
      </c>
      <c r="F9" s="24">
        <v>2556770</v>
      </c>
      <c r="G9" s="24">
        <v>7729580</v>
      </c>
      <c r="H9" s="24">
        <v>3612950</v>
      </c>
      <c r="I9" s="24">
        <v>3634550</v>
      </c>
      <c r="J9" s="24">
        <v>4085430</v>
      </c>
      <c r="K9" s="24">
        <v>6680900</v>
      </c>
      <c r="L9" s="24">
        <v>2350000</v>
      </c>
      <c r="M9" s="24">
        <v>6209670</v>
      </c>
      <c r="N9" s="24">
        <v>8402650</v>
      </c>
      <c r="O9" s="24">
        <v>10867590</v>
      </c>
      <c r="Q9" s="37">
        <f t="shared" ref="Q9:Q35" si="16">IF((C9-C8&lt;0), "0",C9-C8)</f>
        <v>5140</v>
      </c>
      <c r="R9" s="37">
        <f t="shared" ref="R9:R35" si="17">IF((D9-D8&lt;0), "0",D9-D8)</f>
        <v>13290</v>
      </c>
      <c r="S9" s="37">
        <f t="shared" si="15"/>
        <v>60</v>
      </c>
      <c r="T9" s="37">
        <f t="shared" ref="T9:T35" si="18">IF((F9-F8&lt;0), "0",F9-F8)</f>
        <v>1550</v>
      </c>
      <c r="U9" s="37">
        <f t="shared" ref="U9:U35" si="19">IF((G9-G8&lt;0), "0",G9-G8)</f>
        <v>5300</v>
      </c>
      <c r="V9" s="37">
        <f t="shared" ref="V9:V35" si="20">IF((H9-H8&lt;0), "0",H9-H8)</f>
        <v>4610</v>
      </c>
      <c r="W9" s="37">
        <f t="shared" ref="W9:W35" si="21">IF((I9-I8&lt;0), "0",I9-I8)</f>
        <v>3070</v>
      </c>
      <c r="X9" s="37">
        <f t="shared" ref="X9:X35" si="22">IF((J9-J8&lt;0), "0",J9-J8)</f>
        <v>4850</v>
      </c>
      <c r="Y9" s="37">
        <f t="shared" ref="Y9:Y35" si="23">IF((K9-K8&lt;0), "0",K9-K8)</f>
        <v>5980</v>
      </c>
      <c r="Z9" s="37">
        <f t="shared" ref="Z9:Z35" si="24">IF((L9-L8&lt;0), "0",L9-L8)</f>
        <v>2770</v>
      </c>
      <c r="AA9" s="37">
        <f t="shared" ref="AA9:AA35" si="25">IF((M9-M8&lt;0), "0",M9-M8)</f>
        <v>3460</v>
      </c>
      <c r="AB9" s="37">
        <f t="shared" ref="AB9:AB35" si="26">IF((N9-N8&lt;0), "0",N9-N8)</f>
        <v>8140</v>
      </c>
      <c r="AC9" s="37">
        <f t="shared" ref="AC9:AC35" si="27">IF((O9-O8&lt;0), "0",O9-O8)</f>
        <v>14060</v>
      </c>
      <c r="AD9" s="35">
        <f t="shared" ref="AD9:AD34" si="28">SUM(Q9:AC9)</f>
        <v>72280</v>
      </c>
      <c r="AF9" s="20">
        <f t="shared" si="1"/>
        <v>25.7</v>
      </c>
      <c r="AG9" s="20">
        <f t="shared" si="2"/>
        <v>66.45</v>
      </c>
      <c r="AH9" s="20">
        <f t="shared" si="3"/>
        <v>0.3</v>
      </c>
      <c r="AI9" s="20">
        <f t="shared" si="4"/>
        <v>7.75</v>
      </c>
      <c r="AJ9" s="20">
        <f t="shared" si="5"/>
        <v>26.5</v>
      </c>
      <c r="AK9" s="20">
        <f t="shared" si="6"/>
        <v>23.05</v>
      </c>
      <c r="AL9" s="20">
        <f t="shared" si="7"/>
        <v>15.35</v>
      </c>
      <c r="AM9" s="20">
        <f t="shared" si="8"/>
        <v>24.25</v>
      </c>
      <c r="AN9" s="20">
        <f t="shared" si="9"/>
        <v>29.900000000000002</v>
      </c>
      <c r="AO9" s="20">
        <f t="shared" si="10"/>
        <v>13.85</v>
      </c>
      <c r="AP9" s="20">
        <f t="shared" si="11"/>
        <v>17.3</v>
      </c>
      <c r="AQ9" s="20">
        <f t="shared" si="12"/>
        <v>40.700000000000003</v>
      </c>
      <c r="AR9" s="20">
        <f t="shared" si="13"/>
        <v>70.3</v>
      </c>
      <c r="AS9" s="35">
        <f t="shared" ref="AS9:AS34" si="29">SUM(AF9:AR9)</f>
        <v>361.40000000000003</v>
      </c>
      <c r="AU9" s="47">
        <v>612802</v>
      </c>
      <c r="AV9" s="37">
        <f>IF((AU9-AU8&lt;0),"0",AU9-AU8)</f>
        <v>1987</v>
      </c>
      <c r="AW9" s="35">
        <f t="shared" ref="AW9:AW36" si="30">AV9*$D$40</f>
        <v>3.9740000000000002</v>
      </c>
    </row>
    <row r="10" spans="1:49" x14ac:dyDescent="0.25">
      <c r="A10" s="23">
        <v>43773</v>
      </c>
      <c r="B10" s="40">
        <v>122</v>
      </c>
      <c r="C10" s="24">
        <v>5797930</v>
      </c>
      <c r="D10" s="24">
        <v>11913410</v>
      </c>
      <c r="E10" s="24">
        <v>1415810</v>
      </c>
      <c r="F10" s="24">
        <v>2558360</v>
      </c>
      <c r="G10" s="24">
        <v>7735040</v>
      </c>
      <c r="H10" s="24">
        <v>3617680</v>
      </c>
      <c r="I10" s="24">
        <v>3637810</v>
      </c>
      <c r="J10" s="24">
        <v>4090480</v>
      </c>
      <c r="K10" s="24">
        <v>6687170</v>
      </c>
      <c r="L10" s="24">
        <v>2352770</v>
      </c>
      <c r="M10" s="24">
        <v>6213130</v>
      </c>
      <c r="N10" s="24">
        <v>8410840</v>
      </c>
      <c r="O10" s="24">
        <v>10881720</v>
      </c>
      <c r="Q10" s="37">
        <f t="shared" si="16"/>
        <v>9170</v>
      </c>
      <c r="R10" s="37">
        <f t="shared" si="17"/>
        <v>12140</v>
      </c>
      <c r="S10" s="37">
        <f t="shared" si="15"/>
        <v>110</v>
      </c>
      <c r="T10" s="37">
        <f t="shared" si="18"/>
        <v>1590</v>
      </c>
      <c r="U10" s="37">
        <f t="shared" si="19"/>
        <v>5460</v>
      </c>
      <c r="V10" s="37">
        <f t="shared" si="20"/>
        <v>4730</v>
      </c>
      <c r="W10" s="37">
        <f t="shared" si="21"/>
        <v>3260</v>
      </c>
      <c r="X10" s="37">
        <f t="shared" si="22"/>
        <v>5050</v>
      </c>
      <c r="Y10" s="37">
        <f t="shared" si="23"/>
        <v>6270</v>
      </c>
      <c r="Z10" s="37">
        <f t="shared" si="24"/>
        <v>2770</v>
      </c>
      <c r="AA10" s="37">
        <f t="shared" si="25"/>
        <v>3460</v>
      </c>
      <c r="AB10" s="37">
        <f t="shared" si="26"/>
        <v>8190</v>
      </c>
      <c r="AC10" s="37">
        <f t="shared" si="27"/>
        <v>14130</v>
      </c>
      <c r="AD10" s="35">
        <f t="shared" si="28"/>
        <v>76330</v>
      </c>
      <c r="AF10" s="20">
        <f t="shared" si="1"/>
        <v>45.85</v>
      </c>
      <c r="AG10" s="20">
        <f t="shared" si="2"/>
        <v>60.7</v>
      </c>
      <c r="AH10" s="20">
        <f t="shared" si="3"/>
        <v>0.55000000000000004</v>
      </c>
      <c r="AI10" s="20">
        <f t="shared" si="4"/>
        <v>7.95</v>
      </c>
      <c r="AJ10" s="20">
        <f t="shared" si="5"/>
        <v>27.3</v>
      </c>
      <c r="AK10" s="20">
        <f t="shared" si="6"/>
        <v>23.650000000000002</v>
      </c>
      <c r="AL10" s="20">
        <f t="shared" si="7"/>
        <v>16.3</v>
      </c>
      <c r="AM10" s="20">
        <f t="shared" si="8"/>
        <v>25.25</v>
      </c>
      <c r="AN10" s="20">
        <f t="shared" si="9"/>
        <v>31.35</v>
      </c>
      <c r="AO10" s="20">
        <f t="shared" si="10"/>
        <v>13.85</v>
      </c>
      <c r="AP10" s="20">
        <f t="shared" si="11"/>
        <v>17.3</v>
      </c>
      <c r="AQ10" s="20">
        <f t="shared" si="12"/>
        <v>40.950000000000003</v>
      </c>
      <c r="AR10" s="20">
        <f t="shared" si="13"/>
        <v>70.650000000000006</v>
      </c>
      <c r="AS10" s="35">
        <f t="shared" si="29"/>
        <v>381.65</v>
      </c>
      <c r="AU10" s="47">
        <v>614469</v>
      </c>
      <c r="AV10" s="37">
        <f t="shared" ref="AV10:AV26" si="31">IF((AU10-AU9&lt;0),"0",AU10-AU9)</f>
        <v>1667</v>
      </c>
      <c r="AW10" s="35">
        <f t="shared" si="30"/>
        <v>3.3340000000000001</v>
      </c>
    </row>
    <row r="11" spans="1:49" x14ac:dyDescent="0.25">
      <c r="A11" s="23">
        <v>43774</v>
      </c>
      <c r="B11" s="40">
        <v>155</v>
      </c>
      <c r="C11" s="24">
        <v>5807360</v>
      </c>
      <c r="D11" s="24">
        <v>11922920</v>
      </c>
      <c r="E11" s="24">
        <v>1415900</v>
      </c>
      <c r="F11" s="24">
        <v>2559890</v>
      </c>
      <c r="G11" s="24">
        <v>7740640</v>
      </c>
      <c r="H11" s="24">
        <v>3622310</v>
      </c>
      <c r="I11" s="24">
        <v>3641170</v>
      </c>
      <c r="J11" s="24">
        <v>4095240</v>
      </c>
      <c r="K11" s="24">
        <v>6693030</v>
      </c>
      <c r="L11" s="24">
        <v>2355520</v>
      </c>
      <c r="M11" s="24">
        <v>6216680</v>
      </c>
      <c r="N11" s="24">
        <v>8418830</v>
      </c>
      <c r="O11" s="24">
        <v>10895590</v>
      </c>
      <c r="Q11" s="37">
        <f t="shared" si="16"/>
        <v>9430</v>
      </c>
      <c r="R11" s="37">
        <f t="shared" si="17"/>
        <v>9510</v>
      </c>
      <c r="S11" s="37">
        <f t="shared" si="15"/>
        <v>90</v>
      </c>
      <c r="T11" s="37">
        <f t="shared" si="18"/>
        <v>1530</v>
      </c>
      <c r="U11" s="37">
        <f t="shared" si="19"/>
        <v>5600</v>
      </c>
      <c r="V11" s="37">
        <f t="shared" si="20"/>
        <v>4630</v>
      </c>
      <c r="W11" s="37">
        <f t="shared" si="21"/>
        <v>3360</v>
      </c>
      <c r="X11" s="37">
        <f t="shared" si="22"/>
        <v>4760</v>
      </c>
      <c r="Y11" s="37">
        <f t="shared" si="23"/>
        <v>5860</v>
      </c>
      <c r="Z11" s="37">
        <f t="shared" si="24"/>
        <v>2750</v>
      </c>
      <c r="AA11" s="37">
        <f t="shared" si="25"/>
        <v>3550</v>
      </c>
      <c r="AB11" s="37">
        <f t="shared" si="26"/>
        <v>7990</v>
      </c>
      <c r="AC11" s="37">
        <f t="shared" si="27"/>
        <v>13870</v>
      </c>
      <c r="AD11" s="35">
        <f t="shared" si="28"/>
        <v>72930</v>
      </c>
      <c r="AF11" s="20">
        <f t="shared" si="1"/>
        <v>47.15</v>
      </c>
      <c r="AG11" s="20">
        <f t="shared" si="2"/>
        <v>47.550000000000004</v>
      </c>
      <c r="AH11" s="20">
        <f t="shared" si="3"/>
        <v>0.45</v>
      </c>
      <c r="AI11" s="20">
        <f t="shared" si="4"/>
        <v>7.65</v>
      </c>
      <c r="AJ11" s="20">
        <f t="shared" si="5"/>
        <v>28</v>
      </c>
      <c r="AK11" s="20">
        <f t="shared" si="6"/>
        <v>23.150000000000002</v>
      </c>
      <c r="AL11" s="20">
        <f t="shared" si="7"/>
        <v>16.8</v>
      </c>
      <c r="AM11" s="20">
        <f t="shared" si="8"/>
        <v>23.8</v>
      </c>
      <c r="AN11" s="20">
        <f t="shared" si="9"/>
        <v>29.3</v>
      </c>
      <c r="AO11" s="20">
        <f t="shared" si="10"/>
        <v>13.75</v>
      </c>
      <c r="AP11" s="20">
        <f t="shared" si="11"/>
        <v>17.75</v>
      </c>
      <c r="AQ11" s="20">
        <f t="shared" si="12"/>
        <v>39.950000000000003</v>
      </c>
      <c r="AR11" s="20">
        <f t="shared" si="13"/>
        <v>69.350000000000009</v>
      </c>
      <c r="AS11" s="35">
        <f t="shared" si="29"/>
        <v>364.65000000000009</v>
      </c>
      <c r="AU11" s="47">
        <v>616184</v>
      </c>
      <c r="AV11" s="37">
        <f t="shared" si="31"/>
        <v>1715</v>
      </c>
      <c r="AW11" s="35">
        <f t="shared" si="30"/>
        <v>3.43</v>
      </c>
    </row>
    <row r="12" spans="1:49" x14ac:dyDescent="0.25">
      <c r="A12" s="23">
        <v>43775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 t="str">
        <f t="shared" si="16"/>
        <v>0</v>
      </c>
      <c r="R12" s="37" t="str">
        <f t="shared" si="17"/>
        <v>0</v>
      </c>
      <c r="S12" s="37" t="str">
        <f t="shared" si="15"/>
        <v>0</v>
      </c>
      <c r="T12" s="37" t="str">
        <f t="shared" si="18"/>
        <v>0</v>
      </c>
      <c r="U12" s="37" t="str">
        <f t="shared" si="19"/>
        <v>0</v>
      </c>
      <c r="V12" s="37" t="str">
        <f t="shared" si="20"/>
        <v>0</v>
      </c>
      <c r="W12" s="37" t="str">
        <f t="shared" si="21"/>
        <v>0</v>
      </c>
      <c r="X12" s="37" t="str">
        <f t="shared" si="22"/>
        <v>0</v>
      </c>
      <c r="Y12" s="37" t="str">
        <f t="shared" si="23"/>
        <v>0</v>
      </c>
      <c r="Z12" s="37" t="str">
        <f t="shared" si="24"/>
        <v>0</v>
      </c>
      <c r="AA12" s="37" t="str">
        <f t="shared" si="25"/>
        <v>0</v>
      </c>
      <c r="AB12" s="37" t="str">
        <f t="shared" si="26"/>
        <v>0</v>
      </c>
      <c r="AC12" s="37" t="str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 t="str">
        <f t="shared" si="31"/>
        <v>0</v>
      </c>
      <c r="AW12" s="35">
        <f t="shared" si="30"/>
        <v>0</v>
      </c>
    </row>
    <row r="13" spans="1:49" x14ac:dyDescent="0.25">
      <c r="A13" s="23">
        <v>43776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18"/>
        <v>0</v>
      </c>
      <c r="U13" s="37">
        <f t="shared" si="19"/>
        <v>0</v>
      </c>
      <c r="V13" s="37">
        <f t="shared" si="20"/>
        <v>0</v>
      </c>
      <c r="W13" s="37">
        <f t="shared" si="21"/>
        <v>0</v>
      </c>
      <c r="X13" s="37">
        <f t="shared" si="22"/>
        <v>0</v>
      </c>
      <c r="Y13" s="37">
        <f t="shared" si="23"/>
        <v>0</v>
      </c>
      <c r="Z13" s="37">
        <f t="shared" si="24"/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43777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18"/>
        <v>0</v>
      </c>
      <c r="U14" s="37">
        <f t="shared" si="19"/>
        <v>0</v>
      </c>
      <c r="V14" s="37">
        <f t="shared" si="20"/>
        <v>0</v>
      </c>
      <c r="W14" s="37">
        <f t="shared" si="21"/>
        <v>0</v>
      </c>
      <c r="X14" s="37">
        <f t="shared" si="22"/>
        <v>0</v>
      </c>
      <c r="Y14" s="37">
        <f t="shared" si="23"/>
        <v>0</v>
      </c>
      <c r="Z14" s="37">
        <f t="shared" si="24"/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43778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43779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43780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43781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43782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43783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43784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43785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43786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43787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43788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2">IF((C25-C24&lt;0), "0",C25-C24)</f>
        <v>0</v>
      </c>
      <c r="R25" s="37">
        <f t="shared" si="32"/>
        <v>0</v>
      </c>
      <c r="S25" s="37">
        <f t="shared" si="32"/>
        <v>0</v>
      </c>
      <c r="T25" s="37">
        <f t="shared" si="32"/>
        <v>0</v>
      </c>
      <c r="U25" s="37">
        <f t="shared" si="32"/>
        <v>0</v>
      </c>
      <c r="V25" s="37">
        <f t="shared" si="32"/>
        <v>0</v>
      </c>
      <c r="W25" s="37">
        <f t="shared" si="32"/>
        <v>0</v>
      </c>
      <c r="X25" s="37">
        <f t="shared" si="32"/>
        <v>0</v>
      </c>
      <c r="Y25" s="37">
        <f t="shared" si="32"/>
        <v>0</v>
      </c>
      <c r="Z25" s="37">
        <f t="shared" si="32"/>
        <v>0</v>
      </c>
      <c r="AA25" s="37">
        <f t="shared" si="32"/>
        <v>0</v>
      </c>
      <c r="AB25" s="37">
        <f t="shared" si="32"/>
        <v>0</v>
      </c>
      <c r="AC25" s="37">
        <f t="shared" si="32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43789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2"/>
        <v>0</v>
      </c>
      <c r="R26" s="37">
        <f t="shared" si="32"/>
        <v>0</v>
      </c>
      <c r="S26" s="37">
        <f t="shared" si="32"/>
        <v>0</v>
      </c>
      <c r="T26" s="37">
        <f t="shared" si="32"/>
        <v>0</v>
      </c>
      <c r="U26" s="37">
        <f t="shared" si="32"/>
        <v>0</v>
      </c>
      <c r="V26" s="37">
        <f t="shared" si="32"/>
        <v>0</v>
      </c>
      <c r="W26" s="37">
        <f t="shared" si="32"/>
        <v>0</v>
      </c>
      <c r="X26" s="37">
        <f t="shared" si="32"/>
        <v>0</v>
      </c>
      <c r="Y26" s="37">
        <f t="shared" si="32"/>
        <v>0</v>
      </c>
      <c r="Z26" s="37">
        <f t="shared" si="32"/>
        <v>0</v>
      </c>
      <c r="AA26" s="37">
        <f t="shared" si="32"/>
        <v>0</v>
      </c>
      <c r="AB26" s="37">
        <f t="shared" si="32"/>
        <v>0</v>
      </c>
      <c r="AC26" s="37">
        <f t="shared" si="32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43790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2"/>
        <v>0</v>
      </c>
      <c r="R27" s="37">
        <f t="shared" si="32"/>
        <v>0</v>
      </c>
      <c r="S27" s="37">
        <f t="shared" si="32"/>
        <v>0</v>
      </c>
      <c r="T27" s="37">
        <f t="shared" si="32"/>
        <v>0</v>
      </c>
      <c r="U27" s="37">
        <f t="shared" si="32"/>
        <v>0</v>
      </c>
      <c r="V27" s="37">
        <f t="shared" si="32"/>
        <v>0</v>
      </c>
      <c r="W27" s="37">
        <f t="shared" si="32"/>
        <v>0</v>
      </c>
      <c r="X27" s="37">
        <f t="shared" si="32"/>
        <v>0</v>
      </c>
      <c r="Y27" s="37">
        <f t="shared" si="32"/>
        <v>0</v>
      </c>
      <c r="Z27" s="37">
        <f t="shared" si="32"/>
        <v>0</v>
      </c>
      <c r="AA27" s="37">
        <f t="shared" si="32"/>
        <v>0</v>
      </c>
      <c r="AB27" s="37">
        <f t="shared" si="32"/>
        <v>0</v>
      </c>
      <c r="AC27" s="37">
        <f t="shared" si="32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43791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43792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43793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43794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43795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43796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43797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43798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43799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3"/>
        <v>0</v>
      </c>
      <c r="AW36" s="35">
        <f t="shared" si="30"/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U37" s="47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40020</v>
      </c>
      <c r="R38" s="30">
        <f t="shared" si="35"/>
        <v>59250</v>
      </c>
      <c r="S38" s="30">
        <f t="shared" si="35"/>
        <v>440</v>
      </c>
      <c r="T38" s="30">
        <f t="shared" si="35"/>
        <v>7780</v>
      </c>
      <c r="U38" s="30">
        <f t="shared" si="35"/>
        <v>27880</v>
      </c>
      <c r="V38" s="30">
        <f t="shared" si="35"/>
        <v>23010</v>
      </c>
      <c r="W38" s="30">
        <f t="shared" si="35"/>
        <v>16110</v>
      </c>
      <c r="X38" s="30">
        <f t="shared" si="35"/>
        <v>24470</v>
      </c>
      <c r="Y38" s="30">
        <f t="shared" si="35"/>
        <v>31000</v>
      </c>
      <c r="Z38" s="30">
        <f t="shared" si="35"/>
        <v>14240</v>
      </c>
      <c r="AA38" s="30">
        <f t="shared" si="35"/>
        <v>17940</v>
      </c>
      <c r="AB38" s="30">
        <f t="shared" si="35"/>
        <v>41020</v>
      </c>
      <c r="AC38" s="30">
        <f t="shared" si="35"/>
        <v>70310</v>
      </c>
      <c r="AD38" s="35">
        <f t="shared" si="35"/>
        <v>373470</v>
      </c>
      <c r="AF38" s="35">
        <f t="shared" ref="AF38:AS38" si="36">SUM(AF7:AF34)</f>
        <v>200.10000000000002</v>
      </c>
      <c r="AG38" s="35">
        <f t="shared" si="36"/>
        <v>296.25</v>
      </c>
      <c r="AH38" s="35">
        <f t="shared" si="36"/>
        <v>2.2000000000000002</v>
      </c>
      <c r="AI38" s="35">
        <f t="shared" si="36"/>
        <v>38.9</v>
      </c>
      <c r="AJ38" s="35">
        <f t="shared" si="36"/>
        <v>139.39999999999998</v>
      </c>
      <c r="AK38" s="35">
        <f t="shared" si="36"/>
        <v>115.05000000000001</v>
      </c>
      <c r="AL38" s="35">
        <f t="shared" si="36"/>
        <v>80.55</v>
      </c>
      <c r="AM38" s="35">
        <f t="shared" si="36"/>
        <v>122.35</v>
      </c>
      <c r="AN38" s="35">
        <f t="shared" si="36"/>
        <v>155.00000000000003</v>
      </c>
      <c r="AO38" s="35">
        <f t="shared" si="36"/>
        <v>71.2</v>
      </c>
      <c r="AP38" s="35">
        <f t="shared" si="36"/>
        <v>89.7</v>
      </c>
      <c r="AQ38" s="35">
        <f t="shared" si="36"/>
        <v>205.10000000000002</v>
      </c>
      <c r="AR38" s="35">
        <f t="shared" si="36"/>
        <v>351.55000000000007</v>
      </c>
      <c r="AS38" s="35">
        <f t="shared" si="36"/>
        <v>1867.3500000000004</v>
      </c>
      <c r="AU38" s="48"/>
      <c r="AV38" s="35">
        <f>SUM(AV7:AV34)</f>
        <v>8710</v>
      </c>
      <c r="AW38" s="35">
        <f>SUM(AW7:AW34)</f>
        <v>10.738</v>
      </c>
    </row>
    <row r="39" spans="1:49" x14ac:dyDescent="0.25">
      <c r="D39">
        <v>5.0000000000000001E-3</v>
      </c>
      <c r="AV39" s="36">
        <f>AV38*0.00378541*1000</f>
        <v>32970.9211</v>
      </c>
    </row>
    <row r="40" spans="1:49" x14ac:dyDescent="0.25">
      <c r="D40">
        <v>2E-3</v>
      </c>
      <c r="AV40">
        <f>AV39/31</f>
        <v>1063.5780999999999</v>
      </c>
    </row>
    <row r="41" spans="1:49" x14ac:dyDescent="0.25">
      <c r="AV41">
        <f>AV38*0.00378541</f>
        <v>32.970921099999998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2019-11-06T11:45:37Z</dcterms:modified>
</cp:coreProperties>
</file>