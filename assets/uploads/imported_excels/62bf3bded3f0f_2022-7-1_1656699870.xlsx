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2" i="4" l="1"/>
  <c r="P32" i="4"/>
  <c r="O32" i="4"/>
  <c r="N32" i="4"/>
  <c r="M32" i="4"/>
  <c r="L32" i="4"/>
  <c r="K32" i="4"/>
  <c r="J32" i="4"/>
  <c r="I32" i="4"/>
  <c r="H32" i="4"/>
  <c r="G32" i="4"/>
  <c r="F32" i="4"/>
  <c r="E32" i="4"/>
  <c r="Q3" i="4" l="1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G31" i="5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4" i="5" l="1"/>
  <c r="I7" i="5"/>
  <c r="I15" i="5"/>
  <c r="I23" i="5"/>
  <c r="K9" i="5"/>
  <c r="K17" i="5"/>
  <c r="K25" i="5"/>
  <c r="K2" i="5"/>
  <c r="E5" i="5"/>
  <c r="E21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<sst xmlns="http://schemas.openxmlformats.org/spreadsheetml/2006/main" count="510" uniqueCount="375">
  <si>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</si>
  <si>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</si>
  <si>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</si>
  <si>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</si>
  <si>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</si>
  <si>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</si>
  <si>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</si>
  <si>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</si>
  <si>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</si>
  <si>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</si>
  <si>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</si>
  <si>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</si>
  <si>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</si>
  <si>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</si>
  <si>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</si>
  <si>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</si>
  <si>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</si>
  <si>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</si>
  <si>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</si>
  <si>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</si>
  <si>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</si>
  <si>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</si>
  <si>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</si>
  <si>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</si>
  <si>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</si>
  <si>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</si>
  <si>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</si>
  <si>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</si>
  <si>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</si>
  <si>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</si>
  <si>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</si>
  <si>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93934</t>
  </si>
  <si>
    <t>124730</t>
  </si>
  <si>
    <t>56129</t>
  </si>
  <si>
    <t>360343</t>
  </si>
  <si>
    <t>49214</t>
  </si>
  <si>
    <t>0137</t>
  </si>
  <si>
    <t>89533</t>
  </si>
  <si>
    <t>142222</t>
  </si>
  <si>
    <t>391082</t>
  </si>
  <si>
    <t>70017.34</t>
  </si>
  <si>
    <t>8641</t>
  </si>
  <si>
    <t>139864.44</t>
  </si>
  <si>
    <t>48922.43</t>
  </si>
  <si>
    <t>93951</t>
  </si>
  <si>
    <t>93967</t>
  </si>
  <si>
    <t>93984</t>
  </si>
  <si>
    <t>94003</t>
  </si>
  <si>
    <t>94022</t>
  </si>
  <si>
    <t>124755</t>
  </si>
  <si>
    <t>124780</t>
  </si>
  <si>
    <t>124806</t>
  </si>
  <si>
    <t>124831</t>
  </si>
  <si>
    <t>124858</t>
  </si>
  <si>
    <t>56137</t>
  </si>
  <si>
    <t>56145</t>
  </si>
  <si>
    <t>56154</t>
  </si>
  <si>
    <t>56163</t>
  </si>
  <si>
    <t>56172</t>
  </si>
  <si>
    <t>360390</t>
  </si>
  <si>
    <t>360436</t>
  </si>
  <si>
    <t>360483</t>
  </si>
  <si>
    <t>360528</t>
  </si>
  <si>
    <t>360575</t>
  </si>
  <si>
    <t>49226</t>
  </si>
  <si>
    <t>49237</t>
  </si>
  <si>
    <t>49249</t>
  </si>
  <si>
    <t>49260</t>
  </si>
  <si>
    <t>49273</t>
  </si>
  <si>
    <t>89537</t>
  </si>
  <si>
    <t>89540</t>
  </si>
  <si>
    <t>89544</t>
  </si>
  <si>
    <t>89547</t>
  </si>
  <si>
    <t>89550</t>
  </si>
  <si>
    <t>142322</t>
  </si>
  <si>
    <t>142424</t>
  </si>
  <si>
    <t>142592</t>
  </si>
  <si>
    <t>142631</t>
  </si>
  <si>
    <t>142725</t>
  </si>
  <si>
    <t>391523</t>
  </si>
  <si>
    <t>391945</t>
  </si>
  <si>
    <t>392374</t>
  </si>
  <si>
    <t>392829</t>
  </si>
  <si>
    <t>393290</t>
  </si>
  <si>
    <t>70075.73</t>
  </si>
  <si>
    <t>70140.90</t>
  </si>
  <si>
    <t>70215.23</t>
  </si>
  <si>
    <t>70280.17</t>
  </si>
  <si>
    <t>70342.61</t>
  </si>
  <si>
    <t>8650</t>
  </si>
  <si>
    <t>139884.20</t>
  </si>
  <si>
    <t>139899.44</t>
  </si>
  <si>
    <t>139922.98</t>
  </si>
  <si>
    <t>139946.10</t>
  </si>
  <si>
    <t>139970.40</t>
  </si>
  <si>
    <t>48927.87</t>
  </si>
  <si>
    <t>48932.15</t>
  </si>
  <si>
    <t>48941.03</t>
  </si>
  <si>
    <t>48947.97</t>
  </si>
  <si>
    <t>48955.35</t>
  </si>
  <si>
    <t>94039</t>
  </si>
  <si>
    <t>124884</t>
  </si>
  <si>
    <t>56181</t>
  </si>
  <si>
    <t>360622</t>
  </si>
  <si>
    <t>49286</t>
  </si>
  <si>
    <t>89554</t>
  </si>
  <si>
    <t>142827</t>
  </si>
  <si>
    <t>393747</t>
  </si>
  <si>
    <t>70404.37</t>
  </si>
  <si>
    <t>139993.90</t>
  </si>
  <si>
    <t>48962.37</t>
  </si>
  <si>
    <t>94055</t>
  </si>
  <si>
    <t>124908</t>
  </si>
  <si>
    <t>56190</t>
  </si>
  <si>
    <t>360668</t>
  </si>
  <si>
    <t>49297</t>
  </si>
  <si>
    <t>89557</t>
  </si>
  <si>
    <t>142925</t>
  </si>
  <si>
    <t>394183</t>
  </si>
  <si>
    <t>140015.56</t>
  </si>
  <si>
    <t>48968.75</t>
  </si>
  <si>
    <t>94074</t>
  </si>
  <si>
    <t>124935</t>
  </si>
  <si>
    <t>56200</t>
  </si>
  <si>
    <t>360716</t>
  </si>
  <si>
    <t>49310</t>
  </si>
  <si>
    <t>89560</t>
  </si>
  <si>
    <t>143027</t>
  </si>
  <si>
    <t>394647</t>
  </si>
  <si>
    <t>70522.70</t>
  </si>
  <si>
    <t>140038.50</t>
  </si>
  <si>
    <t>48975.35</t>
  </si>
  <si>
    <t>94091</t>
  </si>
  <si>
    <t>124959</t>
  </si>
  <si>
    <t>56208</t>
  </si>
  <si>
    <t>360758</t>
  </si>
  <si>
    <t>49323</t>
  </si>
  <si>
    <t>89564</t>
  </si>
  <si>
    <t>143122</t>
  </si>
  <si>
    <t>395038</t>
  </si>
  <si>
    <t>70587.81</t>
  </si>
  <si>
    <t>70453.59</t>
  </si>
  <si>
    <t>140060.98</t>
  </si>
  <si>
    <t>48982.25</t>
  </si>
  <si>
    <t>94109</t>
  </si>
  <si>
    <t>94129</t>
  </si>
  <si>
    <t>94147</t>
  </si>
  <si>
    <t>94165</t>
  </si>
  <si>
    <t>94183</t>
  </si>
  <si>
    <t>94201</t>
  </si>
  <si>
    <t>94219</t>
  </si>
  <si>
    <t>94238</t>
  </si>
  <si>
    <t>94257</t>
  </si>
  <si>
    <t>94278</t>
  </si>
  <si>
    <t>124985</t>
  </si>
  <si>
    <t>125013</t>
  </si>
  <si>
    <t>125039</t>
  </si>
  <si>
    <t>125062</t>
  </si>
  <si>
    <t>125088</t>
  </si>
  <si>
    <t>125113</t>
  </si>
  <si>
    <t>125138</t>
  </si>
  <si>
    <t>125163</t>
  </si>
  <si>
    <t>125189</t>
  </si>
  <si>
    <t>125216</t>
  </si>
  <si>
    <t>56217</t>
  </si>
  <si>
    <t>56226</t>
  </si>
  <si>
    <t>56235</t>
  </si>
  <si>
    <t>56244</t>
  </si>
  <si>
    <t>56254</t>
  </si>
  <si>
    <t>56263</t>
  </si>
  <si>
    <t>56272</t>
  </si>
  <si>
    <t>56281</t>
  </si>
  <si>
    <t>56290</t>
  </si>
  <si>
    <t>56300</t>
  </si>
  <si>
    <t>360802</t>
  </si>
  <si>
    <t>360867</t>
  </si>
  <si>
    <t>360893</t>
  </si>
  <si>
    <t>360938</t>
  </si>
  <si>
    <t>360985</t>
  </si>
  <si>
    <t>361031</t>
  </si>
  <si>
    <t>361075</t>
  </si>
  <si>
    <t>361121</t>
  </si>
  <si>
    <t>361166</t>
  </si>
  <si>
    <t>361214</t>
  </si>
  <si>
    <t>49334</t>
  </si>
  <si>
    <t>49345</t>
  </si>
  <si>
    <t>49358</t>
  </si>
  <si>
    <t>49370</t>
  </si>
  <si>
    <t>49383</t>
  </si>
  <si>
    <t>49395</t>
  </si>
  <si>
    <t>49407</t>
  </si>
  <si>
    <t>49418</t>
  </si>
  <si>
    <t>49430</t>
  </si>
  <si>
    <t>49443</t>
  </si>
  <si>
    <t>89567</t>
  </si>
  <si>
    <t>89570</t>
  </si>
  <si>
    <t>89574</t>
  </si>
  <si>
    <t>89577</t>
  </si>
  <si>
    <t>89581</t>
  </si>
  <si>
    <t>89584</t>
  </si>
  <si>
    <t>89587</t>
  </si>
  <si>
    <t>89591</t>
  </si>
  <si>
    <t>89594</t>
  </si>
  <si>
    <t>89597</t>
  </si>
  <si>
    <t>143218</t>
  </si>
  <si>
    <t>143318</t>
  </si>
  <si>
    <t>143409</t>
  </si>
  <si>
    <t>143504</t>
  </si>
  <si>
    <t>143603</t>
  </si>
  <si>
    <t>143697</t>
  </si>
  <si>
    <t>143795</t>
  </si>
  <si>
    <t>143896</t>
  </si>
  <si>
    <t>143994</t>
  </si>
  <si>
    <t>144093</t>
  </si>
  <si>
    <t>395471</t>
  </si>
  <si>
    <t>395945</t>
  </si>
  <si>
    <t>396407</t>
  </si>
  <si>
    <t>396849</t>
  </si>
  <si>
    <t>397309</t>
  </si>
  <si>
    <t>397753</t>
  </si>
  <si>
    <t>398194</t>
  </si>
  <si>
    <t>398613</t>
  </si>
  <si>
    <t>399053</t>
  </si>
  <si>
    <t>399511</t>
  </si>
  <si>
    <t>70662.20</t>
  </si>
  <si>
    <t>70733.81</t>
  </si>
  <si>
    <t>70797.47</t>
  </si>
  <si>
    <t>70855.29</t>
  </si>
  <si>
    <t>70914.77</t>
  </si>
  <si>
    <t>70977.69</t>
  </si>
  <si>
    <t>71043.05</t>
  </si>
  <si>
    <t>71108.36</t>
  </si>
  <si>
    <t>71181.92</t>
  </si>
  <si>
    <t>71247.57</t>
  </si>
  <si>
    <t>140083.92</t>
  </si>
  <si>
    <t>140107.70</t>
  </si>
  <si>
    <t>140133.06</t>
  </si>
  <si>
    <t>140158.10</t>
  </si>
  <si>
    <t>140183.56</t>
  </si>
  <si>
    <t>140207.40</t>
  </si>
  <si>
    <t>140229.70</t>
  </si>
  <si>
    <t>140253.42</t>
  </si>
  <si>
    <t>140278.46</t>
  </si>
  <si>
    <t>140304.80</t>
  </si>
  <si>
    <t>48989.07</t>
  </si>
  <si>
    <t>48996.17</t>
  </si>
  <si>
    <t>49003.87</t>
  </si>
  <si>
    <t>49011.61</t>
  </si>
  <si>
    <t>49019.39</t>
  </si>
  <si>
    <t>49026.63</t>
  </si>
  <si>
    <t>49033.35</t>
  </si>
  <si>
    <t>49040.57</t>
  </si>
  <si>
    <t>49048.31</t>
  </si>
  <si>
    <t>49056.43</t>
  </si>
  <si>
    <t>94295</t>
  </si>
  <si>
    <t>94311</t>
  </si>
  <si>
    <t>94329</t>
  </si>
  <si>
    <t>94348</t>
  </si>
  <si>
    <t>94366</t>
  </si>
  <si>
    <t>94384</t>
  </si>
  <si>
    <t>94402</t>
  </si>
  <si>
    <t>94419</t>
  </si>
  <si>
    <t>94436</t>
  </si>
  <si>
    <t>125243</t>
  </si>
  <si>
    <t>125269</t>
  </si>
  <si>
    <t>125295</t>
  </si>
  <si>
    <t>125322</t>
  </si>
  <si>
    <t>125349</t>
  </si>
  <si>
    <t>125379</t>
  </si>
  <si>
    <t>125413</t>
  </si>
  <si>
    <t>125444</t>
  </si>
  <si>
    <t>125470</t>
  </si>
  <si>
    <t>56309</t>
  </si>
  <si>
    <t>56317</t>
  </si>
  <si>
    <t>56326</t>
  </si>
  <si>
    <t>56335</t>
  </si>
  <si>
    <t>56344</t>
  </si>
  <si>
    <t>56354</t>
  </si>
  <si>
    <t>56363</t>
  </si>
  <si>
    <t>56372</t>
  </si>
  <si>
    <t>56382</t>
  </si>
  <si>
    <t>361260</t>
  </si>
  <si>
    <t>361303</t>
  </si>
  <si>
    <t>361349</t>
  </si>
  <si>
    <t>361396</t>
  </si>
  <si>
    <t>361441</t>
  </si>
  <si>
    <t>361486</t>
  </si>
  <si>
    <t>361533</t>
  </si>
  <si>
    <t>361579</t>
  </si>
  <si>
    <t>361623</t>
  </si>
  <si>
    <t>49455</t>
  </si>
  <si>
    <t>49467</t>
  </si>
  <si>
    <t>49479</t>
  </si>
  <si>
    <t>49491</t>
  </si>
  <si>
    <t>49503</t>
  </si>
  <si>
    <t>49517</t>
  </si>
  <si>
    <t>49532</t>
  </si>
  <si>
    <t>49544</t>
  </si>
  <si>
    <t>49556</t>
  </si>
  <si>
    <t>89601</t>
  </si>
  <si>
    <t>89604</t>
  </si>
  <si>
    <t>89607</t>
  </si>
  <si>
    <t>89611</t>
  </si>
  <si>
    <t>89614</t>
  </si>
  <si>
    <t>89618</t>
  </si>
  <si>
    <t>89621</t>
  </si>
  <si>
    <t>89624</t>
  </si>
  <si>
    <t>89628</t>
  </si>
  <si>
    <t>144195</t>
  </si>
  <si>
    <t>144293</t>
  </si>
  <si>
    <t>144394</t>
  </si>
  <si>
    <t>144494</t>
  </si>
  <si>
    <t>144595</t>
  </si>
  <si>
    <t>144694</t>
  </si>
  <si>
    <t>144791</t>
  </si>
  <si>
    <t>144890</t>
  </si>
  <si>
    <t>144995</t>
  </si>
  <si>
    <t>399955</t>
  </si>
  <si>
    <t>400276</t>
  </si>
  <si>
    <t>400645</t>
  </si>
  <si>
    <t>401084</t>
  </si>
  <si>
    <t>401482</t>
  </si>
  <si>
    <t>401903</t>
  </si>
  <si>
    <t>402353</t>
  </si>
  <si>
    <t>402767</t>
  </si>
  <si>
    <t>403202</t>
  </si>
  <si>
    <t>71310.79</t>
  </si>
  <si>
    <t>71369.99</t>
  </si>
  <si>
    <t>71433.24</t>
  </si>
  <si>
    <t>71493.45</t>
  </si>
  <si>
    <t>71564.99</t>
  </si>
  <si>
    <t>71643.14</t>
  </si>
  <si>
    <t>71715.11</t>
  </si>
  <si>
    <t>71786.15</t>
  </si>
  <si>
    <t>71851.79</t>
  </si>
  <si>
    <t>140328.50</t>
  </si>
  <si>
    <t>140348.30</t>
  </si>
  <si>
    <t>140370.08</t>
  </si>
  <si>
    <t>140392.86</t>
  </si>
  <si>
    <t>140413.32</t>
  </si>
  <si>
    <t>140432.74</t>
  </si>
  <si>
    <t>140451.34</t>
  </si>
  <si>
    <t>140469.16</t>
  </si>
  <si>
    <t>140488.58</t>
  </si>
  <si>
    <t>49063.57</t>
  </si>
  <si>
    <t>49069.31</t>
  </si>
  <si>
    <t>49075.67</t>
  </si>
  <si>
    <t>49082.39</t>
  </si>
  <si>
    <t>49088.25</t>
  </si>
  <si>
    <t>49093.69</t>
  </si>
  <si>
    <t>49098.77</t>
  </si>
  <si>
    <t>49103.61</t>
  </si>
  <si>
    <t>49109.13</t>
  </si>
  <si>
    <t>94454</t>
  </si>
  <si>
    <t>94472</t>
  </si>
  <si>
    <t>125495</t>
  </si>
  <si>
    <t>125523</t>
  </si>
  <si>
    <t>56391</t>
  </si>
  <si>
    <t>56400</t>
  </si>
  <si>
    <t>361669</t>
  </si>
  <si>
    <t>361716</t>
  </si>
  <si>
    <t>49569</t>
  </si>
  <si>
    <t>49582</t>
  </si>
  <si>
    <t>89631</t>
  </si>
  <si>
    <t>89635</t>
  </si>
  <si>
    <t>145089</t>
  </si>
  <si>
    <t>145189</t>
  </si>
  <si>
    <t>403646</t>
  </si>
  <si>
    <t>404100</t>
  </si>
  <si>
    <t>71924.51</t>
  </si>
  <si>
    <t>71997.44</t>
  </si>
  <si>
    <t>140508.98</t>
  </si>
  <si>
    <t>140529.50</t>
  </si>
  <si>
    <t>49114.97</t>
  </si>
  <si>
    <t>49120.81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</si>
</sst>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9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5" zoomScale="130" zoomScaleNormal="130" workbookViewId="0">
      <selection activeCell="M29" sqref="M29"/>
    </sheetView>
  </sheetViews>
  <sheetFormatPr defaultColWidth="11.5703125" defaultRowHeight="15" x14ac:dyDescent="0.25"/>
  <cols>
    <col min="2" max="2" width="8.42578125" style="30" customWidth="1"/>
    <col min="3" max="3" width="8.7109375" style="30" customWidth="1"/>
    <col min="4" max="4" width="7.42578125" style="30" customWidth="1"/>
    <col min="5" max="5" width="10" style="7" customWidth="1"/>
    <col min="6" max="6" width="12.5703125" customWidth="1"/>
    <col min="7" max="7" width="10.7109375" style="1" customWidth="1"/>
    <col min="11" max="11" width="13.28515625" bestFit="1" customWidth="1"/>
    <col min="13" max="13" width="7.7109375" style="30" customWidth="1"/>
    <col min="14" max="14" width="8.28515625" style="30" customWidth="1"/>
  </cols>
  <sheetData>
    <row r="1" spans="1:14" s="3" customFormat="1" ht="60" x14ac:dyDescent="0.25">
      <c r="A1" s="3" t="s">
        <v>0</v>
      </c>
      <c r="B1" s="36" t="s">
        <v>1</v>
      </c>
      <c r="C1" s="36" t="s">
        <v>2</v>
      </c>
      <c r="D1" s="36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8" t="s">
        <v>7</v>
      </c>
      <c r="N1" s="28" t="s">
        <v>8</v>
      </c>
    </row>
    <row r="2" spans="1:14" s="4" customFormat="1" ht="12.75" x14ac:dyDescent="0.2">
      <c r="A2" s="4" t="s">
        <v>12</v>
      </c>
      <c r="B2" s="29">
        <v>1</v>
      </c>
      <c r="C2" s="37">
        <v>6</v>
      </c>
      <c r="D2" s="29">
        <v>2022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213</v>
      </c>
      <c r="F2" s="35">
        <v>9.1207153153429615E-2</v>
      </c>
      <c r="G2" s="20">
        <f>IF(('Submetering '!M3)*2.8&gt;0,('Submetering '!M3)*2.8,0)</f>
        <v>1234.8</v>
      </c>
      <c r="H2" s="35">
        <v>0.41957845609805533</v>
      </c>
      <c r="I2" s="20">
        <f>IF(('Submetering '!N3+'Submetering '!O3)*2.83&gt;0,('Submetering '!N3+'Submetering '!O3)*2.83,0)</f>
        <v>165.24369999999837</v>
      </c>
      <c r="J2" s="35">
        <v>7.5929284521204163</v>
      </c>
      <c r="K2" s="20">
        <f>IF(('Submetering '!P3+'Submetering '!Q3)*346.26&gt;0,('Submetering '!P3+'Submetering '!Q3)*346.26,0)</f>
        <v>8725.7520000040313</v>
      </c>
      <c r="L2" s="35">
        <v>0.1</v>
      </c>
      <c r="M2" s="29">
        <v>104</v>
      </c>
      <c r="N2" s="29">
        <v>153</v>
      </c>
    </row>
    <row r="3" spans="1:14" s="5" customFormat="1" x14ac:dyDescent="0.25">
      <c r="A3" s="4" t="s">
        <v>12</v>
      </c>
      <c r="B3" s="38">
        <f>B2+1</f>
        <v>2</v>
      </c>
      <c r="C3" s="37">
        <v>6</v>
      </c>
      <c r="D3" s="29">
        <v>2022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211</v>
      </c>
      <c r="F3" s="35">
        <v>9.1207153153429615E-2</v>
      </c>
      <c r="G3" s="20">
        <f>IF(('Submetering '!M4)*2.8&gt;0,('Submetering '!M4)*2.8,0)</f>
        <v>1181.5999999999999</v>
      </c>
      <c r="H3" s="35">
        <v>0.41957845609805533</v>
      </c>
      <c r="I3" s="20">
        <f>IF(('Submetering '!N4+'Submetering '!O4)*2.83&gt;0,('Submetering '!N4+'Submetering '!O4)*2.83,0)</f>
        <v>209.90109999999507</v>
      </c>
      <c r="J3" s="35">
        <v>7.5929284521204163</v>
      </c>
      <c r="K3" s="20">
        <f>IF(('Submetering '!P4+'Submetering '!Q4)*346.26&gt;0,('Submetering '!P4+'Submetering '!Q4)*346.26,0)</f>
        <v>6758.9951999963723</v>
      </c>
      <c r="L3" s="35">
        <v>0.1</v>
      </c>
      <c r="M3" s="29">
        <v>118</v>
      </c>
      <c r="N3" s="29">
        <v>178</v>
      </c>
    </row>
    <row r="4" spans="1:14" s="5" customFormat="1" x14ac:dyDescent="0.25">
      <c r="A4" s="4" t="s">
        <v>12</v>
      </c>
      <c r="B4" s="38">
        <f t="shared" ref="B4:B31" si="0">B3+1</f>
        <v>3</v>
      </c>
      <c r="C4" s="37">
        <v>6</v>
      </c>
      <c r="D4" s="29">
        <v>2022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283</v>
      </c>
      <c r="F4" s="35">
        <v>9.1207153153429615E-2</v>
      </c>
      <c r="G4" s="20">
        <f>IF(('Submetering '!M5)*2.8&gt;0,('Submetering '!M5)*2.8,0)</f>
        <v>1201.1999999999998</v>
      </c>
      <c r="H4" s="35">
        <v>0.41957845609805533</v>
      </c>
      <c r="I4" s="20">
        <f>IF(('Submetering '!N5+'Submetering '!O5)*2.83&gt;0,('Submetering '!N5+'Submetering '!O5)*2.83,0)</f>
        <v>210.35390000000496</v>
      </c>
      <c r="J4" s="35">
        <v>7.5929284521204163</v>
      </c>
      <c r="K4" s="20">
        <f>IF(('Submetering '!P5+'Submetering '!Q5)*346.26&gt;0,('Submetering '!P5+'Submetering '!Q5)*346.26,0)</f>
        <v>11225.749200001914</v>
      </c>
      <c r="L4" s="35">
        <v>0.1</v>
      </c>
      <c r="M4" s="29">
        <v>127</v>
      </c>
      <c r="N4" s="29">
        <v>215</v>
      </c>
    </row>
    <row r="5" spans="1:14" s="5" customFormat="1" x14ac:dyDescent="0.25">
      <c r="A5" s="4" t="s">
        <v>12</v>
      </c>
      <c r="B5" s="38">
        <f t="shared" si="0"/>
        <v>4</v>
      </c>
      <c r="C5" s="37">
        <v>6</v>
      </c>
      <c r="D5" s="29">
        <v>2022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151</v>
      </c>
      <c r="F5" s="35">
        <v>9.1207153153429615E-2</v>
      </c>
      <c r="G5" s="20">
        <f>IF(('Submetering '!M6)*2.8&gt;0,('Submetering '!M6)*2.8,0)</f>
        <v>1274</v>
      </c>
      <c r="H5" s="35">
        <v>0.41957845609805533</v>
      </c>
      <c r="I5" s="20">
        <f>IF(('Submetering '!N6+'Submetering '!O6)*2.83&gt;0,('Submetering '!N6+'Submetering '!O6)*2.83,0)</f>
        <v>183.7802000000066</v>
      </c>
      <c r="J5" s="35">
        <v>7.5929284521204163</v>
      </c>
      <c r="K5" s="20">
        <f>IF(('Submetering '!P6+'Submetering '!Q6)*346.26&gt;0,('Submetering '!P6+'Submetering '!Q6)*346.26,0)</f>
        <v>10408.575599999194</v>
      </c>
      <c r="L5" s="35">
        <v>0.1</v>
      </c>
      <c r="M5" s="29">
        <v>138</v>
      </c>
      <c r="N5" s="29">
        <v>243</v>
      </c>
    </row>
    <row r="6" spans="1:14" s="5" customFormat="1" x14ac:dyDescent="0.25">
      <c r="A6" s="4" t="s">
        <v>12</v>
      </c>
      <c r="B6" s="38">
        <f t="shared" si="0"/>
        <v>5</v>
      </c>
      <c r="C6" s="37">
        <v>6</v>
      </c>
      <c r="D6" s="29">
        <v>2022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212</v>
      </c>
      <c r="F6" s="35">
        <v>9.1207153153429615E-2</v>
      </c>
      <c r="G6" s="20">
        <f>IF(('Submetering '!M7)*2.8&gt;0,('Submetering '!M7)*2.8,0)</f>
        <v>1290.8</v>
      </c>
      <c r="H6" s="35">
        <v>0.41957845609805533</v>
      </c>
      <c r="I6" s="20">
        <f>IF(('Submetering '!N7+'Submetering '!O7)*2.83&gt;0,('Submetering '!N7+'Submetering '!O7)*2.83,0)</f>
        <v>176.70520000000658</v>
      </c>
      <c r="J6" s="35">
        <v>7.5929284521204163</v>
      </c>
      <c r="K6" s="20">
        <f>IF(('Submetering '!P7+'Submetering '!Q7)*346.26&gt;0,('Submetering '!P7+'Submetering '!Q7)*346.26,0)</f>
        <v>10969.516799995061</v>
      </c>
      <c r="L6" s="35">
        <v>0.1</v>
      </c>
      <c r="M6" s="29">
        <v>121</v>
      </c>
      <c r="N6" s="29">
        <v>201</v>
      </c>
    </row>
    <row r="7" spans="1:14" s="5" customFormat="1" x14ac:dyDescent="0.25">
      <c r="A7" s="4" t="s">
        <v>12</v>
      </c>
      <c r="B7" s="38">
        <f t="shared" si="0"/>
        <v>6</v>
      </c>
      <c r="C7" s="37">
        <v>6</v>
      </c>
      <c r="D7" s="29">
        <v>2022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218</v>
      </c>
      <c r="F7" s="35">
        <v>9.1207153153429615E-2</v>
      </c>
      <c r="G7" s="20">
        <f>IF(('Submetering '!M8)*2.8&gt;0,('Submetering '!M8)*2.8,0)</f>
        <v>1279.5999999999999</v>
      </c>
      <c r="H7" s="35">
        <v>0.41957845609805533</v>
      </c>
      <c r="I7" s="20">
        <f>IF(('Submetering '!N8+'Submetering '!O8)*2.83&gt;0,('Submetering '!N8+'Submetering '!O8)*2.83,0)</f>
        <v>174.78079999998519</v>
      </c>
      <c r="J7" s="35">
        <v>7.5929284521204163</v>
      </c>
      <c r="K7" s="20">
        <f>IF(('Submetering '!P8+'Submetering '!Q8)*346.26&gt;0,('Submetering '!P8+'Submetering '!Q8)*346.26,0)</f>
        <v>10567.85520000141</v>
      </c>
      <c r="L7" s="35">
        <v>0.1</v>
      </c>
      <c r="M7" s="29">
        <v>134</v>
      </c>
      <c r="N7" s="29">
        <v>177</v>
      </c>
    </row>
    <row r="8" spans="1:14" s="5" customFormat="1" x14ac:dyDescent="0.25">
      <c r="A8" s="4" t="s">
        <v>12</v>
      </c>
      <c r="B8" s="38">
        <f t="shared" si="0"/>
        <v>7</v>
      </c>
      <c r="C8" s="37">
        <v>6</v>
      </c>
      <c r="D8" s="29">
        <v>2022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207</v>
      </c>
      <c r="F8" s="35">
        <v>9.1207153153429615E-2</v>
      </c>
      <c r="G8" s="20">
        <f>IF(('Submetering '!M9)*2.8&gt;0,('Submetering '!M9)*2.8,0)</f>
        <v>1220.8</v>
      </c>
      <c r="H8" s="35">
        <v>0.41957845609805533</v>
      </c>
      <c r="I8" s="20">
        <f>IF(('Submetering '!N9+'Submetering '!O9)*2.83&gt;0,('Submetering '!N9+'Submetering '!O9)*2.83,0)</f>
        <v>139.29260000000329</v>
      </c>
      <c r="J8" s="35">
        <v>7.5929284521204163</v>
      </c>
      <c r="K8" s="20">
        <f>IF(('Submetering '!P9+'Submetering '!Q9)*346.26&gt;0,('Submetering '!P9+'Submetering '!Q9)*346.26,0)</f>
        <v>9709.130400000302</v>
      </c>
      <c r="L8" s="35">
        <v>0.1</v>
      </c>
      <c r="M8" s="29">
        <v>146</v>
      </c>
      <c r="N8" s="29">
        <v>193</v>
      </c>
    </row>
    <row r="9" spans="1:14" s="5" customFormat="1" x14ac:dyDescent="0.25">
      <c r="A9" s="4" t="s">
        <v>12</v>
      </c>
      <c r="B9" s="38">
        <f t="shared" si="0"/>
        <v>8</v>
      </c>
      <c r="C9" s="37">
        <v>6</v>
      </c>
      <c r="D9" s="29">
        <v>2022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222</v>
      </c>
      <c r="F9" s="35">
        <v>9.1207153153429615E-2</v>
      </c>
      <c r="G9" s="20">
        <f>IF(('Submetering '!M10)*2.8&gt;0,('Submetering '!M10)*2.8,0)</f>
        <v>1299.1999999999998</v>
      </c>
      <c r="H9" s="35">
        <v>0.41957845609805533</v>
      </c>
      <c r="I9" s="20">
        <f>IF(('Submetering '!N10+'Submetering '!O10)*2.83&gt;0,('Submetering '!N10+'Submetering '!O10)*2.83,0)</f>
        <v>195.58130000000165</v>
      </c>
      <c r="J9" s="35">
        <v>7.5929284521204163</v>
      </c>
      <c r="K9" s="20">
        <f>IF(('Submetering '!P10+'Submetering '!Q10)*346.26&gt;0,('Submetering '!P10+'Submetering '!Q10)*346.26,0)</f>
        <v>10228.520400000301</v>
      </c>
      <c r="L9" s="35">
        <v>0.1</v>
      </c>
      <c r="M9" s="29">
        <v>135</v>
      </c>
      <c r="N9" s="29">
        <v>190</v>
      </c>
    </row>
    <row r="10" spans="1:14" s="5" customFormat="1" x14ac:dyDescent="0.25">
      <c r="A10" s="4" t="s">
        <v>12</v>
      </c>
      <c r="B10" s="38">
        <f t="shared" si="0"/>
        <v>9</v>
      </c>
      <c r="C10" s="37">
        <v>6</v>
      </c>
      <c r="D10" s="29">
        <v>2022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203</v>
      </c>
      <c r="F10" s="35">
        <v>9.1207153153429615E-2</v>
      </c>
      <c r="G10" s="20">
        <f>IF(('Submetering '!M11)*2.8&gt;0,('Submetering '!M11)*2.8,0)</f>
        <v>1094.8</v>
      </c>
      <c r="H10" s="35">
        <v>0.41957845609805533</v>
      </c>
      <c r="I10" s="20">
        <f>IF(('Submetering '!N11+'Submetering '!O11)*2.83&gt;0,('Submetering '!N11+'Submetering '!O11)*2.83,0)</f>
        <v>184.26130000000165</v>
      </c>
      <c r="J10" s="35">
        <v>7.5929284521204163</v>
      </c>
      <c r="K10" s="20">
        <f>IF(('Submetering '!P11+'Submetering '!Q11)*346.26&gt;0,('Submetering '!P11+'Submetering '!Q11)*346.26,0)</f>
        <v>10173.118800004131</v>
      </c>
      <c r="L10" s="35">
        <v>0.1</v>
      </c>
      <c r="M10" s="29">
        <v>118</v>
      </c>
      <c r="N10" s="29">
        <v>195</v>
      </c>
    </row>
    <row r="11" spans="1:14" s="5" customFormat="1" x14ac:dyDescent="0.25">
      <c r="A11" s="4" t="s">
        <v>12</v>
      </c>
      <c r="B11" s="38">
        <f t="shared" si="0"/>
        <v>10</v>
      </c>
      <c r="C11" s="37">
        <v>6</v>
      </c>
      <c r="D11" s="29">
        <v>2022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207</v>
      </c>
      <c r="F11" s="35">
        <v>9.1207153153429615E-2</v>
      </c>
      <c r="G11" s="20">
        <f>IF(('Submetering '!M12)*2.8&gt;0,('Submetering '!M12)*2.8,0)</f>
        <v>1212.3999999999999</v>
      </c>
      <c r="H11" s="35">
        <v>0.41957845609805533</v>
      </c>
      <c r="I11" s="20">
        <f>IF(('Submetering '!N12+'Submetering '!O12)*2.83&gt;0,('Submetering '!N12+'Submetering '!O12)*2.83,0)</f>
        <v>210.52369999999837</v>
      </c>
      <c r="J11" s="35">
        <v>7.5929284521204163</v>
      </c>
      <c r="K11" s="20">
        <f>IF(('Submetering '!P12+'Submetering '!Q12)*346.26&gt;0,('Submetering '!P12+'Submetering '!Q12)*346.26,0)</f>
        <v>10304.697600000705</v>
      </c>
      <c r="L11" s="35">
        <v>0.1</v>
      </c>
      <c r="M11" s="29">
        <v>114</v>
      </c>
      <c r="N11" s="29">
        <v>219</v>
      </c>
    </row>
    <row r="12" spans="1:14" s="5" customFormat="1" x14ac:dyDescent="0.25">
      <c r="A12" s="4" t="s">
        <v>12</v>
      </c>
      <c r="B12" s="38">
        <f t="shared" si="0"/>
        <v>11</v>
      </c>
      <c r="C12" s="37">
        <v>6</v>
      </c>
      <c r="D12" s="29">
        <v>2022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236</v>
      </c>
      <c r="F12" s="35">
        <v>9.1207153153429615E-2</v>
      </c>
      <c r="G12" s="20">
        <f>IF(('Submetering '!M13)*2.8&gt;0,('Submetering '!M13)*2.8,0)</f>
        <v>1327.1999999999998</v>
      </c>
      <c r="H12" s="35">
        <v>0.41957845609805533</v>
      </c>
      <c r="I12" s="20">
        <f>IF(('Submetering '!N13+'Submetering '!O13)*2.83&gt;0,('Submetering '!N13+'Submetering '!O13)*2.83,0)</f>
        <v>202.65630000000166</v>
      </c>
      <c r="J12" s="35">
        <v>7.5929284521204163</v>
      </c>
      <c r="K12" s="20">
        <f>IF(('Submetering '!P13+'Submetering '!Q13)*346.26&gt;0,('Submetering '!P13+'Submetering '!Q13)*346.26,0)</f>
        <v>10692.508799999092</v>
      </c>
      <c r="L12" s="35">
        <v>0.1</v>
      </c>
      <c r="M12" s="29">
        <v>136</v>
      </c>
      <c r="N12" s="29">
        <v>257</v>
      </c>
    </row>
    <row r="13" spans="1:14" s="5" customFormat="1" x14ac:dyDescent="0.25">
      <c r="A13" s="4" t="s">
        <v>12</v>
      </c>
      <c r="B13" s="38">
        <f t="shared" si="0"/>
        <v>12</v>
      </c>
      <c r="C13" s="37">
        <v>6</v>
      </c>
      <c r="D13" s="29">
        <v>2022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187</v>
      </c>
      <c r="F13" s="35">
        <v>9.1207153153429615E-2</v>
      </c>
      <c r="G13" s="20">
        <f>IF(('Submetering '!M14)*2.8&gt;0,('Submetering '!M14)*2.8,0)</f>
        <v>1293.5999999999999</v>
      </c>
      <c r="H13" s="35">
        <v>0.41957845609805533</v>
      </c>
      <c r="I13" s="20">
        <f>IF(('Submetering '!N14+'Submetering '!O14)*2.83&gt;0,('Submetering '!N14+'Submetering '!O14)*2.83,0)</f>
        <v>180.1578000000099</v>
      </c>
      <c r="J13" s="35">
        <v>7.5929284521204163</v>
      </c>
      <c r="K13" s="20">
        <f>IF(('Submetering '!P14+'Submetering '!Q14)*346.26&gt;0,('Submetering '!P14+'Submetering '!Q14)*346.26,0)</f>
        <v>11447.355599996674</v>
      </c>
      <c r="L13" s="35">
        <v>0.1</v>
      </c>
      <c r="M13" s="29">
        <v>111</v>
      </c>
      <c r="N13" s="29">
        <v>172</v>
      </c>
    </row>
    <row r="14" spans="1:14" s="5" customFormat="1" x14ac:dyDescent="0.25">
      <c r="A14" s="4" t="s">
        <v>12</v>
      </c>
      <c r="B14" s="38">
        <f t="shared" si="0"/>
        <v>13</v>
      </c>
      <c r="C14" s="37">
        <v>6</v>
      </c>
      <c r="D14" s="29">
        <v>2022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205</v>
      </c>
      <c r="F14" s="35">
        <v>9.1207153153429615E-2</v>
      </c>
      <c r="G14" s="20">
        <f>IF(('Submetering '!M15)*2.8&gt;0,('Submetering '!M15)*2.8,0)</f>
        <v>1237.5999999999999</v>
      </c>
      <c r="H14" s="35">
        <v>0.41957845609805533</v>
      </c>
      <c r="I14" s="20">
        <f>IF(('Submetering '!N15+'Submetering '!O15)*2.83&gt;0,('Submetering '!N15+'Submetering '!O15)*2.83,0)</f>
        <v>163.63059999997859</v>
      </c>
      <c r="J14" s="35">
        <v>7.5929284521204163</v>
      </c>
      <c r="K14" s="20">
        <f>IF(('Submetering '!P15+'Submetering '!Q15)*346.26&gt;0,('Submetering '!P15+'Submetering '!Q15)*346.26,0)</f>
        <v>11350.402800002115</v>
      </c>
      <c r="L14" s="35">
        <v>0.1</v>
      </c>
      <c r="M14" s="29">
        <v>134</v>
      </c>
      <c r="N14" s="29">
        <v>195</v>
      </c>
    </row>
    <row r="15" spans="1:14" s="5" customFormat="1" x14ac:dyDescent="0.25">
      <c r="A15" s="4" t="s">
        <v>12</v>
      </c>
      <c r="B15" s="38">
        <f t="shared" si="0"/>
        <v>14</v>
      </c>
      <c r="C15" s="37">
        <v>6</v>
      </c>
      <c r="D15" s="29">
        <v>2022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217</v>
      </c>
      <c r="F15" s="35">
        <v>9.1207153153429615E-2</v>
      </c>
      <c r="G15" s="20">
        <f>IF(('Submetering '!M16)*2.8&gt;0,('Submetering '!M16)*2.8,0)</f>
        <v>1288</v>
      </c>
      <c r="H15" s="35">
        <v>0.41957845609805533</v>
      </c>
      <c r="I15" s="20">
        <f>IF(('Submetering '!N16+'Submetering '!O16)*2.83&gt;0,('Submetering '!N16+'Submetering '!O16)*2.83,0)</f>
        <v>168.32840000002966</v>
      </c>
      <c r="J15" s="35">
        <v>7.5929284521204163</v>
      </c>
      <c r="K15" s="20">
        <f>IF(('Submetering '!P16+'Submetering '!Q16)*346.26&gt;0,('Submetering '!P16+'Submetering '!Q16)*346.26,0)</f>
        <v>11509.682399996775</v>
      </c>
      <c r="L15" s="35">
        <v>0.1</v>
      </c>
      <c r="M15" s="29">
        <v>133</v>
      </c>
      <c r="N15" s="29">
        <v>192</v>
      </c>
    </row>
    <row r="16" spans="1:14" s="5" customFormat="1" x14ac:dyDescent="0.25">
      <c r="A16" s="4" t="s">
        <v>12</v>
      </c>
      <c r="B16" s="38">
        <f t="shared" si="0"/>
        <v>15</v>
      </c>
      <c r="C16" s="37">
        <v>6</v>
      </c>
      <c r="D16" s="29">
        <v>2022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207</v>
      </c>
      <c r="F16" s="35">
        <v>9.1207153153429615E-2</v>
      </c>
      <c r="G16" s="20">
        <f>IF(('Submetering '!M17)*2.8&gt;0,('Submetering '!M17)*2.8,0)</f>
        <v>1243.1999999999998</v>
      </c>
      <c r="H16" s="35">
        <v>0.41957845609805533</v>
      </c>
      <c r="I16" s="20">
        <f>IF(('Submetering '!N17+'Submetering '!O17)*2.83&gt;0,('Submetering '!N17+'Submetering '!O17)*2.83,0)</f>
        <v>178.06359999999506</v>
      </c>
      <c r="J16" s="35">
        <v>7.5929284521204163</v>
      </c>
      <c r="K16" s="20">
        <f>IF(('Submetering '!P17+'Submetering '!Q17)*346.26&gt;0,('Submetering '!P17+'Submetering '!Q17)*346.26,0)</f>
        <v>10761.760799998085</v>
      </c>
      <c r="L16" s="35">
        <v>0.1</v>
      </c>
      <c r="M16" s="29">
        <v>123</v>
      </c>
      <c r="N16" s="29">
        <v>173</v>
      </c>
    </row>
    <row r="17" spans="1:14" s="5" customFormat="1" x14ac:dyDescent="0.25">
      <c r="A17" s="4" t="s">
        <v>12</v>
      </c>
      <c r="B17" s="38">
        <f t="shared" si="0"/>
        <v>16</v>
      </c>
      <c r="C17" s="37">
        <v>6</v>
      </c>
      <c r="D17" s="29">
        <v>2022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209</v>
      </c>
      <c r="F17" s="35">
        <v>9.1207153153429615E-2</v>
      </c>
      <c r="G17" s="20">
        <f>IF(('Submetering '!M18)*2.8&gt;0,('Submetering '!M18)*2.8,0)</f>
        <v>1234.8</v>
      </c>
      <c r="H17" s="35">
        <v>0.41957845609805533</v>
      </c>
      <c r="I17" s="20">
        <f>IF(('Submetering '!N18+'Submetering '!O18)*2.83&gt;0,('Submetering '!N18+'Submetering '!O18)*2.83,0)</f>
        <v>184.96880000000166</v>
      </c>
      <c r="J17" s="35">
        <v>7.5929284521204163</v>
      </c>
      <c r="K17" s="20">
        <f>IF(('Submetering '!P18+'Submetering '!Q18)*346.26&gt;0,('Submetering '!P18+'Submetering '!Q18)*346.26,0)</f>
        <v>10048.465200006449</v>
      </c>
      <c r="L17" s="35">
        <v>0.1</v>
      </c>
      <c r="M17" s="29">
        <v>137</v>
      </c>
      <c r="N17" s="29">
        <v>222</v>
      </c>
    </row>
    <row r="18" spans="1:14" s="5" customFormat="1" x14ac:dyDescent="0.25">
      <c r="A18" s="4" t="s">
        <v>12</v>
      </c>
      <c r="B18" s="38">
        <f t="shared" si="0"/>
        <v>17</v>
      </c>
      <c r="C18" s="37">
        <v>6</v>
      </c>
      <c r="D18" s="29">
        <v>2022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215</v>
      </c>
      <c r="F18" s="35">
        <v>9.1207153153429615E-2</v>
      </c>
      <c r="G18" s="20">
        <f>IF(('Submetering '!M19)*2.8&gt;0,('Submetering '!M19)*2.8,0)</f>
        <v>1173.1999999999998</v>
      </c>
      <c r="H18" s="35">
        <v>0.41957845609805533</v>
      </c>
      <c r="I18" s="20">
        <f>IF(('Submetering '!N19+'Submetering '!O19)*2.83&gt;0,('Submetering '!N19+'Submetering '!O19)*2.83,0)</f>
        <v>184.82729999999341</v>
      </c>
      <c r="J18" s="35">
        <v>7.5929284521204163</v>
      </c>
      <c r="K18" s="20">
        <f>IF(('Submetering '!P19+'Submetering '!Q19)*346.26&gt;0,('Submetering '!P19+'Submetering '!Q19)*346.26,0)</f>
        <v>10713.284400000806</v>
      </c>
      <c r="L18" s="35">
        <v>0.1</v>
      </c>
      <c r="M18" s="29">
        <v>126</v>
      </c>
      <c r="N18" s="29">
        <v>221</v>
      </c>
    </row>
    <row r="19" spans="1:14" s="5" customFormat="1" x14ac:dyDescent="0.25">
      <c r="A19" s="4" t="s">
        <v>12</v>
      </c>
      <c r="B19" s="38">
        <f t="shared" si="0"/>
        <v>18</v>
      </c>
      <c r="C19" s="37">
        <v>6</v>
      </c>
      <c r="D19" s="29">
        <v>2022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212</v>
      </c>
      <c r="F19" s="35">
        <v>9.1207153153429615E-2</v>
      </c>
      <c r="G19" s="20">
        <f>IF(('Submetering '!M20)*2.8&gt;0,('Submetering '!M20)*2.8,0)</f>
        <v>1232</v>
      </c>
      <c r="H19" s="35">
        <v>0.41957845609805533</v>
      </c>
      <c r="I19" s="20">
        <f>IF(('Submetering '!N20+'Submetering '!O20)*2.83&gt;0,('Submetering '!N20+'Submetering '!O20)*2.83,0)</f>
        <v>208.17479999999341</v>
      </c>
      <c r="J19" s="35">
        <v>7.5929284521204163</v>
      </c>
      <c r="K19" s="20">
        <f>IF(('Submetering '!P20+'Submetering '!Q20)*346.26&gt;0,('Submetering '!P20+'Submetering '!Q20)*346.26,0)</f>
        <v>11350.402799992038</v>
      </c>
      <c r="L19" s="35">
        <v>0.1</v>
      </c>
      <c r="M19" s="29">
        <v>134</v>
      </c>
      <c r="N19" s="29">
        <v>239</v>
      </c>
    </row>
    <row r="20" spans="1:14" s="5" customFormat="1" x14ac:dyDescent="0.25">
      <c r="A20" s="4" t="s">
        <v>12</v>
      </c>
      <c r="B20" s="38">
        <f t="shared" si="0"/>
        <v>19</v>
      </c>
      <c r="C20" s="37">
        <v>6</v>
      </c>
      <c r="D20" s="29">
        <v>2022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221</v>
      </c>
      <c r="F20" s="35">
        <v>9.1207153153429615E-2</v>
      </c>
      <c r="G20" s="20">
        <f>IF(('Submetering '!M21)*2.8&gt;0,('Submetering '!M21)*2.8,0)</f>
        <v>1282.3999999999999</v>
      </c>
      <c r="H20" s="35">
        <v>0.41957845609805533</v>
      </c>
      <c r="I20" s="20">
        <f>IF(('Submetering '!N21+'Submetering '!O21)*2.83&gt;0,('Submetering '!N21+'Submetering '!O21)*2.83,0)</f>
        <v>185.7895000000247</v>
      </c>
      <c r="J20" s="35">
        <v>7.5929284521204163</v>
      </c>
      <c r="K20" s="20">
        <f>IF(('Submetering '!P21+'Submetering '!Q21)*346.26&gt;0,('Submetering '!P21+'Submetering '!Q21)*346.26,0)</f>
        <v>11932.119599999698</v>
      </c>
      <c r="L20" s="35">
        <v>0.1</v>
      </c>
      <c r="M20" s="29">
        <v>76</v>
      </c>
      <c r="N20" s="29">
        <v>126</v>
      </c>
    </row>
    <row r="21" spans="1:14" s="5" customFormat="1" x14ac:dyDescent="0.25">
      <c r="A21" s="4" t="s">
        <v>12</v>
      </c>
      <c r="B21" s="38">
        <f t="shared" si="0"/>
        <v>20</v>
      </c>
      <c r="C21" s="37">
        <v>6</v>
      </c>
      <c r="D21" s="29">
        <v>2022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217</v>
      </c>
      <c r="F21" s="35">
        <v>9.1207153153429615E-2</v>
      </c>
      <c r="G21" s="20">
        <f>IF(('Submetering '!M22)*2.8&gt;0,('Submetering '!M22)*2.8,0)</f>
        <v>1243.1999999999998</v>
      </c>
      <c r="H21" s="35">
        <v>0.41957845609805533</v>
      </c>
      <c r="I21" s="20">
        <f>IF(('Submetering '!N22+'Submetering '!O22)*2.83&gt;0,('Submetering '!N22+'Submetering '!O22)*2.83,0)</f>
        <v>178.91259999996211</v>
      </c>
      <c r="J21" s="35">
        <v>7.5929284521204163</v>
      </c>
      <c r="K21" s="20">
        <f>IF(('Submetering '!P22+'Submetering '!Q22)*346.26&gt;0,('Submetering '!P22+'Submetering '!Q22)*346.26,0)</f>
        <v>10678.658400003829</v>
      </c>
      <c r="L21" s="35">
        <v>0.1</v>
      </c>
      <c r="M21" s="29">
        <v>117</v>
      </c>
      <c r="N21" s="29">
        <v>162</v>
      </c>
    </row>
    <row r="22" spans="1:14" s="5" customFormat="1" x14ac:dyDescent="0.25">
      <c r="A22" s="4" t="s">
        <v>12</v>
      </c>
      <c r="B22" s="38">
        <f t="shared" si="0"/>
        <v>21</v>
      </c>
      <c r="C22" s="37">
        <v>6</v>
      </c>
      <c r="D22" s="29">
        <v>2022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206</v>
      </c>
      <c r="F22" s="35">
        <v>9.1207153153429615E-2</v>
      </c>
      <c r="G22" s="20">
        <f>IF(('Submetering '!M23)*2.8&gt;0,('Submetering '!M23)*2.8,0)</f>
        <v>898.8</v>
      </c>
      <c r="H22" s="35">
        <v>0.41957845609805533</v>
      </c>
      <c r="I22" s="20">
        <f>IF(('Submetering '!N23+'Submetering '!O23)*2.83&gt;0,('Submetering '!N23+'Submetering '!O23)*2.83,0)</f>
        <v>167.53600000003294</v>
      </c>
      <c r="J22" s="35">
        <v>7.5929284521204163</v>
      </c>
      <c r="K22" s="20">
        <f>IF(('Submetering '!P23+'Submetering '!Q23)*346.26&gt;0,('Submetering '!P23+'Submetering '!Q23)*346.26,0)</f>
        <v>8843.4803999952637</v>
      </c>
      <c r="L22" s="35">
        <v>0.1</v>
      </c>
      <c r="M22" s="29">
        <v>132</v>
      </c>
      <c r="N22" s="29">
        <v>188</v>
      </c>
    </row>
    <row r="23" spans="1:14" s="5" customFormat="1" x14ac:dyDescent="0.25">
      <c r="A23" s="4" t="s">
        <v>12</v>
      </c>
      <c r="B23" s="38">
        <f t="shared" si="0"/>
        <v>22</v>
      </c>
      <c r="C23" s="37">
        <v>6</v>
      </c>
      <c r="D23" s="29">
        <v>2022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215</v>
      </c>
      <c r="F23" s="35">
        <v>9.1207153153429615E-2</v>
      </c>
      <c r="G23" s="20">
        <f>IF(('Submetering '!M24)*2.8&gt;0,('Submetering '!M24)*2.8,0)</f>
        <v>1033.2</v>
      </c>
      <c r="H23" s="35">
        <v>0.41957845609805533</v>
      </c>
      <c r="I23" s="20">
        <f>IF(('Submetering '!N24+'Submetering '!O24)*2.83&gt;0,('Submetering '!N24+'Submetering '!O24)*2.83,0)</f>
        <v>178.9975</v>
      </c>
      <c r="J23" s="35">
        <v>7.5929284521204163</v>
      </c>
      <c r="K23" s="20">
        <f>IF(('Submetering '!P24+'Submetering '!Q24)*346.26&gt;0,('Submetering '!P24+'Submetering '!Q24)*346.26,0)</f>
        <v>9743.7563999997983</v>
      </c>
      <c r="L23" s="35">
        <v>0.1</v>
      </c>
      <c r="M23" s="29">
        <v>134</v>
      </c>
      <c r="N23" s="29">
        <v>191</v>
      </c>
    </row>
    <row r="24" spans="1:14" s="5" customFormat="1" x14ac:dyDescent="0.25">
      <c r="A24" s="4" t="s">
        <v>12</v>
      </c>
      <c r="B24" s="38">
        <f t="shared" si="0"/>
        <v>23</v>
      </c>
      <c r="C24" s="37">
        <v>6</v>
      </c>
      <c r="D24" s="29">
        <v>2022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218</v>
      </c>
      <c r="F24" s="35">
        <v>9.1207153153429615E-2</v>
      </c>
      <c r="G24" s="20">
        <f>IF(('Submetering '!M25)*2.8&gt;0,('Submetering '!M25)*2.8,0)</f>
        <v>1229.1999999999998</v>
      </c>
      <c r="H24" s="35">
        <v>0.41957845609805533</v>
      </c>
      <c r="I24" s="20">
        <f>IF(('Submetering '!N25+'Submetering '!O25)*2.83&gt;0,('Submetering '!N25+'Submetering '!O25)*2.83,0)</f>
        <v>170.39429999997694</v>
      </c>
      <c r="J24" s="35">
        <v>7.5929284521204163</v>
      </c>
      <c r="K24" s="20">
        <f>IF(('Submetering '!P25+'Submetering '!Q25)*346.26&gt;0,('Submetering '!P25+'Submetering '!Q25)*346.26,0)</f>
        <v>10214.67</v>
      </c>
      <c r="L24" s="35">
        <v>0.1</v>
      </c>
      <c r="M24" s="29">
        <v>126</v>
      </c>
      <c r="N24" s="29">
        <v>213</v>
      </c>
    </row>
    <row r="25" spans="1:14" s="5" customFormat="1" x14ac:dyDescent="0.25">
      <c r="A25" s="4" t="s">
        <v>12</v>
      </c>
      <c r="B25" s="38">
        <f t="shared" si="0"/>
        <v>24</v>
      </c>
      <c r="C25" s="37">
        <v>6</v>
      </c>
      <c r="D25" s="29">
        <v>2022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215</v>
      </c>
      <c r="F25" s="35">
        <v>9.1207153153429615E-2</v>
      </c>
      <c r="G25" s="20">
        <f>IF(('Submetering '!M26)*2.8&gt;0,('Submetering '!M26)*2.8,0)</f>
        <v>1114.3999999999999</v>
      </c>
      <c r="H25" s="35">
        <v>0.41957845609805533</v>
      </c>
      <c r="I25" s="20">
        <f>IF(('Submetering '!N26+'Submetering '!O26)*2.83&gt;0,('Submetering '!N26+'Submetering '!O26)*2.83,0)</f>
        <v>202.45820000002306</v>
      </c>
      <c r="J25" s="35">
        <v>7.5929284521204163</v>
      </c>
      <c r="K25" s="20">
        <f>IF(('Submetering '!P26+'Submetering '!Q26)*346.26&gt;0,('Submetering '!P26+'Submetering '!Q26)*346.26,0)</f>
        <v>9113.5632000074565</v>
      </c>
      <c r="L25" s="35">
        <v>0.1</v>
      </c>
      <c r="M25" s="29">
        <v>124</v>
      </c>
      <c r="N25" s="29">
        <v>244</v>
      </c>
    </row>
    <row r="26" spans="1:14" s="5" customFormat="1" x14ac:dyDescent="0.25">
      <c r="A26" s="4" t="s">
        <v>12</v>
      </c>
      <c r="B26" s="38">
        <f>B25+1</f>
        <v>25</v>
      </c>
      <c r="C26" s="37">
        <v>6</v>
      </c>
      <c r="D26" s="29">
        <v>2022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220</v>
      </c>
      <c r="F26" s="35">
        <v>9.1207153153429615E-2</v>
      </c>
      <c r="G26" s="20">
        <f>IF(('Submetering '!M27)*2.8&gt;0,('Submetering '!M27)*2.8,0)</f>
        <v>1178.8</v>
      </c>
      <c r="H26" s="35">
        <v>0.41957845609805533</v>
      </c>
      <c r="I26" s="20">
        <f>IF(('Submetering '!N27+'Submetering '!O27)*2.83&gt;0,('Submetering '!N27+'Submetering '!O27)*2.83,0)</f>
        <v>221.16449999998352</v>
      </c>
      <c r="J26" s="35">
        <v>7.5929284521204163</v>
      </c>
      <c r="K26" s="20">
        <f>IF(('Submetering '!P27+'Submetering '!Q27)*346.26&gt;0,('Submetering '!P27+'Submetering '!Q27)*346.26,0)</f>
        <v>8608.0235999951619</v>
      </c>
      <c r="L26" s="35">
        <v>0.1</v>
      </c>
      <c r="M26" s="29">
        <v>125</v>
      </c>
      <c r="N26" s="29">
        <v>246</v>
      </c>
    </row>
    <row r="27" spans="1:14" s="5" customFormat="1" x14ac:dyDescent="0.25">
      <c r="A27" s="4" t="s">
        <v>12</v>
      </c>
      <c r="B27" s="38">
        <f t="shared" si="0"/>
        <v>26</v>
      </c>
      <c r="C27" s="37">
        <v>6</v>
      </c>
      <c r="D27" s="29">
        <v>2022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223</v>
      </c>
      <c r="F27" s="35">
        <v>9.1207153153429615E-2</v>
      </c>
      <c r="G27" s="20">
        <f>IF(('Submetering '!M28)*2.8&gt;0,('Submetering '!M28)*2.8,0)</f>
        <v>1260</v>
      </c>
      <c r="H27" s="35">
        <v>0.41957845609805533</v>
      </c>
      <c r="I27" s="20">
        <f>IF(('Submetering '!N28+'Submetering '!O28)*2.83&gt;0,('Submetering '!N28+'Submetering '!O28)*2.83,0)</f>
        <v>203.67510000000331</v>
      </c>
      <c r="J27" s="35">
        <v>7.5929284521204163</v>
      </c>
      <c r="K27" s="20">
        <f>IF(('Submetering '!P28+'Submetering '!Q28)*346.26&gt;0,('Submetering '!P28+'Submetering '!Q28)*346.26,0)</f>
        <v>8199.4368000001014</v>
      </c>
      <c r="L27" s="35">
        <v>0.1</v>
      </c>
      <c r="M27" s="29">
        <v>104</v>
      </c>
      <c r="N27" s="29">
        <v>188</v>
      </c>
    </row>
    <row r="28" spans="1:14" s="5" customFormat="1" x14ac:dyDescent="0.25">
      <c r="A28" s="4" t="s">
        <v>12</v>
      </c>
      <c r="B28" s="38">
        <f t="shared" si="0"/>
        <v>27</v>
      </c>
      <c r="C28" s="37">
        <v>6</v>
      </c>
      <c r="D28" s="29">
        <v>2022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217</v>
      </c>
      <c r="F28" s="35">
        <v>9.1207153153429615E-2</v>
      </c>
      <c r="G28" s="20">
        <f>IF(('Submetering '!M29)*2.8&gt;0,('Submetering '!M29)*2.8,0)</f>
        <v>1159.1999999999998</v>
      </c>
      <c r="H28" s="35">
        <v>0.41957845609805533</v>
      </c>
      <c r="I28" s="20">
        <f>IF(('Submetering '!N29+'Submetering '!O29)*2.83&gt;0,('Submetering '!N29+'Submetering '!O29)*2.83,0)</f>
        <v>201.04319999998188</v>
      </c>
      <c r="J28" s="35">
        <v>7.5929284521204163</v>
      </c>
      <c r="K28" s="20">
        <f>IF(('Submetering '!P29+'Submetering '!Q29)*346.26&gt;0,('Submetering '!P29+'Submetering '!Q29)*346.26,0)</f>
        <v>7846.2516000037285</v>
      </c>
      <c r="L28" s="35">
        <v>0.1</v>
      </c>
      <c r="M28" s="29">
        <v>133</v>
      </c>
      <c r="N28" s="29">
        <v>222</v>
      </c>
    </row>
    <row r="29" spans="1:14" s="5" customFormat="1" x14ac:dyDescent="0.25">
      <c r="A29" s="4" t="s">
        <v>12</v>
      </c>
      <c r="B29" s="38">
        <f t="shared" si="0"/>
        <v>28</v>
      </c>
      <c r="C29" s="37">
        <v>6</v>
      </c>
      <c r="D29" s="29">
        <v>2022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218</v>
      </c>
      <c r="F29" s="35">
        <v>9.1207153153429615E-2</v>
      </c>
      <c r="G29" s="20">
        <f>IF(('Submetering '!M30)*2.8&gt;0,('Submetering '!M30)*2.8,0)</f>
        <v>1218</v>
      </c>
      <c r="H29" s="35">
        <v>0.41957845609805533</v>
      </c>
      <c r="I29" s="20">
        <f>IF(('Submetering '!N30+'Submetering '!O30)*2.83&gt;0,('Submetering '!N30+'Submetering '!O30)*2.83,0)</f>
        <v>185.76119999999835</v>
      </c>
      <c r="J29" s="35">
        <v>7.5929284521204163</v>
      </c>
      <c r="K29" s="20">
        <f>IF(('Submetering '!P30+'Submetering '!Q30)*346.26&gt;0,('Submetering '!P30+'Submetering '!Q30)*346.26,0)</f>
        <v>8635.7243999932471</v>
      </c>
      <c r="L29" s="35">
        <v>0.1</v>
      </c>
      <c r="M29" s="29">
        <v>135</v>
      </c>
      <c r="N29" s="29">
        <v>215</v>
      </c>
    </row>
    <row r="30" spans="1:14" s="5" customFormat="1" x14ac:dyDescent="0.25">
      <c r="A30" s="4" t="s">
        <v>12</v>
      </c>
      <c r="B30" s="38">
        <f t="shared" si="0"/>
        <v>29</v>
      </c>
      <c r="C30" s="37">
        <v>6</v>
      </c>
      <c r="D30" s="29">
        <v>2022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208</v>
      </c>
      <c r="F30" s="35">
        <v>9.1207153153429615E-2</v>
      </c>
      <c r="G30" s="20">
        <f>IF(('Submetering '!M31)*2.8&gt;0,('Submetering '!M31)*2.8,0)</f>
        <v>1243.1999999999998</v>
      </c>
      <c r="H30" s="35">
        <v>0.41957845609805533</v>
      </c>
      <c r="I30" s="20">
        <f>IF(('Submetering '!N31+'Submetering '!O31)*2.83&gt;0,('Submetering '!N31+'Submetering '!O31)*2.83,0)</f>
        <v>205.79760000000331</v>
      </c>
      <c r="J30" s="35">
        <v>7.5929284521204163</v>
      </c>
      <c r="K30" s="20">
        <f>IF(('Submetering '!P31+'Submetering '!Q31)*346.26&gt;0,('Submetering '!P31+'Submetering '!Q31)*346.26,0)</f>
        <v>9085.8624000093714</v>
      </c>
      <c r="L30" s="35">
        <v>0.1</v>
      </c>
      <c r="M30" s="29">
        <v>127</v>
      </c>
      <c r="N30" s="29">
        <v>215</v>
      </c>
    </row>
    <row r="31" spans="1:14" s="4" customFormat="1" x14ac:dyDescent="0.25">
      <c r="A31" s="4" t="s">
        <v>12</v>
      </c>
      <c r="B31" s="38">
        <f t="shared" si="0"/>
        <v>30</v>
      </c>
      <c r="C31" s="37">
        <v>6</v>
      </c>
      <c r="D31" s="29">
        <v>2022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219</v>
      </c>
      <c r="F31" s="35">
        <v>9.1207153153429615E-2</v>
      </c>
      <c r="G31" s="20">
        <f>IF(('Submetering '!M32)*2.8&gt;0,('Submetering '!M32)*2.8,0)</f>
        <v>1271.1999999999998</v>
      </c>
      <c r="H31" s="35">
        <v>0.41957845609805533</v>
      </c>
      <c r="I31" s="20">
        <f>IF(('Submetering '!N32+'Submetering '!O32)*2.83&gt;0,('Submetering '!N32+'Submetering '!O32)*2.83,0)</f>
        <v>206.39190000002142</v>
      </c>
      <c r="J31" s="35">
        <v>7.5929284521204163</v>
      </c>
      <c r="K31" s="20">
        <f>IF(('Submetering '!P32+'Submetering '!Q32)*346.26&gt;0,('Submetering '!P32+'Submetering '!Q32)*346.26,0)</f>
        <v>9127.4135999951632</v>
      </c>
      <c r="L31" s="35">
        <v>0.1</v>
      </c>
      <c r="M31" s="29">
        <v>99</v>
      </c>
      <c r="N31" s="29">
        <v>191</v>
      </c>
    </row>
    <row r="32" spans="1:14" x14ac:dyDescent="0.25">
      <c r="N32" s="2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selection activeCell="H17" sqref="H17"/>
    </sheetView>
  </sheetViews>
  <sheetFormatPr defaultColWidth="11.5703125" defaultRowHeight="15" x14ac:dyDescent="0.25"/>
  <cols>
    <col min="2" max="4" width="8.7109375" style="30" customWidth="1"/>
    <col min="5" max="5" width="10.85546875" style="42" customWidth="1"/>
    <col min="6" max="6" width="10.85546875" style="30" customWidth="1"/>
    <col min="7" max="7" width="10.85546875" style="42" customWidth="1"/>
    <col min="8" max="11" width="10.85546875" style="30" customWidth="1"/>
    <col min="12" max="12" width="10.85546875" style="42" customWidth="1"/>
    <col min="13" max="15" width="10.85546875" style="30" customWidth="1"/>
    <col min="16" max="17" width="11.5703125" style="30"/>
  </cols>
  <sheetData>
    <row r="1" spans="1:20" s="3" customFormat="1" ht="45" x14ac:dyDescent="0.25">
      <c r="A1" s="3" t="s">
        <v>0</v>
      </c>
      <c r="B1" s="36" t="s">
        <v>1</v>
      </c>
      <c r="C1" s="36" t="s">
        <v>2</v>
      </c>
      <c r="D1" s="36" t="s">
        <v>3</v>
      </c>
      <c r="E1" s="28" t="s">
        <v>16</v>
      </c>
      <c r="F1" s="28" t="s">
        <v>17</v>
      </c>
      <c r="G1" s="28" t="s">
        <v>18</v>
      </c>
      <c r="H1" s="28" t="s">
        <v>19</v>
      </c>
      <c r="I1" s="28" t="s">
        <v>20</v>
      </c>
      <c r="J1" s="28" t="s">
        <v>21</v>
      </c>
      <c r="K1" s="28" t="s">
        <v>22</v>
      </c>
      <c r="L1" s="28" t="s">
        <v>23</v>
      </c>
      <c r="M1" s="28" t="s">
        <v>24</v>
      </c>
      <c r="N1" s="28" t="s">
        <v>25</v>
      </c>
      <c r="O1" s="28" t="s">
        <v>26</v>
      </c>
      <c r="P1" s="28" t="s">
        <v>27</v>
      </c>
      <c r="Q1" s="28" t="s">
        <v>28</v>
      </c>
      <c r="R1" s="2"/>
    </row>
    <row r="2" spans="1:20" s="3" customFormat="1" x14ac:dyDescent="0.25">
      <c r="B2" s="36"/>
      <c r="C2" s="36"/>
      <c r="D2" s="36"/>
      <c r="E2" s="40"/>
      <c r="F2" s="20"/>
      <c r="G2" s="40"/>
      <c r="H2" s="41"/>
      <c r="I2" s="41"/>
      <c r="J2" s="41"/>
      <c r="K2" s="41"/>
      <c r="L2" s="40"/>
      <c r="M2" s="41"/>
      <c r="N2" s="41"/>
      <c r="O2" s="28"/>
      <c r="P2" s="28"/>
      <c r="Q2" s="36"/>
    </row>
    <row r="3" spans="1:20" s="4" customFormat="1" ht="12.75" x14ac:dyDescent="0.2">
      <c r="A3" s="4" t="s">
        <v>12</v>
      </c>
      <c r="B3" s="29">
        <v>1</v>
      </c>
      <c r="C3" s="37">
        <v>6</v>
      </c>
      <c r="D3" s="29">
        <v>2022</v>
      </c>
      <c r="E3" s="20">
        <f>DAILY!C4-DAILY!B4</f>
        <v>17</v>
      </c>
      <c r="F3" s="20">
        <f>DAILY!$C$5-DAILY!$B$5</f>
        <v>25</v>
      </c>
      <c r="G3" s="20">
        <f>DAILY!$C$6-DAILY!$B$6</f>
        <v>8</v>
      </c>
      <c r="H3" s="20">
        <f>DAILY!$C$7-DAILY!$B$7</f>
        <v>47</v>
      </c>
      <c r="I3" s="20">
        <f>DAILY!$C$8-DAILY!$B$8</f>
        <v>12</v>
      </c>
      <c r="J3" s="20">
        <f>DAILY!$C$9-DAILY!$B$9</f>
        <v>0</v>
      </c>
      <c r="K3" s="20">
        <f>DAILY!$C$10-DAILY!$B$10</f>
        <v>4</v>
      </c>
      <c r="L3" s="20">
        <f>DAILY!$C$11-DAILY!$B$11</f>
        <v>100</v>
      </c>
      <c r="M3" s="20">
        <f>DAILY!$C$12-DAILY!$B$12</f>
        <v>441</v>
      </c>
      <c r="N3" s="20">
        <f>DAILY!$C$13-DAILY!$B$13</f>
        <v>58.389999999999418</v>
      </c>
      <c r="O3" s="20">
        <f>DAILY!$C$14-DAILY!$B$14</f>
        <v>0</v>
      </c>
      <c r="P3" s="20">
        <f>DAILY!$C$15-DAILY!$B$15</f>
        <v>19.760000000009313</v>
      </c>
      <c r="Q3" s="20">
        <f>DAILY!$C$16-DAILY!$B$16</f>
        <v>5.4400000000023283</v>
      </c>
      <c r="R3" s="6"/>
      <c r="S3" s="6"/>
      <c r="T3" s="6"/>
    </row>
    <row r="4" spans="1:20" s="5" customFormat="1" x14ac:dyDescent="0.25">
      <c r="A4" s="4" t="s">
        <v>12</v>
      </c>
      <c r="B4" s="38">
        <f>B3+1</f>
        <v>2</v>
      </c>
      <c r="C4" s="37">
        <v>6</v>
      </c>
      <c r="D4" s="29">
        <v>2022</v>
      </c>
      <c r="E4" s="20">
        <f>DAILY!D4-DAILY!C4</f>
        <v>16</v>
      </c>
      <c r="F4" s="20">
        <f>DAILY!$D$5-DAILY!$C$5</f>
        <v>25</v>
      </c>
      <c r="G4" s="20">
        <f>DAILY!$D$6-DAILY!$C$6</f>
        <v>8</v>
      </c>
      <c r="H4" s="20">
        <f>DAILY!$D$7-DAILY!$C$7</f>
        <v>46</v>
      </c>
      <c r="I4" s="20">
        <f>DAILY!$D$8-DAILY!$C$8</f>
        <v>11</v>
      </c>
      <c r="J4" s="20">
        <f>DAILY!$D$9-DAILY!$C$9</f>
        <v>0</v>
      </c>
      <c r="K4" s="20">
        <f>DAILY!$D$10-DAILY!$C$10</f>
        <v>3</v>
      </c>
      <c r="L4" s="20">
        <f>DAILY!$D$11-DAILY!$C$11</f>
        <v>102</v>
      </c>
      <c r="M4" s="20">
        <f>DAILY!$D$12-DAILY!$C$12</f>
        <v>422</v>
      </c>
      <c r="N4" s="20">
        <f>DAILY!$D$13-DAILY!$C$13</f>
        <v>65.169999999998254</v>
      </c>
      <c r="O4" s="20">
        <f>DAILY!$D$14-DAILY!$C$14</f>
        <v>9</v>
      </c>
      <c r="P4" s="20">
        <f>DAILY!$D$15-DAILY!$C$15</f>
        <v>15.239999999990687</v>
      </c>
      <c r="Q4" s="20">
        <f>DAILY!$D$16-DAILY!$C$16</f>
        <v>4.2799999999988358</v>
      </c>
    </row>
    <row r="5" spans="1:20" s="5" customFormat="1" x14ac:dyDescent="0.25">
      <c r="A5" s="4" t="s">
        <v>12</v>
      </c>
      <c r="B5" s="38">
        <f t="shared" ref="B5:B32" si="0">B4+1</f>
        <v>3</v>
      </c>
      <c r="C5" s="37">
        <v>6</v>
      </c>
      <c r="D5" s="29">
        <v>2022</v>
      </c>
      <c r="E5" s="20">
        <f>DAILY!E4-DAILY!D4</f>
        <v>17</v>
      </c>
      <c r="F5" s="20">
        <f>DAILY!$E$5-DAILY!$D$5</f>
        <v>26</v>
      </c>
      <c r="G5" s="20">
        <f>DAILY!$E$6-DAILY!$D$6</f>
        <v>9</v>
      </c>
      <c r="H5" s="20">
        <f>DAILY!$E$7-DAILY!$D$7</f>
        <v>47</v>
      </c>
      <c r="I5" s="20">
        <f>DAILY!$E$8-DAILY!$D$8</f>
        <v>12</v>
      </c>
      <c r="J5" s="20">
        <f>DAILY!$E$9-DAILY!$D$9</f>
        <v>0</v>
      </c>
      <c r="K5" s="20">
        <f>DAILY!$E$10-DAILY!$D$10</f>
        <v>4</v>
      </c>
      <c r="L5" s="20">
        <f>DAILY!$E$11-DAILY!$D$11</f>
        <v>168</v>
      </c>
      <c r="M5" s="20">
        <f>DAILY!$E$12-DAILY!$D$12</f>
        <v>429</v>
      </c>
      <c r="N5" s="20">
        <f>DAILY!$E$13-DAILY!$D$13</f>
        <v>74.330000000001746</v>
      </c>
      <c r="O5" s="20">
        <f>DAILY!$E$14-DAILY!$D$14</f>
        <v>0</v>
      </c>
      <c r="P5" s="20">
        <f>DAILY!$E$15-DAILY!$D$15</f>
        <v>23.540000000008149</v>
      </c>
      <c r="Q5" s="20">
        <f>DAILY!$E$16-DAILY!$D$16</f>
        <v>8.8799999999973807</v>
      </c>
    </row>
    <row r="6" spans="1:20" s="5" customFormat="1" x14ac:dyDescent="0.25">
      <c r="A6" s="4" t="s">
        <v>12</v>
      </c>
      <c r="B6" s="38">
        <f t="shared" si="0"/>
        <v>4</v>
      </c>
      <c r="C6" s="37">
        <v>6</v>
      </c>
      <c r="D6" s="29">
        <v>2022</v>
      </c>
      <c r="E6" s="20">
        <f>DAILY!F4-DAILY!E4</f>
        <v>19</v>
      </c>
      <c r="F6" s="20">
        <f>DAILY!$F$5-DAILY!$E$5</f>
        <v>25</v>
      </c>
      <c r="G6" s="20">
        <f>DAILY!$F$6-DAILY!$E$6</f>
        <v>9</v>
      </c>
      <c r="H6" s="20">
        <f>DAILY!$F$7-DAILY!$E$7</f>
        <v>45</v>
      </c>
      <c r="I6" s="20">
        <f>DAILY!$F$8-DAILY!$E$8</f>
        <v>11</v>
      </c>
      <c r="J6" s="20">
        <f>DAILY!$F$9-DAILY!$E$9</f>
        <v>0</v>
      </c>
      <c r="K6" s="20">
        <f>DAILY!$F$10-DAILY!$E$10</f>
        <v>3</v>
      </c>
      <c r="L6" s="20">
        <f>DAILY!$F$11-DAILY!$E$11</f>
        <v>39</v>
      </c>
      <c r="M6" s="20">
        <f>DAILY!$F$12-DAILY!$E$12</f>
        <v>455</v>
      </c>
      <c r="N6" s="20">
        <f>DAILY!$F$13-DAILY!$E$13</f>
        <v>64.940000000002328</v>
      </c>
      <c r="O6" s="20">
        <f>DAILY!$F$14-DAILY!$E$14</f>
        <v>0</v>
      </c>
      <c r="P6" s="20">
        <f>DAILY!$F$15-DAILY!$E$15</f>
        <v>23.119999999995343</v>
      </c>
      <c r="Q6" s="20">
        <f>DAILY!$F$16-DAILY!$E$16</f>
        <v>6.9400000000023283</v>
      </c>
    </row>
    <row r="7" spans="1:20" s="5" customFormat="1" x14ac:dyDescent="0.25">
      <c r="A7" s="4" t="s">
        <v>12</v>
      </c>
      <c r="B7" s="38">
        <f t="shared" si="0"/>
        <v>5</v>
      </c>
      <c r="C7" s="37">
        <v>6</v>
      </c>
      <c r="D7" s="29">
        <v>2022</v>
      </c>
      <c r="E7" s="20">
        <f>DAILY!G4-DAILY!F4</f>
        <v>19</v>
      </c>
      <c r="F7" s="20">
        <f>DAILY!$G$5-DAILY!$F$5</f>
        <v>27</v>
      </c>
      <c r="G7" s="20">
        <f>DAILY!$G$6-DAILY!$F$6</f>
        <v>9</v>
      </c>
      <c r="H7" s="20">
        <f>DAILY!$G$7-DAILY!$F$7</f>
        <v>47</v>
      </c>
      <c r="I7" s="20">
        <f>DAILY!$G$8-DAILY!$F$8</f>
        <v>13</v>
      </c>
      <c r="J7" s="20">
        <f>DAILY!$G$9-DAILY!$F$9</f>
        <v>0</v>
      </c>
      <c r="K7" s="20">
        <f>DAILY!$G$10-DAILY!$F$10</f>
        <v>3</v>
      </c>
      <c r="L7" s="20">
        <f>DAILY!$G$11-DAILY!$F$11</f>
        <v>94</v>
      </c>
      <c r="M7" s="20">
        <f>DAILY!$G$12-DAILY!$F$12</f>
        <v>461</v>
      </c>
      <c r="N7" s="20">
        <f>DAILY!$G$13-DAILY!$F$13</f>
        <v>62.440000000002328</v>
      </c>
      <c r="O7" s="20">
        <f>DAILY!$G$14-DAILY!$F$14</f>
        <v>0</v>
      </c>
      <c r="P7" s="20">
        <f>DAILY!$G$15-DAILY!$F$15</f>
        <v>24.299999999988358</v>
      </c>
      <c r="Q7" s="20">
        <f>DAILY!$G$16-DAILY!$F$16</f>
        <v>7.3799999999973807</v>
      </c>
    </row>
    <row r="8" spans="1:20" s="5" customFormat="1" x14ac:dyDescent="0.25">
      <c r="A8" s="4" t="s">
        <v>12</v>
      </c>
      <c r="B8" s="38">
        <f t="shared" si="0"/>
        <v>6</v>
      </c>
      <c r="C8" s="37">
        <v>6</v>
      </c>
      <c r="D8" s="29">
        <v>2022</v>
      </c>
      <c r="E8" s="20">
        <f>DAILY!H4-DAILY!G4</f>
        <v>17</v>
      </c>
      <c r="F8" s="20">
        <f>DAILY!$H$5-DAILY!$G$5</f>
        <v>26</v>
      </c>
      <c r="G8" s="20">
        <f>DAILY!$H$6-DAILY!$G$6</f>
        <v>9</v>
      </c>
      <c r="H8" s="20">
        <f>DAILY!$H$7-DAILY!$G$7</f>
        <v>47</v>
      </c>
      <c r="I8" s="20">
        <f>DAILY!$H$8-DAILY!$G$8</f>
        <v>13</v>
      </c>
      <c r="J8" s="20">
        <f>DAILY!$H$9-DAILY!$G$9</f>
        <v>0</v>
      </c>
      <c r="K8" s="20">
        <f>DAILY!$H$10-DAILY!$G$10</f>
        <v>4</v>
      </c>
      <c r="L8" s="20">
        <f>DAILY!$H$11-DAILY!$G$11</f>
        <v>102</v>
      </c>
      <c r="M8" s="20">
        <f>DAILY!$H$12-DAILY!$G$12</f>
        <v>457</v>
      </c>
      <c r="N8" s="20">
        <f>DAILY!$H$13-DAILY!$G$13</f>
        <v>61.759999999994761</v>
      </c>
      <c r="O8" s="20">
        <f>DAILY!$H$14-DAILY!$G$14</f>
        <v>0</v>
      </c>
      <c r="P8" s="20">
        <f>DAILY!$H$15-DAILY!$G$15</f>
        <v>23.5</v>
      </c>
      <c r="Q8" s="20">
        <f>DAILY!$H$16-DAILY!$G$16</f>
        <v>7.0200000000040745</v>
      </c>
    </row>
    <row r="9" spans="1:20" s="5" customFormat="1" x14ac:dyDescent="0.25">
      <c r="A9" s="4" t="s">
        <v>12</v>
      </c>
      <c r="B9" s="38">
        <f t="shared" si="0"/>
        <v>7</v>
      </c>
      <c r="C9" s="37">
        <v>6</v>
      </c>
      <c r="D9" s="29">
        <v>2022</v>
      </c>
      <c r="E9" s="20">
        <f>DAILY!I4-DAILY!H4</f>
        <v>16</v>
      </c>
      <c r="F9" s="20">
        <f>DAILY!$I$5-DAILY!$H$5</f>
        <v>24</v>
      </c>
      <c r="G9" s="20">
        <f>DAILY!$I$6-DAILY!$H$6</f>
        <v>9</v>
      </c>
      <c r="H9" s="20">
        <f>DAILY!$I$7-DAILY!$H$7</f>
        <v>46</v>
      </c>
      <c r="I9" s="20">
        <f>DAILY!$I$8-DAILY!$H$8</f>
        <v>11</v>
      </c>
      <c r="J9" s="20">
        <f>DAILY!$I$9-DAILY!$H$9</f>
        <v>0</v>
      </c>
      <c r="K9" s="20">
        <f>DAILY!$I$10-DAILY!$H$10</f>
        <v>3</v>
      </c>
      <c r="L9" s="20">
        <f>DAILY!$I$11-DAILY!$H$11</f>
        <v>98</v>
      </c>
      <c r="M9" s="20">
        <f>DAILY!$I$12-DAILY!$H$12</f>
        <v>436</v>
      </c>
      <c r="N9" s="20">
        <f>DAILY!$I$13-DAILY!$H$13</f>
        <v>49.220000000001164</v>
      </c>
      <c r="O9" s="20">
        <f>DAILY!$I$14-DAILY!$H$14</f>
        <v>0</v>
      </c>
      <c r="P9" s="20">
        <f>DAILY!$I$15-DAILY!$H$15</f>
        <v>21.660000000003492</v>
      </c>
      <c r="Q9" s="20">
        <f>DAILY!$I$16-DAILY!$H$16</f>
        <v>6.3799999999973807</v>
      </c>
    </row>
    <row r="10" spans="1:20" s="5" customFormat="1" x14ac:dyDescent="0.25">
      <c r="A10" s="4" t="s">
        <v>12</v>
      </c>
      <c r="B10" s="38">
        <f t="shared" si="0"/>
        <v>8</v>
      </c>
      <c r="C10" s="37">
        <v>6</v>
      </c>
      <c r="D10" s="29">
        <v>2022</v>
      </c>
      <c r="E10" s="20">
        <f>DAILY!J4-DAILY!I4</f>
        <v>19</v>
      </c>
      <c r="F10" s="20">
        <f>DAILY!$J$5-DAILY!$I$5</f>
        <v>27</v>
      </c>
      <c r="G10" s="20">
        <f>DAILY!$J$6-DAILY!$I$6</f>
        <v>10</v>
      </c>
      <c r="H10" s="20">
        <f>DAILY!$J$7-DAILY!$I$7</f>
        <v>48</v>
      </c>
      <c r="I10" s="20">
        <f>DAILY!$J$8-DAILY!$I$8</f>
        <v>13</v>
      </c>
      <c r="J10" s="20">
        <f>DAILY!$J$9-DAILY!$I$9</f>
        <v>0</v>
      </c>
      <c r="K10" s="20">
        <f>DAILY!$J$10-DAILY!$I$10</f>
        <v>3</v>
      </c>
      <c r="L10" s="20">
        <f>DAILY!$J$11-DAILY!$I$11</f>
        <v>102</v>
      </c>
      <c r="M10" s="20">
        <f>DAILY!$J$12-DAILY!$I$12</f>
        <v>464</v>
      </c>
      <c r="N10" s="20">
        <f>DAILY!$J$13-DAILY!$I$13</f>
        <v>69.110000000000582</v>
      </c>
      <c r="O10" s="20">
        <f>DAILY!$J$14-DAILY!$I$14</f>
        <v>0</v>
      </c>
      <c r="P10" s="20">
        <f>DAILY!$J$15-DAILY!$I$15</f>
        <v>22.940000000002328</v>
      </c>
      <c r="Q10" s="20">
        <f>DAILY!$J$16-DAILY!$I$16</f>
        <v>6.5999999999985448</v>
      </c>
    </row>
    <row r="11" spans="1:20" s="5" customFormat="1" x14ac:dyDescent="0.25">
      <c r="A11" s="4" t="s">
        <v>12</v>
      </c>
      <c r="B11" s="38">
        <f t="shared" si="0"/>
        <v>9</v>
      </c>
      <c r="C11" s="37">
        <v>6</v>
      </c>
      <c r="D11" s="29">
        <v>2022</v>
      </c>
      <c r="E11" s="20">
        <f>DAILY!K4-DAILY!J4</f>
        <v>17</v>
      </c>
      <c r="F11" s="20">
        <f>DAILY!$K$5-DAILY!$J$5</f>
        <v>24</v>
      </c>
      <c r="G11" s="20">
        <f>DAILY!$K$6-DAILY!$J$6</f>
        <v>8</v>
      </c>
      <c r="H11" s="20">
        <f>DAILY!$K$7-DAILY!$J$7</f>
        <v>42</v>
      </c>
      <c r="I11" s="20">
        <f>DAILY!$K$8-DAILY!$J$8</f>
        <v>13</v>
      </c>
      <c r="J11" s="20">
        <f>DAILY!$K$9-DAILY!$J$9</f>
        <v>0</v>
      </c>
      <c r="K11" s="20">
        <f>DAILY!$K$10-DAILY!$J$10</f>
        <v>4</v>
      </c>
      <c r="L11" s="20">
        <f>DAILY!$K$11-DAILY!$J$11</f>
        <v>95</v>
      </c>
      <c r="M11" s="20">
        <f>DAILY!$K$12-DAILY!$J$12</f>
        <v>391</v>
      </c>
      <c r="N11" s="20">
        <f>DAILY!$K$13-DAILY!$J$13</f>
        <v>65.110000000000582</v>
      </c>
      <c r="O11" s="20">
        <f>DAILY!$K$14-DAILY!$J$14</f>
        <v>0</v>
      </c>
      <c r="P11" s="20">
        <f>DAILY!$K$15-DAILY!$J$15</f>
        <v>22.480000000010477</v>
      </c>
      <c r="Q11" s="20">
        <f>DAILY!$K$16-DAILY!$J$16</f>
        <v>6.9000000000014552</v>
      </c>
    </row>
    <row r="12" spans="1:20" s="5" customFormat="1" x14ac:dyDescent="0.25">
      <c r="A12" s="4" t="s">
        <v>12</v>
      </c>
      <c r="B12" s="38">
        <f t="shared" si="0"/>
        <v>10</v>
      </c>
      <c r="C12" s="37">
        <v>6</v>
      </c>
      <c r="D12" s="29">
        <v>2022</v>
      </c>
      <c r="E12" s="20">
        <f>DAILY!L4-DAILY!K4</f>
        <v>18</v>
      </c>
      <c r="F12" s="20">
        <f>DAILY!$L$5-DAILY!$K$5</f>
        <v>26</v>
      </c>
      <c r="G12" s="20">
        <f>DAILY!$L$6-DAILY!$K$6</f>
        <v>9</v>
      </c>
      <c r="H12" s="20">
        <f>DAILY!$L$7-DAILY!$K$7</f>
        <v>44</v>
      </c>
      <c r="I12" s="20">
        <f>DAILY!$L$8-DAILY!$K$8</f>
        <v>11</v>
      </c>
      <c r="J12" s="20">
        <f>DAILY!$L$9-DAILY!$K$9</f>
        <v>0</v>
      </c>
      <c r="K12" s="20">
        <f>DAILY!$L$10-DAILY!$K$10</f>
        <v>3</v>
      </c>
      <c r="L12" s="20">
        <f>DAILY!$L$11-DAILY!$K$11</f>
        <v>96</v>
      </c>
      <c r="M12" s="20">
        <f>DAILY!$L$12-DAILY!$K$12</f>
        <v>433</v>
      </c>
      <c r="N12" s="20">
        <f>DAILY!$L$13-DAILY!$K$13</f>
        <v>74.389999999999418</v>
      </c>
      <c r="O12" s="20">
        <f>DAILY!$L$14-DAILY!$K$14</f>
        <v>0</v>
      </c>
      <c r="P12" s="20">
        <f>DAILY!$L$15-DAILY!$K$15</f>
        <v>22.940000000002328</v>
      </c>
      <c r="Q12" s="20">
        <f>DAILY!$L$16-DAILY!$K$16</f>
        <v>6.819999999999709</v>
      </c>
    </row>
    <row r="13" spans="1:20" s="5" customFormat="1" x14ac:dyDescent="0.25">
      <c r="A13" s="4" t="s">
        <v>12</v>
      </c>
      <c r="B13" s="38">
        <f t="shared" si="0"/>
        <v>11</v>
      </c>
      <c r="C13" s="37">
        <v>6</v>
      </c>
      <c r="D13" s="29">
        <v>2022</v>
      </c>
      <c r="E13" s="20">
        <f>DAILY!M4-DAILY!L4</f>
        <v>20</v>
      </c>
      <c r="F13" s="20">
        <f>DAILY!$M$5-DAILY!$L$5</f>
        <v>28</v>
      </c>
      <c r="G13" s="20">
        <f>DAILY!$M$6-DAILY!$L$6</f>
        <v>9</v>
      </c>
      <c r="H13" s="20">
        <f>DAILY!$M$7-DAILY!$L$7</f>
        <v>65</v>
      </c>
      <c r="I13" s="20">
        <f>DAILY!$M$8-DAILY!$L$8</f>
        <v>11</v>
      </c>
      <c r="J13" s="20">
        <f>DAILY!$M$9-DAILY!$L$9</f>
        <v>0</v>
      </c>
      <c r="K13" s="20">
        <f>DAILY!$M$10-DAILY!$L$10</f>
        <v>3</v>
      </c>
      <c r="L13" s="20">
        <f>DAILY!$M$11-DAILY!$L$11</f>
        <v>100</v>
      </c>
      <c r="M13" s="20">
        <f>DAILY!$M$12-DAILY!$L$12</f>
        <v>474</v>
      </c>
      <c r="N13" s="20">
        <f>DAILY!$M$13-DAILY!$L$13</f>
        <v>71.610000000000582</v>
      </c>
      <c r="O13" s="20">
        <f>DAILY!$M$14-DAILY!$L$14</f>
        <v>0</v>
      </c>
      <c r="P13" s="20">
        <f>DAILY!$M$15-DAILY!$L$15</f>
        <v>23.779999999998836</v>
      </c>
      <c r="Q13" s="20">
        <f>DAILY!$M$16-DAILY!$L$16</f>
        <v>7.0999999999985448</v>
      </c>
    </row>
    <row r="14" spans="1:20" s="5" customFormat="1" x14ac:dyDescent="0.25">
      <c r="A14" s="4" t="s">
        <v>12</v>
      </c>
      <c r="B14" s="38">
        <f t="shared" si="0"/>
        <v>12</v>
      </c>
      <c r="C14" s="37">
        <v>6</v>
      </c>
      <c r="D14" s="29">
        <v>2022</v>
      </c>
      <c r="E14" s="20">
        <f>DAILY!N4-DAILY!M4</f>
        <v>18</v>
      </c>
      <c r="F14" s="20">
        <f>DAILY!$N$5-DAILY!$M$5</f>
        <v>26</v>
      </c>
      <c r="G14" s="20">
        <f>DAILY!$N$6-DAILY!$M$6</f>
        <v>9</v>
      </c>
      <c r="H14" s="20">
        <f>DAILY!$N$7-DAILY!$M$7</f>
        <v>26</v>
      </c>
      <c r="I14" s="20">
        <f>DAILY!$N$8-DAILY!$M$8</f>
        <v>13</v>
      </c>
      <c r="J14" s="20">
        <f>DAILY!$N$9-DAILY!$M$9</f>
        <v>0</v>
      </c>
      <c r="K14" s="20">
        <f>DAILY!$N$10-DAILY!$M$10</f>
        <v>4</v>
      </c>
      <c r="L14" s="20">
        <f>DAILY!$N$11-DAILY!$M$11</f>
        <v>91</v>
      </c>
      <c r="M14" s="20">
        <f>DAILY!$N$12-DAILY!$M$12</f>
        <v>462</v>
      </c>
      <c r="N14" s="20">
        <f>DAILY!$N$13-DAILY!$M$13</f>
        <v>63.660000000003492</v>
      </c>
      <c r="O14" s="20">
        <f>DAILY!$N$14-DAILY!$M$14</f>
        <v>0</v>
      </c>
      <c r="P14" s="20">
        <f>DAILY!$N$15-DAILY!$M$15</f>
        <v>25.35999999998603</v>
      </c>
      <c r="Q14" s="20">
        <f>DAILY!$N$16-DAILY!$M$16</f>
        <v>7.7000000000043656</v>
      </c>
    </row>
    <row r="15" spans="1:20" s="5" customFormat="1" x14ac:dyDescent="0.25">
      <c r="A15" s="4" t="s">
        <v>12</v>
      </c>
      <c r="B15" s="38">
        <f t="shared" si="0"/>
        <v>13</v>
      </c>
      <c r="C15" s="37">
        <v>6</v>
      </c>
      <c r="D15" s="29">
        <v>2022</v>
      </c>
      <c r="E15" s="20">
        <f>DAILY!O4-DAILY!N4</f>
        <v>18</v>
      </c>
      <c r="F15" s="20">
        <f>DAILY!$O$5-DAILY!$N$5</f>
        <v>23</v>
      </c>
      <c r="G15" s="20">
        <f>DAILY!$O$6-DAILY!$N$6</f>
        <v>9</v>
      </c>
      <c r="H15" s="20">
        <f>DAILY!$O$7-DAILY!$N$7</f>
        <v>45</v>
      </c>
      <c r="I15" s="20">
        <f>DAILY!$O$8-DAILY!$N$8</f>
        <v>12</v>
      </c>
      <c r="J15" s="20">
        <f>DAILY!$O$9-DAILY!$N$9</f>
        <v>0</v>
      </c>
      <c r="K15" s="20">
        <f>DAILY!$O$10-DAILY!$N$10</f>
        <v>3</v>
      </c>
      <c r="L15" s="20">
        <f>DAILY!$O$11-DAILY!$N$11</f>
        <v>95</v>
      </c>
      <c r="M15" s="20">
        <f>DAILY!$O$12-DAILY!$N$12</f>
        <v>442</v>
      </c>
      <c r="N15" s="20">
        <f>DAILY!$O$13-DAILY!$N$13</f>
        <v>57.819999999992433</v>
      </c>
      <c r="O15" s="20">
        <f>DAILY!$O$14-DAILY!$N$14</f>
        <v>0</v>
      </c>
      <c r="P15" s="20">
        <f>DAILY!$O$15-DAILY!$N$15</f>
        <v>25.040000000008149</v>
      </c>
      <c r="Q15" s="20">
        <f>DAILY!$O$16-DAILY!$N$16</f>
        <v>7.7399999999979627</v>
      </c>
    </row>
    <row r="16" spans="1:20" s="5" customFormat="1" x14ac:dyDescent="0.25">
      <c r="A16" s="4" t="s">
        <v>12</v>
      </c>
      <c r="B16" s="38">
        <f t="shared" si="0"/>
        <v>14</v>
      </c>
      <c r="C16" s="37">
        <v>6</v>
      </c>
      <c r="D16" s="29">
        <v>2022</v>
      </c>
      <c r="E16" s="20">
        <f>DAILY!P4-DAILY!O4</f>
        <v>18</v>
      </c>
      <c r="F16" s="20">
        <f>DAILY!$P$5-DAILY!$O$5</f>
        <v>26</v>
      </c>
      <c r="G16" s="20">
        <f>DAILY!$P$6-DAILY!$O$6</f>
        <v>10</v>
      </c>
      <c r="H16" s="20">
        <f>DAILY!$P$7-DAILY!$O$7</f>
        <v>47</v>
      </c>
      <c r="I16" s="20">
        <f>DAILY!$P$8-DAILY!$O$8</f>
        <v>13</v>
      </c>
      <c r="J16" s="20">
        <f>DAILY!$P$9-DAILY!$O$9</f>
        <v>0</v>
      </c>
      <c r="K16" s="20">
        <f>DAILY!$P$10-DAILY!$O$10</f>
        <v>4</v>
      </c>
      <c r="L16" s="20">
        <f>DAILY!$P$11-DAILY!$O$11</f>
        <v>99</v>
      </c>
      <c r="M16" s="20">
        <f>DAILY!$P$12-DAILY!$O$12</f>
        <v>460</v>
      </c>
      <c r="N16" s="20">
        <f>DAILY!$P$13-DAILY!$O$13</f>
        <v>59.480000000010477</v>
      </c>
      <c r="O16" s="20">
        <f>DAILY!$P$14-DAILY!$O$14</f>
        <v>0</v>
      </c>
      <c r="P16" s="20">
        <f>DAILY!$P$15-DAILY!$O$15</f>
        <v>25.459999999991851</v>
      </c>
      <c r="Q16" s="20">
        <f>DAILY!$P$16-DAILY!$O$16</f>
        <v>7.7799999999988358</v>
      </c>
    </row>
    <row r="17" spans="1:17" s="5" customFormat="1" x14ac:dyDescent="0.25">
      <c r="A17" s="4" t="s">
        <v>12</v>
      </c>
      <c r="B17" s="38">
        <f t="shared" si="0"/>
        <v>15</v>
      </c>
      <c r="C17" s="37">
        <v>6</v>
      </c>
      <c r="D17" s="29">
        <v>2022</v>
      </c>
      <c r="E17" s="20">
        <f>DAILY!Q4-DAILY!P4</f>
        <v>18</v>
      </c>
      <c r="F17" s="20">
        <f>DAILY!$Q$5-DAILY!$P$5</f>
        <v>25</v>
      </c>
      <c r="G17" s="20">
        <f>DAILY!$Q$6-DAILY!$P$6</f>
        <v>9</v>
      </c>
      <c r="H17" s="20">
        <f>DAILY!$Q$7-DAILY!$P$7</f>
        <v>46</v>
      </c>
      <c r="I17" s="20">
        <f>DAILY!$Q$8-DAILY!$P$8</f>
        <v>12</v>
      </c>
      <c r="J17" s="20">
        <f>DAILY!$Q$9-DAILY!$P$9</f>
        <v>0</v>
      </c>
      <c r="K17" s="20">
        <f>DAILY!$Q$10-DAILY!$P$10</f>
        <v>3</v>
      </c>
      <c r="L17" s="20">
        <f>DAILY!$Q$11-DAILY!$P$11</f>
        <v>94</v>
      </c>
      <c r="M17" s="20">
        <f>DAILY!$Q$12-DAILY!$P$12</f>
        <v>444</v>
      </c>
      <c r="N17" s="20">
        <f>DAILY!$Q$13-DAILY!$P$13</f>
        <v>62.919999999998254</v>
      </c>
      <c r="O17" s="20">
        <f>DAILY!$Q$14-DAILY!$P$14</f>
        <v>0</v>
      </c>
      <c r="P17" s="20">
        <f>DAILY!$Q$15-DAILY!$P$15</f>
        <v>23.839999999996508</v>
      </c>
      <c r="Q17" s="20">
        <f>DAILY!$Q$16-DAILY!$P$16</f>
        <v>7.2399999999979627</v>
      </c>
    </row>
    <row r="18" spans="1:17" s="5" customFormat="1" x14ac:dyDescent="0.25">
      <c r="A18" s="4" t="s">
        <v>12</v>
      </c>
      <c r="B18" s="38">
        <f t="shared" si="0"/>
        <v>16</v>
      </c>
      <c r="C18" s="37">
        <v>6</v>
      </c>
      <c r="D18" s="29">
        <v>2022</v>
      </c>
      <c r="E18" s="20">
        <f>DAILY!R4-DAILY!Q4</f>
        <v>18</v>
      </c>
      <c r="F18" s="20">
        <f>DAILY!$R$5-DAILY!$Q$5</f>
        <v>25</v>
      </c>
      <c r="G18" s="20">
        <f>DAILY!$R$6-DAILY!$Q$6</f>
        <v>9</v>
      </c>
      <c r="H18" s="20">
        <f>DAILY!$R$7-DAILY!$Q$7</f>
        <v>44</v>
      </c>
      <c r="I18" s="20">
        <f>DAILY!$R$8-DAILY!$Q$8</f>
        <v>12</v>
      </c>
      <c r="J18" s="20">
        <f>DAILY!$R$9-DAILY!$Q$9</f>
        <v>0</v>
      </c>
      <c r="K18" s="20">
        <f>DAILY!$R$10-DAILY!$Q$10</f>
        <v>3</v>
      </c>
      <c r="L18" s="20">
        <f>DAILY!$R$11-DAILY!$Q$11</f>
        <v>98</v>
      </c>
      <c r="M18" s="20">
        <f>DAILY!$R$12-DAILY!$Q$12</f>
        <v>441</v>
      </c>
      <c r="N18" s="20">
        <f>DAILY!$R$13-DAILY!$Q$13</f>
        <v>65.360000000000582</v>
      </c>
      <c r="O18" s="20">
        <f>DAILY!$R$14-DAILY!$Q$14</f>
        <v>0</v>
      </c>
      <c r="P18" s="20">
        <f>DAILY!$R$15-DAILY!$Q$15</f>
        <v>22.300000000017462</v>
      </c>
      <c r="Q18" s="20">
        <f>DAILY!$R$16-DAILY!$Q$16</f>
        <v>6.7200000000011642</v>
      </c>
    </row>
    <row r="19" spans="1:17" s="5" customFormat="1" x14ac:dyDescent="0.25">
      <c r="A19" s="4" t="s">
        <v>12</v>
      </c>
      <c r="B19" s="38">
        <f t="shared" si="0"/>
        <v>17</v>
      </c>
      <c r="C19" s="37">
        <v>6</v>
      </c>
      <c r="D19" s="29">
        <v>2022</v>
      </c>
      <c r="E19" s="20">
        <f>DAILY!S4-DAILY!R4</f>
        <v>19</v>
      </c>
      <c r="F19" s="20">
        <f>DAILY!$S$5-DAILY!$R$5</f>
        <v>25</v>
      </c>
      <c r="G19" s="20">
        <f>DAILY!$S$6-DAILY!$R$6</f>
        <v>9</v>
      </c>
      <c r="H19" s="20">
        <f>DAILY!$S$7-DAILY!$R$7</f>
        <v>46</v>
      </c>
      <c r="I19" s="20">
        <f>DAILY!$S$8-DAILY!$R$8</f>
        <v>11</v>
      </c>
      <c r="J19" s="20">
        <f>DAILY!$S$9-DAILY!$R$9</f>
        <v>0</v>
      </c>
      <c r="K19" s="20">
        <f>DAILY!$S$10-DAILY!$R$10</f>
        <v>4</v>
      </c>
      <c r="L19" s="20">
        <f>DAILY!$S$11-DAILY!$R$11</f>
        <v>101</v>
      </c>
      <c r="M19" s="20">
        <f>DAILY!$S$12-DAILY!$R$12</f>
        <v>419</v>
      </c>
      <c r="N19" s="20">
        <f>DAILY!$S$13-DAILY!$R$13</f>
        <v>65.309999999997672</v>
      </c>
      <c r="O19" s="20">
        <f>DAILY!$S$14-DAILY!$R$14</f>
        <v>0</v>
      </c>
      <c r="P19" s="20">
        <f>DAILY!$S$15-DAILY!$R$15</f>
        <v>23.720000000001164</v>
      </c>
      <c r="Q19" s="20">
        <f>DAILY!$S$16-DAILY!$R$16</f>
        <v>7.2200000000011642</v>
      </c>
    </row>
    <row r="20" spans="1:17" s="5" customFormat="1" x14ac:dyDescent="0.25">
      <c r="A20" s="4" t="s">
        <v>12</v>
      </c>
      <c r="B20" s="38">
        <f t="shared" si="0"/>
        <v>18</v>
      </c>
      <c r="C20" s="37">
        <v>6</v>
      </c>
      <c r="D20" s="29">
        <v>2022</v>
      </c>
      <c r="E20" s="20">
        <f>DAILY!T4-DAILY!S4</f>
        <v>19</v>
      </c>
      <c r="F20" s="20">
        <f>DAILY!$T$5-DAILY!$S$5</f>
        <v>26</v>
      </c>
      <c r="G20" s="20">
        <f>DAILY!$T$6-DAILY!$S$6</f>
        <v>9</v>
      </c>
      <c r="H20" s="20">
        <f>DAILY!$T$7-DAILY!$S$7</f>
        <v>45</v>
      </c>
      <c r="I20" s="20">
        <f>DAILY!$T$8-DAILY!$S$8</f>
        <v>12</v>
      </c>
      <c r="J20" s="20">
        <f>DAILY!$T$9-DAILY!$S$9</f>
        <v>0</v>
      </c>
      <c r="K20" s="20">
        <f>DAILY!$T$10-DAILY!$S$10</f>
        <v>3</v>
      </c>
      <c r="L20" s="20">
        <f>DAILY!$T$11-DAILY!$S$11</f>
        <v>98</v>
      </c>
      <c r="M20" s="20">
        <f>DAILY!$T$12-DAILY!$S$12</f>
        <v>440</v>
      </c>
      <c r="N20" s="20">
        <f>DAILY!$T$13-DAILY!$S$13</f>
        <v>73.559999999997672</v>
      </c>
      <c r="O20" s="20">
        <f>DAILY!$T$14-DAILY!$S$14</f>
        <v>0</v>
      </c>
      <c r="P20" s="20">
        <f>DAILY!$T$15-DAILY!$S$15</f>
        <v>25.039999999979045</v>
      </c>
      <c r="Q20" s="20">
        <f>DAILY!$T$16-DAILY!$S$16</f>
        <v>7.7399999999979627</v>
      </c>
    </row>
    <row r="21" spans="1:17" s="5" customFormat="1" x14ac:dyDescent="0.25">
      <c r="A21" s="4" t="s">
        <v>12</v>
      </c>
      <c r="B21" s="38">
        <f t="shared" si="0"/>
        <v>19</v>
      </c>
      <c r="C21" s="37">
        <v>6</v>
      </c>
      <c r="D21" s="29">
        <v>2022</v>
      </c>
      <c r="E21" s="20">
        <f>DAILY!U4-DAILY!T4</f>
        <v>21</v>
      </c>
      <c r="F21" s="20">
        <f>DAILY!$U$5-DAILY!$T$5</f>
        <v>27</v>
      </c>
      <c r="G21" s="20">
        <f>DAILY!$U$6-DAILY!$T$6</f>
        <v>10</v>
      </c>
      <c r="H21" s="20">
        <f>DAILY!$U$7-DAILY!$T$7</f>
        <v>48</v>
      </c>
      <c r="I21" s="20">
        <f>DAILY!$U$8-DAILY!$T$8</f>
        <v>13</v>
      </c>
      <c r="J21" s="20">
        <f>DAILY!$U$9-DAILY!$T$9</f>
        <v>0</v>
      </c>
      <c r="K21" s="20">
        <f>DAILY!$U$10-DAILY!$T$10</f>
        <v>3</v>
      </c>
      <c r="L21" s="20">
        <f>DAILY!$U$11-DAILY!$T$11</f>
        <v>99</v>
      </c>
      <c r="M21" s="20">
        <f>DAILY!$U$12-DAILY!$T$12</f>
        <v>458</v>
      </c>
      <c r="N21" s="20">
        <f>DAILY!$U$13-DAILY!$T$13</f>
        <v>65.650000000008731</v>
      </c>
      <c r="O21" s="20">
        <f>DAILY!$U$14-DAILY!$T$14</f>
        <v>0</v>
      </c>
      <c r="P21" s="20">
        <f>DAILY!$U$15-DAILY!$T$15</f>
        <v>26.339999999996508</v>
      </c>
      <c r="Q21" s="20">
        <f>DAILY!$U$16-DAILY!$T$16</f>
        <v>8.1200000000026193</v>
      </c>
    </row>
    <row r="22" spans="1:17" s="5" customFormat="1" x14ac:dyDescent="0.25">
      <c r="A22" s="4" t="s">
        <v>12</v>
      </c>
      <c r="B22" s="38">
        <f t="shared" si="0"/>
        <v>20</v>
      </c>
      <c r="C22" s="37">
        <v>6</v>
      </c>
      <c r="D22" s="29">
        <v>2022</v>
      </c>
      <c r="E22" s="20">
        <f>DAILY!V4-DAILY!U4</f>
        <v>17</v>
      </c>
      <c r="F22" s="20">
        <f>DAILY!$V$5-DAILY!$U$5</f>
        <v>27</v>
      </c>
      <c r="G22" s="20">
        <f>DAILY!$V$6-DAILY!$U$6</f>
        <v>9</v>
      </c>
      <c r="H22" s="20">
        <f>DAILY!$V$7-DAILY!$U$7</f>
        <v>46</v>
      </c>
      <c r="I22" s="20">
        <f>DAILY!$V$8-DAILY!$U$8</f>
        <v>12</v>
      </c>
      <c r="J22" s="20">
        <f>DAILY!$V$9-DAILY!$U$9</f>
        <v>0</v>
      </c>
      <c r="K22" s="20">
        <f>DAILY!$V$10-DAILY!$U$10</f>
        <v>4</v>
      </c>
      <c r="L22" s="20">
        <f>DAILY!$V$11-DAILY!$U$11</f>
        <v>102</v>
      </c>
      <c r="M22" s="20">
        <f>DAILY!$V$12-DAILY!$U$12</f>
        <v>444</v>
      </c>
      <c r="N22" s="20">
        <f>DAILY!$V$13-DAILY!$U$13</f>
        <v>63.219999999986612</v>
      </c>
      <c r="O22" s="20">
        <f>DAILY!$V$14-DAILY!$U$14</f>
        <v>0</v>
      </c>
      <c r="P22" s="20">
        <f>DAILY!$V$15-DAILY!$U$15</f>
        <v>23.700000000011642</v>
      </c>
      <c r="Q22" s="20">
        <f>DAILY!$V$16-DAILY!$U$16</f>
        <v>7.1399999999994179</v>
      </c>
    </row>
    <row r="23" spans="1:17" s="5" customFormat="1" x14ac:dyDescent="0.25">
      <c r="A23" s="4" t="s">
        <v>12</v>
      </c>
      <c r="B23" s="38">
        <f t="shared" si="0"/>
        <v>21</v>
      </c>
      <c r="C23" s="37">
        <v>6</v>
      </c>
      <c r="D23" s="29">
        <v>2022</v>
      </c>
      <c r="E23" s="20">
        <f>DAILY!W4-DAILY!V4</f>
        <v>16</v>
      </c>
      <c r="F23" s="20">
        <f>DAILY!$W$5-DAILY!$V$5</f>
        <v>26</v>
      </c>
      <c r="G23" s="20">
        <f>DAILY!$W$6-DAILY!$V$6</f>
        <v>8</v>
      </c>
      <c r="H23" s="20">
        <f>DAILY!$W$7-DAILY!$V$7</f>
        <v>43</v>
      </c>
      <c r="I23" s="20">
        <f>DAILY!$W$8-DAILY!$V$8</f>
        <v>12</v>
      </c>
      <c r="J23" s="20">
        <f>DAILY!$W$9-DAILY!$V$9</f>
        <v>0</v>
      </c>
      <c r="K23" s="20">
        <f>DAILY!$W$10-DAILY!$V$10</f>
        <v>3</v>
      </c>
      <c r="L23" s="20">
        <f>DAILY!$W$11-DAILY!$V$11</f>
        <v>98</v>
      </c>
      <c r="M23" s="20">
        <f>DAILY!$W$12-DAILY!$V$12</f>
        <v>321</v>
      </c>
      <c r="N23" s="20">
        <f>DAILY!$W$13-DAILY!$V$13</f>
        <v>59.200000000011642</v>
      </c>
      <c r="O23" s="20">
        <f>DAILY!$W$14-DAILY!$V$14</f>
        <v>0</v>
      </c>
      <c r="P23" s="20">
        <f>DAILY!$W$15-DAILY!$V$15</f>
        <v>19.799999999988358</v>
      </c>
      <c r="Q23" s="20">
        <f>DAILY!$W$16-DAILY!$V$16</f>
        <v>5.7399999999979627</v>
      </c>
    </row>
    <row r="24" spans="1:17" s="5" customFormat="1" x14ac:dyDescent="0.25">
      <c r="A24" s="4" t="s">
        <v>12</v>
      </c>
      <c r="B24" s="38">
        <f t="shared" si="0"/>
        <v>22</v>
      </c>
      <c r="C24" s="37">
        <v>6</v>
      </c>
      <c r="D24" s="29">
        <v>2022</v>
      </c>
      <c r="E24" s="20">
        <f>DAILY!X4-DAILY!W4</f>
        <v>18</v>
      </c>
      <c r="F24" s="20">
        <f>DAILY!$X$5-DAILY!$W$5</f>
        <v>26</v>
      </c>
      <c r="G24" s="20">
        <f>DAILY!$X$6-DAILY!$W$6</f>
        <v>9</v>
      </c>
      <c r="H24" s="20">
        <f>DAILY!$X$7-DAILY!$W$7</f>
        <v>46</v>
      </c>
      <c r="I24" s="20">
        <f>DAILY!$X$8-DAILY!$W$8</f>
        <v>12</v>
      </c>
      <c r="J24" s="20">
        <f>DAILY!$X$9-DAILY!$W$9</f>
        <v>0</v>
      </c>
      <c r="K24" s="20">
        <f>DAILY!$X$10-DAILY!$W$10</f>
        <v>3</v>
      </c>
      <c r="L24" s="20">
        <f>DAILY!$X$11-DAILY!$W$11</f>
        <v>101</v>
      </c>
      <c r="M24" s="20">
        <f>DAILY!$X$12-DAILY!$W$12</f>
        <v>369</v>
      </c>
      <c r="N24" s="20">
        <f>DAILY!$X$13-DAILY!$W$13</f>
        <v>63.25</v>
      </c>
      <c r="O24" s="20">
        <f>DAILY!$X$14-DAILY!$W$14</f>
        <v>0</v>
      </c>
      <c r="P24" s="20">
        <f>DAILY!$X$15-DAILY!$W$15</f>
        <v>21.779999999998836</v>
      </c>
      <c r="Q24" s="20">
        <f>DAILY!$X$16-DAILY!$W$16</f>
        <v>6.3600000000005821</v>
      </c>
    </row>
    <row r="25" spans="1:17" s="5" customFormat="1" x14ac:dyDescent="0.25">
      <c r="A25" s="4" t="s">
        <v>12</v>
      </c>
      <c r="B25" s="38">
        <f t="shared" si="0"/>
        <v>23</v>
      </c>
      <c r="C25" s="37">
        <v>6</v>
      </c>
      <c r="D25" s="29">
        <v>2022</v>
      </c>
      <c r="E25" s="20">
        <f>DAILY!Y4-DAILY!X4</f>
        <v>19</v>
      </c>
      <c r="F25" s="20">
        <f>DAILY!$Y$5-DAILY!$X$5</f>
        <v>27</v>
      </c>
      <c r="G25" s="20">
        <f>DAILY!$Y$6-DAILY!$X$6</f>
        <v>9</v>
      </c>
      <c r="H25" s="20">
        <f>DAILY!$Y$7-DAILY!$X$7</f>
        <v>47</v>
      </c>
      <c r="I25" s="20">
        <f>DAILY!$Y$8-DAILY!$X$8</f>
        <v>12</v>
      </c>
      <c r="J25" s="20">
        <f>DAILY!$Y$9-DAILY!$X$9</f>
        <v>0</v>
      </c>
      <c r="K25" s="20">
        <f>DAILY!$Y$10-DAILY!$X$10</f>
        <v>4</v>
      </c>
      <c r="L25" s="20">
        <f>DAILY!$Y$11-DAILY!$X$11</f>
        <v>100</v>
      </c>
      <c r="M25" s="20">
        <f>DAILY!$Y$12-DAILY!$X$12</f>
        <v>439</v>
      </c>
      <c r="N25" s="20">
        <f>DAILY!$Y$13-DAILY!$X$13</f>
        <v>60.209999999991851</v>
      </c>
      <c r="O25" s="20">
        <f>DAILY!$Y$14-DAILY!$X$14</f>
        <v>0</v>
      </c>
      <c r="P25" s="20">
        <f>DAILY!$Y$15-DAILY!$X$15</f>
        <v>22.779999999998836</v>
      </c>
      <c r="Q25" s="20">
        <f>DAILY!$Y$16-DAILY!$X$16</f>
        <v>6.7200000000011642</v>
      </c>
    </row>
    <row r="26" spans="1:17" s="5" customFormat="1" x14ac:dyDescent="0.25">
      <c r="A26" s="4" t="s">
        <v>12</v>
      </c>
      <c r="B26" s="38">
        <f t="shared" si="0"/>
        <v>24</v>
      </c>
      <c r="C26" s="37">
        <v>6</v>
      </c>
      <c r="D26" s="29">
        <v>2022</v>
      </c>
      <c r="E26" s="20">
        <f>DAILY!Z4-DAILY!Y4</f>
        <v>18</v>
      </c>
      <c r="F26" s="20">
        <f>DAILY!$Z$5-DAILY!$Y$5</f>
        <v>27</v>
      </c>
      <c r="G26" s="20">
        <f>DAILY!$Z$6-DAILY!$Y$6</f>
        <v>9</v>
      </c>
      <c r="H26" s="20">
        <f>DAILY!$Z$7-DAILY!$Y$7</f>
        <v>45</v>
      </c>
      <c r="I26" s="20">
        <f>DAILY!$Z$8-DAILY!$Y$8</f>
        <v>12</v>
      </c>
      <c r="J26" s="20">
        <f>DAILY!$Z$9-DAILY!$Y$9</f>
        <v>0</v>
      </c>
      <c r="K26" s="20">
        <f>DAILY!$Z$10-DAILY!$Y$10</f>
        <v>3</v>
      </c>
      <c r="L26" s="20">
        <f>DAILY!$Z$11-DAILY!$Y$11</f>
        <v>101</v>
      </c>
      <c r="M26" s="20">
        <f>DAILY!$Z$12-DAILY!$Y$12</f>
        <v>398</v>
      </c>
      <c r="N26" s="20">
        <f>DAILY!$Z$13-DAILY!$Y$13</f>
        <v>71.540000000008149</v>
      </c>
      <c r="O26" s="20">
        <f>DAILY!$Z$14-DAILY!$Y$14</f>
        <v>0</v>
      </c>
      <c r="P26" s="20">
        <f>DAILY!$Z$15-DAILY!$Y$15</f>
        <v>20.460000000020955</v>
      </c>
      <c r="Q26" s="20">
        <f>DAILY!$Z$16-DAILY!$Y$16</f>
        <v>5.8600000000005821</v>
      </c>
    </row>
    <row r="27" spans="1:17" s="5" customFormat="1" x14ac:dyDescent="0.25">
      <c r="A27" s="4" t="s">
        <v>12</v>
      </c>
      <c r="B27" s="38">
        <f>B26+1</f>
        <v>25</v>
      </c>
      <c r="C27" s="37">
        <v>6</v>
      </c>
      <c r="D27" s="29">
        <v>2022</v>
      </c>
      <c r="E27" s="20">
        <f>DAILY!AA4-DAILY!Z4</f>
        <v>18</v>
      </c>
      <c r="F27" s="20">
        <f>DAILY!$AA$5-DAILY!$Z$5</f>
        <v>30</v>
      </c>
      <c r="G27" s="20">
        <f>DAILY!$AA$6-DAILY!$Z$6</f>
        <v>10</v>
      </c>
      <c r="H27" s="20">
        <f>DAILY!$AA$7-DAILY!$Z$7</f>
        <v>45</v>
      </c>
      <c r="I27" s="20">
        <f>DAILY!$AA$8-DAILY!$Z$8</f>
        <v>14</v>
      </c>
      <c r="J27" s="20">
        <f>DAILY!$AA$9-DAILY!$Z$9</f>
        <v>0</v>
      </c>
      <c r="K27" s="20">
        <f>DAILY!$AA$10-DAILY!$Z$10</f>
        <v>4</v>
      </c>
      <c r="L27" s="20">
        <f>DAILY!$AA$11-DAILY!$Z$11</f>
        <v>99</v>
      </c>
      <c r="M27" s="20">
        <f>DAILY!$AA$12-DAILY!$Z$12</f>
        <v>421</v>
      </c>
      <c r="N27" s="20">
        <f>DAILY!$AA$13-DAILY!$Z$13</f>
        <v>78.149999999994179</v>
      </c>
      <c r="O27" s="20">
        <f>DAILY!$AA$14-DAILY!$Z$14</f>
        <v>0</v>
      </c>
      <c r="P27" s="20">
        <f>DAILY!$AA$15-DAILY!$Z$15</f>
        <v>19.419999999983702</v>
      </c>
      <c r="Q27" s="20">
        <f>DAILY!$AA$16-DAILY!$Z$16</f>
        <v>5.4400000000023283</v>
      </c>
    </row>
    <row r="28" spans="1:17" s="5" customFormat="1" x14ac:dyDescent="0.25">
      <c r="A28" s="4" t="s">
        <v>12</v>
      </c>
      <c r="B28" s="38">
        <f t="shared" si="0"/>
        <v>26</v>
      </c>
      <c r="C28" s="37">
        <v>6</v>
      </c>
      <c r="D28" s="29">
        <v>2022</v>
      </c>
      <c r="E28" s="20">
        <f>DAILY!AB4-DAILY!AA4</f>
        <v>18</v>
      </c>
      <c r="F28" s="20">
        <f>DAILY!$AB$5-DAILY!$AA$5</f>
        <v>34</v>
      </c>
      <c r="G28" s="20">
        <f>DAILY!$AB$6-DAILY!$AA$6</f>
        <v>9</v>
      </c>
      <c r="H28" s="20">
        <f>DAILY!$AB$7-DAILY!$AA$7</f>
        <v>47</v>
      </c>
      <c r="I28" s="20">
        <f>DAILY!$AB$8-DAILY!$AA$8</f>
        <v>15</v>
      </c>
      <c r="J28" s="20">
        <f>DAILY!$AB$9-DAILY!$AA$9</f>
        <v>0</v>
      </c>
      <c r="K28" s="20">
        <f>DAILY!$AB$10-DAILY!$AA$10</f>
        <v>3</v>
      </c>
      <c r="L28" s="20">
        <f>DAILY!$AB$11-DAILY!$AA$11</f>
        <v>97</v>
      </c>
      <c r="M28" s="20">
        <f>DAILY!$AB$12-DAILY!$AA$12</f>
        <v>450</v>
      </c>
      <c r="N28" s="20">
        <f>DAILY!$AB$13-DAILY!$AA$13</f>
        <v>71.970000000001164</v>
      </c>
      <c r="O28" s="20">
        <f>DAILY!$AB$14-DAILY!$AA$14</f>
        <v>0</v>
      </c>
      <c r="P28" s="20">
        <f>DAILY!$AB$15-DAILY!$AA$15</f>
        <v>18.600000000005821</v>
      </c>
      <c r="Q28" s="20">
        <f>DAILY!$AB$16-DAILY!$AA$16</f>
        <v>5.0799999999944703</v>
      </c>
    </row>
    <row r="29" spans="1:17" s="5" customFormat="1" x14ac:dyDescent="0.25">
      <c r="A29" s="4" t="s">
        <v>12</v>
      </c>
      <c r="B29" s="38">
        <f t="shared" si="0"/>
        <v>27</v>
      </c>
      <c r="C29" s="37">
        <v>6</v>
      </c>
      <c r="D29" s="29">
        <v>2022</v>
      </c>
      <c r="E29" s="20">
        <f>DAILY!AC4-DAILY!AB4</f>
        <v>17</v>
      </c>
      <c r="F29" s="20">
        <f>DAILY!$AC$5-DAILY!$AB$5</f>
        <v>31</v>
      </c>
      <c r="G29" s="20">
        <f>DAILY!$AC$6-DAILY!$AB$6</f>
        <v>9</v>
      </c>
      <c r="H29" s="20">
        <f>DAILY!$AC$7-DAILY!$AB$7</f>
        <v>46</v>
      </c>
      <c r="I29" s="20">
        <f>DAILY!$AC$8-DAILY!$AB$8</f>
        <v>12</v>
      </c>
      <c r="J29" s="20">
        <f>DAILY!$AC$9-DAILY!$AB$9</f>
        <v>0</v>
      </c>
      <c r="K29" s="20">
        <f>DAILY!$AC$10-DAILY!$AB$10</f>
        <v>3</v>
      </c>
      <c r="L29" s="20">
        <f>DAILY!$AC$11-DAILY!$AB$11</f>
        <v>99</v>
      </c>
      <c r="M29" s="20">
        <f>DAILY!$AC$12-DAILY!$AB$12</f>
        <v>414</v>
      </c>
      <c r="N29" s="20">
        <f>DAILY!$AC$13-DAILY!$AB$13</f>
        <v>71.039999999993597</v>
      </c>
      <c r="O29" s="20">
        <f>DAILY!$AC$14-DAILY!$AB$14</f>
        <v>0</v>
      </c>
      <c r="P29" s="20">
        <f>DAILY!$AC$15-DAILY!$AB$15</f>
        <v>17.820000000006985</v>
      </c>
      <c r="Q29" s="20">
        <f>DAILY!$AC$16-DAILY!$AB$16</f>
        <v>4.8400000000037835</v>
      </c>
    </row>
    <row r="30" spans="1:17" s="5" customFormat="1" x14ac:dyDescent="0.25">
      <c r="A30" s="4" t="s">
        <v>12</v>
      </c>
      <c r="B30" s="38">
        <f t="shared" si="0"/>
        <v>28</v>
      </c>
      <c r="C30" s="37">
        <v>6</v>
      </c>
      <c r="D30" s="29">
        <v>2022</v>
      </c>
      <c r="E30" s="20">
        <f>DAILY!AD4-DAILY!AC4</f>
        <v>17</v>
      </c>
      <c r="F30" s="20">
        <f>DAILY!$AD$5-DAILY!$AC$5</f>
        <v>26</v>
      </c>
      <c r="G30" s="20">
        <f>DAILY!$AD$6-DAILY!$AC$6</f>
        <v>10</v>
      </c>
      <c r="H30" s="20">
        <f>DAILY!$AD$7-DAILY!$AC$7</f>
        <v>44</v>
      </c>
      <c r="I30" s="20">
        <f>DAILY!$AD$8-DAILY!$AC$8</f>
        <v>12</v>
      </c>
      <c r="J30" s="20">
        <f>DAILY!$AD$9-DAILY!$AC$9</f>
        <v>0</v>
      </c>
      <c r="K30" s="20">
        <f>DAILY!$AD$10-DAILY!$AC$10</f>
        <v>4</v>
      </c>
      <c r="L30" s="20">
        <f>DAILY!$AD$11-DAILY!$AC$11</f>
        <v>105</v>
      </c>
      <c r="M30" s="20">
        <f>DAILY!$AD$12-DAILY!$AC$12</f>
        <v>435</v>
      </c>
      <c r="N30" s="20">
        <f>DAILY!$AD$13-DAILY!$AC$13</f>
        <v>65.639999999999418</v>
      </c>
      <c r="O30" s="20">
        <f>DAILY!$AD$14-DAILY!$AC$14</f>
        <v>0</v>
      </c>
      <c r="P30" s="20">
        <f>DAILY!$AD$15-DAILY!$AC$15</f>
        <v>19.419999999983702</v>
      </c>
      <c r="Q30" s="20">
        <f>DAILY!$AD$16-DAILY!$AC$16</f>
        <v>5.5199999999967986</v>
      </c>
    </row>
    <row r="31" spans="1:17" s="5" customFormat="1" x14ac:dyDescent="0.25">
      <c r="A31" s="4" t="s">
        <v>12</v>
      </c>
      <c r="B31" s="38">
        <f t="shared" si="0"/>
        <v>29</v>
      </c>
      <c r="C31" s="37">
        <v>6</v>
      </c>
      <c r="D31" s="29">
        <v>2022</v>
      </c>
      <c r="E31" s="20">
        <f>DAILY!AE4-DAILY!AD4</f>
        <v>18</v>
      </c>
      <c r="F31" s="20">
        <f>DAILY!$AE$5-DAILY!$AD$5</f>
        <v>25</v>
      </c>
      <c r="G31" s="20">
        <f>DAILY!$AE$6-DAILY!$AD$6</f>
        <v>9</v>
      </c>
      <c r="H31" s="20">
        <f>DAILY!$AE$7-DAILY!$AD$7</f>
        <v>46</v>
      </c>
      <c r="I31" s="20">
        <f>DAILY!$AE$8-DAILY!$AD$8</f>
        <v>13</v>
      </c>
      <c r="J31" s="20">
        <f>DAILY!$AE$9-DAILY!$AD$9</f>
        <v>0</v>
      </c>
      <c r="K31" s="20">
        <f>DAILY!$AE$10-DAILY!$AD$10</f>
        <v>3</v>
      </c>
      <c r="L31" s="20">
        <f>DAILY!$AE$11-DAILY!$AD$11</f>
        <v>94</v>
      </c>
      <c r="M31" s="20">
        <f>DAILY!$AE$12-DAILY!$AD$12</f>
        <v>444</v>
      </c>
      <c r="N31" s="20">
        <f>DAILY!$AE$13-DAILY!$AD$13</f>
        <v>72.720000000001164</v>
      </c>
      <c r="O31" s="20">
        <f>DAILY!$AE$14-DAILY!$AD$14</f>
        <v>0</v>
      </c>
      <c r="P31" s="20">
        <f>DAILY!$AE$15-DAILY!$AD$15</f>
        <v>20.400000000023283</v>
      </c>
      <c r="Q31" s="20">
        <f>DAILY!$AE$16-DAILY!$AD$16</f>
        <v>5.8400000000037835</v>
      </c>
    </row>
    <row r="32" spans="1:17" s="4" customFormat="1" ht="12.75" x14ac:dyDescent="0.2">
      <c r="A32" s="4" t="s">
        <v>12</v>
      </c>
      <c r="B32" s="29">
        <f t="shared" si="0"/>
        <v>30</v>
      </c>
      <c r="C32" s="37">
        <v>6</v>
      </c>
      <c r="D32" s="29">
        <v>2022</v>
      </c>
      <c r="E32" s="20">
        <f>DAILY!AF4-DAILY!AE4</f>
        <v>18</v>
      </c>
      <c r="F32" s="20">
        <f>DAILY!$AF$5-DAILY!$AE$5</f>
        <v>28</v>
      </c>
      <c r="G32" s="20">
        <f>DAILY!$AF$6-DAILY!$AE$6</f>
        <v>9</v>
      </c>
      <c r="H32" s="20">
        <f>DAILY!$AF$7-DAILY!$AE$7</f>
        <v>47</v>
      </c>
      <c r="I32" s="20">
        <f>DAILY!$AF$8-DAILY!$AE$8</f>
        <v>13</v>
      </c>
      <c r="J32" s="20">
        <f>DAILY!$AF$9-DAILY!$AE$9</f>
        <v>0</v>
      </c>
      <c r="K32" s="20">
        <f>DAILY!$AF$10-DAILY!$AE$10</f>
        <v>4</v>
      </c>
      <c r="L32" s="20">
        <f>DAILY!$AF$11-DAILY!$AE$11</f>
        <v>100</v>
      </c>
      <c r="M32" s="20">
        <f>DAILY!$AF$12-DAILY!$AE$12</f>
        <v>454</v>
      </c>
      <c r="N32" s="20">
        <f>DAILY!$AF$13-DAILY!$AE$13</f>
        <v>72.930000000007567</v>
      </c>
      <c r="O32" s="20">
        <f>DAILY!$AF$14-DAILY!$AE$14</f>
        <v>0</v>
      </c>
      <c r="P32" s="20">
        <f>DAILY!$AF$15-DAILY!$AE$15</f>
        <v>20.519999999989523</v>
      </c>
      <c r="Q32" s="20">
        <f>DAILY!$AF$16-DAILY!$AE$16</f>
        <v>5.8399999999965075</v>
      </c>
    </row>
    <row r="36" spans="4:22" x14ac:dyDescent="0.25"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23"/>
      <c r="S36" s="23"/>
      <c r="T36" s="23"/>
      <c r="U36" s="23"/>
      <c r="V36" s="2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opLeftCell="L1" workbookViewId="0">
      <selection activeCell="AA8" sqref="AA8"/>
    </sheetView>
  </sheetViews>
  <sheetFormatPr defaultColWidth="8.85546875" defaultRowHeight="15.75" x14ac:dyDescent="0.25"/>
  <cols>
    <col min="1" max="1" width="30.28515625" style="12" customWidth="1"/>
    <col min="2" max="2" width="19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2" width="9.7109375" style="12" customWidth="1"/>
    <col min="33" max="16384" width="8.85546875" style="12"/>
  </cols>
  <sheetData>
    <row r="1" spans="1:32" x14ac:dyDescent="0.25">
      <c r="A1" s="8" t="s">
        <v>13</v>
      </c>
      <c r="B1" s="8"/>
      <c r="C1" s="9"/>
    </row>
    <row r="2" spans="1:32" x14ac:dyDescent="0.25">
      <c r="A2" s="44" t="s">
        <v>14</v>
      </c>
      <c r="B2" s="18"/>
      <c r="C2" s="45" t="s">
        <v>15</v>
      </c>
      <c r="D2" s="46"/>
      <c r="E2" s="46"/>
      <c r="F2" s="46"/>
      <c r="G2" s="46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8"/>
      <c r="AF2" s="48"/>
    </row>
    <row r="3" spans="1:32" x14ac:dyDescent="0.25">
      <c r="A3" s="44"/>
      <c r="B3" s="19">
        <v>44712</v>
      </c>
      <c r="C3" s="13">
        <v>44713</v>
      </c>
      <c r="D3" s="13">
        <f>SUM(C3+1)</f>
        <v>44714</v>
      </c>
      <c r="E3" s="13">
        <f t="shared" ref="E3:AE3" si="0">SUM(D3+1)</f>
        <v>44715</v>
      </c>
      <c r="F3" s="13">
        <f t="shared" si="0"/>
        <v>44716</v>
      </c>
      <c r="G3" s="14">
        <f t="shared" si="0"/>
        <v>44717</v>
      </c>
      <c r="H3" s="13">
        <f t="shared" si="0"/>
        <v>44718</v>
      </c>
      <c r="I3" s="13">
        <f t="shared" si="0"/>
        <v>44719</v>
      </c>
      <c r="J3" s="13">
        <f t="shared" si="0"/>
        <v>44720</v>
      </c>
      <c r="K3" s="13">
        <f t="shared" si="0"/>
        <v>44721</v>
      </c>
      <c r="L3" s="13">
        <f t="shared" si="0"/>
        <v>44722</v>
      </c>
      <c r="M3" s="13">
        <f t="shared" si="0"/>
        <v>44723</v>
      </c>
      <c r="N3" s="13">
        <f t="shared" si="0"/>
        <v>44724</v>
      </c>
      <c r="O3" s="13">
        <f t="shared" si="0"/>
        <v>44725</v>
      </c>
      <c r="P3" s="13">
        <f t="shared" si="0"/>
        <v>44726</v>
      </c>
      <c r="Q3" s="13">
        <f t="shared" si="0"/>
        <v>44727</v>
      </c>
      <c r="R3" s="13">
        <f t="shared" si="0"/>
        <v>44728</v>
      </c>
      <c r="S3" s="13">
        <f t="shared" si="0"/>
        <v>44729</v>
      </c>
      <c r="T3" s="13">
        <f t="shared" si="0"/>
        <v>44730</v>
      </c>
      <c r="U3" s="13">
        <f t="shared" si="0"/>
        <v>44731</v>
      </c>
      <c r="V3" s="13">
        <f t="shared" si="0"/>
        <v>44732</v>
      </c>
      <c r="W3" s="13">
        <f t="shared" si="0"/>
        <v>44733</v>
      </c>
      <c r="X3" s="13">
        <f t="shared" si="0"/>
        <v>44734</v>
      </c>
      <c r="Y3" s="13">
        <f t="shared" si="0"/>
        <v>44735</v>
      </c>
      <c r="Z3" s="13">
        <f t="shared" si="0"/>
        <v>44736</v>
      </c>
      <c r="AA3" s="13">
        <f t="shared" si="0"/>
        <v>44737</v>
      </c>
      <c r="AB3" s="13">
        <f t="shared" si="0"/>
        <v>44738</v>
      </c>
      <c r="AC3" s="13">
        <f t="shared" si="0"/>
        <v>44739</v>
      </c>
      <c r="AD3" s="13">
        <f t="shared" si="0"/>
        <v>44740</v>
      </c>
      <c r="AE3" s="13">
        <f t="shared" si="0"/>
        <v>44741</v>
      </c>
      <c r="AF3" s="13">
        <f>SUM(AE3+1)</f>
        <v>44742</v>
      </c>
    </row>
    <row r="4" spans="1:32" x14ac:dyDescent="0.25">
      <c r="A4" s="15" t="s">
        <v>16</v>
      </c>
      <c r="B4" s="24" t="s">
        <v>31</v>
      </c>
      <c r="C4" s="33" t="s">
        <v>44</v>
      </c>
      <c r="D4" s="33" t="s">
        <v>45</v>
      </c>
      <c r="E4" s="32" t="s">
        <v>46</v>
      </c>
      <c r="F4" s="32" t="s">
        <v>47</v>
      </c>
      <c r="G4" s="32" t="s">
        <v>48</v>
      </c>
      <c r="H4" s="32" t="s">
        <v>100</v>
      </c>
      <c r="I4" s="32" t="s">
        <v>111</v>
      </c>
      <c r="J4" s="32" t="s">
        <v>121</v>
      </c>
      <c r="K4" s="32" t="s">
        <v>132</v>
      </c>
      <c r="L4" s="32" t="s">
        <v>144</v>
      </c>
      <c r="M4" s="32" t="s">
        <v>145</v>
      </c>
      <c r="N4" s="32" t="s">
        <v>146</v>
      </c>
      <c r="O4" s="32" t="s">
        <v>147</v>
      </c>
      <c r="P4" s="32" t="s">
        <v>148</v>
      </c>
      <c r="Q4" s="32" t="s">
        <v>149</v>
      </c>
      <c r="R4" s="32" t="s">
        <v>150</v>
      </c>
      <c r="S4" s="32" t="s">
        <v>151</v>
      </c>
      <c r="T4" s="32" t="s">
        <v>152</v>
      </c>
      <c r="U4" s="32" t="s">
        <v>153</v>
      </c>
      <c r="V4" s="32" t="s">
        <v>254</v>
      </c>
      <c r="W4" s="32" t="s">
        <v>255</v>
      </c>
      <c r="X4" s="32" t="s">
        <v>256</v>
      </c>
      <c r="Y4" s="43" t="s">
        <v>257</v>
      </c>
      <c r="Z4" s="43" t="s">
        <v>258</v>
      </c>
      <c r="AA4" s="43" t="s">
        <v>259</v>
      </c>
      <c r="AB4" s="32" t="s">
        <v>260</v>
      </c>
      <c r="AC4" s="32" t="s">
        <v>261</v>
      </c>
      <c r="AD4" s="32" t="s">
        <v>262</v>
      </c>
      <c r="AE4" s="32" t="s">
        <v>353</v>
      </c>
      <c r="AF4" s="32" t="s">
        <v>354</v>
      </c>
    </row>
    <row r="5" spans="1:32" x14ac:dyDescent="0.25">
      <c r="A5" s="15" t="s">
        <v>17</v>
      </c>
      <c r="B5" s="24" t="s">
        <v>32</v>
      </c>
      <c r="C5" s="33" t="s">
        <v>49</v>
      </c>
      <c r="D5" s="33" t="s">
        <v>50</v>
      </c>
      <c r="E5" s="32" t="s">
        <v>51</v>
      </c>
      <c r="F5" s="32" t="s">
        <v>52</v>
      </c>
      <c r="G5" s="32" t="s">
        <v>53</v>
      </c>
      <c r="H5" s="32" t="s">
        <v>101</v>
      </c>
      <c r="I5" s="32" t="s">
        <v>112</v>
      </c>
      <c r="J5" s="32" t="s">
        <v>122</v>
      </c>
      <c r="K5" s="32" t="s">
        <v>133</v>
      </c>
      <c r="L5" s="32" t="s">
        <v>154</v>
      </c>
      <c r="M5" s="32" t="s">
        <v>155</v>
      </c>
      <c r="N5" s="32" t="s">
        <v>156</v>
      </c>
      <c r="O5" s="32" t="s">
        <v>157</v>
      </c>
      <c r="P5" s="32" t="s">
        <v>158</v>
      </c>
      <c r="Q5" s="32" t="s">
        <v>159</v>
      </c>
      <c r="R5" s="32" t="s">
        <v>160</v>
      </c>
      <c r="S5" s="32" t="s">
        <v>161</v>
      </c>
      <c r="T5" s="32" t="s">
        <v>162</v>
      </c>
      <c r="U5" s="32" t="s">
        <v>163</v>
      </c>
      <c r="V5" s="32" t="s">
        <v>263</v>
      </c>
      <c r="W5" s="32" t="s">
        <v>264</v>
      </c>
      <c r="X5" s="32" t="s">
        <v>265</v>
      </c>
      <c r="Y5" s="32" t="s">
        <v>266</v>
      </c>
      <c r="Z5" s="32" t="s">
        <v>267</v>
      </c>
      <c r="AA5" s="32" t="s">
        <v>268</v>
      </c>
      <c r="AB5" s="32" t="s">
        <v>269</v>
      </c>
      <c r="AC5" s="32" t="s">
        <v>270</v>
      </c>
      <c r="AD5" s="32" t="s">
        <v>271</v>
      </c>
      <c r="AE5" s="32" t="s">
        <v>355</v>
      </c>
      <c r="AF5" s="32" t="s">
        <v>356</v>
      </c>
    </row>
    <row r="6" spans="1:32" x14ac:dyDescent="0.25">
      <c r="A6" s="15" t="s">
        <v>18</v>
      </c>
      <c r="B6" s="24" t="s">
        <v>33</v>
      </c>
      <c r="C6" s="33" t="s">
        <v>54</v>
      </c>
      <c r="D6" s="33" t="s">
        <v>55</v>
      </c>
      <c r="E6" s="32" t="s">
        <v>56</v>
      </c>
      <c r="F6" s="32" t="s">
        <v>57</v>
      </c>
      <c r="G6" s="32" t="s">
        <v>58</v>
      </c>
      <c r="H6" s="32" t="s">
        <v>102</v>
      </c>
      <c r="I6" s="32" t="s">
        <v>113</v>
      </c>
      <c r="J6" s="32" t="s">
        <v>123</v>
      </c>
      <c r="K6" s="32" t="s">
        <v>134</v>
      </c>
      <c r="L6" s="32" t="s">
        <v>164</v>
      </c>
      <c r="M6" s="32" t="s">
        <v>165</v>
      </c>
      <c r="N6" s="32" t="s">
        <v>166</v>
      </c>
      <c r="O6" s="32" t="s">
        <v>167</v>
      </c>
      <c r="P6" s="32" t="s">
        <v>168</v>
      </c>
      <c r="Q6" s="32" t="s">
        <v>169</v>
      </c>
      <c r="R6" s="32" t="s">
        <v>170</v>
      </c>
      <c r="S6" s="32" t="s">
        <v>171</v>
      </c>
      <c r="T6" s="32" t="s">
        <v>172</v>
      </c>
      <c r="U6" s="32" t="s">
        <v>173</v>
      </c>
      <c r="V6" s="32" t="s">
        <v>272</v>
      </c>
      <c r="W6" s="32" t="s">
        <v>273</v>
      </c>
      <c r="X6" s="32" t="s">
        <v>274</v>
      </c>
      <c r="Y6" s="32" t="s">
        <v>275</v>
      </c>
      <c r="Z6" s="32" t="s">
        <v>276</v>
      </c>
      <c r="AA6" s="32" t="s">
        <v>277</v>
      </c>
      <c r="AB6" s="32" t="s">
        <v>278</v>
      </c>
      <c r="AC6" s="32" t="s">
        <v>279</v>
      </c>
      <c r="AD6" s="32" t="s">
        <v>280</v>
      </c>
      <c r="AE6" s="32" t="s">
        <v>357</v>
      </c>
      <c r="AF6" s="32" t="s">
        <v>358</v>
      </c>
    </row>
    <row r="7" spans="1:32" x14ac:dyDescent="0.25">
      <c r="A7" s="15" t="s">
        <v>19</v>
      </c>
      <c r="B7" s="24" t="s">
        <v>34</v>
      </c>
      <c r="C7" s="33" t="s">
        <v>59</v>
      </c>
      <c r="D7" s="33" t="s">
        <v>60</v>
      </c>
      <c r="E7" s="32" t="s">
        <v>61</v>
      </c>
      <c r="F7" s="32" t="s">
        <v>62</v>
      </c>
      <c r="G7" s="32" t="s">
        <v>63</v>
      </c>
      <c r="H7" s="32" t="s">
        <v>103</v>
      </c>
      <c r="I7" s="32" t="s">
        <v>114</v>
      </c>
      <c r="J7" s="32" t="s">
        <v>124</v>
      </c>
      <c r="K7" s="32" t="s">
        <v>135</v>
      </c>
      <c r="L7" s="32" t="s">
        <v>174</v>
      </c>
      <c r="M7" s="32" t="s">
        <v>175</v>
      </c>
      <c r="N7" s="32" t="s">
        <v>176</v>
      </c>
      <c r="O7" s="32" t="s">
        <v>177</v>
      </c>
      <c r="P7" s="32" t="s">
        <v>178</v>
      </c>
      <c r="Q7" s="32" t="s">
        <v>179</v>
      </c>
      <c r="R7" s="32" t="s">
        <v>180</v>
      </c>
      <c r="S7" s="32" t="s">
        <v>181</v>
      </c>
      <c r="T7" s="32" t="s">
        <v>182</v>
      </c>
      <c r="U7" s="32" t="s">
        <v>183</v>
      </c>
      <c r="V7" s="32" t="s">
        <v>281</v>
      </c>
      <c r="W7" s="32" t="s">
        <v>282</v>
      </c>
      <c r="X7" s="32" t="s">
        <v>283</v>
      </c>
      <c r="Y7" s="32" t="s">
        <v>284</v>
      </c>
      <c r="Z7" s="32" t="s">
        <v>285</v>
      </c>
      <c r="AA7" s="32" t="s">
        <v>286</v>
      </c>
      <c r="AB7" s="32" t="s">
        <v>287</v>
      </c>
      <c r="AC7" s="32" t="s">
        <v>288</v>
      </c>
      <c r="AD7" s="32" t="s">
        <v>289</v>
      </c>
      <c r="AE7" s="32" t="s">
        <v>359</v>
      </c>
      <c r="AF7" s="32" t="s">
        <v>360</v>
      </c>
    </row>
    <row r="8" spans="1:32" x14ac:dyDescent="0.25">
      <c r="A8" s="15" t="s">
        <v>20</v>
      </c>
      <c r="B8" s="24" t="s">
        <v>35</v>
      </c>
      <c r="C8" s="33" t="s">
        <v>64</v>
      </c>
      <c r="D8" s="33" t="s">
        <v>65</v>
      </c>
      <c r="E8" s="32" t="s">
        <v>66</v>
      </c>
      <c r="F8" s="32" t="s">
        <v>67</v>
      </c>
      <c r="G8" s="32" t="s">
        <v>68</v>
      </c>
      <c r="H8" s="32" t="s">
        <v>104</v>
      </c>
      <c r="I8" s="32" t="s">
        <v>115</v>
      </c>
      <c r="J8" s="32" t="s">
        <v>125</v>
      </c>
      <c r="K8" s="32" t="s">
        <v>136</v>
      </c>
      <c r="L8" s="32" t="s">
        <v>184</v>
      </c>
      <c r="M8" s="32" t="s">
        <v>185</v>
      </c>
      <c r="N8" s="32" t="s">
        <v>186</v>
      </c>
      <c r="O8" s="32" t="s">
        <v>187</v>
      </c>
      <c r="P8" s="32" t="s">
        <v>188</v>
      </c>
      <c r="Q8" s="32" t="s">
        <v>189</v>
      </c>
      <c r="R8" s="32" t="s">
        <v>190</v>
      </c>
      <c r="S8" s="32" t="s">
        <v>191</v>
      </c>
      <c r="T8" s="32" t="s">
        <v>192</v>
      </c>
      <c r="U8" s="32" t="s">
        <v>193</v>
      </c>
      <c r="V8" s="32" t="s">
        <v>290</v>
      </c>
      <c r="W8" s="32" t="s">
        <v>291</v>
      </c>
      <c r="X8" s="32" t="s">
        <v>292</v>
      </c>
      <c r="Y8" s="32" t="s">
        <v>293</v>
      </c>
      <c r="Z8" s="32" t="s">
        <v>294</v>
      </c>
      <c r="AA8" s="32" t="s">
        <v>295</v>
      </c>
      <c r="AB8" s="32" t="s">
        <v>296</v>
      </c>
      <c r="AC8" s="32" t="s">
        <v>297</v>
      </c>
      <c r="AD8" s="32" t="s">
        <v>298</v>
      </c>
      <c r="AE8" s="32" t="s">
        <v>361</v>
      </c>
      <c r="AF8" s="32" t="s">
        <v>362</v>
      </c>
    </row>
    <row r="9" spans="1:32" x14ac:dyDescent="0.25">
      <c r="A9" s="15" t="s">
        <v>21</v>
      </c>
      <c r="B9" s="24" t="s">
        <v>36</v>
      </c>
      <c r="C9" s="33" t="s">
        <v>36</v>
      </c>
      <c r="D9" s="33" t="s">
        <v>36</v>
      </c>
      <c r="E9" s="33" t="s">
        <v>36</v>
      </c>
      <c r="F9" s="33" t="s">
        <v>36</v>
      </c>
      <c r="G9" s="33" t="s">
        <v>36</v>
      </c>
      <c r="H9" s="33" t="s">
        <v>36</v>
      </c>
      <c r="I9" s="33" t="s">
        <v>36</v>
      </c>
      <c r="J9" s="33" t="s">
        <v>36</v>
      </c>
      <c r="K9" s="33" t="s">
        <v>36</v>
      </c>
      <c r="L9" s="33" t="s">
        <v>36</v>
      </c>
      <c r="M9" s="33" t="s">
        <v>36</v>
      </c>
      <c r="N9" s="33" t="s">
        <v>36</v>
      </c>
      <c r="O9" s="33" t="s">
        <v>36</v>
      </c>
      <c r="P9" s="33" t="s">
        <v>36</v>
      </c>
      <c r="Q9" s="33" t="s">
        <v>36</v>
      </c>
      <c r="R9" s="33" t="s">
        <v>36</v>
      </c>
      <c r="S9" s="33" t="s">
        <v>36</v>
      </c>
      <c r="T9" s="33" t="s">
        <v>36</v>
      </c>
      <c r="U9" s="33" t="s">
        <v>36</v>
      </c>
      <c r="V9" s="33" t="s">
        <v>36</v>
      </c>
      <c r="W9" s="33" t="s">
        <v>36</v>
      </c>
      <c r="X9" s="33" t="s">
        <v>36</v>
      </c>
      <c r="Y9" s="33" t="s">
        <v>36</v>
      </c>
      <c r="Z9" s="33" t="s">
        <v>36</v>
      </c>
      <c r="AA9" s="33" t="s">
        <v>36</v>
      </c>
      <c r="AB9" s="33" t="s">
        <v>36</v>
      </c>
      <c r="AC9" s="33" t="s">
        <v>36</v>
      </c>
      <c r="AD9" s="33" t="s">
        <v>36</v>
      </c>
      <c r="AE9" s="32" t="s">
        <v>36</v>
      </c>
      <c r="AF9" s="32" t="s">
        <v>36</v>
      </c>
    </row>
    <row r="10" spans="1:32" x14ac:dyDescent="0.25">
      <c r="A10" s="15" t="s">
        <v>22</v>
      </c>
      <c r="B10" s="24" t="s">
        <v>37</v>
      </c>
      <c r="C10" s="33" t="s">
        <v>69</v>
      </c>
      <c r="D10" s="33" t="s">
        <v>70</v>
      </c>
      <c r="E10" s="32" t="s">
        <v>71</v>
      </c>
      <c r="F10" s="32" t="s">
        <v>72</v>
      </c>
      <c r="G10" s="32" t="s">
        <v>73</v>
      </c>
      <c r="H10" s="32" t="s">
        <v>105</v>
      </c>
      <c r="I10" s="32" t="s">
        <v>116</v>
      </c>
      <c r="J10" s="32" t="s">
        <v>126</v>
      </c>
      <c r="K10" s="32" t="s">
        <v>137</v>
      </c>
      <c r="L10" s="32" t="s">
        <v>194</v>
      </c>
      <c r="M10" s="32" t="s">
        <v>195</v>
      </c>
      <c r="N10" s="32" t="s">
        <v>196</v>
      </c>
      <c r="O10" s="32" t="s">
        <v>197</v>
      </c>
      <c r="P10" s="32" t="s">
        <v>198</v>
      </c>
      <c r="Q10" s="32" t="s">
        <v>199</v>
      </c>
      <c r="R10" s="32" t="s">
        <v>200</v>
      </c>
      <c r="S10" s="32" t="s">
        <v>201</v>
      </c>
      <c r="T10" s="32" t="s">
        <v>202</v>
      </c>
      <c r="U10" s="32" t="s">
        <v>203</v>
      </c>
      <c r="V10" s="32" t="s">
        <v>299</v>
      </c>
      <c r="W10" s="32" t="s">
        <v>300</v>
      </c>
      <c r="X10" s="32" t="s">
        <v>301</v>
      </c>
      <c r="Y10" s="32" t="s">
        <v>302</v>
      </c>
      <c r="Z10" s="32" t="s">
        <v>303</v>
      </c>
      <c r="AA10" s="32" t="s">
        <v>304</v>
      </c>
      <c r="AB10" s="32" t="s">
        <v>305</v>
      </c>
      <c r="AC10" s="32" t="s">
        <v>306</v>
      </c>
      <c r="AD10" s="32" t="s">
        <v>307</v>
      </c>
      <c r="AE10" s="32" t="s">
        <v>363</v>
      </c>
      <c r="AF10" s="32" t="s">
        <v>364</v>
      </c>
    </row>
    <row r="11" spans="1:32" x14ac:dyDescent="0.25">
      <c r="A11" s="15" t="s">
        <v>23</v>
      </c>
      <c r="B11" s="24" t="s">
        <v>38</v>
      </c>
      <c r="C11" s="33" t="s">
        <v>74</v>
      </c>
      <c r="D11" s="33" t="s">
        <v>75</v>
      </c>
      <c r="E11" s="32" t="s">
        <v>76</v>
      </c>
      <c r="F11" s="32" t="s">
        <v>77</v>
      </c>
      <c r="G11" s="32" t="s">
        <v>78</v>
      </c>
      <c r="H11" s="32" t="s">
        <v>106</v>
      </c>
      <c r="I11" s="32" t="s">
        <v>117</v>
      </c>
      <c r="J11" s="32" t="s">
        <v>127</v>
      </c>
      <c r="K11" s="32" t="s">
        <v>138</v>
      </c>
      <c r="L11" s="32" t="s">
        <v>204</v>
      </c>
      <c r="M11" s="32" t="s">
        <v>205</v>
      </c>
      <c r="N11" s="32" t="s">
        <v>206</v>
      </c>
      <c r="O11" s="32" t="s">
        <v>207</v>
      </c>
      <c r="P11" s="32" t="s">
        <v>208</v>
      </c>
      <c r="Q11" s="32" t="s">
        <v>209</v>
      </c>
      <c r="R11" s="32" t="s">
        <v>210</v>
      </c>
      <c r="S11" s="32" t="s">
        <v>211</v>
      </c>
      <c r="T11" s="32" t="s">
        <v>212</v>
      </c>
      <c r="U11" s="32" t="s">
        <v>213</v>
      </c>
      <c r="V11" s="32" t="s">
        <v>308</v>
      </c>
      <c r="W11" s="32" t="s">
        <v>309</v>
      </c>
      <c r="X11" s="32" t="s">
        <v>310</v>
      </c>
      <c r="Y11" s="32" t="s">
        <v>311</v>
      </c>
      <c r="Z11" s="32" t="s">
        <v>312</v>
      </c>
      <c r="AA11" s="32" t="s">
        <v>313</v>
      </c>
      <c r="AB11" s="32" t="s">
        <v>314</v>
      </c>
      <c r="AC11" s="32" t="s">
        <v>315</v>
      </c>
      <c r="AD11" s="32" t="s">
        <v>316</v>
      </c>
      <c r="AE11" s="32" t="s">
        <v>365</v>
      </c>
      <c r="AF11" s="32" t="s">
        <v>366</v>
      </c>
    </row>
    <row r="12" spans="1:32" x14ac:dyDescent="0.25">
      <c r="A12" s="16" t="s">
        <v>24</v>
      </c>
      <c r="B12" s="26" t="s">
        <v>39</v>
      </c>
      <c r="C12" s="34" t="s">
        <v>79</v>
      </c>
      <c r="D12" s="32" t="s">
        <v>80</v>
      </c>
      <c r="E12" s="32" t="s">
        <v>81</v>
      </c>
      <c r="F12" s="32" t="s">
        <v>82</v>
      </c>
      <c r="G12" s="32" t="s">
        <v>83</v>
      </c>
      <c r="H12" s="32" t="s">
        <v>107</v>
      </c>
      <c r="I12" s="32" t="s">
        <v>118</v>
      </c>
      <c r="J12" s="32" t="s">
        <v>128</v>
      </c>
      <c r="K12" s="32" t="s">
        <v>139</v>
      </c>
      <c r="L12" s="32" t="s">
        <v>214</v>
      </c>
      <c r="M12" s="32" t="s">
        <v>215</v>
      </c>
      <c r="N12" s="32" t="s">
        <v>216</v>
      </c>
      <c r="O12" s="32" t="s">
        <v>217</v>
      </c>
      <c r="P12" s="32" t="s">
        <v>218</v>
      </c>
      <c r="Q12" s="32" t="s">
        <v>219</v>
      </c>
      <c r="R12" s="32" t="s">
        <v>220</v>
      </c>
      <c r="S12" s="32" t="s">
        <v>221</v>
      </c>
      <c r="T12" s="32" t="s">
        <v>222</v>
      </c>
      <c r="U12" s="32" t="s">
        <v>223</v>
      </c>
      <c r="V12" s="32" t="s">
        <v>317</v>
      </c>
      <c r="W12" s="32" t="s">
        <v>318</v>
      </c>
      <c r="X12" s="32" t="s">
        <v>319</v>
      </c>
      <c r="Y12" s="32" t="s">
        <v>320</v>
      </c>
      <c r="Z12" s="32" t="s">
        <v>321</v>
      </c>
      <c r="AA12" s="32" t="s">
        <v>322</v>
      </c>
      <c r="AB12" s="32" t="s">
        <v>323</v>
      </c>
      <c r="AC12" s="32" t="s">
        <v>324</v>
      </c>
      <c r="AD12" s="32" t="s">
        <v>325</v>
      </c>
      <c r="AE12" s="32" t="s">
        <v>367</v>
      </c>
      <c r="AF12" s="32" t="s">
        <v>368</v>
      </c>
    </row>
    <row r="13" spans="1:32" ht="16.149999999999999" customHeight="1" x14ac:dyDescent="0.25">
      <c r="A13" s="17" t="s">
        <v>25</v>
      </c>
      <c r="B13" s="25" t="s">
        <v>40</v>
      </c>
      <c r="C13" s="31" t="s">
        <v>84</v>
      </c>
      <c r="D13" s="33" t="s">
        <v>85</v>
      </c>
      <c r="E13" s="32" t="s">
        <v>86</v>
      </c>
      <c r="F13" s="32" t="s">
        <v>87</v>
      </c>
      <c r="G13" s="32" t="s">
        <v>88</v>
      </c>
      <c r="H13" s="32" t="s">
        <v>108</v>
      </c>
      <c r="I13" s="32" t="s">
        <v>141</v>
      </c>
      <c r="J13" s="32" t="s">
        <v>129</v>
      </c>
      <c r="K13" s="32" t="s">
        <v>140</v>
      </c>
      <c r="L13" s="32" t="s">
        <v>224</v>
      </c>
      <c r="M13" s="32" t="s">
        <v>225</v>
      </c>
      <c r="N13" s="32" t="s">
        <v>226</v>
      </c>
      <c r="O13" s="32" t="s">
        <v>227</v>
      </c>
      <c r="P13" s="32" t="s">
        <v>228</v>
      </c>
      <c r="Q13" s="32" t="s">
        <v>229</v>
      </c>
      <c r="R13" s="32" t="s">
        <v>230</v>
      </c>
      <c r="S13" s="32" t="s">
        <v>231</v>
      </c>
      <c r="T13" s="32" t="s">
        <v>232</v>
      </c>
      <c r="U13" s="32" t="s">
        <v>233</v>
      </c>
      <c r="V13" s="32" t="s">
        <v>326</v>
      </c>
      <c r="W13" s="32" t="s">
        <v>327</v>
      </c>
      <c r="X13" s="32" t="s">
        <v>328</v>
      </c>
      <c r="Y13" s="32" t="s">
        <v>329</v>
      </c>
      <c r="Z13" s="32" t="s">
        <v>330</v>
      </c>
      <c r="AA13" s="32" t="s">
        <v>331</v>
      </c>
      <c r="AB13" s="32" t="s">
        <v>332</v>
      </c>
      <c r="AC13" s="32" t="s">
        <v>333</v>
      </c>
      <c r="AD13" s="32" t="s">
        <v>334</v>
      </c>
      <c r="AE13" s="32" t="s">
        <v>369</v>
      </c>
      <c r="AF13" s="32" t="s">
        <v>370</v>
      </c>
    </row>
    <row r="14" spans="1:32" ht="16.149999999999999" customHeight="1" x14ac:dyDescent="0.25">
      <c r="A14" s="17" t="s">
        <v>26</v>
      </c>
      <c r="B14" s="25" t="s">
        <v>41</v>
      </c>
      <c r="C14" s="31" t="s">
        <v>41</v>
      </c>
      <c r="D14" s="33" t="s">
        <v>89</v>
      </c>
      <c r="E14" s="32" t="s">
        <v>89</v>
      </c>
      <c r="F14" s="32" t="s">
        <v>89</v>
      </c>
      <c r="G14" s="32" t="s">
        <v>89</v>
      </c>
      <c r="H14" s="32" t="s">
        <v>89</v>
      </c>
      <c r="I14" s="32" t="s">
        <v>89</v>
      </c>
      <c r="J14" s="32" t="s">
        <v>89</v>
      </c>
      <c r="K14" s="32" t="s">
        <v>89</v>
      </c>
      <c r="L14" s="32" t="s">
        <v>89</v>
      </c>
      <c r="M14" s="32" t="s">
        <v>89</v>
      </c>
      <c r="N14" s="32" t="s">
        <v>89</v>
      </c>
      <c r="O14" s="32" t="s">
        <v>89</v>
      </c>
      <c r="P14" s="32" t="s">
        <v>89</v>
      </c>
      <c r="Q14" s="32" t="s">
        <v>89</v>
      </c>
      <c r="R14" s="32" t="s">
        <v>89</v>
      </c>
      <c r="S14" s="32" t="s">
        <v>89</v>
      </c>
      <c r="T14" s="32" t="s">
        <v>89</v>
      </c>
      <c r="U14" s="32" t="s">
        <v>89</v>
      </c>
      <c r="V14" s="32" t="s">
        <v>89</v>
      </c>
      <c r="W14" s="32" t="s">
        <v>89</v>
      </c>
      <c r="X14" s="32" t="s">
        <v>89</v>
      </c>
      <c r="Y14" s="32" t="s">
        <v>89</v>
      </c>
      <c r="Z14" s="32" t="s">
        <v>89</v>
      </c>
      <c r="AA14" s="32" t="s">
        <v>89</v>
      </c>
      <c r="AB14" s="32" t="s">
        <v>89</v>
      </c>
      <c r="AC14" s="32" t="s">
        <v>89</v>
      </c>
      <c r="AD14" s="32" t="s">
        <v>89</v>
      </c>
      <c r="AE14" s="32" t="s">
        <v>89</v>
      </c>
      <c r="AF14" s="32" t="s">
        <v>89</v>
      </c>
    </row>
    <row r="15" spans="1:32" ht="16.149999999999999" customHeight="1" x14ac:dyDescent="0.25">
      <c r="A15" s="17" t="s">
        <v>27</v>
      </c>
      <c r="B15" s="27" t="s">
        <v>42</v>
      </c>
      <c r="C15" s="31" t="s">
        <v>90</v>
      </c>
      <c r="D15" s="33" t="s">
        <v>91</v>
      </c>
      <c r="E15" s="32" t="s">
        <v>92</v>
      </c>
      <c r="F15" s="32" t="s">
        <v>93</v>
      </c>
      <c r="G15" s="32" t="s">
        <v>94</v>
      </c>
      <c r="H15" s="32" t="s">
        <v>109</v>
      </c>
      <c r="I15" s="32" t="s">
        <v>119</v>
      </c>
      <c r="J15" s="32" t="s">
        <v>130</v>
      </c>
      <c r="K15" s="32" t="s">
        <v>142</v>
      </c>
      <c r="L15" s="32" t="s">
        <v>234</v>
      </c>
      <c r="M15" s="32" t="s">
        <v>235</v>
      </c>
      <c r="N15" s="32" t="s">
        <v>236</v>
      </c>
      <c r="O15" s="32" t="s">
        <v>237</v>
      </c>
      <c r="P15" s="32" t="s">
        <v>238</v>
      </c>
      <c r="Q15" s="32" t="s">
        <v>239</v>
      </c>
      <c r="R15" s="32" t="s">
        <v>240</v>
      </c>
      <c r="S15" s="32" t="s">
        <v>241</v>
      </c>
      <c r="T15" s="32" t="s">
        <v>242</v>
      </c>
      <c r="U15" s="32" t="s">
        <v>243</v>
      </c>
      <c r="V15" s="32" t="s">
        <v>335</v>
      </c>
      <c r="W15" s="32" t="s">
        <v>336</v>
      </c>
      <c r="X15" s="32" t="s">
        <v>337</v>
      </c>
      <c r="Y15" s="32" t="s">
        <v>338</v>
      </c>
      <c r="Z15" s="32" t="s">
        <v>339</v>
      </c>
      <c r="AA15" s="32" t="s">
        <v>340</v>
      </c>
      <c r="AB15" s="32" t="s">
        <v>341</v>
      </c>
      <c r="AC15" s="32" t="s">
        <v>342</v>
      </c>
      <c r="AD15" s="32" t="s">
        <v>343</v>
      </c>
      <c r="AE15" s="32" t="s">
        <v>371</v>
      </c>
      <c r="AF15" s="32" t="s">
        <v>372</v>
      </c>
    </row>
    <row r="16" spans="1:32" ht="16.149999999999999" customHeight="1" x14ac:dyDescent="0.25">
      <c r="A16" s="17" t="s">
        <v>28</v>
      </c>
      <c r="B16" s="27" t="s">
        <v>43</v>
      </c>
      <c r="C16" s="31" t="s">
        <v>95</v>
      </c>
      <c r="D16" s="33" t="s">
        <v>96</v>
      </c>
      <c r="E16" s="32" t="s">
        <v>97</v>
      </c>
      <c r="F16" s="32" t="s">
        <v>98</v>
      </c>
      <c r="G16" s="32" t="s">
        <v>99</v>
      </c>
      <c r="H16" s="32" t="s">
        <v>110</v>
      </c>
      <c r="I16" s="32" t="s">
        <v>120</v>
      </c>
      <c r="J16" s="32" t="s">
        <v>131</v>
      </c>
      <c r="K16" s="32" t="s">
        <v>143</v>
      </c>
      <c r="L16" s="32" t="s">
        <v>244</v>
      </c>
      <c r="M16" s="32" t="s">
        <v>245</v>
      </c>
      <c r="N16" s="32" t="s">
        <v>246</v>
      </c>
      <c r="O16" s="32" t="s">
        <v>247</v>
      </c>
      <c r="P16" s="32" t="s">
        <v>248</v>
      </c>
      <c r="Q16" s="32" t="s">
        <v>249</v>
      </c>
      <c r="R16" s="32" t="s">
        <v>250</v>
      </c>
      <c r="S16" s="32" t="s">
        <v>251</v>
      </c>
      <c r="T16" s="32" t="s">
        <v>252</v>
      </c>
      <c r="U16" s="32" t="s">
        <v>253</v>
      </c>
      <c r="V16" s="32" t="s">
        <v>344</v>
      </c>
      <c r="W16" s="32" t="s">
        <v>345</v>
      </c>
      <c r="X16" s="32" t="s">
        <v>346</v>
      </c>
      <c r="Y16" s="32" t="s">
        <v>347</v>
      </c>
      <c r="Z16" s="32" t="s">
        <v>348</v>
      </c>
      <c r="AA16" s="32" t="s">
        <v>349</v>
      </c>
      <c r="AB16" s="32" t="s">
        <v>350</v>
      </c>
      <c r="AC16" s="32" t="s">
        <v>351</v>
      </c>
      <c r="AD16" s="32" t="s">
        <v>352</v>
      </c>
      <c r="AE16" s="32" t="s">
        <v>373</v>
      </c>
      <c r="AF16" s="32" t="s">
        <v>374</v>
      </c>
    </row>
  </sheetData>
  <mergeCells count="2">
    <mergeCell ref="A2:A3"/>
    <mergeCell ref="C2:AF2"/>
  </mergeCells>
  <printOptions horizontalCentered="1" verticalCentered="1"/>
  <pageMargins left="0" right="0" top="0" bottom="0" header="0.3" footer="0.3"/>
  <pageSetup orientation="portrait" r:id="rId1"/>
  <ignoredErrors>
    <ignoredError sqref="B4:B16 C4:G16 H4:J12 H14:J16 H13 I13:K13 K4:K12 K14:K16 L4:U16 V4:Z16 AA4:A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2022-07-01T18:23:36Z</dcterms:modified>
</cp:coreProperties>
</file>