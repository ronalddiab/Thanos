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837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8" i="3" l="1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W18" i="3"/>
  <c r="AX18" i="3"/>
  <c r="AY18" i="3"/>
  <c r="AZ18" i="3"/>
  <c r="BB18" i="3"/>
  <c r="BC18" i="3"/>
  <c r="BD18" i="3"/>
  <c r="BE18" i="3"/>
  <c r="BF18" i="3"/>
  <c r="BG18" i="3"/>
  <c r="BH18" i="3"/>
  <c r="BI18" i="3"/>
  <c r="BJ18" i="3"/>
  <c r="BK18" i="3"/>
  <c r="BL18" i="3"/>
  <c r="E17" i="3" l="1"/>
  <c r="F17" i="3"/>
  <c r="E16" i="3" l="1"/>
  <c r="F16" i="3"/>
  <c r="F15" i="3" l="1"/>
  <c r="E15" i="3"/>
  <c r="E14" i="3" l="1"/>
  <c r="F14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L26" i="4"/>
  <c r="EK26" i="4"/>
  <c r="EJ26" i="4"/>
  <c r="EI26" i="4"/>
  <c r="EG26" i="4"/>
  <c r="BA18" i="3" s="1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BJ17" i="3" s="1"/>
  <c r="EW25" i="4"/>
  <c r="EV25" i="4"/>
  <c r="EU25" i="4"/>
  <c r="ET25" i="4"/>
  <c r="ER25" i="4"/>
  <c r="EQ25" i="4"/>
  <c r="BC17" i="3" s="1"/>
  <c r="EO25" i="4"/>
  <c r="BF17" i="3" s="1"/>
  <c r="EN25" i="4"/>
  <c r="EM25" i="4"/>
  <c r="EL25" i="4"/>
  <c r="EK25" i="4"/>
  <c r="EJ25" i="4"/>
  <c r="EI25" i="4"/>
  <c r="BB17" i="3" s="1"/>
  <c r="EH25" i="4"/>
  <c r="EG25" i="4"/>
  <c r="EE25" i="4"/>
  <c r="ED25" i="4"/>
  <c r="EC25" i="4"/>
  <c r="EB25" i="4"/>
  <c r="AY17" i="3" s="1"/>
  <c r="EA25" i="4"/>
  <c r="DZ25" i="4"/>
  <c r="DY25" i="4"/>
  <c r="DX25" i="4"/>
  <c r="DW25" i="4"/>
  <c r="DV25" i="4"/>
  <c r="DU25" i="4"/>
  <c r="DT25" i="4"/>
  <c r="DR25" i="4"/>
  <c r="DQ25" i="4"/>
  <c r="DP25" i="4"/>
  <c r="DO25" i="4"/>
  <c r="AR17" i="3" s="1"/>
  <c r="DN25" i="4"/>
  <c r="DM25" i="4"/>
  <c r="DL25" i="4"/>
  <c r="DK25" i="4"/>
  <c r="DJ25" i="4"/>
  <c r="DI25" i="4"/>
  <c r="AQ17" i="3" s="1"/>
  <c r="DH25" i="4"/>
  <c r="DG25" i="4"/>
  <c r="DF25" i="4"/>
  <c r="DE25" i="4"/>
  <c r="DD25" i="4"/>
  <c r="DC25" i="4"/>
  <c r="AL17" i="3" s="1"/>
  <c r="DB25" i="4"/>
  <c r="DA25" i="4"/>
  <c r="CZ25" i="4"/>
  <c r="CY25" i="4"/>
  <c r="CX25" i="4"/>
  <c r="CW25" i="4"/>
  <c r="AK17" i="3" s="1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S16" i="3" s="1"/>
  <c r="AL24" i="4"/>
  <c r="AK24" i="4"/>
  <c r="AJ24" i="4"/>
  <c r="AI24" i="4"/>
  <c r="AH24" i="4"/>
  <c r="AG24" i="4"/>
  <c r="Q16" i="3" s="1"/>
  <c r="AF24" i="4"/>
  <c r="AE24" i="4"/>
  <c r="AD24" i="4"/>
  <c r="AC24" i="4"/>
  <c r="AB24" i="4"/>
  <c r="AA24" i="4"/>
  <c r="O16" i="3" s="1"/>
  <c r="Z24" i="4"/>
  <c r="Y24" i="4"/>
  <c r="X24" i="4"/>
  <c r="W24" i="4"/>
  <c r="V24" i="4"/>
  <c r="U24" i="4"/>
  <c r="M16" i="3" s="1"/>
  <c r="R24" i="4"/>
  <c r="Q24" i="4"/>
  <c r="O24" i="4"/>
  <c r="N24" i="4"/>
  <c r="M24" i="4"/>
  <c r="L24" i="4"/>
  <c r="K24" i="4"/>
  <c r="J24" i="4"/>
  <c r="BL16" i="3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23" i="1"/>
  <c r="G23" i="1"/>
  <c r="I23" i="1"/>
  <c r="K23" i="1"/>
  <c r="M23" i="1"/>
  <c r="M22" i="1"/>
  <c r="K22" i="1"/>
  <c r="I22" i="1"/>
  <c r="G22" i="1"/>
  <c r="E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E18" i="1"/>
  <c r="E21" i="1"/>
  <c r="G19" i="1"/>
  <c r="G18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15" i="1"/>
  <c r="K16" i="1"/>
  <c r="K17" i="1"/>
  <c r="K24" i="1"/>
  <c r="K20" i="1"/>
  <c r="K21" i="1"/>
  <c r="K29" i="1"/>
  <c r="K28" i="1"/>
  <c r="K27" i="1"/>
  <c r="K25" i="1"/>
  <c r="K26" i="1"/>
  <c r="K19" i="1"/>
  <c r="AQ16" i="3" l="1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17" i="1" l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C48" i="4" s="1"/>
  <c r="CB21" i="4"/>
  <c r="BZ21" i="4"/>
  <c r="BT21" i="4"/>
  <c r="N21" i="4"/>
  <c r="L21" i="4"/>
  <c r="J21" i="4"/>
  <c r="G21" i="4"/>
  <c r="D21" i="4"/>
  <c r="CI48" i="4" l="1"/>
  <c r="CA48" i="4"/>
  <c r="CG48" i="4"/>
  <c r="BY48" i="4"/>
  <c r="I48" i="4"/>
  <c r="I49" i="4" s="1"/>
  <c r="BL13" i="3"/>
  <c r="K13" i="1" s="1"/>
  <c r="K48" i="4"/>
  <c r="K49" i="4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CE48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8" i="4"/>
  <c r="F49" i="4" s="1"/>
  <c r="F45" i="4"/>
  <c r="C48" i="4"/>
  <c r="C49" i="4" s="1"/>
  <c r="C45" i="4"/>
  <c r="CQ44" i="4" l="1"/>
  <c r="CQ47" i="4"/>
  <c r="CQ48" i="4"/>
  <c r="CQ45" i="4"/>
  <c r="CN47" i="4"/>
  <c r="CN49" i="4" s="1"/>
  <c r="CN44" i="4"/>
  <c r="CN48" i="4"/>
  <c r="CN45" i="4"/>
  <c r="CK44" i="4"/>
  <c r="CK47" i="4"/>
  <c r="CK48" i="4"/>
  <c r="CK45" i="4"/>
  <c r="AV47" i="4"/>
  <c r="AV44" i="4"/>
  <c r="AV45" i="4"/>
  <c r="AV48" i="4"/>
  <c r="AS47" i="4"/>
  <c r="AS44" i="4"/>
  <c r="AS45" i="4"/>
  <c r="AS48" i="4"/>
  <c r="AP47" i="4"/>
  <c r="AP44" i="4"/>
  <c r="AP45" i="4"/>
  <c r="AP48" i="4"/>
  <c r="AJ45" i="4"/>
  <c r="AJ48" i="4"/>
  <c r="AJ47" i="4"/>
  <c r="AJ44" i="4"/>
  <c r="AG47" i="4"/>
  <c r="AG44" i="4"/>
  <c r="AG45" i="4"/>
  <c r="AG48" i="4"/>
  <c r="AD44" i="4"/>
  <c r="AD47" i="4"/>
  <c r="AD45" i="4"/>
  <c r="AD48" i="4"/>
  <c r="AA44" i="4"/>
  <c r="AA47" i="4"/>
  <c r="AA48" i="4"/>
  <c r="AA45" i="4"/>
  <c r="X47" i="4"/>
  <c r="X44" i="4"/>
  <c r="U48" i="4"/>
  <c r="U45" i="4"/>
  <c r="U47" i="4"/>
  <c r="U44" i="4"/>
  <c r="X45" i="4"/>
  <c r="X48" i="4"/>
  <c r="CQ49" i="4" l="1"/>
  <c r="AJ49" i="4"/>
  <c r="CK49" i="4"/>
  <c r="AV49" i="4"/>
  <c r="AS49" i="4"/>
  <c r="AP49" i="4"/>
  <c r="AG49" i="4"/>
  <c r="AD49" i="4"/>
  <c r="AA49" i="4"/>
  <c r="X49" i="4"/>
  <c r="U49" i="4"/>
  <c r="AO23" i="4" l="1"/>
  <c r="AN23" i="4"/>
  <c r="AN22" i="4"/>
  <c r="AO22" i="4"/>
  <c r="AM44" i="4" l="1"/>
  <c r="AA51" i="4" s="1"/>
  <c r="AM47" i="4"/>
  <c r="AM45" i="4"/>
  <c r="AM51" i="4" s="1"/>
  <c r="AM48" i="4"/>
  <c r="AM50" i="4" s="1"/>
  <c r="AV51" i="4" l="1"/>
  <c r="AM49" i="4"/>
  <c r="AA50" i="4"/>
  <c r="AV50" i="4" s="1"/>
  <c r="S22" i="4" l="1"/>
  <c r="BT25" i="4" l="1"/>
  <c r="S25" i="4"/>
  <c r="P25" i="4"/>
  <c r="BT24" i="4"/>
  <c r="BS48" i="4" s="1"/>
  <c r="S24" i="4"/>
  <c r="R48" i="4" s="1"/>
  <c r="R49" i="4" s="1"/>
  <c r="P24" i="4"/>
  <c r="O45" i="4" l="1"/>
  <c r="O48" i="4"/>
  <c r="O49" i="4" s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8" i="4" l="1"/>
  <c r="BF49" i="4" s="1"/>
  <c r="BF45" i="4"/>
  <c r="BF46" i="4" s="1"/>
  <c r="BC45" i="4"/>
  <c r="BC46" i="4" s="1"/>
  <c r="BC48" i="4"/>
  <c r="BC49" i="4" s="1"/>
  <c r="AZ48" i="4"/>
  <c r="AZ45" i="4"/>
  <c r="AZ46" i="4" s="1"/>
  <c r="AZ49" i="4" l="1"/>
  <c r="BC51" i="4"/>
  <c r="EP26" i="4" l="1"/>
  <c r="CU26" i="4"/>
  <c r="EP25" i="4"/>
  <c r="CU25" i="4"/>
  <c r="CT48" i="4" l="1"/>
  <c r="CT49" i="4" s="1"/>
  <c r="EH27" i="4" l="1"/>
  <c r="EH26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<sst xmlns="http://schemas.openxmlformats.org/spreadsheetml/2006/main" count="413" uniqueCount="204">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</sst>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0.51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0.68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0.74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0.69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7136900</v>
          </cell>
          <cell r="EQ25">
            <v>-98200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0.57999999999999996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18903701.039999999</v>
          </cell>
          <cell r="AO26">
            <v>243.60000000149012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101900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F27">
            <v>-216108</v>
          </cell>
          <cell r="G27">
            <v>697</v>
          </cell>
          <cell r="I27">
            <v>-244952</v>
          </cell>
          <cell r="J27">
            <v>460</v>
          </cell>
          <cell r="L27">
            <v>-8359</v>
          </cell>
          <cell r="O27">
            <v>-922633</v>
          </cell>
          <cell r="R27">
            <v>-244870</v>
          </cell>
          <cell r="V27">
            <v>-117028</v>
          </cell>
          <cell r="W27">
            <v>77.739999999997963</v>
          </cell>
          <cell r="Y27">
            <v>-6407</v>
          </cell>
          <cell r="AF27">
            <v>-8166348.959999999</v>
          </cell>
          <cell r="AI27">
            <v>-15515760.959999999</v>
          </cell>
          <cell r="AL27">
            <v>-15824743.199999999</v>
          </cell>
          <cell r="AO27">
            <v>-18903701.039999999</v>
          </cell>
          <cell r="AR27">
            <v>-19179797.280000001</v>
          </cell>
          <cell r="AU27">
            <v>-17617346.879999999</v>
          </cell>
          <cell r="AX27">
            <v>-14825642.16</v>
          </cell>
          <cell r="BA27">
            <v>-14350037.52</v>
          </cell>
          <cell r="BD27">
            <v>-11208425.76</v>
          </cell>
          <cell r="BG27">
            <v>-17753568</v>
          </cell>
          <cell r="BN27">
            <v>-78188000</v>
          </cell>
          <cell r="BQ27">
            <v>-80883300</v>
          </cell>
          <cell r="BT27">
            <v>-74820500</v>
          </cell>
          <cell r="BW27">
            <v>-10287790</v>
          </cell>
          <cell r="BZ27">
            <v>0.57999999999999996</v>
          </cell>
          <cell r="CC27">
            <v>-64498</v>
          </cell>
          <cell r="CE27">
            <v>-55588</v>
          </cell>
          <cell r="CG27">
            <v>-18805</v>
          </cell>
          <cell r="CI27">
            <v>-25683</v>
          </cell>
          <cell r="CK27">
            <v>-28613</v>
          </cell>
          <cell r="CM27">
            <v>-62774</v>
          </cell>
          <cell r="CO27">
            <v>-268676</v>
          </cell>
          <cell r="CR27">
            <v>-215960</v>
          </cell>
          <cell r="CU27">
            <v>-357370</v>
          </cell>
          <cell r="CX27">
            <v>-696280</v>
          </cell>
          <cell r="DA27">
            <v>-8919</v>
          </cell>
          <cell r="DC27">
            <v>-6052</v>
          </cell>
          <cell r="DE27">
            <v>-32260</v>
          </cell>
          <cell r="DG27">
            <v>-32489</v>
          </cell>
          <cell r="DI27">
            <v>-21928</v>
          </cell>
          <cell r="DK27">
            <v>-24091</v>
          </cell>
          <cell r="DM27">
            <v>-7179</v>
          </cell>
          <cell r="DO27">
            <v>-9831</v>
          </cell>
          <cell r="DQ27">
            <v>-3292</v>
          </cell>
          <cell r="DS27">
            <v>-6504</v>
          </cell>
          <cell r="DU27">
            <v>-30341</v>
          </cell>
          <cell r="DX27">
            <v>-6425.3</v>
          </cell>
          <cell r="DZ27">
            <v>-11357.9</v>
          </cell>
          <cell r="EB27">
            <v>-4856.3999999999996</v>
          </cell>
          <cell r="ED27">
            <v>-5437.1</v>
          </cell>
          <cell r="EF27">
            <v>-1131797</v>
          </cell>
          <cell r="EJ27">
            <v>-232950</v>
          </cell>
          <cell r="EM27">
            <v>-12173000</v>
          </cell>
          <cell r="EO27">
            <v>-935990</v>
          </cell>
          <cell r="EQ27">
            <v>-7238800</v>
          </cell>
          <cell r="ES27">
            <v>-2501000</v>
          </cell>
          <cell r="EU27">
            <v>-1283630</v>
          </cell>
          <cell r="EW27">
            <v>-16652500</v>
          </cell>
          <cell r="EZ27">
            <v>-42247</v>
          </cell>
          <cell r="FB27">
            <v>-36888</v>
          </cell>
          <cell r="FD27">
            <v>-7605</v>
          </cell>
          <cell r="FF27">
            <v>-59382</v>
          </cell>
          <cell r="FH27">
            <v>-49814</v>
          </cell>
        </row>
        <row r="28">
          <cell r="F28">
            <v>0</v>
          </cell>
          <cell r="G28">
            <v>677</v>
          </cell>
          <cell r="I28">
            <v>0</v>
          </cell>
          <cell r="J28">
            <v>413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81.569999999999709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714</v>
          </cell>
          <cell r="I29">
            <v>0</v>
          </cell>
          <cell r="J29">
            <v>436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78.590000000003783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770</v>
          </cell>
          <cell r="I30">
            <v>0</v>
          </cell>
          <cell r="J30">
            <v>455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88.57999999999447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753</v>
          </cell>
          <cell r="I31">
            <v>0</v>
          </cell>
          <cell r="J31">
            <v>474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95.55000000000291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793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91.709999999999127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795</v>
          </cell>
          <cell r="I33">
            <v>0</v>
          </cell>
          <cell r="J33">
            <v>522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94.129999999997381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120.87</v>
      </c>
      <c r="N14">
        <f>Submetering!F14</f>
        <v>216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161.16000000000003</v>
      </c>
      <c r="N15">
        <f>Submetering!F15</f>
        <v>276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175.38</v>
      </c>
      <c r="N16">
        <f>Submetering!F16</f>
        <v>420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163.53</v>
      </c>
      <c r="N17">
        <f>Submetering!F17</f>
        <v>301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43653.11999999918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137.45999999999998</v>
      </c>
      <c r="N18">
        <f>Submetering!F18</f>
        <v>260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8" sqref="I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237*0.51</f>
        <v>120.87</v>
      </c>
      <c r="F14" s="79">
        <f>183+33</f>
        <v>216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237*0.68</f>
        <v>161.16000000000003</v>
      </c>
      <c r="F15" s="79">
        <f>238+38</f>
        <v>276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237*0.74</f>
        <v>175.38</v>
      </c>
      <c r="F16" s="79">
        <f>372+48</f>
        <v>420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237*0.69</f>
        <v>163.53</v>
      </c>
      <c r="F17" s="79">
        <f>252+49</f>
        <v>301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-98200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237*0.58</f>
        <v>137.45999999999998</v>
      </c>
      <c r="F18" s="79">
        <f>216+44</f>
        <v>260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243.60000000149012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101900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1">
        <f>C10-C9</f>
        <v>732</v>
      </c>
      <c r="E9" s="413">
        <f>'[1]December - 2022'!G9</f>
        <v>576</v>
      </c>
      <c r="F9" s="168">
        <f>'[1]December - 2022'!H9</f>
        <v>237720</v>
      </c>
      <c r="G9" s="369">
        <f>F10-F9</f>
        <v>427</v>
      </c>
      <c r="H9" s="413">
        <f>'[1]December - 2022'!J9</f>
        <v>407</v>
      </c>
      <c r="I9" s="264">
        <f>'[1]December - 2022'!K9</f>
        <v>5844</v>
      </c>
      <c r="J9" s="369">
        <f>I10-I9</f>
        <v>164</v>
      </c>
      <c r="K9" s="264">
        <f>'[1]December - 2022'!N9</f>
        <v>918944</v>
      </c>
      <c r="L9" s="368">
        <f>K10-K9</f>
        <v>277</v>
      </c>
      <c r="M9" s="264">
        <f>'[1]December - 2022'!Q9</f>
        <v>243148</v>
      </c>
      <c r="N9" s="368">
        <f>M10-M9</f>
        <v>112</v>
      </c>
      <c r="O9" s="264">
        <f>'[1]December - 2022'!U9</f>
        <v>115205</v>
      </c>
      <c r="P9" s="369">
        <f>O10-O9</f>
        <v>131</v>
      </c>
      <c r="Q9" s="413">
        <f>'[1]December - 2022'!W9</f>
        <v>105.08999999999651</v>
      </c>
      <c r="R9" s="264">
        <f>'[1]December - 2022'!X9</f>
        <v>6237</v>
      </c>
      <c r="S9" s="415">
        <f>R10-R9</f>
        <v>18</v>
      </c>
      <c r="T9" s="521"/>
      <c r="U9" s="269">
        <f>'[1]December - 2022'!AE9</f>
        <v>8125472.8800000008</v>
      </c>
      <c r="V9" s="417">
        <f>U10-U9</f>
        <v>2630.8799999989569</v>
      </c>
      <c r="W9" s="409">
        <f>'[1]December - 2022'!AF9</f>
        <v>2630.8799999989569</v>
      </c>
      <c r="X9" s="255">
        <f>'[1]December - 2022'!AH9</f>
        <v>15438880.799999999</v>
      </c>
      <c r="Y9" s="369">
        <f>X10-X9</f>
        <v>4579.6800000015646</v>
      </c>
      <c r="Z9" s="409">
        <f>'[1]December - 2022'!AI9</f>
        <v>4579.6800000015646</v>
      </c>
      <c r="AA9" s="255">
        <f>'[1]December - 2022'!AK9</f>
        <v>15753173.52</v>
      </c>
      <c r="AB9" s="369">
        <f>AA10-AA9</f>
        <v>0</v>
      </c>
      <c r="AC9" s="409">
        <f>'[1]December - 2022'!AL9</f>
        <v>0</v>
      </c>
      <c r="AD9" s="255">
        <f>'[1]December - 2022'!AN9</f>
        <v>18820730.879999999</v>
      </c>
      <c r="AE9" s="369">
        <f>AD10-AD9</f>
        <v>48.719999998807907</v>
      </c>
      <c r="AF9" s="409">
        <f>'[1]December - 2022'!AO9</f>
        <v>48.719999998807907</v>
      </c>
      <c r="AG9" s="255">
        <f>'[1]December - 2022'!AQ9</f>
        <v>19140870</v>
      </c>
      <c r="AH9" s="369">
        <f>AG10-AG9</f>
        <v>12959.519999999553</v>
      </c>
      <c r="AI9" s="409">
        <f>'[1]December - 2022'!AR9</f>
        <v>12959.519999999553</v>
      </c>
      <c r="AJ9" s="255">
        <f>'[1]December - 2022'!AT9</f>
        <v>17520394.080000002</v>
      </c>
      <c r="AK9" s="369">
        <f>AJ10-AJ9</f>
        <v>5943.8399999961257</v>
      </c>
      <c r="AL9" s="409">
        <f>'[1]December - 2022'!AU9</f>
        <v>5943.8399999961257</v>
      </c>
      <c r="AM9" s="255">
        <f>'[1]December - 2022'!AW9</f>
        <v>14752513.439999999</v>
      </c>
      <c r="AN9" s="369">
        <f>AM10-AM9</f>
        <v>4384.8000000007451</v>
      </c>
      <c r="AO9" s="409">
        <f>'[1]December - 2022'!AX9</f>
        <v>4384.8000000007451</v>
      </c>
      <c r="AP9" s="255">
        <f>'[1]December - 2022'!AZ9</f>
        <v>14272426.559999999</v>
      </c>
      <c r="AQ9" s="369">
        <f>AP10-AP9</f>
        <v>4872</v>
      </c>
      <c r="AR9" s="409">
        <f>'[1]December - 2022'!BA9</f>
        <v>4872</v>
      </c>
      <c r="AS9" s="255">
        <f>'[1]December - 2022'!BC9</f>
        <v>11154687.6</v>
      </c>
      <c r="AT9" s="369">
        <f>AS10-AS9</f>
        <v>3118.0800000000745</v>
      </c>
      <c r="AU9" s="409">
        <f>'[1]December - 2022'!BD9</f>
        <v>3118.0800000000745</v>
      </c>
      <c r="AV9" s="255">
        <f>'[1]December - 2022'!BF9</f>
        <v>17655543.359999999</v>
      </c>
      <c r="AW9" s="369">
        <f>AV10-AV9</f>
        <v>5554.0799999982119</v>
      </c>
      <c r="AX9" s="490">
        <f>'[1]December - 2022'!BG9</f>
        <v>5554.0799999982119</v>
      </c>
      <c r="AY9" s="487"/>
      <c r="AZ9" s="272">
        <f>'[1]December - 2022'!BM9</f>
        <v>77840000</v>
      </c>
      <c r="BA9" s="492">
        <f>AZ10-AZ9</f>
        <v>0</v>
      </c>
      <c r="BB9" s="488">
        <f>'[1]December - 2022'!BN9</f>
        <v>0</v>
      </c>
      <c r="BC9" s="272">
        <f>'[1]December - 2022'!BP9</f>
        <v>80452400</v>
      </c>
      <c r="BD9" s="492">
        <f>BC10-BC9</f>
        <v>0</v>
      </c>
      <c r="BE9" s="488">
        <f>'[1]December - 2022'!BQ9</f>
        <v>0</v>
      </c>
      <c r="BF9" s="272">
        <f>'[1]December - 2022'!BS9</f>
        <v>74637500</v>
      </c>
      <c r="BG9" s="492">
        <f>BF10-BF9</f>
        <v>65200</v>
      </c>
      <c r="BH9" s="488">
        <f>'[1]December - 2022'!BT9</f>
        <v>65200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6">
        <f>BS10-BS9</f>
        <v>7460</v>
      </c>
      <c r="BU9" s="394"/>
      <c r="BV9" s="88">
        <f>'[1]December - 2022'!BY9</f>
        <v>0.74</v>
      </c>
      <c r="BW9" s="388">
        <f>BV10-BV9</f>
        <v>-5.9999999999999942E-2</v>
      </c>
      <c r="BX9" s="390">
        <f>'[1]December - 2022'!$BZ$9:$BZ$10</f>
        <v>5.9999999999999942E-2</v>
      </c>
      <c r="BY9" s="89">
        <f>'[1]December - 2022'!CB9</f>
        <v>64169</v>
      </c>
      <c r="BZ9" s="392">
        <f>BY10-BY9</f>
        <v>21</v>
      </c>
      <c r="CA9" s="89">
        <f>'[1]December - 2022'!CD9</f>
        <v>55264</v>
      </c>
      <c r="CB9" s="392">
        <f>CA10-CA9</f>
        <v>20</v>
      </c>
      <c r="CC9" s="89">
        <f>'[1]December - 2022'!CF9</f>
        <v>18695</v>
      </c>
      <c r="CD9" s="392">
        <f>CC10-CC9</f>
        <v>7</v>
      </c>
      <c r="CE9" s="89">
        <f>'[1]December - 2022'!CH9</f>
        <v>25508</v>
      </c>
      <c r="CF9" s="392">
        <f>CE10-CE9</f>
        <v>10</v>
      </c>
      <c r="CG9" s="89">
        <f>'[1]December - 2022'!CJ9</f>
        <v>28364</v>
      </c>
      <c r="CH9" s="392">
        <f>CG10-CG9</f>
        <v>18</v>
      </c>
      <c r="CI9" s="89">
        <f>'[1]December - 2022'!CL9</f>
        <v>62228</v>
      </c>
      <c r="CJ9" s="392">
        <f>CI10-CI9</f>
        <v>34</v>
      </c>
      <c r="CK9" s="89">
        <f>'[1]December - 2022'!CN9</f>
        <v>267458</v>
      </c>
      <c r="CL9" s="392">
        <f>CK10-CK9</f>
        <v>73</v>
      </c>
      <c r="CM9" s="406">
        <f>'[1]December - 2022'!CO9</f>
        <v>73</v>
      </c>
      <c r="CN9" s="89">
        <f>'[1]December - 2022'!CQ9</f>
        <v>214182</v>
      </c>
      <c r="CO9" s="392">
        <f>CN10-CN9</f>
        <v>102</v>
      </c>
      <c r="CP9" s="406">
        <f>'[1]December - 2022'!CR9</f>
        <v>102</v>
      </c>
      <c r="CQ9" s="89">
        <f>'[1]December - 2022'!CT9</f>
        <v>353835</v>
      </c>
      <c r="CR9" s="392">
        <f>CQ10-CQ9</f>
        <v>166</v>
      </c>
      <c r="CS9" s="406">
        <f>'[1]December - 2022'!CU9</f>
        <v>166</v>
      </c>
      <c r="CT9" s="89">
        <f>'[1]December - 2022'!CW9</f>
        <v>693437</v>
      </c>
      <c r="CU9" s="468">
        <f>CT10-CT9</f>
        <v>168</v>
      </c>
      <c r="CV9" s="454"/>
      <c r="CW9" s="297">
        <f>'[1]December - 2022'!CZ9</f>
        <v>8807</v>
      </c>
      <c r="CX9" s="380">
        <f>CW10-CW9</f>
        <v>8</v>
      </c>
      <c r="CY9" s="298">
        <f>'[1]December - 2022'!DB9</f>
        <v>5981</v>
      </c>
      <c r="CZ9" s="380">
        <f>CY10-CY9</f>
        <v>5</v>
      </c>
      <c r="DA9" s="298">
        <f>'[1]December - 2022'!DD9</f>
        <v>32007</v>
      </c>
      <c r="DB9" s="380">
        <f>DA10-DA9</f>
        <v>16</v>
      </c>
      <c r="DC9" s="298">
        <f>'[1]December - 2022'!DF9</f>
        <v>32272</v>
      </c>
      <c r="DD9" s="380">
        <f>DC10-DC9</f>
        <v>15</v>
      </c>
      <c r="DE9" s="298">
        <f>'[1]December - 2022'!DH9</f>
        <v>21764</v>
      </c>
      <c r="DF9" s="380">
        <f>DE10-DE9</f>
        <v>10</v>
      </c>
      <c r="DG9" s="298">
        <f>'[1]December - 2022'!DJ9</f>
        <v>23989</v>
      </c>
      <c r="DH9" s="380">
        <f>DG10-DG9</f>
        <v>6</v>
      </c>
      <c r="DI9" s="298">
        <f>'[1]December - 2022'!DL9</f>
        <v>7013</v>
      </c>
      <c r="DJ9" s="380">
        <f>DI10-DI9</f>
        <v>9</v>
      </c>
      <c r="DK9" s="298">
        <f>'[1]December - 2022'!DN9</f>
        <v>9688</v>
      </c>
      <c r="DL9" s="380">
        <f>DK10-DK9</f>
        <v>8</v>
      </c>
      <c r="DM9" s="298">
        <f>'[1]December - 2022'!DP9</f>
        <v>3228</v>
      </c>
      <c r="DN9" s="380">
        <f>DM10-DM9</f>
        <v>4</v>
      </c>
      <c r="DO9" s="298">
        <f>'[1]December - 2022'!DR9</f>
        <v>6366</v>
      </c>
      <c r="DP9" s="380">
        <f>DO10-DO9</f>
        <v>9</v>
      </c>
      <c r="DQ9" s="298">
        <f>'[1]December - 2022'!DT9</f>
        <v>30245</v>
      </c>
      <c r="DR9" s="382">
        <f>DQ10-DQ9</f>
        <v>10</v>
      </c>
      <c r="DS9" s="439"/>
      <c r="DT9" s="210">
        <f>'[1]December - 2022'!DW9</f>
        <v>6235.5</v>
      </c>
      <c r="DU9" s="384">
        <f>DT10-DT9</f>
        <v>12</v>
      </c>
      <c r="DV9" s="91">
        <f>'[1]December - 2022'!DY9</f>
        <v>11223.7</v>
      </c>
      <c r="DW9" s="446">
        <f>DV10-DV9</f>
        <v>9.0999999999985448</v>
      </c>
      <c r="DX9" s="91">
        <f>'[1]December - 2022'!EA9</f>
        <v>4746.3</v>
      </c>
      <c r="DY9" s="384">
        <f>DX10-DX9</f>
        <v>6.8000000000001819</v>
      </c>
      <c r="DZ9" s="91">
        <f>'[1]December - 2022'!EC9</f>
        <v>5319.5</v>
      </c>
      <c r="EA9" s="384">
        <f>DZ10-DZ9</f>
        <v>6.8000000000001819</v>
      </c>
      <c r="EB9" s="91">
        <f>'[1]December - 2022'!EE9</f>
        <v>1122112</v>
      </c>
      <c r="EC9" s="384">
        <f>EB10-EB9</f>
        <v>608</v>
      </c>
      <c r="ED9" s="91">
        <f>'[1]December - 2022'!EI9</f>
        <v>230550</v>
      </c>
      <c r="EE9" s="448">
        <f>ED10-ED9</f>
        <v>154.89999999999418</v>
      </c>
      <c r="EF9" s="378"/>
      <c r="EG9" s="235">
        <f>'[1]December - 2022'!EL9</f>
        <v>12107000</v>
      </c>
      <c r="EH9" s="370">
        <f>EG10-EG9</f>
        <v>4400</v>
      </c>
      <c r="EI9" s="90">
        <f>'[1]December - 2022'!EN9</f>
        <v>931450</v>
      </c>
      <c r="EJ9" s="370">
        <f>EI10-EI9</f>
        <v>340</v>
      </c>
      <c r="EK9" s="90">
        <f>'[1]December - 2022'!EP9</f>
        <v>7205200</v>
      </c>
      <c r="EL9" s="370">
        <f>EK10-EK9</f>
        <v>2000</v>
      </c>
      <c r="EM9" s="90">
        <f>'[1]December - 2022'!ER9</f>
        <v>2494100</v>
      </c>
      <c r="EN9" s="370">
        <f>EM10-EM9</f>
        <v>400</v>
      </c>
      <c r="EO9" s="90">
        <f>'[1]December - 2022'!ET9</f>
        <v>1271830</v>
      </c>
      <c r="EP9" s="370">
        <f>EO10-EO9</f>
        <v>700</v>
      </c>
      <c r="EQ9" s="90">
        <f>'[1]December - 2022'!EV9</f>
        <v>16592300</v>
      </c>
      <c r="ER9" s="434">
        <f>EQ10-EQ9</f>
        <v>5600</v>
      </c>
      <c r="ES9" s="426"/>
      <c r="ET9" s="281">
        <f>'[1]December - 2022'!EY9</f>
        <v>41974</v>
      </c>
      <c r="EU9" s="381">
        <f>ET10-ET9</f>
        <v>16</v>
      </c>
      <c r="EV9" s="282">
        <f>'[1]December - 2022'!FA9</f>
        <v>36697</v>
      </c>
      <c r="EW9" s="381">
        <f>EV10-EV9</f>
        <v>13</v>
      </c>
      <c r="EX9" s="282">
        <f>'[1]December - 2022'!FC9</f>
        <v>7448</v>
      </c>
      <c r="EY9" s="381">
        <v>0</v>
      </c>
      <c r="EZ9" s="282">
        <f>'[1]December - 2022'!FE9</f>
        <v>59149</v>
      </c>
      <c r="FA9" s="381">
        <f>EZ10-EZ9</f>
        <v>15</v>
      </c>
      <c r="FB9" s="282">
        <f>'[1]December - 2022'!FG9</f>
        <v>49260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2"/>
      <c r="E10" s="414"/>
      <c r="F10" s="168">
        <f>'[1]December - 2022'!H10</f>
        <v>238147</v>
      </c>
      <c r="G10" s="408"/>
      <c r="H10" s="414"/>
      <c r="I10" s="168">
        <f>'[1]December - 2022'!K10</f>
        <v>6008</v>
      </c>
      <c r="J10" s="408"/>
      <c r="K10" s="168">
        <f>'[1]December - 2022'!N10</f>
        <v>919221</v>
      </c>
      <c r="L10" s="369"/>
      <c r="M10" s="168">
        <f>'[1]December - 2022'!Q10</f>
        <v>243260</v>
      </c>
      <c r="N10" s="369"/>
      <c r="O10" s="168">
        <f>'[1]December - 2022'!U10</f>
        <v>115336</v>
      </c>
      <c r="P10" s="408"/>
      <c r="Q10" s="414"/>
      <c r="R10" s="168">
        <f>'[1]December - 2022'!X10</f>
        <v>6255</v>
      </c>
      <c r="S10" s="416"/>
      <c r="T10" s="521"/>
      <c r="U10" s="269">
        <f>'[1]December - 2022'!AE10</f>
        <v>8128103.7599999998</v>
      </c>
      <c r="V10" s="418"/>
      <c r="W10" s="410"/>
      <c r="X10" s="287">
        <f>'[1]December - 2022'!AH10</f>
        <v>15443460.48</v>
      </c>
      <c r="Y10" s="408"/>
      <c r="Z10" s="410"/>
      <c r="AA10" s="287">
        <f>'[1]December - 2022'!AK10</f>
        <v>15753173.52</v>
      </c>
      <c r="AB10" s="408"/>
      <c r="AC10" s="410"/>
      <c r="AD10" s="287">
        <f>'[1]December - 2022'!AN10</f>
        <v>18820779.599999998</v>
      </c>
      <c r="AE10" s="408"/>
      <c r="AF10" s="410"/>
      <c r="AG10" s="287">
        <f>'[1]December - 2022'!AQ10</f>
        <v>19153829.52</v>
      </c>
      <c r="AH10" s="408"/>
      <c r="AI10" s="410"/>
      <c r="AJ10" s="287">
        <f>'[1]December - 2022'!AT10</f>
        <v>17526337.919999998</v>
      </c>
      <c r="AK10" s="408"/>
      <c r="AL10" s="410"/>
      <c r="AM10" s="287">
        <f>'[1]December - 2022'!AW10</f>
        <v>14756898.24</v>
      </c>
      <c r="AN10" s="408"/>
      <c r="AO10" s="410"/>
      <c r="AP10" s="287">
        <f>'[1]December - 2022'!AZ10</f>
        <v>14277298.559999999</v>
      </c>
      <c r="AQ10" s="408"/>
      <c r="AR10" s="410"/>
      <c r="AS10" s="287">
        <f>'[1]December - 2022'!BC10</f>
        <v>11157805.68</v>
      </c>
      <c r="AT10" s="408"/>
      <c r="AU10" s="410"/>
      <c r="AV10" s="287">
        <f>'[1]December - 2022'!BF10</f>
        <v>17661097.439999998</v>
      </c>
      <c r="AW10" s="408"/>
      <c r="AX10" s="491"/>
      <c r="AY10" s="487"/>
      <c r="AZ10" s="272">
        <f>'[1]December - 2022'!BM10</f>
        <v>77840000</v>
      </c>
      <c r="BA10" s="493"/>
      <c r="BB10" s="489"/>
      <c r="BC10" s="272">
        <f>'[1]December - 2022'!BP10</f>
        <v>80452400</v>
      </c>
      <c r="BD10" s="493"/>
      <c r="BE10" s="489"/>
      <c r="BF10" s="272">
        <f>'[1]December - 2022'!BS10</f>
        <v>74702700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7"/>
      <c r="BU10" s="394"/>
      <c r="BV10" s="88">
        <f>'[1]December - 2022'!BY10</f>
        <v>0.68</v>
      </c>
      <c r="BW10" s="389"/>
      <c r="BX10" s="391"/>
      <c r="BY10" s="89">
        <f>'[1]December - 2022'!CB10</f>
        <v>64190</v>
      </c>
      <c r="BZ10" s="386"/>
      <c r="CA10" s="89">
        <f>'[1]December - 2022'!CD10</f>
        <v>55284</v>
      </c>
      <c r="CB10" s="386"/>
      <c r="CC10" s="89">
        <f>'[1]December - 2022'!CF10</f>
        <v>18702</v>
      </c>
      <c r="CD10" s="386"/>
      <c r="CE10" s="89">
        <f>'[1]December - 2022'!CH10</f>
        <v>25518</v>
      </c>
      <c r="CF10" s="386"/>
      <c r="CG10" s="89">
        <f>'[1]December - 2022'!CJ10</f>
        <v>28382</v>
      </c>
      <c r="CH10" s="386"/>
      <c r="CI10" s="89">
        <f>'[1]December - 2022'!CL10</f>
        <v>62262</v>
      </c>
      <c r="CJ10" s="386"/>
      <c r="CK10" s="89">
        <f>'[1]December - 2022'!CN10</f>
        <v>267531</v>
      </c>
      <c r="CL10" s="386"/>
      <c r="CM10" s="407"/>
      <c r="CN10" s="89">
        <f>'[1]December - 2022'!CQ10</f>
        <v>214284</v>
      </c>
      <c r="CO10" s="386"/>
      <c r="CP10" s="407"/>
      <c r="CQ10" s="89">
        <f>'[1]December - 2022'!CT10</f>
        <v>354001</v>
      </c>
      <c r="CR10" s="386"/>
      <c r="CS10" s="407"/>
      <c r="CT10" s="89">
        <f>'[1]December - 2022'!CW10</f>
        <v>693605</v>
      </c>
      <c r="CU10" s="469"/>
      <c r="CV10" s="454"/>
      <c r="CW10" s="256">
        <f>'[1]December - 2022'!CZ10</f>
        <v>8815</v>
      </c>
      <c r="CX10" s="381"/>
      <c r="CY10" s="257">
        <f>'[1]December - 2022'!DB10</f>
        <v>5986</v>
      </c>
      <c r="CZ10" s="381"/>
      <c r="DA10" s="257">
        <f>'[1]December - 2022'!DD10</f>
        <v>32023</v>
      </c>
      <c r="DB10" s="381"/>
      <c r="DC10" s="257">
        <f>'[1]December - 2022'!DF10</f>
        <v>32287</v>
      </c>
      <c r="DD10" s="381"/>
      <c r="DE10" s="257">
        <f>'[1]December - 2022'!DH10</f>
        <v>21774</v>
      </c>
      <c r="DF10" s="381"/>
      <c r="DG10" s="257">
        <f>'[1]December - 2022'!DJ10</f>
        <v>23995</v>
      </c>
      <c r="DH10" s="381"/>
      <c r="DI10" s="257">
        <f>'[1]December - 2022'!DL10</f>
        <v>7022</v>
      </c>
      <c r="DJ10" s="381"/>
      <c r="DK10" s="257">
        <f>'[1]December - 2022'!DN10</f>
        <v>9696</v>
      </c>
      <c r="DL10" s="381"/>
      <c r="DM10" s="257">
        <f>'[1]December - 2022'!DP10</f>
        <v>3232</v>
      </c>
      <c r="DN10" s="381"/>
      <c r="DO10" s="257">
        <f>'[1]December - 2022'!DR10</f>
        <v>6375</v>
      </c>
      <c r="DP10" s="381"/>
      <c r="DQ10" s="298">
        <f>'[1]December - 2022'!DT10</f>
        <v>30255</v>
      </c>
      <c r="DR10" s="383"/>
      <c r="DS10" s="439"/>
      <c r="DT10" s="210">
        <f>'[1]December - 2022'!DW10</f>
        <v>6247.5</v>
      </c>
      <c r="DU10" s="385"/>
      <c r="DV10" s="91">
        <f>'[1]December - 2022'!DY10</f>
        <v>11232.8</v>
      </c>
      <c r="DW10" s="447"/>
      <c r="DX10" s="91">
        <f>'[1]December - 2022'!EA10</f>
        <v>4753.1000000000004</v>
      </c>
      <c r="DY10" s="385"/>
      <c r="DZ10" s="91">
        <f>'[1]December - 2022'!EC10</f>
        <v>5326.3</v>
      </c>
      <c r="EA10" s="385"/>
      <c r="EB10" s="91">
        <f>'[1]December - 2022'!EE10</f>
        <v>1122720</v>
      </c>
      <c r="EC10" s="385"/>
      <c r="ED10" s="91">
        <f>'[1]December - 2022'!EI10</f>
        <v>230704.9</v>
      </c>
      <c r="EE10" s="449"/>
      <c r="EF10" s="378"/>
      <c r="EG10" s="235">
        <f>'[1]December - 2022'!EL10</f>
        <v>12111400</v>
      </c>
      <c r="EH10" s="371"/>
      <c r="EI10" s="90">
        <f>'[1]December - 2022'!EN10</f>
        <v>931790</v>
      </c>
      <c r="EJ10" s="371"/>
      <c r="EK10" s="90">
        <f>'[1]December - 2022'!EP10</f>
        <v>7207200</v>
      </c>
      <c r="EL10" s="371"/>
      <c r="EM10" s="90">
        <f>'[1]December - 2022'!ER10</f>
        <v>2494500</v>
      </c>
      <c r="EN10" s="371"/>
      <c r="EO10" s="90">
        <f>'[1]December - 2022'!ET10</f>
        <v>1272530</v>
      </c>
      <c r="EP10" s="371"/>
      <c r="EQ10" s="90">
        <f>'[1]December - 2022'!EV10</f>
        <v>16597900</v>
      </c>
      <c r="ER10" s="435"/>
      <c r="ES10" s="426"/>
      <c r="ET10" s="281">
        <f>'[1]December - 2022'!EY10</f>
        <v>41990</v>
      </c>
      <c r="EU10" s="430"/>
      <c r="EV10" s="282">
        <f>'[1]December - 2022'!FA10</f>
        <v>36710</v>
      </c>
      <c r="EW10" s="430"/>
      <c r="EX10" s="282">
        <f>'[1]December - 2022'!FC10</f>
        <v>7456</v>
      </c>
      <c r="EY10" s="430"/>
      <c r="EZ10" s="282">
        <f>'[1]December - 2022'!FE10</f>
        <v>59164</v>
      </c>
      <c r="FA10" s="430"/>
      <c r="FB10" s="282">
        <f>'[1]December - 2022'!FG10</f>
        <v>49296</v>
      </c>
      <c r="FC10" s="431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1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7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4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4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39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8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6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1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7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4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4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39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8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6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1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7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4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4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39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8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6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1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7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4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4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39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8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6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521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87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394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454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439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378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426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521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87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394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454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439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378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426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521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87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394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454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439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378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426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521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87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394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454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439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378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426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521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87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394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454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439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378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426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521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87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394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454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439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378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426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521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87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394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454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439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378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426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0.51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521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87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394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454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439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378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426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0.68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521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87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394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454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439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378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426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0.74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521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87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394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454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439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378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426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0.69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521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87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394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454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439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378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7136900</v>
      </c>
      <c r="EL25" s="230">
        <f>'[1]December - 2022'!EQ25</f>
        <v>-98200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426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0.57999999999999996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521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18903701.039999999</v>
      </c>
      <c r="AE26" s="288">
        <f>'[1]December - 2022'!AO26</f>
        <v>243.60000000149012</v>
      </c>
      <c r="AF26" s="92">
        <f>'[1]December - 2022'!AO26</f>
        <v>243.60000000149012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87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394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454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439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378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101900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426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</v>
      </c>
      <c r="C27" s="250">
        <f>'[1]December - 2022'!E27</f>
        <v>0</v>
      </c>
      <c r="D27" s="170">
        <f>'[1]December - 2022'!F27</f>
        <v>-216108</v>
      </c>
      <c r="E27" s="168">
        <f>'[1]December - 2022'!G27</f>
        <v>697</v>
      </c>
      <c r="F27" s="168">
        <f>'[1]December - 2022'!H27</f>
        <v>0</v>
      </c>
      <c r="G27" s="170">
        <f>'[1]December - 2022'!I27</f>
        <v>-244952</v>
      </c>
      <c r="H27" s="168">
        <f>'[1]December - 2022'!J27</f>
        <v>460</v>
      </c>
      <c r="I27" s="168">
        <f>'[1]December - 2022'!K27</f>
        <v>0</v>
      </c>
      <c r="J27" s="170">
        <f>'[1]December - 2022'!L27</f>
        <v>-8359</v>
      </c>
      <c r="K27" s="168">
        <f>'[1]December - 2022'!N27</f>
        <v>0</v>
      </c>
      <c r="L27" s="170">
        <f>'[1]December - 2022'!O27</f>
        <v>-922633</v>
      </c>
      <c r="M27" s="168">
        <f>'[1]December - 2022'!Q27</f>
        <v>0</v>
      </c>
      <c r="N27" s="170">
        <f>'[1]December - 2022'!R27</f>
        <v>-244870</v>
      </c>
      <c r="O27" s="168">
        <f>'[1]December - 2022'!U27</f>
        <v>0</v>
      </c>
      <c r="P27" s="170">
        <f>'[1]December - 2022'!V27</f>
        <v>-117028</v>
      </c>
      <c r="Q27" s="168">
        <f>'[1]December - 2022'!W27</f>
        <v>77.739999999997963</v>
      </c>
      <c r="R27" s="168">
        <f>'[1]December - 2022'!X27</f>
        <v>0</v>
      </c>
      <c r="S27" s="208">
        <f>'[1]December - 2022'!Y27</f>
        <v>-6407</v>
      </c>
      <c r="T27" s="521"/>
      <c r="U27" s="169">
        <f>'[1]December - 2022'!AE27</f>
        <v>0</v>
      </c>
      <c r="V27" s="288">
        <f>'[1]December - 2022'!AF27</f>
        <v>-8166348.959999999</v>
      </c>
      <c r="W27" s="92">
        <f>'[1]December - 2022'!AF27</f>
        <v>-8166348.959999999</v>
      </c>
      <c r="X27" s="287">
        <f>'[1]December - 2022'!AH27</f>
        <v>0</v>
      </c>
      <c r="Y27" s="288">
        <f>'[1]December - 2022'!AI27</f>
        <v>-15515760.959999999</v>
      </c>
      <c r="Z27" s="92">
        <f>'[1]December - 2022'!AI27</f>
        <v>-15515760.959999999</v>
      </c>
      <c r="AA27" s="287">
        <f>'[1]December - 2022'!AK27</f>
        <v>0</v>
      </c>
      <c r="AB27" s="288">
        <f>'[1]December - 2022'!AL27</f>
        <v>-15824743.199999999</v>
      </c>
      <c r="AC27" s="92">
        <f>'[1]December - 2022'!AL27</f>
        <v>-15824743.199999999</v>
      </c>
      <c r="AD27" s="287">
        <f>'[1]December - 2022'!AN27</f>
        <v>0</v>
      </c>
      <c r="AE27" s="288">
        <f>'[1]December - 2022'!AO27</f>
        <v>-18903701.039999999</v>
      </c>
      <c r="AF27" s="92">
        <f>'[1]December - 2022'!AO27</f>
        <v>-18903701.039999999</v>
      </c>
      <c r="AG27" s="287">
        <f>'[1]December - 2022'!AQ27</f>
        <v>0</v>
      </c>
      <c r="AH27" s="288">
        <f>'[1]December - 2022'!AR27</f>
        <v>-19179797.280000001</v>
      </c>
      <c r="AI27" s="92">
        <f>'[1]December - 2022'!AR27</f>
        <v>-19179797.280000001</v>
      </c>
      <c r="AJ27" s="287">
        <f>'[1]December - 2022'!AT27</f>
        <v>0</v>
      </c>
      <c r="AK27" s="288">
        <f>'[1]December - 2022'!AU27</f>
        <v>-17617346.879999999</v>
      </c>
      <c r="AL27" s="92">
        <f>'[1]December - 2022'!AU27</f>
        <v>-17617346.879999999</v>
      </c>
      <c r="AM27" s="287">
        <f>'[1]December - 2022'!AW27</f>
        <v>0</v>
      </c>
      <c r="AN27" s="288">
        <f>'[1]December - 2022'!AX27</f>
        <v>-14825642.16</v>
      </c>
      <c r="AO27" s="92">
        <f>'[1]December - 2022'!AX27</f>
        <v>-14825642.16</v>
      </c>
      <c r="AP27" s="287">
        <f>'[1]December - 2022'!AZ27</f>
        <v>0</v>
      </c>
      <c r="AQ27" s="288">
        <f>'[1]December - 2022'!BA27</f>
        <v>-14350037.52</v>
      </c>
      <c r="AR27" s="92">
        <f>'[1]December - 2022'!BA27</f>
        <v>-14350037.52</v>
      </c>
      <c r="AS27" s="287">
        <f>'[1]December - 2022'!BC27</f>
        <v>0</v>
      </c>
      <c r="AT27" s="288">
        <f>'[1]December - 2022'!BD27</f>
        <v>-11208425.76</v>
      </c>
      <c r="AU27" s="92">
        <f>'[1]December - 2022'!BD27</f>
        <v>-11208425.76</v>
      </c>
      <c r="AV27" s="287">
        <f>'[1]December - 2022'!BF27</f>
        <v>0</v>
      </c>
      <c r="AW27" s="252">
        <f>'[1]December - 2022'!BG27</f>
        <v>-17753568</v>
      </c>
      <c r="AX27" s="253">
        <f>'[1]December - 2022'!BG27</f>
        <v>-17753568</v>
      </c>
      <c r="AY27" s="487"/>
      <c r="AZ27" s="272">
        <f>'[1]December - 2022'!BM27</f>
        <v>0</v>
      </c>
      <c r="BA27" s="179">
        <f>'[1]December - 2022'!BN27</f>
        <v>-78188000</v>
      </c>
      <c r="BB27" s="93">
        <f>'[1]December - 2022'!BN27</f>
        <v>-78188000</v>
      </c>
      <c r="BC27" s="272">
        <f>'[1]December - 2022'!BP27</f>
        <v>0</v>
      </c>
      <c r="BD27" s="245">
        <f>'[1]December - 2022'!BQ27</f>
        <v>-80883300</v>
      </c>
      <c r="BE27" s="93">
        <f>'[1]December - 2022'!BQ27</f>
        <v>-80883300</v>
      </c>
      <c r="BF27" s="272">
        <f>'[1]December - 2022'!BS27</f>
        <v>0</v>
      </c>
      <c r="BG27" s="245">
        <f>'[1]December - 2022'!BT27</f>
        <v>-74820500</v>
      </c>
      <c r="BH27" s="93">
        <f>'[1]December - 2022'!BT27</f>
        <v>-74820500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0</v>
      </c>
      <c r="BT27" s="185">
        <f>'[1]December - 2022'!BW27</f>
        <v>-10287790</v>
      </c>
      <c r="BU27" s="394"/>
      <c r="BV27" s="88">
        <f>'[1]December - 2022'!BY27</f>
        <v>0</v>
      </c>
      <c r="BW27" s="241">
        <f>'[1]December - 2022'!BZ27</f>
        <v>0.57999999999999996</v>
      </c>
      <c r="BX27" s="88">
        <f>'[1]December - 2022'!BZ27</f>
        <v>0.57999999999999996</v>
      </c>
      <c r="BY27" s="89">
        <f>'[1]December - 2022'!CB27</f>
        <v>0</v>
      </c>
      <c r="BZ27" s="191">
        <f>'[1]December - 2022'!CC27</f>
        <v>-64498</v>
      </c>
      <c r="CA27" s="89">
        <f>'[1]December - 2022'!CD27</f>
        <v>0</v>
      </c>
      <c r="CB27" s="191">
        <f>'[1]December - 2022'!CE27</f>
        <v>-55588</v>
      </c>
      <c r="CC27" s="89">
        <f>'[1]December - 2022'!CF27</f>
        <v>0</v>
      </c>
      <c r="CD27" s="191">
        <f>'[1]December - 2022'!CG27</f>
        <v>-18805</v>
      </c>
      <c r="CE27" s="89">
        <f>'[1]December - 2022'!CH27</f>
        <v>0</v>
      </c>
      <c r="CF27" s="191">
        <f>'[1]December - 2022'!CI27</f>
        <v>-25683</v>
      </c>
      <c r="CG27" s="89">
        <f>'[1]December - 2022'!CJ27</f>
        <v>0</v>
      </c>
      <c r="CH27" s="191">
        <f>'[1]December - 2022'!CK27</f>
        <v>-28613</v>
      </c>
      <c r="CI27" s="89">
        <f>'[1]December - 2022'!CL27</f>
        <v>0</v>
      </c>
      <c r="CJ27" s="191">
        <f>'[1]December - 2022'!CM27</f>
        <v>-62774</v>
      </c>
      <c r="CK27" s="89">
        <f>'[1]December - 2022'!CN27</f>
        <v>0</v>
      </c>
      <c r="CL27" s="246">
        <f>'[1]December - 2022'!CO27</f>
        <v>-268676</v>
      </c>
      <c r="CM27" s="89">
        <f>'[1]December - 2022'!CO27</f>
        <v>-268676</v>
      </c>
      <c r="CN27" s="89">
        <f>'[1]December - 2022'!CQ27</f>
        <v>0</v>
      </c>
      <c r="CO27" s="246">
        <f>'[1]December - 2022'!CR27</f>
        <v>-215960</v>
      </c>
      <c r="CP27" s="89">
        <f>'[1]December - 2022'!CR27</f>
        <v>-215960</v>
      </c>
      <c r="CQ27" s="89">
        <f>'[1]December - 2022'!CT27</f>
        <v>0</v>
      </c>
      <c r="CR27" s="246">
        <f>'[1]December - 2022'!CU27</f>
        <v>-357370</v>
      </c>
      <c r="CS27" s="89">
        <f>'[1]December - 2022'!CU27</f>
        <v>-357370</v>
      </c>
      <c r="CT27" s="89">
        <f>'[1]December - 2022'!CW27</f>
        <v>0</v>
      </c>
      <c r="CU27" s="191">
        <f>'[1]December - 2022'!CX27</f>
        <v>-696280</v>
      </c>
      <c r="CV27" s="454"/>
      <c r="CW27" s="256">
        <f>'[1]December - 2022'!CZ27</f>
        <v>0</v>
      </c>
      <c r="CX27" s="198">
        <f>'[1]December - 2022'!DA27</f>
        <v>-8919</v>
      </c>
      <c r="CY27" s="257">
        <f>'[1]December - 2022'!DB27</f>
        <v>0</v>
      </c>
      <c r="CZ27" s="198">
        <f>'[1]December - 2022'!DC27</f>
        <v>-6052</v>
      </c>
      <c r="DA27" s="257">
        <f>'[1]December - 2022'!DD27</f>
        <v>0</v>
      </c>
      <c r="DB27" s="198">
        <f>'[1]December - 2022'!DE27</f>
        <v>-32260</v>
      </c>
      <c r="DC27" s="257">
        <f>'[1]December - 2022'!DF27</f>
        <v>0</v>
      </c>
      <c r="DD27" s="198">
        <f>'[1]December - 2022'!DG27</f>
        <v>-32489</v>
      </c>
      <c r="DE27" s="257">
        <f>'[1]December - 2022'!DH27</f>
        <v>0</v>
      </c>
      <c r="DF27" s="198">
        <f>'[1]December - 2022'!DI27</f>
        <v>-21928</v>
      </c>
      <c r="DG27" s="257">
        <f>'[1]December - 2022'!DJ27</f>
        <v>0</v>
      </c>
      <c r="DH27" s="198">
        <f>'[1]December - 2022'!DK27</f>
        <v>-24091</v>
      </c>
      <c r="DI27" s="257">
        <f>'[1]December - 2022'!DL27</f>
        <v>0</v>
      </c>
      <c r="DJ27" s="198">
        <f>'[1]December - 2022'!DM27</f>
        <v>-7179</v>
      </c>
      <c r="DK27" s="257">
        <f>'[1]December - 2022'!DN27</f>
        <v>0</v>
      </c>
      <c r="DL27" s="198">
        <f>'[1]December - 2022'!DO27</f>
        <v>-9831</v>
      </c>
      <c r="DM27" s="257">
        <f>'[1]December - 2022'!DP27</f>
        <v>0</v>
      </c>
      <c r="DN27" s="198">
        <f>'[1]December - 2022'!DQ27</f>
        <v>-3292</v>
      </c>
      <c r="DO27" s="257">
        <f>'[1]December - 2022'!DR27</f>
        <v>0</v>
      </c>
      <c r="DP27" s="198">
        <f>'[1]December - 2022'!DS27</f>
        <v>-6504</v>
      </c>
      <c r="DQ27" s="257">
        <f>'[1]December - 2022'!DT27</f>
        <v>0</v>
      </c>
      <c r="DR27" s="206">
        <f>'[1]December - 2022'!DU27</f>
        <v>-30341</v>
      </c>
      <c r="DS27" s="439"/>
      <c r="DT27" s="210">
        <f>'[1]December - 2022'!DW27</f>
        <v>0</v>
      </c>
      <c r="DU27" s="221">
        <f>'[1]December - 2022'!DX27</f>
        <v>-6425.3</v>
      </c>
      <c r="DV27" s="91">
        <f>'[1]December - 2022'!DY27</f>
        <v>0</v>
      </c>
      <c r="DW27" s="215">
        <f>'[1]December - 2022'!DZ27</f>
        <v>-11357.9</v>
      </c>
      <c r="DX27" s="91">
        <f>'[1]December - 2022'!EA27</f>
        <v>0</v>
      </c>
      <c r="DY27" s="215">
        <f>'[1]December - 2022'!EB27</f>
        <v>-4856.3999999999996</v>
      </c>
      <c r="DZ27" s="91">
        <f>'[1]December - 2022'!EC27</f>
        <v>0</v>
      </c>
      <c r="EA27" s="215">
        <f>'[1]December - 2022'!ED27</f>
        <v>-5437.1</v>
      </c>
      <c r="EB27" s="91">
        <f>'[1]December - 2022'!EE27</f>
        <v>0</v>
      </c>
      <c r="EC27" s="215">
        <f>'[1]December - 2022'!EF27</f>
        <v>-1131797</v>
      </c>
      <c r="ED27" s="91">
        <f>'[1]December - 2022'!EI27</f>
        <v>0</v>
      </c>
      <c r="EE27" s="229">
        <f>'[1]December - 2022'!EJ27</f>
        <v>-232950</v>
      </c>
      <c r="EF27" s="378"/>
      <c r="EG27" s="235">
        <f>'[1]December - 2022'!EL27</f>
        <v>0</v>
      </c>
      <c r="EH27" s="230">
        <f>'[1]December - 2022'!EM27</f>
        <v>-12173000</v>
      </c>
      <c r="EI27" s="90">
        <f>'[1]December - 2022'!EN27</f>
        <v>0</v>
      </c>
      <c r="EJ27" s="230">
        <f>'[1]December - 2022'!EO27</f>
        <v>-935990</v>
      </c>
      <c r="EK27" s="90">
        <f>'[1]December - 2022'!EP27</f>
        <v>0</v>
      </c>
      <c r="EL27" s="230">
        <f>'[1]December - 2022'!EQ27</f>
        <v>-7238800</v>
      </c>
      <c r="EM27" s="90">
        <f>'[1]December - 2022'!ER27</f>
        <v>0</v>
      </c>
      <c r="EN27" s="230">
        <f>'[1]December - 2022'!ES27</f>
        <v>-2501000</v>
      </c>
      <c r="EO27" s="90">
        <f>'[1]December - 2022'!ET27</f>
        <v>0</v>
      </c>
      <c r="EP27" s="230">
        <f>'[1]December - 2022'!EU27</f>
        <v>-1283630</v>
      </c>
      <c r="EQ27" s="90">
        <f>'[1]December - 2022'!EV27</f>
        <v>0</v>
      </c>
      <c r="ER27" s="230">
        <f>'[1]December - 2022'!EW27</f>
        <v>-16652500</v>
      </c>
      <c r="ES27" s="426"/>
      <c r="ET27" s="281">
        <f>'[1]December - 2022'!EY27</f>
        <v>0</v>
      </c>
      <c r="EU27" s="275">
        <f>'[1]December - 2022'!EZ27</f>
        <v>-42247</v>
      </c>
      <c r="EV27" s="282">
        <f>'[1]December - 2022'!FA27</f>
        <v>0</v>
      </c>
      <c r="EW27" s="275">
        <f>'[1]December - 2022'!FB27</f>
        <v>-36888</v>
      </c>
      <c r="EX27" s="282">
        <f>'[1]December - 2022'!FC27</f>
        <v>0</v>
      </c>
      <c r="EY27" s="275">
        <f>'[1]December - 2022'!FD27</f>
        <v>-7605</v>
      </c>
      <c r="EZ27" s="282">
        <f>'[1]December - 2022'!FE27</f>
        <v>0</v>
      </c>
      <c r="FA27" s="275">
        <f>'[1]December - 2022'!FF27</f>
        <v>-59382</v>
      </c>
      <c r="FB27" s="282">
        <f>'[1]December - 2022'!FG27</f>
        <v>0</v>
      </c>
      <c r="FC27" s="276">
        <f>'[1]December - 2022'!FH27</f>
        <v>-49814</v>
      </c>
    </row>
    <row r="28" spans="1:159" ht="30" customHeight="1" x14ac:dyDescent="0.25">
      <c r="A28" s="207">
        <v>43849</v>
      </c>
      <c r="B28" s="209">
        <f>'[1]December - 2022'!B28</f>
        <v>0</v>
      </c>
      <c r="C28" s="250">
        <f>'[1]December - 2022'!E28</f>
        <v>0</v>
      </c>
      <c r="D28" s="170">
        <f>'[1]December - 2022'!F28</f>
        <v>0</v>
      </c>
      <c r="E28" s="168">
        <f>'[1]December - 2022'!G28</f>
        <v>677</v>
      </c>
      <c r="F28" s="168">
        <f>'[1]December - 2022'!H28</f>
        <v>0</v>
      </c>
      <c r="G28" s="170">
        <f>'[1]December - 2022'!I28</f>
        <v>0</v>
      </c>
      <c r="H28" s="168">
        <f>'[1]December - 2022'!J28</f>
        <v>413</v>
      </c>
      <c r="I28" s="168">
        <f>'[1]December - 2022'!K28</f>
        <v>0</v>
      </c>
      <c r="J28" s="170">
        <f>'[1]December - 2022'!L28</f>
        <v>0</v>
      </c>
      <c r="K28" s="168">
        <f>'[1]December - 2022'!N28</f>
        <v>0</v>
      </c>
      <c r="L28" s="170">
        <f>'[1]December - 2022'!O28</f>
        <v>0</v>
      </c>
      <c r="M28" s="168">
        <f>'[1]December - 2022'!Q28</f>
        <v>0</v>
      </c>
      <c r="N28" s="170">
        <f>'[1]December - 2022'!R28</f>
        <v>0</v>
      </c>
      <c r="O28" s="168">
        <f>'[1]December - 2022'!U28</f>
        <v>0</v>
      </c>
      <c r="P28" s="170">
        <f>'[1]December - 2022'!V28</f>
        <v>0</v>
      </c>
      <c r="Q28" s="168">
        <f>'[1]December - 2022'!W28</f>
        <v>81.569999999999709</v>
      </c>
      <c r="R28" s="168">
        <f>'[1]December - 2022'!X28</f>
        <v>0</v>
      </c>
      <c r="S28" s="208">
        <f>'[1]December - 2022'!Y28</f>
        <v>0</v>
      </c>
      <c r="T28" s="521"/>
      <c r="U28" s="169">
        <f>'[1]December - 2022'!AE28</f>
        <v>0</v>
      </c>
      <c r="V28" s="288">
        <f>'[1]December - 2022'!AF28</f>
        <v>0</v>
      </c>
      <c r="W28" s="92">
        <f>'[1]December - 2022'!AF28</f>
        <v>0</v>
      </c>
      <c r="X28" s="287">
        <f>'[1]December - 2022'!AH28</f>
        <v>0</v>
      </c>
      <c r="Y28" s="288">
        <f>'[1]December - 2022'!AI28</f>
        <v>0</v>
      </c>
      <c r="Z28" s="92">
        <f>'[1]December - 2022'!AI28</f>
        <v>0</v>
      </c>
      <c r="AA28" s="287">
        <f>'[1]December - 2022'!AK28</f>
        <v>0</v>
      </c>
      <c r="AB28" s="288">
        <f>'[1]December - 2022'!AL28</f>
        <v>0</v>
      </c>
      <c r="AC28" s="92">
        <f>'[1]December - 2022'!AL28</f>
        <v>0</v>
      </c>
      <c r="AD28" s="287">
        <f>'[1]December - 2022'!AN28</f>
        <v>0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0</v>
      </c>
      <c r="AH28" s="288">
        <f>'[1]December - 2022'!AR28</f>
        <v>0</v>
      </c>
      <c r="AI28" s="92">
        <f>'[1]December - 2022'!AR28</f>
        <v>0</v>
      </c>
      <c r="AJ28" s="287">
        <f>'[1]December - 2022'!AT28</f>
        <v>0</v>
      </c>
      <c r="AK28" s="288">
        <f>'[1]December - 2022'!AU28</f>
        <v>0</v>
      </c>
      <c r="AL28" s="92">
        <f>'[1]December - 2022'!AU28</f>
        <v>0</v>
      </c>
      <c r="AM28" s="287">
        <f>'[1]December - 2022'!AW28</f>
        <v>0</v>
      </c>
      <c r="AN28" s="288">
        <f>'[1]December - 2022'!AX28</f>
        <v>0</v>
      </c>
      <c r="AO28" s="92">
        <f>'[1]December - 2022'!AX28</f>
        <v>0</v>
      </c>
      <c r="AP28" s="295">
        <f>'[1]December - 2022'!AZ28</f>
        <v>0</v>
      </c>
      <c r="AQ28" s="288">
        <f>'[1]December - 2022'!BA28</f>
        <v>0</v>
      </c>
      <c r="AR28" s="92">
        <f>'[1]December - 2022'!BA28</f>
        <v>0</v>
      </c>
      <c r="AS28" s="287">
        <f>'[1]December - 2022'!BC28</f>
        <v>0</v>
      </c>
      <c r="AT28" s="288">
        <f>'[1]December - 2022'!BD28</f>
        <v>0</v>
      </c>
      <c r="AU28" s="92">
        <f>'[1]December - 2022'!BD28</f>
        <v>0</v>
      </c>
      <c r="AV28" s="287">
        <f>'[1]December - 2022'!BF28</f>
        <v>0</v>
      </c>
      <c r="AW28" s="252">
        <f>'[1]December - 2022'!BG28</f>
        <v>0</v>
      </c>
      <c r="AX28" s="253">
        <f>'[1]December - 2022'!BG28</f>
        <v>0</v>
      </c>
      <c r="AY28" s="487"/>
      <c r="AZ28" s="272">
        <f>'[1]December - 2022'!BM28</f>
        <v>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0</v>
      </c>
      <c r="BG28" s="245">
        <f>'[1]December - 2022'!BT28</f>
        <v>0</v>
      </c>
      <c r="BH28" s="93">
        <f>'[1]December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0</v>
      </c>
      <c r="BT28" s="185">
        <f>'[1]December - 2022'!BW28</f>
        <v>0</v>
      </c>
      <c r="BU28" s="394"/>
      <c r="BV28" s="88">
        <f>'[1]December - 2022'!BY28</f>
        <v>0</v>
      </c>
      <c r="BW28" s="241">
        <f>'[1]December - 2022'!BZ28</f>
        <v>0</v>
      </c>
      <c r="BX28" s="88">
        <f>'[1]December - 2022'!BZ28</f>
        <v>0</v>
      </c>
      <c r="BY28" s="89">
        <f>'[1]December - 2022'!CB28</f>
        <v>0</v>
      </c>
      <c r="BZ28" s="191">
        <f>'[1]December - 2022'!CC28</f>
        <v>0</v>
      </c>
      <c r="CA28" s="89">
        <f>'[1]December - 2022'!CD28</f>
        <v>0</v>
      </c>
      <c r="CB28" s="191">
        <f>'[1]December - 2022'!CE28</f>
        <v>0</v>
      </c>
      <c r="CC28" s="89">
        <f>'[1]December - 2022'!CF28</f>
        <v>0</v>
      </c>
      <c r="CD28" s="191">
        <f>'[1]December - 2022'!CG28</f>
        <v>0</v>
      </c>
      <c r="CE28" s="89">
        <f>'[1]December - 2022'!CH28</f>
        <v>0</v>
      </c>
      <c r="CF28" s="191">
        <f>'[1]December - 2022'!CI28</f>
        <v>0</v>
      </c>
      <c r="CG28" s="89">
        <f>'[1]December - 2022'!CJ28</f>
        <v>0</v>
      </c>
      <c r="CH28" s="191">
        <f>'[1]December - 2022'!CK28</f>
        <v>0</v>
      </c>
      <c r="CI28" s="89">
        <f>'[1]December - 2022'!CL28</f>
        <v>0</v>
      </c>
      <c r="CJ28" s="191">
        <f>'[1]December - 2022'!CM28</f>
        <v>0</v>
      </c>
      <c r="CK28" s="89">
        <f>'[1]December - 2022'!CN28</f>
        <v>0</v>
      </c>
      <c r="CL28" s="246">
        <f>'[1]December - 2022'!CO28</f>
        <v>0</v>
      </c>
      <c r="CM28" s="89">
        <f>'[1]December - 2022'!CO28</f>
        <v>0</v>
      </c>
      <c r="CN28" s="89">
        <f>'[1]December - 2022'!CQ28</f>
        <v>0</v>
      </c>
      <c r="CO28" s="246">
        <f>'[1]December - 2022'!CR28</f>
        <v>0</v>
      </c>
      <c r="CP28" s="89">
        <f>'[1]December - 2022'!CR28</f>
        <v>0</v>
      </c>
      <c r="CQ28" s="89">
        <f>'[1]December - 2022'!CT28</f>
        <v>0</v>
      </c>
      <c r="CR28" s="246">
        <f>'[1]December - 2022'!CU28</f>
        <v>0</v>
      </c>
      <c r="CS28" s="89">
        <f>'[1]December - 2022'!CU28</f>
        <v>0</v>
      </c>
      <c r="CT28" s="89">
        <f>'[1]December - 2022'!CW28</f>
        <v>0</v>
      </c>
      <c r="CU28" s="191">
        <f>'[1]December - 2022'!CX28</f>
        <v>0</v>
      </c>
      <c r="CV28" s="454"/>
      <c r="CW28" s="256">
        <f>'[1]December - 2022'!CZ28</f>
        <v>0</v>
      </c>
      <c r="CX28" s="198">
        <f>'[1]December - 2022'!DA28</f>
        <v>0</v>
      </c>
      <c r="CY28" s="257">
        <f>'[1]December - 2022'!DB28</f>
        <v>0</v>
      </c>
      <c r="CZ28" s="198">
        <f>'[1]December - 2022'!DC28</f>
        <v>0</v>
      </c>
      <c r="DA28" s="257">
        <f>'[1]December - 2022'!DD28</f>
        <v>0</v>
      </c>
      <c r="DB28" s="198">
        <f>'[1]December - 2022'!DE28</f>
        <v>0</v>
      </c>
      <c r="DC28" s="257">
        <f>'[1]December - 2022'!DF28</f>
        <v>0</v>
      </c>
      <c r="DD28" s="198">
        <f>'[1]December - 2022'!DG28</f>
        <v>0</v>
      </c>
      <c r="DE28" s="257">
        <f>'[1]December - 2022'!DH28</f>
        <v>0</v>
      </c>
      <c r="DF28" s="198">
        <f>'[1]December - 2022'!DI28</f>
        <v>0</v>
      </c>
      <c r="DG28" s="257">
        <f>'[1]December - 2022'!DJ28</f>
        <v>0</v>
      </c>
      <c r="DH28" s="198">
        <f>'[1]December - 2022'!DK28</f>
        <v>0</v>
      </c>
      <c r="DI28" s="257">
        <f>'[1]December - 2022'!DL28</f>
        <v>0</v>
      </c>
      <c r="DJ28" s="198">
        <f>'[1]December - 2022'!DM28</f>
        <v>0</v>
      </c>
      <c r="DK28" s="257">
        <f>'[1]December - 2022'!DN28</f>
        <v>0</v>
      </c>
      <c r="DL28" s="198">
        <f>'[1]December - 2022'!DO28</f>
        <v>0</v>
      </c>
      <c r="DM28" s="257">
        <f>'[1]December - 2022'!DP28</f>
        <v>0</v>
      </c>
      <c r="DN28" s="198">
        <f>'[1]December - 2022'!DQ28</f>
        <v>0</v>
      </c>
      <c r="DO28" s="257">
        <f>'[1]December - 2022'!DR28</f>
        <v>0</v>
      </c>
      <c r="DP28" s="198">
        <f>'[1]December - 2022'!DS28</f>
        <v>0</v>
      </c>
      <c r="DQ28" s="257">
        <f>'[1]December - 2022'!DT28</f>
        <v>0</v>
      </c>
      <c r="DR28" s="206">
        <f>'[1]December - 2022'!DU28</f>
        <v>0</v>
      </c>
      <c r="DS28" s="439"/>
      <c r="DT28" s="210">
        <f>'[1]December - 2022'!DW28</f>
        <v>0</v>
      </c>
      <c r="DU28" s="221">
        <f>'[1]December - 2022'!DX28</f>
        <v>0</v>
      </c>
      <c r="DV28" s="91">
        <f>'[1]December - 2022'!DY28</f>
        <v>0</v>
      </c>
      <c r="DW28" s="215">
        <f>'[1]December - 2022'!DZ28</f>
        <v>0</v>
      </c>
      <c r="DX28" s="91">
        <f>'[1]December - 2022'!EA28</f>
        <v>0</v>
      </c>
      <c r="DY28" s="215">
        <f>'[1]December - 2022'!EB28</f>
        <v>0</v>
      </c>
      <c r="DZ28" s="91">
        <f>'[1]December - 2022'!EC28</f>
        <v>0</v>
      </c>
      <c r="EA28" s="215">
        <f>'[1]December - 2022'!ED28</f>
        <v>0</v>
      </c>
      <c r="EB28" s="91">
        <f>'[1]December - 2022'!EE28</f>
        <v>0</v>
      </c>
      <c r="EC28" s="215">
        <f>'[1]December - 2022'!EF28</f>
        <v>0</v>
      </c>
      <c r="ED28" s="91">
        <f>'[1]December - 2022'!EI28</f>
        <v>0</v>
      </c>
      <c r="EE28" s="229">
        <f>'[1]December - 2022'!EJ28</f>
        <v>0</v>
      </c>
      <c r="EF28" s="378"/>
      <c r="EG28" s="235">
        <f>'[1]December - 2022'!EL28</f>
        <v>0</v>
      </c>
      <c r="EH28" s="230">
        <f>'[1]December - 2022'!EM28</f>
        <v>0</v>
      </c>
      <c r="EI28" s="90">
        <f>'[1]December - 2022'!EN28</f>
        <v>0</v>
      </c>
      <c r="EJ28" s="230">
        <f>'[1]December - 2022'!EO28</f>
        <v>0</v>
      </c>
      <c r="EK28" s="90">
        <f>'[1]December - 2022'!EP28</f>
        <v>0</v>
      </c>
      <c r="EL28" s="230">
        <f>'[1]December - 2022'!EQ28</f>
        <v>0</v>
      </c>
      <c r="EM28" s="90">
        <f>'[1]December - 2022'!ER28</f>
        <v>0</v>
      </c>
      <c r="EN28" s="230">
        <f>'[1]December - 2022'!ES28</f>
        <v>0</v>
      </c>
      <c r="EO28" s="90">
        <f>'[1]December - 2022'!ET28</f>
        <v>0</v>
      </c>
      <c r="EP28" s="230">
        <f>'[1]December - 2022'!EU28</f>
        <v>0</v>
      </c>
      <c r="EQ28" s="90">
        <f>'[1]December - 2022'!EV28</f>
        <v>0</v>
      </c>
      <c r="ER28" s="230">
        <f>'[1]December - 2022'!EW28</f>
        <v>0</v>
      </c>
      <c r="ES28" s="426"/>
      <c r="ET28" s="281">
        <f>'[1]December - 2022'!EY28</f>
        <v>0</v>
      </c>
      <c r="EU28" s="275">
        <f>'[1]December - 2022'!EZ28</f>
        <v>0</v>
      </c>
      <c r="EV28" s="282">
        <f>'[1]December - 2022'!FA28</f>
        <v>0</v>
      </c>
      <c r="EW28" s="275">
        <f>'[1]December - 2022'!FB28</f>
        <v>0</v>
      </c>
      <c r="EX28" s="282">
        <f>'[1]December - 2022'!FC28</f>
        <v>0</v>
      </c>
      <c r="EY28" s="275">
        <f>'[1]December - 2022'!FD28</f>
        <v>0</v>
      </c>
      <c r="EZ28" s="282">
        <f>'[1]December - 2022'!FE28</f>
        <v>0</v>
      </c>
      <c r="FA28" s="275">
        <f>'[1]December - 2022'!FF28</f>
        <v>0</v>
      </c>
      <c r="FB28" s="282">
        <f>'[1]December - 2022'!FG28</f>
        <v>0</v>
      </c>
      <c r="FC28" s="276">
        <f>'[1]December - 2022'!FH28</f>
        <v>0</v>
      </c>
    </row>
    <row r="29" spans="1:159" ht="30" customHeight="1" x14ac:dyDescent="0.25">
      <c r="A29" s="207">
        <v>43850</v>
      </c>
      <c r="B29" s="209">
        <f>'[1]December - 2022'!B29</f>
        <v>0</v>
      </c>
      <c r="C29" s="250">
        <f>'[1]December - 2022'!E29</f>
        <v>0</v>
      </c>
      <c r="D29" s="170">
        <f>'[1]December - 2022'!F29</f>
        <v>0</v>
      </c>
      <c r="E29" s="168">
        <f>'[1]December - 2022'!G29</f>
        <v>714</v>
      </c>
      <c r="F29" s="168">
        <f>'[1]December - 2022'!H29</f>
        <v>0</v>
      </c>
      <c r="G29" s="170">
        <f>'[1]December - 2022'!I29</f>
        <v>0</v>
      </c>
      <c r="H29" s="168">
        <f>'[1]December - 2022'!J29</f>
        <v>436</v>
      </c>
      <c r="I29" s="168">
        <f>'[1]December - 2022'!K29</f>
        <v>0</v>
      </c>
      <c r="J29" s="170">
        <f>'[1]December - 2022'!L29</f>
        <v>0</v>
      </c>
      <c r="K29" s="168">
        <f>'[1]December - 2022'!N29</f>
        <v>0</v>
      </c>
      <c r="L29" s="170">
        <f>'[1]December - 2022'!O29</f>
        <v>0</v>
      </c>
      <c r="M29" s="168">
        <f>'[1]December - 2022'!Q29</f>
        <v>0</v>
      </c>
      <c r="N29" s="170">
        <f>'[1]December - 2022'!R29</f>
        <v>0</v>
      </c>
      <c r="O29" s="168">
        <f>'[1]December - 2022'!U29</f>
        <v>0</v>
      </c>
      <c r="P29" s="170">
        <f>'[1]December - 2022'!V29</f>
        <v>0</v>
      </c>
      <c r="Q29" s="168">
        <f>'[1]December - 2022'!W29</f>
        <v>78.590000000003783</v>
      </c>
      <c r="R29" s="168">
        <f>'[1]December - 2022'!X29</f>
        <v>0</v>
      </c>
      <c r="S29" s="208">
        <f>'[1]December - 2022'!Y29</f>
        <v>0</v>
      </c>
      <c r="T29" s="521"/>
      <c r="U29" s="169">
        <f>'[1]December - 2022'!AE29</f>
        <v>0</v>
      </c>
      <c r="V29" s="288">
        <f>'[1]December - 2022'!AF29</f>
        <v>0</v>
      </c>
      <c r="W29" s="92">
        <f>'[1]December - 2022'!AF29</f>
        <v>0</v>
      </c>
      <c r="X29" s="287">
        <f>'[1]December - 2022'!AH29</f>
        <v>0</v>
      </c>
      <c r="Y29" s="288">
        <f>'[1]December - 2022'!AI29</f>
        <v>0</v>
      </c>
      <c r="Z29" s="92">
        <f>'[1]December - 2022'!AI29</f>
        <v>0</v>
      </c>
      <c r="AA29" s="287">
        <f>'[1]December - 2022'!AK29</f>
        <v>0</v>
      </c>
      <c r="AB29" s="288">
        <f>'[1]December - 2022'!AL29</f>
        <v>0</v>
      </c>
      <c r="AC29" s="92">
        <f>'[1]December - 2022'!AL29</f>
        <v>0</v>
      </c>
      <c r="AD29" s="287">
        <f>'[1]December - 2022'!AN29</f>
        <v>0</v>
      </c>
      <c r="AE29" s="288">
        <f>'[1]December - 2022'!AO29</f>
        <v>0</v>
      </c>
      <c r="AF29" s="92">
        <f>'[1]December - 2022'!AO29</f>
        <v>0</v>
      </c>
      <c r="AG29" s="287">
        <f>'[1]December - 2022'!AQ29</f>
        <v>0</v>
      </c>
      <c r="AH29" s="288">
        <f>'[1]December - 2022'!AR29</f>
        <v>0</v>
      </c>
      <c r="AI29" s="92">
        <f>'[1]December - 2022'!AR29</f>
        <v>0</v>
      </c>
      <c r="AJ29" s="287">
        <f>'[1]December - 2022'!AT29</f>
        <v>0</v>
      </c>
      <c r="AK29" s="288">
        <f>'[1]December - 2022'!AU29</f>
        <v>0</v>
      </c>
      <c r="AL29" s="92">
        <f>'[1]December - 2022'!AU29</f>
        <v>0</v>
      </c>
      <c r="AM29" s="287">
        <f>'[1]December - 2022'!AW29</f>
        <v>0</v>
      </c>
      <c r="AN29" s="288">
        <f>'[1]December - 2022'!AX29</f>
        <v>0</v>
      </c>
      <c r="AO29" s="92">
        <f>'[1]December - 2022'!AX29</f>
        <v>0</v>
      </c>
      <c r="AP29" s="287">
        <f>'[1]December - 2022'!AZ29</f>
        <v>0</v>
      </c>
      <c r="AQ29" s="288">
        <f>'[1]December - 2022'!BA29</f>
        <v>0</v>
      </c>
      <c r="AR29" s="92">
        <f>'[1]December - 2022'!BA29</f>
        <v>0</v>
      </c>
      <c r="AS29" s="287">
        <f>'[1]December - 2022'!BC29</f>
        <v>0</v>
      </c>
      <c r="AT29" s="288">
        <f>'[1]December - 2022'!BD29</f>
        <v>0</v>
      </c>
      <c r="AU29" s="92">
        <f>'[1]December - 2022'!BD29</f>
        <v>0</v>
      </c>
      <c r="AV29" s="287">
        <f>'[1]December - 2022'!BF29</f>
        <v>0</v>
      </c>
      <c r="AW29" s="252">
        <f>'[1]December - 2022'!BG29</f>
        <v>0</v>
      </c>
      <c r="AX29" s="253">
        <f>'[1]December - 2022'!BG29</f>
        <v>0</v>
      </c>
      <c r="AY29" s="487"/>
      <c r="AZ29" s="272">
        <f>'[1]December - 2022'!BM29</f>
        <v>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0</v>
      </c>
      <c r="BG29" s="245">
        <f>'[1]December - 2022'!BT29</f>
        <v>0</v>
      </c>
      <c r="BH29" s="93">
        <f>'[1]December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0</v>
      </c>
      <c r="BT29" s="185">
        <f>'[1]December - 2022'!BW29</f>
        <v>0</v>
      </c>
      <c r="BU29" s="394"/>
      <c r="BV29" s="88">
        <f>'[1]December - 2022'!BY29</f>
        <v>0</v>
      </c>
      <c r="BW29" s="241">
        <f>'[1]December - 2022'!BZ29</f>
        <v>0</v>
      </c>
      <c r="BX29" s="88">
        <f>'[1]December - 2022'!BZ29</f>
        <v>0</v>
      </c>
      <c r="BY29" s="89">
        <f>'[1]December - 2022'!CB29</f>
        <v>0</v>
      </c>
      <c r="BZ29" s="191">
        <f>'[1]December - 2022'!CC29</f>
        <v>0</v>
      </c>
      <c r="CA29" s="89">
        <f>'[1]December - 2022'!CD29</f>
        <v>0</v>
      </c>
      <c r="CB29" s="191">
        <f>'[1]December - 2022'!CE29</f>
        <v>0</v>
      </c>
      <c r="CC29" s="89">
        <f>'[1]December - 2022'!CF29</f>
        <v>0</v>
      </c>
      <c r="CD29" s="191">
        <f>'[1]December - 2022'!CG29</f>
        <v>0</v>
      </c>
      <c r="CE29" s="89">
        <f>'[1]December - 2022'!CH29</f>
        <v>0</v>
      </c>
      <c r="CF29" s="191">
        <f>'[1]December - 2022'!CI29</f>
        <v>0</v>
      </c>
      <c r="CG29" s="89">
        <f>'[1]December - 2022'!CJ29</f>
        <v>0</v>
      </c>
      <c r="CH29" s="191">
        <f>'[1]December - 2022'!CK29</f>
        <v>0</v>
      </c>
      <c r="CI29" s="89">
        <f>'[1]December - 2022'!CL29</f>
        <v>0</v>
      </c>
      <c r="CJ29" s="191">
        <f>'[1]December - 2022'!CM29</f>
        <v>0</v>
      </c>
      <c r="CK29" s="89">
        <f>'[1]December - 2022'!CN29</f>
        <v>0</v>
      </c>
      <c r="CL29" s="246">
        <f>'[1]December - 2022'!CO29</f>
        <v>0</v>
      </c>
      <c r="CM29" s="89">
        <f>'[1]December - 2022'!CO29</f>
        <v>0</v>
      </c>
      <c r="CN29" s="89">
        <f>'[1]December - 2022'!CQ29</f>
        <v>0</v>
      </c>
      <c r="CO29" s="246">
        <f>'[1]December - 2022'!CR29</f>
        <v>0</v>
      </c>
      <c r="CP29" s="89">
        <f>'[1]December - 2022'!CR29</f>
        <v>0</v>
      </c>
      <c r="CQ29" s="89">
        <f>'[1]December - 2022'!CT29</f>
        <v>0</v>
      </c>
      <c r="CR29" s="246">
        <f>'[1]December - 2022'!CU29</f>
        <v>0</v>
      </c>
      <c r="CS29" s="89">
        <f>'[1]December - 2022'!CU29</f>
        <v>0</v>
      </c>
      <c r="CT29" s="89">
        <f>'[1]December - 2022'!CW29</f>
        <v>0</v>
      </c>
      <c r="CU29" s="191">
        <f>'[1]December - 2022'!CX29</f>
        <v>0</v>
      </c>
      <c r="CV29" s="454"/>
      <c r="CW29" s="256">
        <f>'[1]December - 2022'!CZ29</f>
        <v>0</v>
      </c>
      <c r="CX29" s="198">
        <f>'[1]December - 2022'!DA29</f>
        <v>0</v>
      </c>
      <c r="CY29" s="257">
        <f>'[1]December - 2022'!DB29</f>
        <v>0</v>
      </c>
      <c r="CZ29" s="198">
        <f>'[1]December - 2022'!DC29</f>
        <v>0</v>
      </c>
      <c r="DA29" s="257">
        <f>'[1]December - 2022'!DD29</f>
        <v>0</v>
      </c>
      <c r="DB29" s="198">
        <f>'[1]December - 2022'!DE29</f>
        <v>0</v>
      </c>
      <c r="DC29" s="257">
        <f>'[1]December - 2022'!DF29</f>
        <v>0</v>
      </c>
      <c r="DD29" s="198">
        <f>'[1]December - 2022'!DG29</f>
        <v>0</v>
      </c>
      <c r="DE29" s="257">
        <f>'[1]December - 2022'!DH29</f>
        <v>0</v>
      </c>
      <c r="DF29" s="198">
        <f>'[1]December - 2022'!DI29</f>
        <v>0</v>
      </c>
      <c r="DG29" s="257">
        <f>'[1]December - 2022'!DJ29</f>
        <v>0</v>
      </c>
      <c r="DH29" s="198">
        <f>'[1]December - 2022'!DK29</f>
        <v>0</v>
      </c>
      <c r="DI29" s="257">
        <f>'[1]December - 2022'!DL29</f>
        <v>0</v>
      </c>
      <c r="DJ29" s="198">
        <f>'[1]December - 2022'!DM29</f>
        <v>0</v>
      </c>
      <c r="DK29" s="257">
        <f>'[1]December - 2022'!DN29</f>
        <v>0</v>
      </c>
      <c r="DL29" s="198">
        <f>'[1]December - 2022'!DO29</f>
        <v>0</v>
      </c>
      <c r="DM29" s="257">
        <f>'[1]December - 2022'!DP29</f>
        <v>0</v>
      </c>
      <c r="DN29" s="198">
        <f>'[1]December - 2022'!DQ29</f>
        <v>0</v>
      </c>
      <c r="DO29" s="257">
        <f>'[1]December - 2022'!DR29</f>
        <v>0</v>
      </c>
      <c r="DP29" s="198">
        <f>'[1]December - 2022'!DS29</f>
        <v>0</v>
      </c>
      <c r="DQ29" s="257">
        <f>'[1]December - 2022'!DT29</f>
        <v>0</v>
      </c>
      <c r="DR29" s="206">
        <f>'[1]December - 2022'!DU29</f>
        <v>0</v>
      </c>
      <c r="DS29" s="439"/>
      <c r="DT29" s="210">
        <f>'[1]December - 2022'!DW29</f>
        <v>0</v>
      </c>
      <c r="DU29" s="221">
        <f>'[1]December - 2022'!DX29</f>
        <v>0</v>
      </c>
      <c r="DV29" s="91">
        <f>'[1]December - 2022'!DY29</f>
        <v>0</v>
      </c>
      <c r="DW29" s="215">
        <f>'[1]December - 2022'!DZ29</f>
        <v>0</v>
      </c>
      <c r="DX29" s="91">
        <f>'[1]December - 2022'!EA29</f>
        <v>0</v>
      </c>
      <c r="DY29" s="215">
        <f>'[1]December - 2022'!EB29</f>
        <v>0</v>
      </c>
      <c r="DZ29" s="91">
        <f>'[1]December - 2022'!EC29</f>
        <v>0</v>
      </c>
      <c r="EA29" s="215">
        <f>'[1]December - 2022'!ED29</f>
        <v>0</v>
      </c>
      <c r="EB29" s="91">
        <f>'[1]December - 2022'!EE29</f>
        <v>0</v>
      </c>
      <c r="EC29" s="215">
        <f>'[1]December - 2022'!EF29</f>
        <v>0</v>
      </c>
      <c r="ED29" s="91">
        <f>'[1]December - 2022'!EI29</f>
        <v>0</v>
      </c>
      <c r="EE29" s="229">
        <f>'[1]December - 2022'!EJ29</f>
        <v>0</v>
      </c>
      <c r="EF29" s="378"/>
      <c r="EG29" s="235">
        <f>'[1]December - 2022'!EL29</f>
        <v>0</v>
      </c>
      <c r="EH29" s="230">
        <f>'[1]December - 2022'!EM29</f>
        <v>0</v>
      </c>
      <c r="EI29" s="90">
        <f>'[1]December - 2022'!EN29</f>
        <v>0</v>
      </c>
      <c r="EJ29" s="230">
        <f>'[1]December - 2022'!EO29</f>
        <v>0</v>
      </c>
      <c r="EK29" s="90">
        <f>'[1]December - 2022'!EP29</f>
        <v>0</v>
      </c>
      <c r="EL29" s="230">
        <f>'[1]December - 2022'!EQ29</f>
        <v>0</v>
      </c>
      <c r="EM29" s="90">
        <f>'[1]December - 2022'!ER29</f>
        <v>0</v>
      </c>
      <c r="EN29" s="230">
        <f>'[1]December - 2022'!ES29</f>
        <v>0</v>
      </c>
      <c r="EO29" s="90">
        <f>'[1]December - 2022'!ET29</f>
        <v>0</v>
      </c>
      <c r="EP29" s="230">
        <f>'[1]December - 2022'!EU29</f>
        <v>0</v>
      </c>
      <c r="EQ29" s="90">
        <f>'[1]December - 2022'!EV29</f>
        <v>0</v>
      </c>
      <c r="ER29" s="230">
        <f>'[1]December - 2022'!EW29</f>
        <v>0</v>
      </c>
      <c r="ES29" s="426"/>
      <c r="ET29" s="281">
        <f>'[1]December - 2022'!EY29</f>
        <v>0</v>
      </c>
      <c r="EU29" s="275">
        <f>'[1]December - 2022'!EZ29</f>
        <v>0</v>
      </c>
      <c r="EV29" s="282">
        <f>'[1]December - 2022'!FA29</f>
        <v>0</v>
      </c>
      <c r="EW29" s="275">
        <f>'[1]December - 2022'!FB29</f>
        <v>0</v>
      </c>
      <c r="EX29" s="282">
        <f>'[1]December - 2022'!FC29</f>
        <v>0</v>
      </c>
      <c r="EY29" s="275">
        <f>'[1]December - 2022'!FD29</f>
        <v>0</v>
      </c>
      <c r="EZ29" s="282">
        <f>'[1]December - 2022'!FE29</f>
        <v>0</v>
      </c>
      <c r="FA29" s="275">
        <f>'[1]December - 2022'!FF29</f>
        <v>0</v>
      </c>
      <c r="FB29" s="282">
        <f>'[1]December - 2022'!FG29</f>
        <v>0</v>
      </c>
      <c r="FC29" s="276">
        <f>'[1]December - 2022'!FH29</f>
        <v>0</v>
      </c>
    </row>
    <row r="30" spans="1:159" ht="30" customHeight="1" x14ac:dyDescent="0.25">
      <c r="A30" s="207">
        <v>43851</v>
      </c>
      <c r="B30" s="209">
        <f>'[1]December - 2022'!B30</f>
        <v>0</v>
      </c>
      <c r="C30" s="250">
        <f>'[1]December - 2022'!E30</f>
        <v>0</v>
      </c>
      <c r="D30" s="170">
        <f>'[1]December - 2022'!F30</f>
        <v>0</v>
      </c>
      <c r="E30" s="168">
        <f>'[1]December - 2022'!G30</f>
        <v>770</v>
      </c>
      <c r="F30" s="168">
        <f>'[1]December - 2022'!H30</f>
        <v>0</v>
      </c>
      <c r="G30" s="170">
        <f>'[1]December - 2022'!I30</f>
        <v>0</v>
      </c>
      <c r="H30" s="168">
        <f>'[1]December - 2022'!J30</f>
        <v>455</v>
      </c>
      <c r="I30" s="168">
        <f>'[1]December - 2022'!K30</f>
        <v>0</v>
      </c>
      <c r="J30" s="170">
        <f>'[1]December - 2022'!L30</f>
        <v>0</v>
      </c>
      <c r="K30" s="168">
        <f>'[1]December - 2022'!N30</f>
        <v>0</v>
      </c>
      <c r="L30" s="170">
        <f>'[1]December - 2022'!O30</f>
        <v>0</v>
      </c>
      <c r="M30" s="168">
        <f>'[1]December - 2022'!Q30</f>
        <v>0</v>
      </c>
      <c r="N30" s="170">
        <f>'[1]December - 2022'!R30</f>
        <v>0</v>
      </c>
      <c r="O30" s="168">
        <f>'[1]December - 2022'!U30</f>
        <v>0</v>
      </c>
      <c r="P30" s="170">
        <f>'[1]December - 2022'!V30</f>
        <v>0</v>
      </c>
      <c r="Q30" s="168">
        <f>'[1]December - 2022'!W30</f>
        <v>88.57999999999447</v>
      </c>
      <c r="R30" s="168">
        <f>'[1]December - 2022'!X30</f>
        <v>0</v>
      </c>
      <c r="S30" s="208">
        <f>'[1]December - 2022'!Y30</f>
        <v>0</v>
      </c>
      <c r="T30" s="521"/>
      <c r="U30" s="169">
        <f>'[1]December - 2022'!AE30</f>
        <v>0</v>
      </c>
      <c r="V30" s="288">
        <f>'[1]December - 2022'!AF30</f>
        <v>0</v>
      </c>
      <c r="W30" s="92">
        <f>'[1]December - 2022'!AF30</f>
        <v>0</v>
      </c>
      <c r="X30" s="287">
        <f>'[1]December - 2022'!AH30</f>
        <v>0</v>
      </c>
      <c r="Y30" s="288">
        <f>'[1]December - 2022'!AI30</f>
        <v>0</v>
      </c>
      <c r="Z30" s="92">
        <f>'[1]December - 2022'!AI30</f>
        <v>0</v>
      </c>
      <c r="AA30" s="287">
        <f>'[1]December - 2022'!AK30</f>
        <v>0</v>
      </c>
      <c r="AB30" s="288">
        <f>'[1]December - 2022'!AL30</f>
        <v>0</v>
      </c>
      <c r="AC30" s="92">
        <f>'[1]December - 2022'!AL30</f>
        <v>0</v>
      </c>
      <c r="AD30" s="287">
        <f>'[1]December - 2022'!AN30</f>
        <v>0</v>
      </c>
      <c r="AE30" s="288">
        <f>'[1]December - 2022'!AO30</f>
        <v>0</v>
      </c>
      <c r="AF30" s="92">
        <f>'[1]December - 2022'!AO30</f>
        <v>0</v>
      </c>
      <c r="AG30" s="287">
        <f>'[1]December - 2022'!AQ30</f>
        <v>0</v>
      </c>
      <c r="AH30" s="288">
        <f>'[1]December - 2022'!AR30</f>
        <v>0</v>
      </c>
      <c r="AI30" s="92">
        <f>'[1]December - 2022'!AR30</f>
        <v>0</v>
      </c>
      <c r="AJ30" s="287">
        <f>'[1]December - 2022'!AT30</f>
        <v>0</v>
      </c>
      <c r="AK30" s="288">
        <f>'[1]December - 2022'!AU30</f>
        <v>0</v>
      </c>
      <c r="AL30" s="92">
        <f>'[1]December - 2022'!AU30</f>
        <v>0</v>
      </c>
      <c r="AM30" s="287">
        <f>'[1]December - 2022'!AW30</f>
        <v>0</v>
      </c>
      <c r="AN30" s="288">
        <f>'[1]December - 2022'!AX30</f>
        <v>0</v>
      </c>
      <c r="AO30" s="92">
        <f>'[1]December - 2022'!AX30</f>
        <v>0</v>
      </c>
      <c r="AP30" s="287">
        <f>'[1]December - 2022'!AZ30</f>
        <v>0</v>
      </c>
      <c r="AQ30" s="288">
        <f>'[1]December - 2022'!BA30</f>
        <v>0</v>
      </c>
      <c r="AR30" s="92">
        <f>'[1]December - 2022'!BA30</f>
        <v>0</v>
      </c>
      <c r="AS30" s="287">
        <f>'[1]December - 2022'!BC30</f>
        <v>0</v>
      </c>
      <c r="AT30" s="288">
        <f>'[1]December - 2022'!BD30</f>
        <v>0</v>
      </c>
      <c r="AU30" s="92">
        <f>'[1]December - 2022'!BD30</f>
        <v>0</v>
      </c>
      <c r="AV30" s="287">
        <f>'[1]December - 2022'!BF30</f>
        <v>0</v>
      </c>
      <c r="AW30" s="252">
        <f>'[1]December - 2022'!BG30</f>
        <v>0</v>
      </c>
      <c r="AX30" s="253">
        <f>'[1]December - 2022'!BG30</f>
        <v>0</v>
      </c>
      <c r="AY30" s="487"/>
      <c r="AZ30" s="272">
        <f>'[1]December - 2022'!BM30</f>
        <v>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0</v>
      </c>
      <c r="BG30" s="245">
        <f>'[1]December - 2022'!BT30</f>
        <v>0</v>
      </c>
      <c r="BH30" s="93">
        <f>'[1]December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0</v>
      </c>
      <c r="BT30" s="185">
        <f>'[1]December - 2022'!BW30</f>
        <v>0</v>
      </c>
      <c r="BU30" s="394"/>
      <c r="BV30" s="88">
        <f>'[1]December - 2022'!BY30</f>
        <v>0</v>
      </c>
      <c r="BW30" s="241">
        <f>'[1]December - 2022'!BZ30</f>
        <v>0</v>
      </c>
      <c r="BX30" s="88">
        <f>'[1]December - 2022'!BZ30</f>
        <v>0</v>
      </c>
      <c r="BY30" s="89">
        <f>'[1]December - 2022'!CB30</f>
        <v>0</v>
      </c>
      <c r="BZ30" s="191">
        <f>'[1]December - 2022'!CC30</f>
        <v>0</v>
      </c>
      <c r="CA30" s="89">
        <f>'[1]December - 2022'!CD30</f>
        <v>0</v>
      </c>
      <c r="CB30" s="191">
        <f>'[1]December - 2022'!CE30</f>
        <v>0</v>
      </c>
      <c r="CC30" s="89">
        <f>'[1]December - 2022'!CF30</f>
        <v>0</v>
      </c>
      <c r="CD30" s="191">
        <f>'[1]December - 2022'!CG30</f>
        <v>0</v>
      </c>
      <c r="CE30" s="89">
        <f>'[1]December - 2022'!CH30</f>
        <v>0</v>
      </c>
      <c r="CF30" s="191">
        <f>'[1]December - 2022'!CI30</f>
        <v>0</v>
      </c>
      <c r="CG30" s="89">
        <f>'[1]December - 2022'!CJ30</f>
        <v>0</v>
      </c>
      <c r="CH30" s="191">
        <f>'[1]December - 2022'!CK30</f>
        <v>0</v>
      </c>
      <c r="CI30" s="89">
        <f>'[1]December - 2022'!CL30</f>
        <v>0</v>
      </c>
      <c r="CJ30" s="191">
        <f>'[1]December - 2022'!CM30</f>
        <v>0</v>
      </c>
      <c r="CK30" s="89">
        <f>'[1]December - 2022'!CN30</f>
        <v>0</v>
      </c>
      <c r="CL30" s="246">
        <f>'[1]December - 2022'!CO30</f>
        <v>0</v>
      </c>
      <c r="CM30" s="89">
        <f>'[1]December - 2022'!CO30</f>
        <v>0</v>
      </c>
      <c r="CN30" s="89">
        <f>'[1]December - 2022'!CQ30</f>
        <v>0</v>
      </c>
      <c r="CO30" s="246">
        <f>'[1]December - 2022'!CR30</f>
        <v>0</v>
      </c>
      <c r="CP30" s="89">
        <f>'[1]December - 2022'!CR30</f>
        <v>0</v>
      </c>
      <c r="CQ30" s="89">
        <f>'[1]December - 2022'!CT30</f>
        <v>0</v>
      </c>
      <c r="CR30" s="246">
        <f>'[1]December - 2022'!CU30</f>
        <v>0</v>
      </c>
      <c r="CS30" s="89">
        <f>'[1]December - 2022'!CU30</f>
        <v>0</v>
      </c>
      <c r="CT30" s="89">
        <f>'[1]December - 2022'!CW30</f>
        <v>0</v>
      </c>
      <c r="CU30" s="191">
        <f>'[1]December - 2022'!CX30</f>
        <v>0</v>
      </c>
      <c r="CV30" s="454"/>
      <c r="CW30" s="256">
        <f>'[1]December - 2022'!CZ30</f>
        <v>0</v>
      </c>
      <c r="CX30" s="198">
        <f>'[1]December - 2022'!DA30</f>
        <v>0</v>
      </c>
      <c r="CY30" s="257">
        <f>'[1]December - 2022'!DB30</f>
        <v>0</v>
      </c>
      <c r="CZ30" s="198">
        <f>'[1]December - 2022'!DC30</f>
        <v>0</v>
      </c>
      <c r="DA30" s="257">
        <f>'[1]December - 2022'!DD30</f>
        <v>0</v>
      </c>
      <c r="DB30" s="198">
        <f>'[1]December - 2022'!DE30</f>
        <v>0</v>
      </c>
      <c r="DC30" s="257">
        <f>'[1]December - 2022'!DF30</f>
        <v>0</v>
      </c>
      <c r="DD30" s="198">
        <f>'[1]December - 2022'!DG30</f>
        <v>0</v>
      </c>
      <c r="DE30" s="257">
        <f>'[1]December - 2022'!DH30</f>
        <v>0</v>
      </c>
      <c r="DF30" s="198">
        <f>'[1]December - 2022'!DI30</f>
        <v>0</v>
      </c>
      <c r="DG30" s="257">
        <f>'[1]December - 2022'!DJ30</f>
        <v>0</v>
      </c>
      <c r="DH30" s="198">
        <f>'[1]December - 2022'!DK30</f>
        <v>0</v>
      </c>
      <c r="DI30" s="257">
        <f>'[1]December - 2022'!DL30</f>
        <v>0</v>
      </c>
      <c r="DJ30" s="198">
        <f>'[1]December - 2022'!DM30</f>
        <v>0</v>
      </c>
      <c r="DK30" s="257">
        <f>'[1]December - 2022'!DN30</f>
        <v>0</v>
      </c>
      <c r="DL30" s="198">
        <f>'[1]December - 2022'!DO30</f>
        <v>0</v>
      </c>
      <c r="DM30" s="257">
        <f>'[1]December - 2022'!DP30</f>
        <v>0</v>
      </c>
      <c r="DN30" s="198">
        <f>'[1]December - 2022'!DQ30</f>
        <v>0</v>
      </c>
      <c r="DO30" s="257">
        <f>'[1]December - 2022'!DR30</f>
        <v>0</v>
      </c>
      <c r="DP30" s="198">
        <f>'[1]December - 2022'!DS30</f>
        <v>0</v>
      </c>
      <c r="DQ30" s="257">
        <f>'[1]December - 2022'!DT30</f>
        <v>0</v>
      </c>
      <c r="DR30" s="206">
        <f>'[1]December - 2022'!DU30</f>
        <v>0</v>
      </c>
      <c r="DS30" s="439"/>
      <c r="DT30" s="210">
        <f>'[1]December - 2022'!DW30</f>
        <v>0</v>
      </c>
      <c r="DU30" s="221">
        <f>'[1]December - 2022'!DX30</f>
        <v>0</v>
      </c>
      <c r="DV30" s="91">
        <f>'[1]December - 2022'!DY30</f>
        <v>0</v>
      </c>
      <c r="DW30" s="215">
        <f>'[1]December - 2022'!DZ30</f>
        <v>0</v>
      </c>
      <c r="DX30" s="91">
        <f>'[1]December - 2022'!EA30</f>
        <v>0</v>
      </c>
      <c r="DY30" s="215">
        <f>'[1]December - 2022'!EB30</f>
        <v>0</v>
      </c>
      <c r="DZ30" s="91">
        <f>'[1]December - 2022'!EC30</f>
        <v>0</v>
      </c>
      <c r="EA30" s="215">
        <f>'[1]December - 2022'!ED30</f>
        <v>0</v>
      </c>
      <c r="EB30" s="91">
        <f>'[1]December - 2022'!EE30</f>
        <v>0</v>
      </c>
      <c r="EC30" s="215">
        <f>'[1]December - 2022'!EF30</f>
        <v>0</v>
      </c>
      <c r="ED30" s="91">
        <f>'[1]December - 2022'!EI30</f>
        <v>0</v>
      </c>
      <c r="EE30" s="229">
        <f>'[1]December - 2022'!EJ30</f>
        <v>0</v>
      </c>
      <c r="EF30" s="378"/>
      <c r="EG30" s="235">
        <f>'[1]December - 2022'!EL30</f>
        <v>0</v>
      </c>
      <c r="EH30" s="230">
        <f>'[1]December - 2022'!EM30</f>
        <v>0</v>
      </c>
      <c r="EI30" s="90">
        <f>'[1]December - 2022'!EN30</f>
        <v>0</v>
      </c>
      <c r="EJ30" s="230">
        <f>'[1]December - 2022'!EO30</f>
        <v>0</v>
      </c>
      <c r="EK30" s="90">
        <f>'[1]December - 2022'!EP30</f>
        <v>0</v>
      </c>
      <c r="EL30" s="230">
        <f>'[1]December - 2022'!EQ30</f>
        <v>0</v>
      </c>
      <c r="EM30" s="90">
        <f>'[1]December - 2022'!ER30</f>
        <v>0</v>
      </c>
      <c r="EN30" s="230">
        <f>'[1]December - 2022'!ES30</f>
        <v>0</v>
      </c>
      <c r="EO30" s="90">
        <f>'[1]December - 2022'!ET30</f>
        <v>0</v>
      </c>
      <c r="EP30" s="230">
        <f>'[1]December - 2022'!EU30</f>
        <v>0</v>
      </c>
      <c r="EQ30" s="90">
        <f>'[1]December - 2022'!EV30</f>
        <v>0</v>
      </c>
      <c r="ER30" s="230">
        <f>'[1]December - 2022'!EW30</f>
        <v>0</v>
      </c>
      <c r="ES30" s="426"/>
      <c r="ET30" s="281">
        <f>'[1]December - 2022'!EY30</f>
        <v>0</v>
      </c>
      <c r="EU30" s="275">
        <f>'[1]December - 2022'!EZ30</f>
        <v>0</v>
      </c>
      <c r="EV30" s="282">
        <f>'[1]December - 2022'!FA30</f>
        <v>0</v>
      </c>
      <c r="EW30" s="275">
        <f>'[1]December - 2022'!FB30</f>
        <v>0</v>
      </c>
      <c r="EX30" s="282">
        <f>'[1]December - 2022'!FC30</f>
        <v>0</v>
      </c>
      <c r="EY30" s="275">
        <f>'[1]December - 2022'!FD30</f>
        <v>0</v>
      </c>
      <c r="EZ30" s="282">
        <f>'[1]December - 2022'!FE30</f>
        <v>0</v>
      </c>
      <c r="FA30" s="275">
        <f>'[1]December - 2022'!FF30</f>
        <v>0</v>
      </c>
      <c r="FB30" s="282">
        <f>'[1]December - 2022'!FG30</f>
        <v>0</v>
      </c>
      <c r="FC30" s="276">
        <f>'[1]December - 2022'!FH30</f>
        <v>0</v>
      </c>
    </row>
    <row r="31" spans="1:159" ht="30" customHeight="1" x14ac:dyDescent="0.25">
      <c r="A31" s="207">
        <v>43852</v>
      </c>
      <c r="B31" s="209">
        <f>'[1]December - 2022'!B31</f>
        <v>0</v>
      </c>
      <c r="C31" s="250">
        <f>'[1]December - 2022'!E31</f>
        <v>0</v>
      </c>
      <c r="D31" s="170">
        <f>'[1]December - 2022'!F31</f>
        <v>0</v>
      </c>
      <c r="E31" s="168">
        <f>'[1]December - 2022'!G31</f>
        <v>753</v>
      </c>
      <c r="F31" s="168">
        <f>'[1]December - 2022'!H31</f>
        <v>0</v>
      </c>
      <c r="G31" s="170">
        <f>'[1]December - 2022'!I31</f>
        <v>0</v>
      </c>
      <c r="H31" s="168">
        <f>'[1]December - 2022'!J31</f>
        <v>474</v>
      </c>
      <c r="I31" s="168">
        <f>'[1]December - 2022'!K31</f>
        <v>0</v>
      </c>
      <c r="J31" s="170">
        <f>'[1]December - 2022'!L31</f>
        <v>0</v>
      </c>
      <c r="K31" s="168">
        <f>'[1]December - 2022'!N31</f>
        <v>0</v>
      </c>
      <c r="L31" s="170">
        <f>'[1]December - 2022'!O31</f>
        <v>0</v>
      </c>
      <c r="M31" s="168">
        <f>'[1]December - 2022'!Q31</f>
        <v>0</v>
      </c>
      <c r="N31" s="170">
        <f>'[1]December - 2022'!R31</f>
        <v>0</v>
      </c>
      <c r="O31" s="168">
        <f>'[1]December - 2022'!U31</f>
        <v>0</v>
      </c>
      <c r="P31" s="170">
        <f>'[1]December - 2022'!V31</f>
        <v>0</v>
      </c>
      <c r="Q31" s="168">
        <f>'[1]December - 2022'!W31</f>
        <v>95.55000000000291</v>
      </c>
      <c r="R31" s="168">
        <f>'[1]December - 2022'!X31</f>
        <v>0</v>
      </c>
      <c r="S31" s="208">
        <f>'[1]December - 2022'!Y31</f>
        <v>0</v>
      </c>
      <c r="T31" s="521"/>
      <c r="U31" s="169">
        <f>'[1]December - 2022'!AE31</f>
        <v>0</v>
      </c>
      <c r="V31" s="288">
        <f>'[1]December - 2022'!AF31</f>
        <v>0</v>
      </c>
      <c r="W31" s="92">
        <f>'[1]December - 2022'!AF31</f>
        <v>0</v>
      </c>
      <c r="X31" s="287">
        <f>'[1]December - 2022'!AH31</f>
        <v>0</v>
      </c>
      <c r="Y31" s="288">
        <f>'[1]December - 2022'!AI31</f>
        <v>0</v>
      </c>
      <c r="Z31" s="92">
        <f>'[1]December - 2022'!AI31</f>
        <v>0</v>
      </c>
      <c r="AA31" s="287">
        <f>'[1]December - 2022'!AK31</f>
        <v>0</v>
      </c>
      <c r="AB31" s="288">
        <f>'[1]December - 2022'!AL31</f>
        <v>0</v>
      </c>
      <c r="AC31" s="92">
        <f>'[1]December - 2022'!AL31</f>
        <v>0</v>
      </c>
      <c r="AD31" s="287">
        <f>'[1]December - 2022'!AN31</f>
        <v>0</v>
      </c>
      <c r="AE31" s="288">
        <f>'[1]December - 2022'!AO31</f>
        <v>0</v>
      </c>
      <c r="AF31" s="92">
        <f>'[1]December - 2022'!AO31</f>
        <v>0</v>
      </c>
      <c r="AG31" s="287">
        <f>'[1]December - 2022'!AQ31</f>
        <v>0</v>
      </c>
      <c r="AH31" s="288">
        <f>'[1]December - 2022'!AR31</f>
        <v>0</v>
      </c>
      <c r="AI31" s="92">
        <f>'[1]December - 2022'!AR31</f>
        <v>0</v>
      </c>
      <c r="AJ31" s="287">
        <f>'[1]December - 2022'!AT31</f>
        <v>0</v>
      </c>
      <c r="AK31" s="288">
        <f>'[1]December - 2022'!AU31</f>
        <v>0</v>
      </c>
      <c r="AL31" s="92">
        <f>'[1]December - 2022'!AU31</f>
        <v>0</v>
      </c>
      <c r="AM31" s="287">
        <f>'[1]December - 2022'!AW31</f>
        <v>0</v>
      </c>
      <c r="AN31" s="288">
        <f>'[1]December - 2022'!AX31</f>
        <v>0</v>
      </c>
      <c r="AO31" s="92">
        <f>'[1]December - 2022'!AX31</f>
        <v>0</v>
      </c>
      <c r="AP31" s="287">
        <f>'[1]December - 2022'!AZ31</f>
        <v>0</v>
      </c>
      <c r="AQ31" s="288">
        <f>'[1]December - 2022'!BA31</f>
        <v>0</v>
      </c>
      <c r="AR31" s="92">
        <f>'[1]December - 2022'!BA31</f>
        <v>0</v>
      </c>
      <c r="AS31" s="287">
        <f>'[1]December - 2022'!BC31</f>
        <v>0</v>
      </c>
      <c r="AT31" s="288">
        <f>'[1]December - 2022'!BD31</f>
        <v>0</v>
      </c>
      <c r="AU31" s="92">
        <f>'[1]December - 2022'!BD31</f>
        <v>0</v>
      </c>
      <c r="AV31" s="287">
        <f>'[1]December - 2022'!BF31</f>
        <v>0</v>
      </c>
      <c r="AW31" s="252">
        <f>'[1]December - 2022'!BG31</f>
        <v>0</v>
      </c>
      <c r="AX31" s="253">
        <f>'[1]December - 2022'!BG31</f>
        <v>0</v>
      </c>
      <c r="AY31" s="487"/>
      <c r="AZ31" s="272">
        <f>'[1]December - 2022'!BM31</f>
        <v>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0</v>
      </c>
      <c r="BG31" s="245">
        <f>'[1]December - 2022'!BT31</f>
        <v>0</v>
      </c>
      <c r="BH31" s="93">
        <f>'[1]December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0</v>
      </c>
      <c r="BT31" s="185">
        <f>'[1]December - 2022'!BW31</f>
        <v>0</v>
      </c>
      <c r="BU31" s="394"/>
      <c r="BV31" s="88">
        <f>'[1]December - 2022'!BY31</f>
        <v>0</v>
      </c>
      <c r="BW31" s="241">
        <f>'[1]December - 2022'!BZ31</f>
        <v>0</v>
      </c>
      <c r="BX31" s="88">
        <f>'[1]December - 2022'!BZ31</f>
        <v>0</v>
      </c>
      <c r="BY31" s="89">
        <f>'[1]December - 2022'!CB31</f>
        <v>0</v>
      </c>
      <c r="BZ31" s="191">
        <f>'[1]December - 2022'!CC31</f>
        <v>0</v>
      </c>
      <c r="CA31" s="89">
        <f>'[1]December - 2022'!CD31</f>
        <v>0</v>
      </c>
      <c r="CB31" s="191">
        <f>'[1]December - 2022'!CE31</f>
        <v>0</v>
      </c>
      <c r="CC31" s="89">
        <f>'[1]December - 2022'!CF31</f>
        <v>0</v>
      </c>
      <c r="CD31" s="191">
        <f>'[1]December - 2022'!CG31</f>
        <v>0</v>
      </c>
      <c r="CE31" s="89">
        <f>'[1]December - 2022'!CH31</f>
        <v>0</v>
      </c>
      <c r="CF31" s="191">
        <f>'[1]December - 2022'!CI31</f>
        <v>0</v>
      </c>
      <c r="CG31" s="89">
        <f>'[1]December - 2022'!CJ31</f>
        <v>0</v>
      </c>
      <c r="CH31" s="191">
        <f>'[1]December - 2022'!CK31</f>
        <v>0</v>
      </c>
      <c r="CI31" s="89">
        <f>'[1]December - 2022'!CL31</f>
        <v>0</v>
      </c>
      <c r="CJ31" s="191">
        <f>'[1]December - 2022'!CM31</f>
        <v>0</v>
      </c>
      <c r="CK31" s="89">
        <f>'[1]December - 2022'!CN31</f>
        <v>0</v>
      </c>
      <c r="CL31" s="246">
        <f>'[1]December - 2022'!CO31</f>
        <v>0</v>
      </c>
      <c r="CM31" s="89">
        <f>'[1]December - 2022'!CO31</f>
        <v>0</v>
      </c>
      <c r="CN31" s="89">
        <f>'[1]December - 2022'!CQ31</f>
        <v>0</v>
      </c>
      <c r="CO31" s="246">
        <f>'[1]December - 2022'!CR31</f>
        <v>0</v>
      </c>
      <c r="CP31" s="89">
        <f>'[1]December - 2022'!CR31</f>
        <v>0</v>
      </c>
      <c r="CQ31" s="89">
        <f>'[1]December - 2022'!CT31</f>
        <v>0</v>
      </c>
      <c r="CR31" s="246">
        <f>'[1]December - 2022'!CU31</f>
        <v>0</v>
      </c>
      <c r="CS31" s="89">
        <f>'[1]December - 2022'!CU31</f>
        <v>0</v>
      </c>
      <c r="CT31" s="89">
        <f>'[1]December - 2022'!CW31</f>
        <v>0</v>
      </c>
      <c r="CU31" s="191">
        <f>'[1]December - 2022'!CX31</f>
        <v>0</v>
      </c>
      <c r="CV31" s="454"/>
      <c r="CW31" s="256">
        <f>'[1]December - 2022'!CZ31</f>
        <v>0</v>
      </c>
      <c r="CX31" s="198">
        <f>'[1]December - 2022'!DA31</f>
        <v>0</v>
      </c>
      <c r="CY31" s="257">
        <f>'[1]December - 2022'!DB31</f>
        <v>0</v>
      </c>
      <c r="CZ31" s="198">
        <f>'[1]December - 2022'!DC31</f>
        <v>0</v>
      </c>
      <c r="DA31" s="257">
        <f>'[1]December - 2022'!DD31</f>
        <v>0</v>
      </c>
      <c r="DB31" s="198">
        <f>'[1]December - 2022'!DE31</f>
        <v>0</v>
      </c>
      <c r="DC31" s="257">
        <f>'[1]December - 2022'!DF31</f>
        <v>0</v>
      </c>
      <c r="DD31" s="198">
        <f>'[1]December - 2022'!DG31</f>
        <v>0</v>
      </c>
      <c r="DE31" s="257">
        <f>'[1]December - 2022'!DH31</f>
        <v>0</v>
      </c>
      <c r="DF31" s="198">
        <f>'[1]December - 2022'!DI31</f>
        <v>0</v>
      </c>
      <c r="DG31" s="257">
        <f>'[1]December - 2022'!DJ31</f>
        <v>0</v>
      </c>
      <c r="DH31" s="198">
        <f>'[1]December - 2022'!DK31</f>
        <v>0</v>
      </c>
      <c r="DI31" s="257">
        <f>'[1]December - 2022'!DL31</f>
        <v>0</v>
      </c>
      <c r="DJ31" s="198">
        <f>'[1]December - 2022'!DM31</f>
        <v>0</v>
      </c>
      <c r="DK31" s="257">
        <f>'[1]December - 2022'!DN31</f>
        <v>0</v>
      </c>
      <c r="DL31" s="198">
        <f>'[1]December - 2022'!DO31</f>
        <v>0</v>
      </c>
      <c r="DM31" s="257">
        <f>'[1]December - 2022'!DP31</f>
        <v>0</v>
      </c>
      <c r="DN31" s="198">
        <f>'[1]December - 2022'!DQ31</f>
        <v>0</v>
      </c>
      <c r="DO31" s="257">
        <f>'[1]December - 2022'!DR31</f>
        <v>0</v>
      </c>
      <c r="DP31" s="198">
        <f>'[1]December - 2022'!DS31</f>
        <v>0</v>
      </c>
      <c r="DQ31" s="257">
        <f>'[1]December - 2022'!DT31</f>
        <v>0</v>
      </c>
      <c r="DR31" s="206">
        <f>'[1]December - 2022'!DU31</f>
        <v>0</v>
      </c>
      <c r="DS31" s="439"/>
      <c r="DT31" s="210">
        <f>'[1]December - 2022'!DW31</f>
        <v>0</v>
      </c>
      <c r="DU31" s="221">
        <f>'[1]December - 2022'!DX31</f>
        <v>0</v>
      </c>
      <c r="DV31" s="91">
        <f>'[1]December - 2022'!DY31</f>
        <v>0</v>
      </c>
      <c r="DW31" s="215">
        <f>'[1]December - 2022'!DZ31</f>
        <v>0</v>
      </c>
      <c r="DX31" s="91">
        <f>'[1]December - 2022'!EA31</f>
        <v>0</v>
      </c>
      <c r="DY31" s="215">
        <f>'[1]December - 2022'!EB31</f>
        <v>0</v>
      </c>
      <c r="DZ31" s="91">
        <f>'[1]December - 2022'!EC31</f>
        <v>0</v>
      </c>
      <c r="EA31" s="215">
        <f>'[1]December - 2022'!ED31</f>
        <v>0</v>
      </c>
      <c r="EB31" s="91">
        <f>'[1]December - 2022'!EE31</f>
        <v>0</v>
      </c>
      <c r="EC31" s="215">
        <f>'[1]December - 2022'!EF31</f>
        <v>0</v>
      </c>
      <c r="ED31" s="91">
        <f>'[1]December - 2022'!EI31</f>
        <v>0</v>
      </c>
      <c r="EE31" s="229">
        <f>'[1]December - 2022'!EJ31</f>
        <v>0</v>
      </c>
      <c r="EF31" s="378"/>
      <c r="EG31" s="235">
        <f>'[1]December - 2022'!EL31</f>
        <v>0</v>
      </c>
      <c r="EH31" s="230">
        <f>'[1]December - 2022'!EM31</f>
        <v>0</v>
      </c>
      <c r="EI31" s="90">
        <f>'[1]December - 2022'!EN31</f>
        <v>0</v>
      </c>
      <c r="EJ31" s="230">
        <f>'[1]December - 2022'!EO31</f>
        <v>0</v>
      </c>
      <c r="EK31" s="90">
        <f>'[1]December - 2022'!EP31</f>
        <v>0</v>
      </c>
      <c r="EL31" s="230">
        <f>'[1]December - 2022'!EQ31</f>
        <v>0</v>
      </c>
      <c r="EM31" s="90">
        <f>'[1]December - 2022'!ER31</f>
        <v>0</v>
      </c>
      <c r="EN31" s="230">
        <f>'[1]December - 2022'!ES31</f>
        <v>0</v>
      </c>
      <c r="EO31" s="90">
        <f>'[1]December - 2022'!ET31</f>
        <v>0</v>
      </c>
      <c r="EP31" s="230">
        <f>'[1]December - 2022'!EU31</f>
        <v>0</v>
      </c>
      <c r="EQ31" s="90">
        <f>'[1]December - 2022'!EV31</f>
        <v>0</v>
      </c>
      <c r="ER31" s="230">
        <f>'[1]December - 2022'!EW31</f>
        <v>0</v>
      </c>
      <c r="ES31" s="426"/>
      <c r="ET31" s="281">
        <f>'[1]December - 2022'!EY31</f>
        <v>0</v>
      </c>
      <c r="EU31" s="275">
        <f>'[1]December - 2022'!EZ31</f>
        <v>0</v>
      </c>
      <c r="EV31" s="282">
        <f>'[1]December - 2022'!FA31</f>
        <v>0</v>
      </c>
      <c r="EW31" s="275">
        <f>'[1]December - 2022'!FB31</f>
        <v>0</v>
      </c>
      <c r="EX31" s="282">
        <f>'[1]December - 2022'!FC31</f>
        <v>0</v>
      </c>
      <c r="EY31" s="275">
        <f>'[1]December - 2022'!FD31</f>
        <v>0</v>
      </c>
      <c r="EZ31" s="282">
        <f>'[1]December - 2022'!FE31</f>
        <v>0</v>
      </c>
      <c r="FA31" s="275">
        <f>'[1]December - 2022'!FF31</f>
        <v>0</v>
      </c>
      <c r="FB31" s="282">
        <f>'[1]December - 2022'!FG31</f>
        <v>0</v>
      </c>
      <c r="FC31" s="276">
        <f>'[1]December - 2022'!FH31</f>
        <v>0</v>
      </c>
    </row>
    <row r="32" spans="1:159" ht="30" customHeight="1" x14ac:dyDescent="0.25">
      <c r="A32" s="207">
        <v>43853</v>
      </c>
      <c r="B32" s="209">
        <f>'[1]December - 2022'!B32</f>
        <v>0</v>
      </c>
      <c r="C32" s="250">
        <f>'[1]December - 2022'!E32</f>
        <v>0</v>
      </c>
      <c r="D32" s="170">
        <f>'[1]December - 2022'!F32</f>
        <v>0</v>
      </c>
      <c r="E32" s="168">
        <f>'[1]December - 2022'!G32</f>
        <v>793</v>
      </c>
      <c r="F32" s="168">
        <f>'[1]December - 2022'!H32</f>
        <v>0</v>
      </c>
      <c r="G32" s="170">
        <f>'[1]December - 2022'!I32</f>
        <v>0</v>
      </c>
      <c r="H32" s="168">
        <f>'[1]December - 2022'!J32</f>
        <v>493</v>
      </c>
      <c r="I32" s="168">
        <f>'[1]December - 2022'!K32</f>
        <v>0</v>
      </c>
      <c r="J32" s="170">
        <f>'[1]December - 2022'!L32</f>
        <v>0</v>
      </c>
      <c r="K32" s="168">
        <f>'[1]December - 2022'!N32</f>
        <v>0</v>
      </c>
      <c r="L32" s="170">
        <f>'[1]December - 2022'!O32</f>
        <v>0</v>
      </c>
      <c r="M32" s="168">
        <f>'[1]December - 2022'!Q32</f>
        <v>0</v>
      </c>
      <c r="N32" s="170">
        <f>'[1]December - 2022'!R32</f>
        <v>0</v>
      </c>
      <c r="O32" s="168">
        <f>'[1]December - 2022'!U32</f>
        <v>0</v>
      </c>
      <c r="P32" s="170">
        <f>'[1]December - 2022'!V32</f>
        <v>0</v>
      </c>
      <c r="Q32" s="168">
        <f>'[1]December - 2022'!W32</f>
        <v>91.709999999999127</v>
      </c>
      <c r="R32" s="168">
        <f>'[1]December - 2022'!X32</f>
        <v>0</v>
      </c>
      <c r="S32" s="208">
        <f>'[1]December - 2022'!Y32</f>
        <v>0</v>
      </c>
      <c r="T32" s="521"/>
      <c r="U32" s="169">
        <f>'[1]December - 2022'!AE32</f>
        <v>0</v>
      </c>
      <c r="V32" s="288">
        <f>'[1]December - 2022'!AF32</f>
        <v>0</v>
      </c>
      <c r="W32" s="92">
        <f>'[1]December - 2022'!AF32</f>
        <v>0</v>
      </c>
      <c r="X32" s="287">
        <f>'[1]December - 2022'!AH32</f>
        <v>0</v>
      </c>
      <c r="Y32" s="288">
        <f>'[1]December - 2022'!AI32</f>
        <v>0</v>
      </c>
      <c r="Z32" s="92">
        <f>'[1]December - 2022'!AI32</f>
        <v>0</v>
      </c>
      <c r="AA32" s="287">
        <f>'[1]December - 2022'!AK32</f>
        <v>0</v>
      </c>
      <c r="AB32" s="288">
        <f>'[1]December - 2022'!AL32</f>
        <v>0</v>
      </c>
      <c r="AC32" s="92">
        <f>'[1]December - 2022'!AL32</f>
        <v>0</v>
      </c>
      <c r="AD32" s="287">
        <f>'[1]December - 2022'!AN32</f>
        <v>0</v>
      </c>
      <c r="AE32" s="288">
        <f>'[1]December - 2022'!AO32</f>
        <v>0</v>
      </c>
      <c r="AF32" s="92">
        <f>'[1]December - 2022'!AO32</f>
        <v>0</v>
      </c>
      <c r="AG32" s="287">
        <f>'[1]December - 2022'!AQ32</f>
        <v>0</v>
      </c>
      <c r="AH32" s="288">
        <f>'[1]December - 2022'!AR32</f>
        <v>0</v>
      </c>
      <c r="AI32" s="92">
        <f>'[1]December - 2022'!AR32</f>
        <v>0</v>
      </c>
      <c r="AJ32" s="287">
        <f>'[1]December - 2022'!AT32</f>
        <v>0</v>
      </c>
      <c r="AK32" s="288">
        <f>'[1]December - 2022'!AU32</f>
        <v>0</v>
      </c>
      <c r="AL32" s="92">
        <f>'[1]December - 2022'!AU32</f>
        <v>0</v>
      </c>
      <c r="AM32" s="287">
        <f>'[1]December - 2022'!AW32</f>
        <v>0</v>
      </c>
      <c r="AN32" s="288">
        <f>'[1]December - 2022'!AX32</f>
        <v>0</v>
      </c>
      <c r="AO32" s="92">
        <f>'[1]December - 2022'!AX32</f>
        <v>0</v>
      </c>
      <c r="AP32" s="287">
        <f>'[1]December - 2022'!AZ32</f>
        <v>0</v>
      </c>
      <c r="AQ32" s="288">
        <f>'[1]December - 2022'!BA32</f>
        <v>0</v>
      </c>
      <c r="AR32" s="92">
        <f>'[1]December - 2022'!BA32</f>
        <v>0</v>
      </c>
      <c r="AS32" s="287">
        <f>'[1]December - 2022'!BC32</f>
        <v>0</v>
      </c>
      <c r="AT32" s="288">
        <f>'[1]December - 2022'!BD32</f>
        <v>0</v>
      </c>
      <c r="AU32" s="92">
        <f>'[1]December - 2022'!BD32</f>
        <v>0</v>
      </c>
      <c r="AV32" s="287">
        <f>'[1]December - 2022'!BF32</f>
        <v>0</v>
      </c>
      <c r="AW32" s="252">
        <f>'[1]December - 2022'!BG32</f>
        <v>0</v>
      </c>
      <c r="AX32" s="253">
        <f>'[1]December - 2022'!BG32</f>
        <v>0</v>
      </c>
      <c r="AY32" s="487"/>
      <c r="AZ32" s="272">
        <f>'[1]December - 2022'!BM32</f>
        <v>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0</v>
      </c>
      <c r="BG32" s="245">
        <f>'[1]December - 2022'!BT32</f>
        <v>0</v>
      </c>
      <c r="BH32" s="93">
        <f>'[1]December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0</v>
      </c>
      <c r="BT32" s="185">
        <f>'[1]December - 2022'!BW32</f>
        <v>0</v>
      </c>
      <c r="BU32" s="394"/>
      <c r="BV32" s="88">
        <f>'[1]December - 2022'!BY32</f>
        <v>0</v>
      </c>
      <c r="BW32" s="241">
        <f>'[1]December - 2022'!BZ32</f>
        <v>0</v>
      </c>
      <c r="BX32" s="88">
        <f>'[1]December - 2022'!BZ32</f>
        <v>0</v>
      </c>
      <c r="BY32" s="89">
        <f>'[1]December - 2022'!CB32</f>
        <v>0</v>
      </c>
      <c r="BZ32" s="191">
        <f>'[1]December - 2022'!CC32</f>
        <v>0</v>
      </c>
      <c r="CA32" s="89">
        <f>'[1]December - 2022'!CD32</f>
        <v>0</v>
      </c>
      <c r="CB32" s="191">
        <f>'[1]December - 2022'!CE32</f>
        <v>0</v>
      </c>
      <c r="CC32" s="89">
        <f>'[1]December - 2022'!CF32</f>
        <v>0</v>
      </c>
      <c r="CD32" s="191">
        <f>'[1]December - 2022'!CG32</f>
        <v>0</v>
      </c>
      <c r="CE32" s="89">
        <f>'[1]December - 2022'!CH32</f>
        <v>0</v>
      </c>
      <c r="CF32" s="191">
        <f>'[1]December - 2022'!CI32</f>
        <v>0</v>
      </c>
      <c r="CG32" s="89">
        <f>'[1]December - 2022'!CJ32</f>
        <v>0</v>
      </c>
      <c r="CH32" s="191">
        <f>'[1]December - 2022'!CK32</f>
        <v>0</v>
      </c>
      <c r="CI32" s="89">
        <f>'[1]December - 2022'!CL32</f>
        <v>0</v>
      </c>
      <c r="CJ32" s="191">
        <f>'[1]December - 2022'!CM32</f>
        <v>0</v>
      </c>
      <c r="CK32" s="89">
        <f>'[1]December - 2022'!CN32</f>
        <v>0</v>
      </c>
      <c r="CL32" s="246">
        <f>'[1]December - 2022'!CO32</f>
        <v>0</v>
      </c>
      <c r="CM32" s="89">
        <f>'[1]December - 2022'!CO32</f>
        <v>0</v>
      </c>
      <c r="CN32" s="89">
        <f>'[1]December - 2022'!CQ32</f>
        <v>0</v>
      </c>
      <c r="CO32" s="246">
        <f>'[1]December - 2022'!CR32</f>
        <v>0</v>
      </c>
      <c r="CP32" s="89">
        <f>'[1]December - 2022'!CR32</f>
        <v>0</v>
      </c>
      <c r="CQ32" s="89">
        <f>'[1]December - 2022'!CT32</f>
        <v>0</v>
      </c>
      <c r="CR32" s="246">
        <f>'[1]December - 2022'!CU32</f>
        <v>0</v>
      </c>
      <c r="CS32" s="89">
        <f>'[1]December - 2022'!CU32</f>
        <v>0</v>
      </c>
      <c r="CT32" s="89">
        <f>'[1]December - 2022'!CW32</f>
        <v>0</v>
      </c>
      <c r="CU32" s="191">
        <f>'[1]December - 2022'!CX32</f>
        <v>0</v>
      </c>
      <c r="CV32" s="454"/>
      <c r="CW32" s="256">
        <f>'[1]December - 2022'!CZ32</f>
        <v>0</v>
      </c>
      <c r="CX32" s="198">
        <f>'[1]December - 2022'!DA32</f>
        <v>0</v>
      </c>
      <c r="CY32" s="257">
        <f>'[1]December - 2022'!DB32</f>
        <v>0</v>
      </c>
      <c r="CZ32" s="198">
        <f>'[1]December - 2022'!DC32</f>
        <v>0</v>
      </c>
      <c r="DA32" s="257">
        <f>'[1]December - 2022'!DD32</f>
        <v>0</v>
      </c>
      <c r="DB32" s="198">
        <f>'[1]December - 2022'!DE32</f>
        <v>0</v>
      </c>
      <c r="DC32" s="257">
        <f>'[1]December - 2022'!DF32</f>
        <v>0</v>
      </c>
      <c r="DD32" s="198">
        <f>'[1]December - 2022'!DG32</f>
        <v>0</v>
      </c>
      <c r="DE32" s="257">
        <f>'[1]December - 2022'!DH32</f>
        <v>0</v>
      </c>
      <c r="DF32" s="198">
        <f>'[1]December - 2022'!DI32</f>
        <v>0</v>
      </c>
      <c r="DG32" s="257">
        <f>'[1]December - 2022'!DJ32</f>
        <v>0</v>
      </c>
      <c r="DH32" s="198">
        <f>'[1]December - 2022'!DK32</f>
        <v>0</v>
      </c>
      <c r="DI32" s="257">
        <f>'[1]December - 2022'!DL32</f>
        <v>0</v>
      </c>
      <c r="DJ32" s="198">
        <f>'[1]December - 2022'!DM32</f>
        <v>0</v>
      </c>
      <c r="DK32" s="257">
        <f>'[1]December - 2022'!DN32</f>
        <v>0</v>
      </c>
      <c r="DL32" s="198">
        <f>'[1]December - 2022'!DO32</f>
        <v>0</v>
      </c>
      <c r="DM32" s="257">
        <f>'[1]December - 2022'!DP32</f>
        <v>0</v>
      </c>
      <c r="DN32" s="198">
        <f>'[1]December - 2022'!DQ32</f>
        <v>0</v>
      </c>
      <c r="DO32" s="257">
        <f>'[1]December - 2022'!DR32</f>
        <v>0</v>
      </c>
      <c r="DP32" s="198">
        <f>'[1]December - 2022'!DS32</f>
        <v>0</v>
      </c>
      <c r="DQ32" s="257">
        <f>'[1]December - 2022'!DT32</f>
        <v>0</v>
      </c>
      <c r="DR32" s="206">
        <f>'[1]December - 2022'!DU32</f>
        <v>0</v>
      </c>
      <c r="DS32" s="439"/>
      <c r="DT32" s="210">
        <f>'[1]December - 2022'!DW32</f>
        <v>0</v>
      </c>
      <c r="DU32" s="221">
        <f>'[1]December - 2022'!DX32</f>
        <v>0</v>
      </c>
      <c r="DV32" s="91">
        <f>'[1]December - 2022'!DY32</f>
        <v>0</v>
      </c>
      <c r="DW32" s="215">
        <f>'[1]December - 2022'!DZ32</f>
        <v>0</v>
      </c>
      <c r="DX32" s="91">
        <f>'[1]December - 2022'!EA32</f>
        <v>0</v>
      </c>
      <c r="DY32" s="215">
        <f>'[1]December - 2022'!EB32</f>
        <v>0</v>
      </c>
      <c r="DZ32" s="91">
        <f>'[1]December - 2022'!EC32</f>
        <v>0</v>
      </c>
      <c r="EA32" s="215">
        <f>'[1]December - 2022'!ED32</f>
        <v>0</v>
      </c>
      <c r="EB32" s="91">
        <f>'[1]December - 2022'!EE32</f>
        <v>0</v>
      </c>
      <c r="EC32" s="215">
        <f>'[1]December - 2022'!EF32</f>
        <v>0</v>
      </c>
      <c r="ED32" s="91">
        <f>'[1]December - 2022'!EI32</f>
        <v>0</v>
      </c>
      <c r="EE32" s="229">
        <f>'[1]December - 2022'!EJ32</f>
        <v>0</v>
      </c>
      <c r="EF32" s="378"/>
      <c r="EG32" s="235">
        <f>'[1]December - 2022'!EL32</f>
        <v>0</v>
      </c>
      <c r="EH32" s="230">
        <f>'[1]December - 2022'!EM32</f>
        <v>0</v>
      </c>
      <c r="EI32" s="90">
        <f>'[1]December - 2022'!EN32</f>
        <v>0</v>
      </c>
      <c r="EJ32" s="230">
        <f>'[1]December - 2022'!EO32</f>
        <v>0</v>
      </c>
      <c r="EK32" s="90">
        <f>'[1]December - 2022'!EP32</f>
        <v>0</v>
      </c>
      <c r="EL32" s="230">
        <f>'[1]December - 2022'!EQ32</f>
        <v>0</v>
      </c>
      <c r="EM32" s="90">
        <f>'[1]December - 2022'!ER32</f>
        <v>0</v>
      </c>
      <c r="EN32" s="230">
        <f>'[1]December - 2022'!ES32</f>
        <v>0</v>
      </c>
      <c r="EO32" s="90">
        <f>'[1]December - 2022'!ET32</f>
        <v>0</v>
      </c>
      <c r="EP32" s="230">
        <f>'[1]December - 2022'!EU32</f>
        <v>0</v>
      </c>
      <c r="EQ32" s="90">
        <f>'[1]December - 2022'!EV32</f>
        <v>0</v>
      </c>
      <c r="ER32" s="230">
        <f>'[1]December - 2022'!EW32</f>
        <v>0</v>
      </c>
      <c r="ES32" s="426"/>
      <c r="ET32" s="281">
        <f>'[1]December - 2022'!EY32</f>
        <v>0</v>
      </c>
      <c r="EU32" s="275">
        <f>'[1]December - 2022'!EZ32</f>
        <v>0</v>
      </c>
      <c r="EV32" s="282">
        <f>'[1]December - 2022'!FA32</f>
        <v>0</v>
      </c>
      <c r="EW32" s="275">
        <f>'[1]December - 2022'!FB32</f>
        <v>0</v>
      </c>
      <c r="EX32" s="282">
        <f>'[1]December - 2022'!FC32</f>
        <v>0</v>
      </c>
      <c r="EY32" s="275">
        <f>'[1]December - 2022'!FD32</f>
        <v>0</v>
      </c>
      <c r="EZ32" s="282">
        <f>'[1]December - 2022'!FE32</f>
        <v>0</v>
      </c>
      <c r="FA32" s="275">
        <f>'[1]December - 2022'!FF32</f>
        <v>0</v>
      </c>
      <c r="FB32" s="282">
        <f>'[1]December - 2022'!FG32</f>
        <v>0</v>
      </c>
      <c r="FC32" s="276">
        <f>'[1]December - 2022'!FH32</f>
        <v>0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0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0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0</v>
      </c>
      <c r="K33" s="168">
        <f>'[1]December - 2022'!N33</f>
        <v>0</v>
      </c>
      <c r="L33" s="170">
        <f>'[1]December - 2022'!O33</f>
        <v>0</v>
      </c>
      <c r="M33" s="168">
        <f>'[1]December - 2022'!Q33</f>
        <v>0</v>
      </c>
      <c r="N33" s="170">
        <f>'[1]December - 2022'!R33</f>
        <v>0</v>
      </c>
      <c r="O33" s="168">
        <f>'[1]December - 2022'!U33</f>
        <v>0</v>
      </c>
      <c r="P33" s="170">
        <f>'[1]December - 2022'!V33</f>
        <v>0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0</v>
      </c>
      <c r="T33" s="521"/>
      <c r="U33" s="169">
        <f>'[1]December - 2022'!AE33</f>
        <v>0</v>
      </c>
      <c r="V33" s="288">
        <f>'[1]December - 2022'!AF33</f>
        <v>0</v>
      </c>
      <c r="W33" s="92">
        <f>'[1]December - 2022'!AF33</f>
        <v>0</v>
      </c>
      <c r="X33" s="287">
        <f>'[1]December - 2022'!AH33</f>
        <v>0</v>
      </c>
      <c r="Y33" s="288">
        <f>'[1]December - 2022'!AI33</f>
        <v>0</v>
      </c>
      <c r="Z33" s="92">
        <f>'[1]December - 2022'!AI33</f>
        <v>0</v>
      </c>
      <c r="AA33" s="287">
        <f>'[1]December - 2022'!AK33</f>
        <v>0</v>
      </c>
      <c r="AB33" s="288">
        <f>'[1]December - 2022'!AL33</f>
        <v>0</v>
      </c>
      <c r="AC33" s="92">
        <f>'[1]December - 2022'!AL33</f>
        <v>0</v>
      </c>
      <c r="AD33" s="287">
        <f>'[1]December - 2022'!AN33</f>
        <v>0</v>
      </c>
      <c r="AE33" s="288">
        <f>'[1]December - 2022'!AO33</f>
        <v>0</v>
      </c>
      <c r="AF33" s="92">
        <f>'[1]December - 2022'!AO33</f>
        <v>0</v>
      </c>
      <c r="AG33" s="287">
        <f>'[1]December - 2022'!AQ33</f>
        <v>0</v>
      </c>
      <c r="AH33" s="288">
        <f>'[1]December - 2022'!AR33</f>
        <v>0</v>
      </c>
      <c r="AI33" s="92">
        <f>'[1]December - 2022'!AR33</f>
        <v>0</v>
      </c>
      <c r="AJ33" s="287">
        <f>'[1]December - 2022'!AT33</f>
        <v>0</v>
      </c>
      <c r="AK33" s="288">
        <f>'[1]December - 2022'!AU33</f>
        <v>0</v>
      </c>
      <c r="AL33" s="92">
        <f>'[1]December - 2022'!AU33</f>
        <v>0</v>
      </c>
      <c r="AM33" s="287">
        <f>'[1]December - 2022'!AW33</f>
        <v>0</v>
      </c>
      <c r="AN33" s="288">
        <f>'[1]December - 2022'!AX33</f>
        <v>0</v>
      </c>
      <c r="AO33" s="92">
        <f>'[1]December - 2022'!AX33</f>
        <v>0</v>
      </c>
      <c r="AP33" s="287">
        <f>'[1]December - 2022'!AZ33</f>
        <v>0</v>
      </c>
      <c r="AQ33" s="288">
        <f>'[1]December - 2022'!BA33</f>
        <v>0</v>
      </c>
      <c r="AR33" s="92">
        <f>'[1]December - 2022'!BA33</f>
        <v>0</v>
      </c>
      <c r="AS33" s="287">
        <f>'[1]December - 2022'!BC33</f>
        <v>0</v>
      </c>
      <c r="AT33" s="288">
        <f>'[1]December - 2022'!BD33</f>
        <v>0</v>
      </c>
      <c r="AU33" s="92">
        <f>'[1]December - 2022'!BD33</f>
        <v>0</v>
      </c>
      <c r="AV33" s="287">
        <f>'[1]December - 2022'!BF33</f>
        <v>0</v>
      </c>
      <c r="AW33" s="252">
        <f>'[1]December - 2022'!BG33</f>
        <v>0</v>
      </c>
      <c r="AX33" s="253">
        <f>'[1]December - 2022'!BG33</f>
        <v>0</v>
      </c>
      <c r="AY33" s="487"/>
      <c r="AZ33" s="272">
        <f>'[1]December - 2022'!BM33</f>
        <v>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0</v>
      </c>
      <c r="BD33" s="245">
        <f>'[1]December - 2022'!BQ33</f>
        <v>0</v>
      </c>
      <c r="BE33" s="93">
        <f>'[1]December - 2022'!BQ33</f>
        <v>0</v>
      </c>
      <c r="BF33" s="272">
        <f>'[1]December - 2022'!BS33</f>
        <v>0</v>
      </c>
      <c r="BG33" s="245">
        <f>'[1]December - 2022'!BT33</f>
        <v>0</v>
      </c>
      <c r="BH33" s="93">
        <f>'[1]December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0</v>
      </c>
      <c r="BU33" s="394"/>
      <c r="BV33" s="88">
        <f>'[1]December - 2022'!BY33</f>
        <v>0</v>
      </c>
      <c r="BW33" s="241">
        <f>'[1]December - 2022'!BZ33</f>
        <v>0</v>
      </c>
      <c r="BX33" s="88">
        <f>'[1]December - 2022'!BZ33</f>
        <v>0</v>
      </c>
      <c r="BY33" s="89">
        <f>'[1]December - 2022'!CB33</f>
        <v>0</v>
      </c>
      <c r="BZ33" s="191">
        <f>'[1]December - 2022'!CC33</f>
        <v>0</v>
      </c>
      <c r="CA33" s="89">
        <f>'[1]December - 2022'!CD33</f>
        <v>0</v>
      </c>
      <c r="CB33" s="191">
        <f>'[1]December - 2022'!CE33</f>
        <v>0</v>
      </c>
      <c r="CC33" s="89">
        <f>'[1]December - 2022'!CF33</f>
        <v>0</v>
      </c>
      <c r="CD33" s="191">
        <f>'[1]December - 2022'!CG33</f>
        <v>0</v>
      </c>
      <c r="CE33" s="89">
        <f>'[1]December - 2022'!CH33</f>
        <v>0</v>
      </c>
      <c r="CF33" s="191">
        <f>'[1]December - 2022'!CI33</f>
        <v>0</v>
      </c>
      <c r="CG33" s="89">
        <f>'[1]December - 2022'!CJ33</f>
        <v>0</v>
      </c>
      <c r="CH33" s="191">
        <f>'[1]December - 2022'!CK33</f>
        <v>0</v>
      </c>
      <c r="CI33" s="89">
        <f>'[1]December - 2022'!CL33</f>
        <v>0</v>
      </c>
      <c r="CJ33" s="191">
        <f>'[1]December - 2022'!CM33</f>
        <v>0</v>
      </c>
      <c r="CK33" s="89">
        <f>'[1]December - 2022'!CN33</f>
        <v>0</v>
      </c>
      <c r="CL33" s="246">
        <f>'[1]December - 2022'!CO33</f>
        <v>0</v>
      </c>
      <c r="CM33" s="89">
        <f>'[1]December - 2022'!CO33</f>
        <v>0</v>
      </c>
      <c r="CN33" s="89">
        <f>'[1]December - 2022'!CQ33</f>
        <v>0</v>
      </c>
      <c r="CO33" s="246">
        <f>'[1]December - 2022'!CR33</f>
        <v>0</v>
      </c>
      <c r="CP33" s="89">
        <f>'[1]December - 2022'!CR33</f>
        <v>0</v>
      </c>
      <c r="CQ33" s="89">
        <f>'[1]December - 2022'!CT33</f>
        <v>0</v>
      </c>
      <c r="CR33" s="246">
        <f>'[1]December - 2022'!CU33</f>
        <v>0</v>
      </c>
      <c r="CS33" s="89">
        <f>'[1]December - 2022'!CU33</f>
        <v>0</v>
      </c>
      <c r="CT33" s="89">
        <f>'[1]December - 2022'!CW33</f>
        <v>0</v>
      </c>
      <c r="CU33" s="191">
        <f>'[1]December - 2022'!CX33</f>
        <v>0</v>
      </c>
      <c r="CV33" s="454"/>
      <c r="CW33" s="256">
        <f>'[1]December - 2022'!CZ33</f>
        <v>0</v>
      </c>
      <c r="CX33" s="198">
        <f>'[1]December - 2022'!DA33</f>
        <v>0</v>
      </c>
      <c r="CY33" s="257">
        <f>'[1]December - 2022'!DB33</f>
        <v>0</v>
      </c>
      <c r="CZ33" s="198">
        <f>'[1]December - 2022'!DC33</f>
        <v>0</v>
      </c>
      <c r="DA33" s="257">
        <f>'[1]December - 2022'!DD33</f>
        <v>0</v>
      </c>
      <c r="DB33" s="198">
        <f>'[1]December - 2022'!DE33</f>
        <v>0</v>
      </c>
      <c r="DC33" s="257">
        <f>'[1]December - 2022'!DF33</f>
        <v>0</v>
      </c>
      <c r="DD33" s="198">
        <f>'[1]December - 2022'!DG33</f>
        <v>0</v>
      </c>
      <c r="DE33" s="257">
        <f>'[1]December - 2022'!DH33</f>
        <v>0</v>
      </c>
      <c r="DF33" s="198">
        <f>'[1]December - 2022'!DI33</f>
        <v>0</v>
      </c>
      <c r="DG33" s="257">
        <f>'[1]December - 2022'!DJ33</f>
        <v>0</v>
      </c>
      <c r="DH33" s="198">
        <f>'[1]December - 2022'!DK33</f>
        <v>0</v>
      </c>
      <c r="DI33" s="257">
        <f>'[1]December - 2022'!DL33</f>
        <v>0</v>
      </c>
      <c r="DJ33" s="198">
        <f>'[1]December - 2022'!DM33</f>
        <v>0</v>
      </c>
      <c r="DK33" s="257">
        <f>'[1]December - 2022'!DN33</f>
        <v>0</v>
      </c>
      <c r="DL33" s="198">
        <f>'[1]December - 2022'!DO33</f>
        <v>0</v>
      </c>
      <c r="DM33" s="257">
        <f>'[1]December - 2022'!DP33</f>
        <v>0</v>
      </c>
      <c r="DN33" s="198">
        <f>'[1]December - 2022'!DQ33</f>
        <v>0</v>
      </c>
      <c r="DO33" s="257">
        <f>'[1]December - 2022'!DR33</f>
        <v>0</v>
      </c>
      <c r="DP33" s="198">
        <f>'[1]December - 2022'!DS33</f>
        <v>0</v>
      </c>
      <c r="DQ33" s="257">
        <f>'[1]December - 2022'!DT33</f>
        <v>0</v>
      </c>
      <c r="DR33" s="206">
        <f>'[1]December - 2022'!DU33</f>
        <v>0</v>
      </c>
      <c r="DS33" s="439"/>
      <c r="DT33" s="210">
        <f>'[1]December - 2022'!DW33</f>
        <v>0</v>
      </c>
      <c r="DU33" s="221">
        <f>'[1]December - 2022'!DX33</f>
        <v>0</v>
      </c>
      <c r="DV33" s="91">
        <f>'[1]December - 2022'!DY33</f>
        <v>0</v>
      </c>
      <c r="DW33" s="215">
        <f>'[1]December - 2022'!DZ33</f>
        <v>0</v>
      </c>
      <c r="DX33" s="91">
        <f>'[1]December - 2022'!EA33</f>
        <v>0</v>
      </c>
      <c r="DY33" s="215">
        <f>'[1]December - 2022'!EB33</f>
        <v>0</v>
      </c>
      <c r="DZ33" s="91">
        <f>'[1]December - 2022'!EC33</f>
        <v>0</v>
      </c>
      <c r="EA33" s="215">
        <f>'[1]December - 2022'!ED33</f>
        <v>0</v>
      </c>
      <c r="EB33" s="91">
        <f>'[1]December - 2022'!EE33</f>
        <v>0</v>
      </c>
      <c r="EC33" s="215">
        <f>'[1]December - 2022'!EF33</f>
        <v>0</v>
      </c>
      <c r="ED33" s="91">
        <f>'[1]December - 2022'!EI33</f>
        <v>0</v>
      </c>
      <c r="EE33" s="229">
        <f>'[1]December - 2022'!EJ33</f>
        <v>0</v>
      </c>
      <c r="EF33" s="378"/>
      <c r="EG33" s="235">
        <f>'[1]December - 2022'!EL33</f>
        <v>0</v>
      </c>
      <c r="EH33" s="230">
        <f>'[1]December - 2022'!EM33</f>
        <v>0</v>
      </c>
      <c r="EI33" s="90">
        <f>'[1]December - 2022'!EN33</f>
        <v>0</v>
      </c>
      <c r="EJ33" s="230">
        <f>'[1]December - 2022'!EO33</f>
        <v>0</v>
      </c>
      <c r="EK33" s="90">
        <f>'[1]December - 2022'!EP33</f>
        <v>0</v>
      </c>
      <c r="EL33" s="230">
        <f>'[1]December - 2022'!EQ33</f>
        <v>0</v>
      </c>
      <c r="EM33" s="90">
        <f>'[1]December - 2022'!ER33</f>
        <v>0</v>
      </c>
      <c r="EN33" s="230">
        <f>'[1]December - 2022'!ES33</f>
        <v>0</v>
      </c>
      <c r="EO33" s="90">
        <f>'[1]December - 2022'!ET33</f>
        <v>0</v>
      </c>
      <c r="EP33" s="230">
        <f>'[1]December - 2022'!EU33</f>
        <v>0</v>
      </c>
      <c r="EQ33" s="90">
        <f>'[1]December - 2022'!EV33</f>
        <v>0</v>
      </c>
      <c r="ER33" s="230">
        <f>'[1]December - 2022'!EW33</f>
        <v>0</v>
      </c>
      <c r="ES33" s="426"/>
      <c r="ET33" s="281">
        <f>'[1]December - 2022'!EY33</f>
        <v>0</v>
      </c>
      <c r="EU33" s="275">
        <f>'[1]December - 2022'!EZ33</f>
        <v>0</v>
      </c>
      <c r="EV33" s="282">
        <f>'[1]December - 2022'!FA33</f>
        <v>0</v>
      </c>
      <c r="EW33" s="275">
        <f>'[1]December - 2022'!FB33</f>
        <v>0</v>
      </c>
      <c r="EX33" s="282">
        <f>'[1]December - 2022'!FC33</f>
        <v>0</v>
      </c>
      <c r="EY33" s="275">
        <f>'[1]December - 2022'!FD33</f>
        <v>0</v>
      </c>
      <c r="EZ33" s="282">
        <f>'[1]December - 2022'!FE33</f>
        <v>0</v>
      </c>
      <c r="FA33" s="275">
        <f>'[1]December - 2022'!FF33</f>
        <v>0</v>
      </c>
      <c r="FB33" s="282">
        <f>'[1]December - 2022'!FG33</f>
        <v>0</v>
      </c>
      <c r="FC33" s="276">
        <f>'[1]December - 2022'!FH33</f>
        <v>0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521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87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394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454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439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378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426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521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87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394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454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439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378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426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521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87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394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454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439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378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426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521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87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394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454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439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378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426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521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87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394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454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439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378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426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521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87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395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454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439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378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426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4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39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8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8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10438</v>
      </c>
      <c r="D44" s="549"/>
      <c r="E44" s="550"/>
      <c r="F44" s="551">
        <f>SUM(H9:H24)</f>
        <v>6583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1333.0399999999936</v>
      </c>
      <c r="P44" s="552"/>
      <c r="Q44" s="553"/>
      <c r="R44" s="557"/>
      <c r="S44" s="558"/>
      <c r="T44" s="526"/>
      <c r="U44" s="363">
        <f>SUM(W9:W24)</f>
        <v>35078.399999999441</v>
      </c>
      <c r="V44" s="364"/>
      <c r="W44" s="365"/>
      <c r="X44" s="363">
        <f>SUM(Z9:Z24)</f>
        <v>67818.240000000224</v>
      </c>
      <c r="Y44" s="364"/>
      <c r="Z44" s="365"/>
      <c r="AA44" s="363">
        <f>SUM(AC9:AC24)</f>
        <v>61143.599999999627</v>
      </c>
      <c r="AB44" s="364"/>
      <c r="AC44" s="365"/>
      <c r="AD44" s="363">
        <f>SUM(AF9:AF24)</f>
        <v>82044.480000000447</v>
      </c>
      <c r="AE44" s="364"/>
      <c r="AF44" s="365"/>
      <c r="AG44" s="363">
        <f>SUM(AI9:AI24)</f>
        <v>29426.879999998957</v>
      </c>
      <c r="AH44" s="364"/>
      <c r="AI44" s="365"/>
      <c r="AJ44" s="363">
        <f>SUM(AL9:AL24)</f>
        <v>85308.719999998808</v>
      </c>
      <c r="AK44" s="364"/>
      <c r="AL44" s="365"/>
      <c r="AM44" s="363">
        <f>SUM(AO9:AO24)</f>
        <v>64115.519999999553</v>
      </c>
      <c r="AN44" s="364"/>
      <c r="AO44" s="365"/>
      <c r="AP44" s="363">
        <f>SUM(AR9:AR24)</f>
        <v>67915.680000001565</v>
      </c>
      <c r="AQ44" s="364"/>
      <c r="AR44" s="365"/>
      <c r="AS44" s="363">
        <f>SUM(AU9:AU24)</f>
        <v>47063.519999999553</v>
      </c>
      <c r="AT44" s="364"/>
      <c r="AU44" s="365"/>
      <c r="AV44" s="363">
        <f>SUM(AX9:AX24)</f>
        <v>86088.239999998361</v>
      </c>
      <c r="AW44" s="364"/>
      <c r="AX44" s="364"/>
      <c r="AY44" s="585"/>
      <c r="AZ44" s="364">
        <f>SUM(BB9:BB24)</f>
        <v>292100</v>
      </c>
      <c r="BA44" s="364"/>
      <c r="BB44" s="364"/>
      <c r="BC44" s="363">
        <f>SUM(BE9:BE24)</f>
        <v>430900</v>
      </c>
      <c r="BD44" s="364"/>
      <c r="BE44" s="364"/>
      <c r="BF44" s="358">
        <f>SUM(BH9:BH24)</f>
        <v>133400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1071</v>
      </c>
      <c r="CL44" s="358"/>
      <c r="CM44" s="358"/>
      <c r="CN44" s="358">
        <f>SUM(CP9:CP24)</f>
        <v>1550</v>
      </c>
      <c r="CO44" s="358"/>
      <c r="CP44" s="358"/>
      <c r="CQ44" s="358">
        <f>SUM(CS9:CS24)</f>
        <v>3066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10259</v>
      </c>
      <c r="D45" s="360"/>
      <c r="E45" s="361"/>
      <c r="F45" s="360">
        <f>SUM(G9:G24)</f>
        <v>6238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1617</v>
      </c>
      <c r="P45" s="360"/>
      <c r="Q45" s="361"/>
      <c r="R45" s="366"/>
      <c r="S45" s="367"/>
      <c r="T45" s="527"/>
      <c r="U45" s="351">
        <f>SUM(V9:V24)</f>
        <v>35078.399999999441</v>
      </c>
      <c r="V45" s="351"/>
      <c r="W45" s="352"/>
      <c r="X45" s="351">
        <f>SUM(Y9:Y24)</f>
        <v>67818.240000000224</v>
      </c>
      <c r="Y45" s="351"/>
      <c r="Z45" s="352"/>
      <c r="AA45" s="351">
        <f>SUM(AB9:AB24)</f>
        <v>61143.599999999627</v>
      </c>
      <c r="AB45" s="351"/>
      <c r="AC45" s="352"/>
      <c r="AD45" s="351">
        <f>SUM(AE9:AE24)</f>
        <v>82044.480000000447</v>
      </c>
      <c r="AE45" s="351"/>
      <c r="AF45" s="352"/>
      <c r="AG45" s="351">
        <f>SUM(AH9:AH24)</f>
        <v>29426.879999998957</v>
      </c>
      <c r="AH45" s="351"/>
      <c r="AI45" s="352"/>
      <c r="AJ45" s="351">
        <f>SUM(AK9:AK24)</f>
        <v>85308.719999998808</v>
      </c>
      <c r="AK45" s="351"/>
      <c r="AL45" s="352"/>
      <c r="AM45" s="351">
        <f>SUM(AN9:AN24)</f>
        <v>64115.519999999553</v>
      </c>
      <c r="AN45" s="351"/>
      <c r="AO45" s="352"/>
      <c r="AP45" s="351">
        <f>SUM(AQ9:AQ24)</f>
        <v>67915.680000001565</v>
      </c>
      <c r="AQ45" s="351"/>
      <c r="AR45" s="352"/>
      <c r="AS45" s="351">
        <f>SUM(AT9:AT24)</f>
        <v>47063.519999999553</v>
      </c>
      <c r="AT45" s="351"/>
      <c r="AU45" s="352"/>
      <c r="AV45" s="351">
        <f>SUM(AW9:AW24)</f>
        <v>86088.239999998361</v>
      </c>
      <c r="AW45" s="351"/>
      <c r="AX45" s="351"/>
      <c r="AY45" s="585"/>
      <c r="AZ45" s="352">
        <f>SUM(BA9:BA24)</f>
        <v>292100</v>
      </c>
      <c r="BA45" s="358"/>
      <c r="BB45" s="358"/>
      <c r="BC45" s="358">
        <f>SUM(BD9:BD24)</f>
        <v>430900</v>
      </c>
      <c r="BD45" s="358"/>
      <c r="BE45" s="358"/>
      <c r="BF45" s="358">
        <f>SUM(BG9:BG24)</f>
        <v>133400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1071</v>
      </c>
      <c r="CL45" s="358"/>
      <c r="CM45" s="358"/>
      <c r="CN45" s="358">
        <f>SUM(CO9:CO24)</f>
        <v>1550</v>
      </c>
      <c r="CO45" s="358"/>
      <c r="CP45" s="358"/>
      <c r="CQ45" s="358">
        <f>SUM(CR9:CR24)</f>
        <v>3066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21843</v>
      </c>
      <c r="D47" s="577"/>
      <c r="E47" s="578"/>
      <c r="F47" s="576">
        <f>SUM(H9:H39)</f>
        <v>13803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2668.2599999999948</v>
      </c>
      <c r="P47" s="579"/>
      <c r="Q47" s="579"/>
      <c r="R47" s="576">
        <v>476</v>
      </c>
      <c r="S47" s="577"/>
      <c r="T47" s="586"/>
      <c r="U47" s="350">
        <f>SUM(W9:W39)</f>
        <v>-8125472.8800000008</v>
      </c>
      <c r="V47" s="351"/>
      <c r="W47" s="352"/>
      <c r="X47" s="350">
        <f>SUM(Z9:Z39)</f>
        <v>-15438880.799999999</v>
      </c>
      <c r="Y47" s="351"/>
      <c r="Z47" s="352"/>
      <c r="AA47" s="350">
        <f>SUM(AC9:AC39)</f>
        <v>-15753173.52</v>
      </c>
      <c r="AB47" s="351"/>
      <c r="AC47" s="352"/>
      <c r="AD47" s="350">
        <f>SUM(AF9:AF39)</f>
        <v>-18820730.879999999</v>
      </c>
      <c r="AE47" s="351"/>
      <c r="AF47" s="352"/>
      <c r="AG47" s="350">
        <f>SUM(AI9:AI39)</f>
        <v>-19140870</v>
      </c>
      <c r="AH47" s="351"/>
      <c r="AI47" s="352"/>
      <c r="AJ47" s="350">
        <f>SUM(AL9:AL39)</f>
        <v>-17520394.080000002</v>
      </c>
      <c r="AK47" s="351"/>
      <c r="AL47" s="352"/>
      <c r="AM47" s="350">
        <f>SUM(AO9:AO39)</f>
        <v>-14752513.439999999</v>
      </c>
      <c r="AN47" s="351"/>
      <c r="AO47" s="352"/>
      <c r="AP47" s="350">
        <f>SUM(AR9:AR39)</f>
        <v>-14272426.559999999</v>
      </c>
      <c r="AQ47" s="351"/>
      <c r="AR47" s="352"/>
      <c r="AS47" s="350">
        <f>SUM(AU9:AU39)</f>
        <v>-11154687.6</v>
      </c>
      <c r="AT47" s="351"/>
      <c r="AU47" s="352"/>
      <c r="AV47" s="350">
        <f>SUM(AX9:AX39)</f>
        <v>-17655543.359999999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-267458</v>
      </c>
      <c r="CL47" s="351"/>
      <c r="CM47" s="352"/>
      <c r="CN47" s="350">
        <f>SUM(CP9:CP39)</f>
        <v>-214182</v>
      </c>
      <c r="CO47" s="351"/>
      <c r="CP47" s="352"/>
      <c r="CQ47" s="350">
        <f>SUM(CS9:CS39)</f>
        <v>-353835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-205274</v>
      </c>
      <c r="D48" s="577"/>
      <c r="E48" s="578"/>
      <c r="F48" s="576">
        <f>SUM(G9:G39)</f>
        <v>-237720</v>
      </c>
      <c r="G48" s="577"/>
      <c r="H48" s="578"/>
      <c r="I48" s="576">
        <f>SUM(J10:J39)</f>
        <v>-6008</v>
      </c>
      <c r="J48" s="578"/>
      <c r="K48" s="576">
        <f>SUM(L9:L39)</f>
        <v>-918944</v>
      </c>
      <c r="L48" s="578"/>
      <c r="M48" s="576"/>
      <c r="N48" s="578"/>
      <c r="O48" s="576">
        <f>SUM(P9:P39)</f>
        <v>-115205</v>
      </c>
      <c r="P48" s="577"/>
      <c r="Q48" s="578"/>
      <c r="R48" s="576">
        <f>SUM(S9:S39)</f>
        <v>-6237</v>
      </c>
      <c r="S48" s="577"/>
      <c r="T48" s="586"/>
      <c r="U48" s="587">
        <f>SUM(V9:V39)</f>
        <v>-8125472.8800000008</v>
      </c>
      <c r="V48" s="588"/>
      <c r="W48" s="589"/>
      <c r="X48" s="587">
        <f>SUM(Y9:Y39)</f>
        <v>-15438880.799999999</v>
      </c>
      <c r="Y48" s="588"/>
      <c r="Z48" s="589"/>
      <c r="AA48" s="340">
        <f>SUM(AB9:AB39)</f>
        <v>-15753173.52</v>
      </c>
      <c r="AB48" s="341"/>
      <c r="AC48" s="342"/>
      <c r="AD48" s="340">
        <f>SUM(AE9:AE39)</f>
        <v>-18820730.879999999</v>
      </c>
      <c r="AE48" s="341"/>
      <c r="AF48" s="342"/>
      <c r="AG48" s="340">
        <f>SUM(AH9:AH39)</f>
        <v>-19140870</v>
      </c>
      <c r="AH48" s="341"/>
      <c r="AI48" s="342"/>
      <c r="AJ48" s="340">
        <f>SUM(AK9:AK39)</f>
        <v>-17520394.080000002</v>
      </c>
      <c r="AK48" s="341"/>
      <c r="AL48" s="342"/>
      <c r="AM48" s="340">
        <f>SUM(AN9:AN39)</f>
        <v>-14752513.439999999</v>
      </c>
      <c r="AN48" s="341"/>
      <c r="AO48" s="342"/>
      <c r="AP48" s="340">
        <f>SUM(AQ9:AQ39)</f>
        <v>-14272426.559999999</v>
      </c>
      <c r="AQ48" s="341"/>
      <c r="AR48" s="342"/>
      <c r="AS48" s="340">
        <f>SUM(AT9:AT39)</f>
        <v>-11154687.6</v>
      </c>
      <c r="AT48" s="341"/>
      <c r="AU48" s="342"/>
      <c r="AV48" s="340">
        <f>SUM(AW9:AW39)</f>
        <v>-17655543.359999999</v>
      </c>
      <c r="AW48" s="341"/>
      <c r="AX48" s="341"/>
      <c r="AY48" s="585"/>
      <c r="AZ48" s="336">
        <f>SUM(BA9:BA40)</f>
        <v>-77840000</v>
      </c>
      <c r="BA48" s="336"/>
      <c r="BB48" s="337"/>
      <c r="BC48" s="336">
        <f t="shared" ref="BC48" si="0">SUM(BD9:BD40)</f>
        <v>-80452400</v>
      </c>
      <c r="BD48" s="336"/>
      <c r="BE48" s="337"/>
      <c r="BF48" s="336">
        <f t="shared" ref="BF48" si="1">SUM(BG9:BG40)</f>
        <v>-74637500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-10171610</v>
      </c>
      <c r="BT48" s="343"/>
      <c r="BU48" s="566"/>
      <c r="BV48" s="353"/>
      <c r="BW48" s="354"/>
      <c r="BX48" s="117"/>
      <c r="BY48" s="348">
        <f>SUM(BZ9:BZ39)</f>
        <v>-64169</v>
      </c>
      <c r="BZ48" s="349"/>
      <c r="CA48" s="348">
        <f>SUM(CB9:CB39)</f>
        <v>-55264</v>
      </c>
      <c r="CB48" s="349"/>
      <c r="CC48" s="348">
        <f>SUM(CD9:CD39)</f>
        <v>-18695</v>
      </c>
      <c r="CD48" s="349"/>
      <c r="CE48" s="348">
        <f>SUM(CF9:CF39)</f>
        <v>-25508</v>
      </c>
      <c r="CF48" s="349"/>
      <c r="CG48" s="348">
        <f>SUM(CH9:CH39)</f>
        <v>-28364</v>
      </c>
      <c r="CH48" s="349"/>
      <c r="CI48" s="348">
        <f>SUM(CJ9:CJ39)</f>
        <v>-62228</v>
      </c>
      <c r="CJ48" s="349"/>
      <c r="CK48" s="348">
        <f>SUM(CL9:CL39)</f>
        <v>-267458</v>
      </c>
      <c r="CL48" s="355"/>
      <c r="CM48" s="349"/>
      <c r="CN48" s="348">
        <f>SUM(CO9:CO39)</f>
        <v>-214182</v>
      </c>
      <c r="CO48" s="355"/>
      <c r="CP48" s="349"/>
      <c r="CQ48" s="348">
        <f>SUM(CR9:CR39)</f>
        <v>-353835</v>
      </c>
      <c r="CR48" s="355"/>
      <c r="CS48" s="349"/>
      <c r="CT48" s="348">
        <f>SUM(CU9:CU39)</f>
        <v>-693437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227117</v>
      </c>
      <c r="D49" s="304"/>
      <c r="E49" s="305"/>
      <c r="F49" s="303">
        <f>F47-F48</f>
        <v>251523</v>
      </c>
      <c r="G49" s="304"/>
      <c r="H49" s="305"/>
      <c r="I49" s="303">
        <f>I47-I48</f>
        <v>13056.9</v>
      </c>
      <c r="J49" s="305"/>
      <c r="K49" s="303">
        <f>K47-K48</f>
        <v>926646.2</v>
      </c>
      <c r="L49" s="305"/>
      <c r="M49" s="303"/>
      <c r="N49" s="305"/>
      <c r="O49" s="590">
        <f>O47-O48</f>
        <v>117873.26</v>
      </c>
      <c r="P49" s="590"/>
      <c r="Q49" s="590"/>
      <c r="R49" s="303">
        <f>R47-R48</f>
        <v>6713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-78187300</v>
      </c>
      <c r="BA49" s="336"/>
      <c r="BB49" s="337"/>
      <c r="BC49" s="336">
        <f t="shared" ref="BC49" si="2">BC48-BC47</f>
        <v>-80813500</v>
      </c>
      <c r="BD49" s="336"/>
      <c r="BE49" s="337"/>
      <c r="BF49" s="336">
        <f t="shared" ref="BF49" si="3">BF48-BF47</f>
        <v>-75196342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697331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-152634693.12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-152634693.12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626003.27999999654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626003.27999999654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-232929900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2022-12-18T13:02:16Z</dcterms:modified>
</cp:coreProperties>
</file>