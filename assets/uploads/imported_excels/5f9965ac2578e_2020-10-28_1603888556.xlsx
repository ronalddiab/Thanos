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S-OFFICE\HEP\doc\"/>
    </mc:Choice>
  </mc:AlternateContent>
  <bookViews>
    <workbookView xWindow="0" yWindow="0" windowWidth="20490" windowHeight="775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6" i="1" l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<sst xmlns="http://schemas.openxmlformats.org/spreadsheetml/2006/main" count="60" uniqueCount="56">
  <si>
    <t>Orlando</t>
  </si>
  <si>
    <t>Site Name</t>
  </si>
  <si>
    <t>Day</t>
  </si>
  <si>
    <t>Month</t>
  </si>
  <si>
    <t>Year</t>
  </si>
  <si>
    <t>Room Nights</t>
  </si>
  <si>
    <t>Total Guests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</si>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</sst>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10-21-20%20FS%20Orlando_HEP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Orlando Dai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7">
          <cell r="D17">
            <v>1.536</v>
          </cell>
          <cell r="E17">
            <v>23360</v>
          </cell>
          <cell r="H17">
            <v>1.7829999999999999</v>
          </cell>
          <cell r="I17">
            <v>24000</v>
          </cell>
          <cell r="L17">
            <v>1.1499999999999999</v>
          </cell>
          <cell r="M17">
            <v>5600</v>
          </cell>
          <cell r="P17">
            <v>1.23</v>
          </cell>
          <cell r="Q17">
            <v>6000</v>
          </cell>
          <cell r="T17">
            <v>0.111</v>
          </cell>
          <cell r="U17">
            <v>5200</v>
          </cell>
          <cell r="X17">
            <v>1.4510000000000001</v>
          </cell>
          <cell r="Y17">
            <v>41100</v>
          </cell>
          <cell r="AB17">
            <v>1.645</v>
          </cell>
          <cell r="AC17">
            <v>28200</v>
          </cell>
          <cell r="AF17">
            <v>0.21199999999999999</v>
          </cell>
          <cell r="AG17">
            <v>3520</v>
          </cell>
          <cell r="AJ17">
            <v>0.10199999999999999</v>
          </cell>
          <cell r="AK17">
            <v>1120</v>
          </cell>
          <cell r="AN17">
            <v>1.7</v>
          </cell>
          <cell r="AO17">
            <v>25000</v>
          </cell>
          <cell r="AR17">
            <v>0.30099999999999999</v>
          </cell>
          <cell r="AS17">
            <v>1240</v>
          </cell>
          <cell r="AW17">
            <v>280</v>
          </cell>
          <cell r="BG17">
            <v>7600</v>
          </cell>
          <cell r="BJ17">
            <v>1700</v>
          </cell>
          <cell r="BM17">
            <v>344</v>
          </cell>
          <cell r="BP17">
            <v>3680</v>
          </cell>
        </row>
        <row r="18">
          <cell r="D18">
            <v>1.536</v>
          </cell>
          <cell r="E18">
            <v>6240</v>
          </cell>
          <cell r="H18">
            <v>1.7829999999999999</v>
          </cell>
          <cell r="I18">
            <v>6560</v>
          </cell>
          <cell r="L18">
            <v>1.1499999999999999</v>
          </cell>
          <cell r="M18">
            <v>1600</v>
          </cell>
          <cell r="P18">
            <v>1.23</v>
          </cell>
          <cell r="Q18">
            <v>1600</v>
          </cell>
          <cell r="T18">
            <v>0.111</v>
          </cell>
          <cell r="U18">
            <v>1600</v>
          </cell>
          <cell r="X18">
            <v>1.4510000000000001</v>
          </cell>
          <cell r="Y18">
            <v>12600</v>
          </cell>
          <cell r="AB18">
            <v>1.645</v>
          </cell>
          <cell r="AC18">
            <v>6900</v>
          </cell>
          <cell r="AF18">
            <v>0.21199999999999999</v>
          </cell>
          <cell r="AG18">
            <v>960</v>
          </cell>
          <cell r="AJ18">
            <v>0.10199999999999999</v>
          </cell>
          <cell r="AK18">
            <v>320</v>
          </cell>
          <cell r="AN18">
            <v>1.7</v>
          </cell>
          <cell r="AO18">
            <v>6400</v>
          </cell>
          <cell r="AR18">
            <v>0.30099999999999999</v>
          </cell>
          <cell r="AS18">
            <v>360</v>
          </cell>
          <cell r="AW18">
            <v>72</v>
          </cell>
          <cell r="BG18">
            <v>2200</v>
          </cell>
          <cell r="BJ18">
            <v>500</v>
          </cell>
          <cell r="BM18">
            <v>91</v>
          </cell>
          <cell r="BP18">
            <v>1840</v>
          </cell>
        </row>
        <row r="19">
          <cell r="D19">
            <v>1.536</v>
          </cell>
          <cell r="E19">
            <v>9920</v>
          </cell>
          <cell r="H19">
            <v>1.7829999999999999</v>
          </cell>
          <cell r="I19">
            <v>15680</v>
          </cell>
          <cell r="L19">
            <v>1.6</v>
          </cell>
          <cell r="M19">
            <v>3600</v>
          </cell>
          <cell r="P19">
            <v>1.3</v>
          </cell>
          <cell r="Q19">
            <v>4000</v>
          </cell>
          <cell r="T19">
            <v>1.46</v>
          </cell>
          <cell r="U19">
            <v>3200</v>
          </cell>
          <cell r="X19">
            <v>1.4510000000000001</v>
          </cell>
          <cell r="Y19">
            <v>21900</v>
          </cell>
          <cell r="AB19">
            <v>1.645</v>
          </cell>
          <cell r="AC19">
            <v>18000</v>
          </cell>
          <cell r="AF19">
            <v>0.21199999999999999</v>
          </cell>
          <cell r="AG19">
            <v>2400</v>
          </cell>
          <cell r="AJ19">
            <v>0.10199999999999999</v>
          </cell>
          <cell r="AK19">
            <v>640</v>
          </cell>
          <cell r="AN19">
            <v>1.7</v>
          </cell>
          <cell r="AO19">
            <v>16000</v>
          </cell>
          <cell r="AR19">
            <v>0.30099999999999999</v>
          </cell>
          <cell r="AS19">
            <v>840</v>
          </cell>
          <cell r="AW19">
            <v>175</v>
          </cell>
          <cell r="BG19">
            <v>4900</v>
          </cell>
          <cell r="BJ19">
            <v>1200</v>
          </cell>
          <cell r="BM19">
            <v>217</v>
          </cell>
          <cell r="BP19">
            <v>3000</v>
          </cell>
        </row>
        <row r="20">
          <cell r="D20">
            <v>1.536</v>
          </cell>
          <cell r="E20">
            <v>24960</v>
          </cell>
          <cell r="H20">
            <v>1.7829999999999999</v>
          </cell>
          <cell r="I20">
            <v>22400</v>
          </cell>
          <cell r="L20">
            <v>1.6</v>
          </cell>
          <cell r="M20">
            <v>4800</v>
          </cell>
          <cell r="P20">
            <v>1.3</v>
          </cell>
          <cell r="Q20">
            <v>5200</v>
          </cell>
          <cell r="T20">
            <v>1.46</v>
          </cell>
          <cell r="U20">
            <v>4400</v>
          </cell>
          <cell r="X20">
            <v>1.4510000000000001</v>
          </cell>
          <cell r="Y20">
            <v>39000</v>
          </cell>
          <cell r="AB20">
            <v>1.645</v>
          </cell>
          <cell r="AC20">
            <v>17100</v>
          </cell>
          <cell r="AF20">
            <v>0.21199999999999999</v>
          </cell>
          <cell r="AG20">
            <v>3040</v>
          </cell>
          <cell r="AJ20">
            <v>0.10199999999999999</v>
          </cell>
          <cell r="AK20">
            <v>640</v>
          </cell>
          <cell r="AN20">
            <v>1.7</v>
          </cell>
          <cell r="AO20">
            <v>22600</v>
          </cell>
          <cell r="AR20">
            <v>0.30099999999999999</v>
          </cell>
          <cell r="AS20">
            <v>1120</v>
          </cell>
          <cell r="AW20">
            <v>230</v>
          </cell>
          <cell r="BG20">
            <v>6700</v>
          </cell>
          <cell r="BJ20">
            <v>1700</v>
          </cell>
          <cell r="BM20">
            <v>220</v>
          </cell>
          <cell r="BP20">
            <v>5040</v>
          </cell>
        </row>
        <row r="21">
          <cell r="D21">
            <v>1.536</v>
          </cell>
          <cell r="E21">
            <v>19680</v>
          </cell>
          <cell r="H21">
            <v>1.7829999999999999</v>
          </cell>
          <cell r="I21">
            <v>22560</v>
          </cell>
          <cell r="L21">
            <v>1.6</v>
          </cell>
          <cell r="M21">
            <v>5200</v>
          </cell>
          <cell r="P21">
            <v>1.3</v>
          </cell>
          <cell r="Q21">
            <v>5200</v>
          </cell>
          <cell r="T21">
            <v>1.46</v>
          </cell>
          <cell r="U21">
            <v>4800</v>
          </cell>
          <cell r="X21">
            <v>1.4510000000000001</v>
          </cell>
          <cell r="Y21">
            <v>38400</v>
          </cell>
          <cell r="AB21">
            <v>1.645</v>
          </cell>
          <cell r="AC21">
            <v>28500</v>
          </cell>
          <cell r="AF21">
            <v>0.21199999999999999</v>
          </cell>
          <cell r="AG21">
            <v>2880</v>
          </cell>
          <cell r="AJ21">
            <v>0.10199999999999999</v>
          </cell>
          <cell r="AK21">
            <v>640</v>
          </cell>
          <cell r="AN21">
            <v>1.7</v>
          </cell>
          <cell r="AO21">
            <v>23200</v>
          </cell>
          <cell r="AR21">
            <v>0.30099999999999999</v>
          </cell>
          <cell r="AS21">
            <v>1200</v>
          </cell>
          <cell r="AW21">
            <v>241</v>
          </cell>
          <cell r="BG21">
            <v>8900</v>
          </cell>
          <cell r="BJ21">
            <v>1900</v>
          </cell>
          <cell r="BM21">
            <v>260</v>
          </cell>
          <cell r="BP21">
            <v>1200</v>
          </cell>
        </row>
      </sheetData>
      <sheetData sheetId="9">
        <row r="17">
          <cell r="E17">
            <v>510700</v>
          </cell>
          <cell r="H17">
            <v>230130</v>
          </cell>
          <cell r="K17">
            <v>540</v>
          </cell>
          <cell r="N17">
            <v>275000</v>
          </cell>
          <cell r="Q17">
            <v>0</v>
          </cell>
          <cell r="U17">
            <v>58200</v>
          </cell>
          <cell r="X17">
            <v>239900</v>
          </cell>
          <cell r="AB17">
            <v>1500000</v>
          </cell>
          <cell r="AD17">
            <v>339441</v>
          </cell>
          <cell r="AF17">
            <v>120</v>
          </cell>
          <cell r="AH17">
            <v>165540</v>
          </cell>
          <cell r="AJ17">
            <v>21415</v>
          </cell>
          <cell r="AL17">
            <v>4000</v>
          </cell>
          <cell r="AN17">
            <v>0</v>
          </cell>
          <cell r="AP17">
            <v>500</v>
          </cell>
          <cell r="AT17">
            <v>110</v>
          </cell>
          <cell r="AW17">
            <v>63596</v>
          </cell>
          <cell r="AY17">
            <v>60689.66</v>
          </cell>
          <cell r="AZ17">
            <v>2906.3399999999965</v>
          </cell>
          <cell r="BB17">
            <v>900</v>
          </cell>
          <cell r="BD17">
            <v>300</v>
          </cell>
          <cell r="BF17">
            <v>318563</v>
          </cell>
        </row>
        <row r="18">
          <cell r="E18">
            <v>173390</v>
          </cell>
          <cell r="H18">
            <v>94320</v>
          </cell>
          <cell r="K18">
            <v>150</v>
          </cell>
          <cell r="N18">
            <v>104000</v>
          </cell>
          <cell r="Q18">
            <v>0</v>
          </cell>
          <cell r="U18">
            <v>12600</v>
          </cell>
          <cell r="X18">
            <v>3100</v>
          </cell>
          <cell r="AB18">
            <v>670000</v>
          </cell>
          <cell r="AD18">
            <v>55843.5</v>
          </cell>
          <cell r="AF18">
            <v>20</v>
          </cell>
          <cell r="AH18">
            <v>27700</v>
          </cell>
          <cell r="AJ18">
            <v>6579</v>
          </cell>
          <cell r="AL18">
            <v>0</v>
          </cell>
          <cell r="AN18">
            <v>0</v>
          </cell>
          <cell r="AP18">
            <v>0</v>
          </cell>
          <cell r="AT18">
            <v>4</v>
          </cell>
          <cell r="AW18">
            <v>18950</v>
          </cell>
          <cell r="AY18">
            <v>17612.490000000002</v>
          </cell>
          <cell r="AZ18">
            <v>1337.5099999999984</v>
          </cell>
          <cell r="BB18">
            <v>1000</v>
          </cell>
          <cell r="BD18">
            <v>0</v>
          </cell>
          <cell r="BF18">
            <v>162623</v>
          </cell>
        </row>
        <row r="19">
          <cell r="E19">
            <v>317380</v>
          </cell>
          <cell r="H19">
            <v>139080</v>
          </cell>
          <cell r="K19">
            <v>140</v>
          </cell>
          <cell r="N19">
            <v>134000</v>
          </cell>
          <cell r="Q19">
            <v>0</v>
          </cell>
          <cell r="U19">
            <v>33400</v>
          </cell>
          <cell r="X19">
            <v>6800</v>
          </cell>
          <cell r="AB19">
            <v>660000</v>
          </cell>
          <cell r="AD19">
            <v>136345</v>
          </cell>
          <cell r="AF19">
            <v>440</v>
          </cell>
          <cell r="AH19">
            <v>105240</v>
          </cell>
          <cell r="AJ19">
            <v>16272</v>
          </cell>
          <cell r="AL19">
            <v>3000</v>
          </cell>
          <cell r="AN19">
            <v>0</v>
          </cell>
          <cell r="AP19">
            <v>0</v>
          </cell>
          <cell r="AT19">
            <v>12</v>
          </cell>
          <cell r="AW19">
            <v>45788</v>
          </cell>
          <cell r="AY19">
            <v>43884.46</v>
          </cell>
          <cell r="AZ19">
            <v>1903.5400000000009</v>
          </cell>
          <cell r="BB19">
            <v>2600</v>
          </cell>
          <cell r="BD19">
            <v>300</v>
          </cell>
          <cell r="BF19">
            <v>260132</v>
          </cell>
        </row>
        <row r="20">
          <cell r="E20">
            <v>363700</v>
          </cell>
          <cell r="H20">
            <v>204350</v>
          </cell>
          <cell r="K20">
            <v>0</v>
          </cell>
          <cell r="N20">
            <v>228000</v>
          </cell>
          <cell r="Q20">
            <v>0</v>
          </cell>
          <cell r="U20">
            <v>41300</v>
          </cell>
          <cell r="X20">
            <v>8100</v>
          </cell>
          <cell r="AB20">
            <v>1310000</v>
          </cell>
          <cell r="AD20">
            <v>266500</v>
          </cell>
          <cell r="AF20">
            <v>80</v>
          </cell>
          <cell r="AH20">
            <v>37970</v>
          </cell>
          <cell r="AJ20">
            <v>21029</v>
          </cell>
          <cell r="AL20">
            <v>7000</v>
          </cell>
          <cell r="AN20">
            <v>0</v>
          </cell>
          <cell r="AP20">
            <v>100</v>
          </cell>
          <cell r="AT20">
            <v>18</v>
          </cell>
          <cell r="AW20">
            <v>64248</v>
          </cell>
          <cell r="AY20">
            <v>60812.25</v>
          </cell>
          <cell r="AZ20">
            <v>3435.75</v>
          </cell>
          <cell r="BB20">
            <v>1300</v>
          </cell>
          <cell r="BD20">
            <v>300</v>
          </cell>
          <cell r="BF20">
            <v>307465</v>
          </cell>
        </row>
        <row r="21">
          <cell r="E21">
            <v>349740</v>
          </cell>
          <cell r="H21">
            <v>154790</v>
          </cell>
          <cell r="K21">
            <v>0</v>
          </cell>
          <cell r="N21">
            <v>248000</v>
          </cell>
          <cell r="Q21">
            <v>0</v>
          </cell>
          <cell r="U21">
            <v>38600</v>
          </cell>
          <cell r="X21">
            <v>6000</v>
          </cell>
          <cell r="AB21">
            <v>1430000</v>
          </cell>
          <cell r="AD21">
            <v>313930.40000000002</v>
          </cell>
          <cell r="AF21">
            <v>440</v>
          </cell>
          <cell r="AH21">
            <v>19730</v>
          </cell>
          <cell r="AJ21">
            <v>21278</v>
          </cell>
          <cell r="AL21">
            <v>1000</v>
          </cell>
          <cell r="AN21">
            <v>0</v>
          </cell>
          <cell r="AP21">
            <v>0</v>
          </cell>
          <cell r="AT21">
            <v>28</v>
          </cell>
          <cell r="AW21">
            <v>72361</v>
          </cell>
          <cell r="AY21">
            <v>68969.02</v>
          </cell>
          <cell r="AZ21">
            <v>3391.9799999999959</v>
          </cell>
          <cell r="BB21">
            <v>0</v>
          </cell>
          <cell r="BD21">
            <v>1200</v>
          </cell>
          <cell r="BF21">
            <v>231022</v>
          </cell>
        </row>
      </sheetData>
      <sheetData sheetId="10">
        <row r="21">
          <cell r="EI21">
            <v>0</v>
          </cell>
          <cell r="EJ21">
            <v>0</v>
          </cell>
        </row>
        <row r="22">
          <cell r="EI22">
            <v>0</v>
          </cell>
          <cell r="EJ22">
            <v>0</v>
          </cell>
        </row>
        <row r="23">
          <cell r="EI23">
            <v>0</v>
          </cell>
          <cell r="EJ23">
            <v>0</v>
          </cell>
        </row>
        <row r="24">
          <cell r="EI24">
            <v>0</v>
          </cell>
          <cell r="EJ24">
            <v>0</v>
          </cell>
        </row>
        <row r="25">
          <cell r="EI25">
            <v>0</v>
          </cell>
          <cell r="EJ2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"/>
  <sheetViews>
    <sheetView tabSelected="1" workbookViewId="0">
      <selection activeCell="B4" sqref="B4"/>
    </sheetView>
  </sheetViews>
  <sheetFormatPr defaultRowHeight="15" x14ac:dyDescent="0.25"/>
  <sheetData>
    <row r="1" spans="1:56" s="1" customFormat="1" ht="120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1" t="s">
        <v>39</v>
      </c>
      <c r="AN1" s="11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1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2"/>
    </row>
    <row r="2" spans="1:56" x14ac:dyDescent="0.25">
      <c r="A2" s="1" t="s">
        <v>0</v>
      </c>
      <c r="B2" s="2">
        <v>1</v>
      </c>
      <c r="C2" s="2">
        <v>4</v>
      </c>
      <c r="D2" s="2">
        <v>2020</v>
      </c>
      <c r="E2" s="3">
        <f>'[1]Orlando Daily'!EI21</f>
        <v>0</v>
      </c>
      <c r="F2" s="3">
        <f>'[1]Orlando Daily'!EJ21</f>
        <v>0</v>
      </c>
      <c r="G2" s="4">
        <f>[1]Elect!AW17</f>
        <v>280</v>
      </c>
      <c r="H2" s="4">
        <f>[1]Elect!I17</f>
        <v>24000</v>
      </c>
      <c r="I2" s="4">
        <f>[1]Elect!H17</f>
        <v>1.7829999999999999</v>
      </c>
      <c r="J2" s="4">
        <f>[1]Elect!E17</f>
        <v>23360</v>
      </c>
      <c r="K2" s="4">
        <f>[1]Elect!D17</f>
        <v>1.536</v>
      </c>
      <c r="L2" s="4">
        <f>[1]Elect!Y17</f>
        <v>41100</v>
      </c>
      <c r="M2" s="4">
        <f>[1]Elect!X17</f>
        <v>1.4510000000000001</v>
      </c>
      <c r="N2" s="4">
        <f>[1]Elect!AS17</f>
        <v>1240</v>
      </c>
      <c r="O2" s="4">
        <f>[1]Elect!AR17</f>
        <v>0.30099999999999999</v>
      </c>
      <c r="P2" s="4">
        <f>[1]Elect!AC17</f>
        <v>28200</v>
      </c>
      <c r="Q2" s="4">
        <f>[1]Elect!AB17</f>
        <v>1.645</v>
      </c>
      <c r="R2" s="4">
        <f>[1]Elect!Q17</f>
        <v>6000</v>
      </c>
      <c r="S2" s="4">
        <f>[1]Elect!P17</f>
        <v>1.23</v>
      </c>
      <c r="T2" s="4">
        <f>[1]Elect!M17</f>
        <v>5600</v>
      </c>
      <c r="U2" s="4">
        <f>[1]Elect!L17</f>
        <v>1.1499999999999999</v>
      </c>
      <c r="V2" s="4">
        <f>[1]Elect!U17</f>
        <v>5200</v>
      </c>
      <c r="W2" s="4">
        <f>[1]Elect!T17</f>
        <v>0.111</v>
      </c>
      <c r="X2" s="4">
        <f>[1]Elect!AG17</f>
        <v>3520</v>
      </c>
      <c r="Y2" s="4">
        <f>[1]Elect!AF17</f>
        <v>0.21199999999999999</v>
      </c>
      <c r="Z2" s="4">
        <f>[1]Elect!AK17</f>
        <v>1120</v>
      </c>
      <c r="AA2" s="4">
        <f>[1]Elect!AJ17</f>
        <v>0.10199999999999999</v>
      </c>
      <c r="AB2" s="4">
        <f>[1]Elect!AO17</f>
        <v>25000</v>
      </c>
      <c r="AC2" s="4">
        <f>[1]Elect!AN17</f>
        <v>1.7</v>
      </c>
      <c r="AD2" s="4">
        <f>[1]Elect!BJ17</f>
        <v>1700</v>
      </c>
      <c r="AE2" s="4">
        <f>[1]Elect!BG17</f>
        <v>7600</v>
      </c>
      <c r="AF2" s="4">
        <f>[1]Elect!BM17</f>
        <v>344</v>
      </c>
      <c r="AG2" s="4">
        <f>[1]Elect!BP17</f>
        <v>3680</v>
      </c>
      <c r="AH2" s="5">
        <f>('[1]Wtr-Gas'!E17)*0.0038</f>
        <v>1940.66</v>
      </c>
      <c r="AI2" s="5">
        <f>('[1]Wtr-Gas'!H17)*0.0038</f>
        <v>874.49400000000003</v>
      </c>
      <c r="AJ2" s="5">
        <f>'[1]Wtr-Gas'!K17*0.0038</f>
        <v>2.052</v>
      </c>
      <c r="AK2" s="5">
        <f>'[1]Wtr-Gas'!N17*0.0038</f>
        <v>1045</v>
      </c>
      <c r="AL2" s="5">
        <f>'[1]Wtr-Gas'!Q17*0.0038</f>
        <v>0</v>
      </c>
      <c r="AM2" s="6">
        <f>'[1]Wtr-Gas'!U17*0.0038</f>
        <v>221.16</v>
      </c>
      <c r="AN2" s="6">
        <f>'[1]Wtr-Gas'!X17*0.0038</f>
        <v>911.62</v>
      </c>
      <c r="AO2" s="5">
        <f>'[1]Wtr-Gas'!AB17*0.0038</f>
        <v>5700</v>
      </c>
      <c r="AP2" s="5">
        <f>'[1]Wtr-Gas'!AD17*0.0038</f>
        <v>1289.8758</v>
      </c>
      <c r="AQ2" s="5">
        <f>'[1]Wtr-Gas'!AF17*0.0038</f>
        <v>0.45600000000000002</v>
      </c>
      <c r="AR2" s="5">
        <f>'[1]Wtr-Gas'!AH17*0.0038</f>
        <v>629.05200000000002</v>
      </c>
      <c r="AS2" s="5">
        <f>'[1]Wtr-Gas'!AJ17*0.0038</f>
        <v>81.376999999999995</v>
      </c>
      <c r="AT2" s="5">
        <f>'[1]Wtr-Gas'!AL17*0.0038</f>
        <v>15.2</v>
      </c>
      <c r="AU2" s="5">
        <f>'[1]Wtr-Gas'!AN17*0.0038</f>
        <v>0</v>
      </c>
      <c r="AV2" s="5">
        <f>'[1]Wtr-Gas'!AP17*0.0038</f>
        <v>1.9</v>
      </c>
      <c r="AW2" s="6">
        <f>'[1]Wtr-Gas'!AT17*0.0038</f>
        <v>0.41799999999999998</v>
      </c>
      <c r="AX2" s="5">
        <f>'[1]Wtr-Gas'!AW17*0.0038</f>
        <v>241.66479999999999</v>
      </c>
      <c r="AY2" s="7">
        <f>'[1]Wtr-Gas'!AY17*0.0038</f>
        <v>230.62070800000001</v>
      </c>
      <c r="AZ2" s="5">
        <f>'[1]Wtr-Gas'!AZ17*0.0038</f>
        <v>11.044091999999987</v>
      </c>
      <c r="BA2" s="5">
        <f>'[1]Wtr-Gas'!BB17*0.0038</f>
        <v>3.42</v>
      </c>
      <c r="BB2" s="5">
        <f>'[1]Wtr-Gas'!BD17*0.0038</f>
        <v>1.1399999999999999</v>
      </c>
      <c r="BC2" s="5">
        <f>'[1]Wtr-Gas'!BF17*0.0038</f>
        <v>1210.5393999999999</v>
      </c>
    </row>
    <row r="3" spans="1:56" x14ac:dyDescent="0.25">
      <c r="A3" s="1" t="s">
        <v>0</v>
      </c>
      <c r="B3" s="2">
        <v>5</v>
      </c>
      <c r="C3" s="2">
        <v>4</v>
      </c>
      <c r="D3" s="2">
        <v>2020</v>
      </c>
      <c r="E3" s="3">
        <f>'[1]Orlando Daily'!EI22</f>
        <v>0</v>
      </c>
      <c r="F3" s="3">
        <f>'[1]Orlando Daily'!EJ22</f>
        <v>0</v>
      </c>
      <c r="G3" s="4">
        <f>[1]Elect!AW18</f>
        <v>72</v>
      </c>
      <c r="H3" s="4">
        <f>[1]Elect!I18</f>
        <v>6560</v>
      </c>
      <c r="I3" s="4">
        <f>[1]Elect!H18</f>
        <v>1.7829999999999999</v>
      </c>
      <c r="J3" s="4">
        <f>[1]Elect!E18</f>
        <v>6240</v>
      </c>
      <c r="K3" s="4">
        <f>[1]Elect!D18</f>
        <v>1.536</v>
      </c>
      <c r="L3" s="4">
        <f>[1]Elect!Y18</f>
        <v>12600</v>
      </c>
      <c r="M3" s="4">
        <f>[1]Elect!X18</f>
        <v>1.4510000000000001</v>
      </c>
      <c r="N3" s="4">
        <f>[1]Elect!AS18</f>
        <v>360</v>
      </c>
      <c r="O3" s="4">
        <f>[1]Elect!AR18</f>
        <v>0.30099999999999999</v>
      </c>
      <c r="P3" s="4">
        <f>[1]Elect!AC18</f>
        <v>6900</v>
      </c>
      <c r="Q3" s="4">
        <f>[1]Elect!AB18</f>
        <v>1.645</v>
      </c>
      <c r="R3" s="4">
        <f>[1]Elect!Q18</f>
        <v>1600</v>
      </c>
      <c r="S3" s="4">
        <f>[1]Elect!P18</f>
        <v>1.23</v>
      </c>
      <c r="T3" s="4">
        <f>[1]Elect!M18</f>
        <v>1600</v>
      </c>
      <c r="U3" s="4">
        <f>[1]Elect!L18</f>
        <v>1.1499999999999999</v>
      </c>
      <c r="V3" s="4">
        <f>[1]Elect!U18</f>
        <v>1600</v>
      </c>
      <c r="W3" s="4">
        <f>[1]Elect!T18</f>
        <v>0.111</v>
      </c>
      <c r="X3" s="4">
        <f>[1]Elect!AG18</f>
        <v>960</v>
      </c>
      <c r="Y3" s="4">
        <f>[1]Elect!AF18</f>
        <v>0.21199999999999999</v>
      </c>
      <c r="Z3" s="4">
        <f>[1]Elect!AK18</f>
        <v>320</v>
      </c>
      <c r="AA3" s="4">
        <f>[1]Elect!AJ18</f>
        <v>0.10199999999999999</v>
      </c>
      <c r="AB3" s="4">
        <f>[1]Elect!AO18</f>
        <v>6400</v>
      </c>
      <c r="AC3" s="4">
        <f>[1]Elect!AN18</f>
        <v>1.7</v>
      </c>
      <c r="AD3" s="4">
        <f>[1]Elect!BJ18</f>
        <v>500</v>
      </c>
      <c r="AE3" s="4">
        <f>[1]Elect!BG18</f>
        <v>2200</v>
      </c>
      <c r="AF3" s="4">
        <f>[1]Elect!BM18</f>
        <v>91</v>
      </c>
      <c r="AG3" s="4">
        <f>[1]Elect!BP18</f>
        <v>1840</v>
      </c>
      <c r="AH3" s="5">
        <f>('[1]Wtr-Gas'!E18)*0.0038</f>
        <v>658.88199999999995</v>
      </c>
      <c r="AI3" s="5">
        <f>('[1]Wtr-Gas'!H18)*0.0038</f>
        <v>358.416</v>
      </c>
      <c r="AJ3" s="5">
        <f>'[1]Wtr-Gas'!K18*0.0038</f>
        <v>0.56999999999999995</v>
      </c>
      <c r="AK3" s="5">
        <f>'[1]Wtr-Gas'!N18*0.0038</f>
        <v>395.2</v>
      </c>
      <c r="AL3" s="5">
        <f>'[1]Wtr-Gas'!Q18*0.0038</f>
        <v>0</v>
      </c>
      <c r="AM3" s="6">
        <f>'[1]Wtr-Gas'!U18*0.0038</f>
        <v>47.88</v>
      </c>
      <c r="AN3" s="6">
        <f>'[1]Wtr-Gas'!X18*0.0038</f>
        <v>11.78</v>
      </c>
      <c r="AO3" s="5">
        <f>'[1]Wtr-Gas'!AB18*0.0038</f>
        <v>2546</v>
      </c>
      <c r="AP3" s="5">
        <f>'[1]Wtr-Gas'!AD18*0.0038</f>
        <v>212.20529999999999</v>
      </c>
      <c r="AQ3" s="5">
        <f>'[1]Wtr-Gas'!AF18*0.0038</f>
        <v>7.5999999999999998E-2</v>
      </c>
      <c r="AR3" s="5">
        <f>'[1]Wtr-Gas'!AH18*0.0038</f>
        <v>105.26</v>
      </c>
      <c r="AS3" s="5">
        <f>'[1]Wtr-Gas'!AJ18*0.0038</f>
        <v>25.0002</v>
      </c>
      <c r="AT3" s="5">
        <f>'[1]Wtr-Gas'!AL18*0.0038</f>
        <v>0</v>
      </c>
      <c r="AU3" s="5">
        <f>'[1]Wtr-Gas'!AN18*0.0038</f>
        <v>0</v>
      </c>
      <c r="AV3" s="5">
        <f>'[1]Wtr-Gas'!AP18*0.0038</f>
        <v>0</v>
      </c>
      <c r="AW3" s="6">
        <f>'[1]Wtr-Gas'!AT18*0.0038</f>
        <v>1.52E-2</v>
      </c>
      <c r="AX3" s="5">
        <f>'[1]Wtr-Gas'!AW18*0.0038</f>
        <v>72.010000000000005</v>
      </c>
      <c r="AY3" s="7">
        <f>'[1]Wtr-Gas'!AY18*0.0038</f>
        <v>66.927462000000006</v>
      </c>
      <c r="AZ3" s="5">
        <f>'[1]Wtr-Gas'!AZ18*0.0038</f>
        <v>5.0825379999999942</v>
      </c>
      <c r="BA3" s="5">
        <f>'[1]Wtr-Gas'!BB18*0.0038</f>
        <v>3.8</v>
      </c>
      <c r="BB3" s="5">
        <f>'[1]Wtr-Gas'!BD18*0.0038</f>
        <v>0</v>
      </c>
      <c r="BC3" s="5">
        <f>'[1]Wtr-Gas'!BF18*0.0038</f>
        <v>617.9674</v>
      </c>
    </row>
    <row r="4" spans="1:56" x14ac:dyDescent="0.25">
      <c r="A4" s="1" t="s">
        <v>0</v>
      </c>
      <c r="B4" s="2">
        <v>13</v>
      </c>
      <c r="C4" s="2">
        <v>4</v>
      </c>
      <c r="D4" s="2">
        <v>2020</v>
      </c>
      <c r="E4" s="3">
        <f>'[1]Orlando Daily'!EI23</f>
        <v>0</v>
      </c>
      <c r="F4" s="3">
        <f>'[1]Orlando Daily'!EJ23</f>
        <v>0</v>
      </c>
      <c r="G4" s="4">
        <f>[1]Elect!AW19</f>
        <v>175</v>
      </c>
      <c r="H4" s="4">
        <f>[1]Elect!I19</f>
        <v>15680</v>
      </c>
      <c r="I4" s="4">
        <f>[1]Elect!H19</f>
        <v>1.7829999999999999</v>
      </c>
      <c r="J4" s="4">
        <f>[1]Elect!E19</f>
        <v>9920</v>
      </c>
      <c r="K4" s="4">
        <f>[1]Elect!D19</f>
        <v>1.536</v>
      </c>
      <c r="L4" s="4">
        <f>[1]Elect!Y19</f>
        <v>21900</v>
      </c>
      <c r="M4" s="4">
        <f>[1]Elect!X19</f>
        <v>1.4510000000000001</v>
      </c>
      <c r="N4" s="4">
        <f>[1]Elect!AS19</f>
        <v>840</v>
      </c>
      <c r="O4" s="4">
        <f>[1]Elect!AR19</f>
        <v>0.30099999999999999</v>
      </c>
      <c r="P4" s="4">
        <f>[1]Elect!AC19</f>
        <v>18000</v>
      </c>
      <c r="Q4" s="4">
        <f>[1]Elect!AB19</f>
        <v>1.645</v>
      </c>
      <c r="R4" s="4">
        <f>[1]Elect!Q19</f>
        <v>4000</v>
      </c>
      <c r="S4" s="4">
        <f>[1]Elect!P19</f>
        <v>1.3</v>
      </c>
      <c r="T4" s="4">
        <f>[1]Elect!M19</f>
        <v>3600</v>
      </c>
      <c r="U4" s="4">
        <f>[1]Elect!L19</f>
        <v>1.6</v>
      </c>
      <c r="V4" s="4">
        <f>[1]Elect!U19</f>
        <v>3200</v>
      </c>
      <c r="W4" s="4">
        <f>[1]Elect!T19</f>
        <v>1.46</v>
      </c>
      <c r="X4" s="4">
        <f>[1]Elect!AG19</f>
        <v>2400</v>
      </c>
      <c r="Y4" s="4">
        <f>[1]Elect!AF19</f>
        <v>0.21199999999999999</v>
      </c>
      <c r="Z4" s="4">
        <f>[1]Elect!AK19</f>
        <v>640</v>
      </c>
      <c r="AA4" s="4">
        <f>[1]Elect!AJ19</f>
        <v>0.10199999999999999</v>
      </c>
      <c r="AB4" s="4">
        <f>[1]Elect!AO19</f>
        <v>16000</v>
      </c>
      <c r="AC4" s="4">
        <f>[1]Elect!AN19</f>
        <v>1.7</v>
      </c>
      <c r="AD4" s="4">
        <f>[1]Elect!BJ19</f>
        <v>1200</v>
      </c>
      <c r="AE4" s="4">
        <f>[1]Elect!BG19</f>
        <v>4900</v>
      </c>
      <c r="AF4" s="4">
        <f>[1]Elect!BM19</f>
        <v>217</v>
      </c>
      <c r="AG4" s="4">
        <f>[1]Elect!BP19</f>
        <v>3000</v>
      </c>
      <c r="AH4" s="5">
        <f>('[1]Wtr-Gas'!E19)*0.0038</f>
        <v>1206.0440000000001</v>
      </c>
      <c r="AI4" s="5">
        <f>('[1]Wtr-Gas'!H19)*0.0038</f>
        <v>528.50400000000002</v>
      </c>
      <c r="AJ4" s="5">
        <f>'[1]Wtr-Gas'!K19*0.0038</f>
        <v>0.53200000000000003</v>
      </c>
      <c r="AK4" s="5">
        <f>'[1]Wtr-Gas'!N19*0.0038</f>
        <v>509.2</v>
      </c>
      <c r="AL4" s="5">
        <f>'[1]Wtr-Gas'!Q19*0.0038</f>
        <v>0</v>
      </c>
      <c r="AM4" s="6">
        <f>'[1]Wtr-Gas'!U19*0.0038</f>
        <v>126.92</v>
      </c>
      <c r="AN4" s="6">
        <f>'[1]Wtr-Gas'!X19*0.0038</f>
        <v>25.84</v>
      </c>
      <c r="AO4" s="5">
        <f>'[1]Wtr-Gas'!AB19*0.0038</f>
        <v>2508</v>
      </c>
      <c r="AP4" s="5">
        <f>'[1]Wtr-Gas'!AD19*0.0038</f>
        <v>518.11099999999999</v>
      </c>
      <c r="AQ4" s="5">
        <f>'[1]Wtr-Gas'!AF19*0.0038</f>
        <v>1.6719999999999999</v>
      </c>
      <c r="AR4" s="5">
        <f>'[1]Wtr-Gas'!AH19*0.0038</f>
        <v>399.91199999999998</v>
      </c>
      <c r="AS4" s="5">
        <f>'[1]Wtr-Gas'!AJ19*0.0038</f>
        <v>61.833599999999997</v>
      </c>
      <c r="AT4" s="5">
        <f>'[1]Wtr-Gas'!AL19*0.0038</f>
        <v>11.4</v>
      </c>
      <c r="AU4" s="5">
        <f>'[1]Wtr-Gas'!AN19*0.0038</f>
        <v>0</v>
      </c>
      <c r="AV4" s="5">
        <f>'[1]Wtr-Gas'!AP19*0.0038</f>
        <v>0</v>
      </c>
      <c r="AW4" s="6">
        <f>'[1]Wtr-Gas'!AT19*0.0038</f>
        <v>4.5600000000000002E-2</v>
      </c>
      <c r="AX4" s="5">
        <f>'[1]Wtr-Gas'!AW19*0.0038</f>
        <v>173.99440000000001</v>
      </c>
      <c r="AY4" s="7">
        <f>'[1]Wtr-Gas'!AY19*0.0038</f>
        <v>166.76094799999998</v>
      </c>
      <c r="AZ4" s="5">
        <f>'[1]Wtr-Gas'!AZ19*0.0038</f>
        <v>7.2334520000000033</v>
      </c>
      <c r="BA4" s="5">
        <f>'[1]Wtr-Gas'!BB19*0.0038</f>
        <v>9.8800000000000008</v>
      </c>
      <c r="BB4" s="5">
        <f>'[1]Wtr-Gas'!BD19*0.0038</f>
        <v>1.1399999999999999</v>
      </c>
      <c r="BC4" s="5">
        <f>'[1]Wtr-Gas'!BF19*0.0038</f>
        <v>988.50160000000005</v>
      </c>
    </row>
    <row r="5" spans="1:56" x14ac:dyDescent="0.25">
      <c r="A5" s="1" t="s">
        <v>0</v>
      </c>
      <c r="B5" s="2">
        <v>19</v>
      </c>
      <c r="C5" s="2">
        <v>4</v>
      </c>
      <c r="D5" s="2">
        <v>2020</v>
      </c>
      <c r="E5" s="3">
        <f>'[1]Orlando Daily'!EI24</f>
        <v>0</v>
      </c>
      <c r="F5" s="3">
        <f>'[1]Orlando Daily'!EJ24</f>
        <v>0</v>
      </c>
      <c r="G5" s="4">
        <f>[1]Elect!AW20</f>
        <v>230</v>
      </c>
      <c r="H5" s="4">
        <f>[1]Elect!I20</f>
        <v>22400</v>
      </c>
      <c r="I5" s="4">
        <f>[1]Elect!H20</f>
        <v>1.7829999999999999</v>
      </c>
      <c r="J5" s="4">
        <f>[1]Elect!E20</f>
        <v>24960</v>
      </c>
      <c r="K5" s="4">
        <f>[1]Elect!D20</f>
        <v>1.536</v>
      </c>
      <c r="L5" s="4">
        <f>[1]Elect!Y20</f>
        <v>39000</v>
      </c>
      <c r="M5" s="4">
        <f>[1]Elect!X20</f>
        <v>1.4510000000000001</v>
      </c>
      <c r="N5" s="4">
        <f>[1]Elect!AS20</f>
        <v>1120</v>
      </c>
      <c r="O5" s="4">
        <f>[1]Elect!AR20</f>
        <v>0.30099999999999999</v>
      </c>
      <c r="P5" s="4">
        <f>[1]Elect!AC20</f>
        <v>17100</v>
      </c>
      <c r="Q5" s="4">
        <f>[1]Elect!AB20</f>
        <v>1.645</v>
      </c>
      <c r="R5" s="4">
        <f>[1]Elect!Q20</f>
        <v>5200</v>
      </c>
      <c r="S5" s="4">
        <f>[1]Elect!P20</f>
        <v>1.3</v>
      </c>
      <c r="T5" s="4">
        <f>[1]Elect!M20</f>
        <v>4800</v>
      </c>
      <c r="U5" s="4">
        <f>[1]Elect!L20</f>
        <v>1.6</v>
      </c>
      <c r="V5" s="4">
        <f>[1]Elect!U20</f>
        <v>4400</v>
      </c>
      <c r="W5" s="4">
        <f>[1]Elect!T20</f>
        <v>1.46</v>
      </c>
      <c r="X5" s="4">
        <f>[1]Elect!AG20</f>
        <v>3040</v>
      </c>
      <c r="Y5" s="4">
        <f>[1]Elect!AF20</f>
        <v>0.21199999999999999</v>
      </c>
      <c r="Z5" s="4">
        <f>[1]Elect!AK20</f>
        <v>640</v>
      </c>
      <c r="AA5" s="4">
        <f>[1]Elect!AJ20</f>
        <v>0.10199999999999999</v>
      </c>
      <c r="AB5" s="4">
        <f>[1]Elect!AO20</f>
        <v>22600</v>
      </c>
      <c r="AC5" s="4">
        <f>[1]Elect!AN20</f>
        <v>1.7</v>
      </c>
      <c r="AD5" s="4">
        <f>[1]Elect!BJ20</f>
        <v>1700</v>
      </c>
      <c r="AE5" s="4">
        <f>[1]Elect!BG20</f>
        <v>6700</v>
      </c>
      <c r="AF5" s="4">
        <f>[1]Elect!BM20</f>
        <v>220</v>
      </c>
      <c r="AG5" s="4">
        <f>[1]Elect!BP20</f>
        <v>5040</v>
      </c>
      <c r="AH5" s="5">
        <f>('[1]Wtr-Gas'!E20)*0.0038</f>
        <v>1382.06</v>
      </c>
      <c r="AI5" s="5">
        <f>('[1]Wtr-Gas'!H20)*0.0038</f>
        <v>776.53</v>
      </c>
      <c r="AJ5" s="5">
        <f>'[1]Wtr-Gas'!K20*0.0038</f>
        <v>0</v>
      </c>
      <c r="AK5" s="5">
        <f>'[1]Wtr-Gas'!N20*0.0038</f>
        <v>866.4</v>
      </c>
      <c r="AL5" s="5">
        <f>'[1]Wtr-Gas'!Q20*0.0038</f>
        <v>0</v>
      </c>
      <c r="AM5" s="6">
        <f>'[1]Wtr-Gas'!U20*0.0038</f>
        <v>156.94</v>
      </c>
      <c r="AN5" s="6">
        <f>'[1]Wtr-Gas'!X20*0.0038</f>
        <v>30.78</v>
      </c>
      <c r="AO5" s="5">
        <f>'[1]Wtr-Gas'!AB20*0.0038</f>
        <v>4978</v>
      </c>
      <c r="AP5" s="5">
        <f>'[1]Wtr-Gas'!AD20*0.0038</f>
        <v>1012.7</v>
      </c>
      <c r="AQ5" s="5">
        <f>'[1]Wtr-Gas'!AF20*0.0038</f>
        <v>0.30399999999999999</v>
      </c>
      <c r="AR5" s="5">
        <f>'[1]Wtr-Gas'!AH20*0.0038</f>
        <v>144.286</v>
      </c>
      <c r="AS5" s="5">
        <f>'[1]Wtr-Gas'!AJ20*0.0038</f>
        <v>79.910200000000003</v>
      </c>
      <c r="AT5" s="5">
        <f>'[1]Wtr-Gas'!AL20*0.0038</f>
        <v>26.6</v>
      </c>
      <c r="AU5" s="5">
        <f>'[1]Wtr-Gas'!AN20*0.0038</f>
        <v>0</v>
      </c>
      <c r="AV5" s="5">
        <f>'[1]Wtr-Gas'!AP20*0.0038</f>
        <v>0.38</v>
      </c>
      <c r="AW5" s="6">
        <f>'[1]Wtr-Gas'!AT20*0.0038</f>
        <v>6.8400000000000002E-2</v>
      </c>
      <c r="AX5" s="5">
        <f>'[1]Wtr-Gas'!AW20*0.0038</f>
        <v>244.14240000000001</v>
      </c>
      <c r="AY5" s="7">
        <f>'[1]Wtr-Gas'!AY20*0.0038</f>
        <v>231.08654999999999</v>
      </c>
      <c r="AZ5" s="5">
        <f>'[1]Wtr-Gas'!AZ20*0.0038</f>
        <v>13.05585</v>
      </c>
      <c r="BA5" s="5">
        <f>'[1]Wtr-Gas'!BB20*0.0038</f>
        <v>4.9400000000000004</v>
      </c>
      <c r="BB5" s="5">
        <f>'[1]Wtr-Gas'!BD20*0.0038</f>
        <v>1.1399999999999999</v>
      </c>
      <c r="BC5" s="5">
        <f>'[1]Wtr-Gas'!BF20*0.0038</f>
        <v>1168.367</v>
      </c>
    </row>
    <row r="6" spans="1:56" x14ac:dyDescent="0.25">
      <c r="A6" s="1" t="s">
        <v>0</v>
      </c>
      <c r="B6" s="2">
        <v>26</v>
      </c>
      <c r="C6" s="2">
        <v>4</v>
      </c>
      <c r="D6" s="2">
        <v>2020</v>
      </c>
      <c r="E6" s="3">
        <f>'[1]Orlando Daily'!EI25</f>
        <v>0</v>
      </c>
      <c r="F6" s="3">
        <f>'[1]Orlando Daily'!EJ25</f>
        <v>0</v>
      </c>
      <c r="G6" s="4">
        <f>[1]Elect!AW21</f>
        <v>241</v>
      </c>
      <c r="H6" s="4">
        <f>[1]Elect!I21</f>
        <v>22560</v>
      </c>
      <c r="I6" s="4">
        <f>[1]Elect!H21</f>
        <v>1.7829999999999999</v>
      </c>
      <c r="J6" s="4">
        <f>[1]Elect!E21</f>
        <v>19680</v>
      </c>
      <c r="K6" s="4">
        <f>[1]Elect!D21</f>
        <v>1.536</v>
      </c>
      <c r="L6" s="4">
        <f>[1]Elect!Y21</f>
        <v>38400</v>
      </c>
      <c r="M6" s="4">
        <f>[1]Elect!X21</f>
        <v>1.4510000000000001</v>
      </c>
      <c r="N6" s="4">
        <f>[1]Elect!AS21</f>
        <v>1200</v>
      </c>
      <c r="O6" s="4">
        <f>[1]Elect!AR21</f>
        <v>0.30099999999999999</v>
      </c>
      <c r="P6" s="4">
        <f>[1]Elect!AC21</f>
        <v>28500</v>
      </c>
      <c r="Q6" s="4">
        <f>[1]Elect!AB21</f>
        <v>1.645</v>
      </c>
      <c r="R6" s="4">
        <f>[1]Elect!Q21</f>
        <v>5200</v>
      </c>
      <c r="S6" s="4">
        <f>[1]Elect!P21</f>
        <v>1.3</v>
      </c>
      <c r="T6" s="4">
        <f>[1]Elect!M21</f>
        <v>5200</v>
      </c>
      <c r="U6" s="4">
        <f>[1]Elect!L21</f>
        <v>1.6</v>
      </c>
      <c r="V6" s="4">
        <f>[1]Elect!U21</f>
        <v>4800</v>
      </c>
      <c r="W6" s="4">
        <f>[1]Elect!T21</f>
        <v>1.46</v>
      </c>
      <c r="X6" s="4">
        <f>[1]Elect!AG21</f>
        <v>2880</v>
      </c>
      <c r="Y6" s="4">
        <f>[1]Elect!AF21</f>
        <v>0.21199999999999999</v>
      </c>
      <c r="Z6" s="4">
        <f>[1]Elect!AK21</f>
        <v>640</v>
      </c>
      <c r="AA6" s="4">
        <f>[1]Elect!AJ21</f>
        <v>0.10199999999999999</v>
      </c>
      <c r="AB6" s="4">
        <f>[1]Elect!AO21</f>
        <v>23200</v>
      </c>
      <c r="AC6" s="4">
        <f>[1]Elect!AN21</f>
        <v>1.7</v>
      </c>
      <c r="AD6" s="4">
        <f>[1]Elect!BJ21</f>
        <v>1900</v>
      </c>
      <c r="AE6" s="4">
        <f>[1]Elect!BG21</f>
        <v>8900</v>
      </c>
      <c r="AF6" s="4">
        <f>[1]Elect!BM21</f>
        <v>260</v>
      </c>
      <c r="AG6" s="4">
        <f>[1]Elect!BP21</f>
        <v>1200</v>
      </c>
      <c r="AH6" s="5">
        <f>('[1]Wtr-Gas'!E21)*0.0038</f>
        <v>1329.0119999999999</v>
      </c>
      <c r="AI6" s="5">
        <f>('[1]Wtr-Gas'!H21)*0.0038</f>
        <v>588.202</v>
      </c>
      <c r="AJ6" s="5">
        <f>'[1]Wtr-Gas'!K21*0.0038</f>
        <v>0</v>
      </c>
      <c r="AK6" s="5">
        <f>'[1]Wtr-Gas'!N21*0.0038</f>
        <v>942.4</v>
      </c>
      <c r="AL6" s="5">
        <f>'[1]Wtr-Gas'!Q21*0.0038</f>
        <v>0</v>
      </c>
      <c r="AM6" s="6">
        <f>'[1]Wtr-Gas'!U21*0.0038</f>
        <v>146.68</v>
      </c>
      <c r="AN6" s="6">
        <f>'[1]Wtr-Gas'!X21*0.0038</f>
        <v>22.8</v>
      </c>
      <c r="AO6" s="5">
        <f>'[1]Wtr-Gas'!AB21*0.0038</f>
        <v>5434</v>
      </c>
      <c r="AP6" s="5">
        <f>'[1]Wtr-Gas'!AD21*0.0038</f>
        <v>1192.93552</v>
      </c>
      <c r="AQ6" s="5">
        <f>'[1]Wtr-Gas'!AF21*0.0038</f>
        <v>1.6719999999999999</v>
      </c>
      <c r="AR6" s="5">
        <f>'[1]Wtr-Gas'!AH21*0.0038</f>
        <v>74.974000000000004</v>
      </c>
      <c r="AS6" s="5">
        <f>'[1]Wtr-Gas'!AJ21*0.0038</f>
        <v>80.856399999999994</v>
      </c>
      <c r="AT6" s="5">
        <f>'[1]Wtr-Gas'!AL21*0.0038</f>
        <v>3.8</v>
      </c>
      <c r="AU6" s="5">
        <f>'[1]Wtr-Gas'!AN21*0.0038</f>
        <v>0</v>
      </c>
      <c r="AV6" s="5">
        <f>'[1]Wtr-Gas'!AP21*0.0038</f>
        <v>0</v>
      </c>
      <c r="AW6" s="6">
        <f>'[1]Wtr-Gas'!AT21*0.0038</f>
        <v>0.10639999999999999</v>
      </c>
      <c r="AX6" s="5">
        <f>'[1]Wtr-Gas'!AW21*0.0038</f>
        <v>274.97179999999997</v>
      </c>
      <c r="AY6" s="7">
        <f>'[1]Wtr-Gas'!AY21*0.0038</f>
        <v>262.08227600000004</v>
      </c>
      <c r="AZ6" s="5">
        <f>'[1]Wtr-Gas'!AZ21*0.0038</f>
        <v>12.889523999999984</v>
      </c>
      <c r="BA6" s="5">
        <f>'[1]Wtr-Gas'!BB21*0.0038</f>
        <v>0</v>
      </c>
      <c r="BB6" s="5">
        <f>'[1]Wtr-Gas'!BD21*0.0038</f>
        <v>4.5599999999999996</v>
      </c>
      <c r="BC6" s="5">
        <f>'[1]Wtr-Gas'!BF21*0.0038</f>
        <v>877.8836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2020-10-28T12:29:25Z</dcterms:created>
  <dcterms:modified xsi:type="dcterms:W3CDTF">2020-10-28T12:35:43Z</dcterms:modified>
</cp:coreProperties>
</file>