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F56D552-83BC-42B9-862D-806FB18E9E6C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2" l="1"/>
  <c r="Y8" i="2"/>
  <c r="Y7" i="2"/>
  <c r="Y6" i="2"/>
  <c r="P31" i="3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U31" i="2"/>
  <c r="U30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6" i="2" l="1"/>
  <c r="U28" i="2"/>
  <c r="U27" i="2"/>
  <c r="U29" i="2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U24" i="2" l="1"/>
  <c r="G24" i="3" s="1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Y3" i="2"/>
  <c r="Y4" i="2"/>
  <c r="Y5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F9" i="3" l="1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<sst xmlns="http://schemas.openxmlformats.org/spreadsheetml/2006/main" count="76" uniqueCount="40">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</sst>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H22" sqref="H2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145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50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10333</v>
      </c>
      <c r="F12" s="110">
        <f>('Septmeber 2025'!C12*0.27)/('Septmeber 2025'!C12+'Septmeber 2025'!E12)</f>
        <v>0.23705022742669118</v>
      </c>
      <c r="G12" s="97">
        <f>'Septmeber 2025'!U12</f>
        <v>145</v>
      </c>
      <c r="H12" s="113">
        <v>0.62</v>
      </c>
      <c r="I12" s="98">
        <f>'Septmeber 2025'!W12</f>
        <v>123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229</v>
      </c>
      <c r="P12" s="100">
        <f>'Septmeber 2025'!AD12</f>
        <v>450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10249</v>
      </c>
      <c r="F13" s="110">
        <f>('Septmeber 2025'!C13*0.27)/('Septmeber 2025'!C13+'Septmeber 2025'!E13)</f>
        <v>0.23757049468240804</v>
      </c>
      <c r="G13" s="97">
        <f>'Septmeber 2025'!U13</f>
        <v>115</v>
      </c>
      <c r="H13" s="113">
        <v>0.62</v>
      </c>
      <c r="I13" s="98">
        <f>'Septmeber 2025'!W13</f>
        <v>124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231</v>
      </c>
      <c r="P13" s="100">
        <f>'Septmeber 2025'!AD13</f>
        <v>459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11582</v>
      </c>
      <c r="F14" s="110">
        <f>('Septmeber 2025'!C14*0.27)/('Septmeber 2025'!C14+'Septmeber 2025'!E14)</f>
        <v>0.2412329476774305</v>
      </c>
      <c r="G14" s="97">
        <f>'Septmeber 2025'!U14</f>
        <v>165</v>
      </c>
      <c r="H14" s="113">
        <v>0.62</v>
      </c>
      <c r="I14" s="98">
        <f>'Septmeber 2025'!W14</f>
        <v>137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231</v>
      </c>
      <c r="P14" s="100">
        <f>'Septmeber 2025'!AD14</f>
        <v>458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10223</v>
      </c>
      <c r="F15" s="110">
        <f>('Septmeber 2025'!C15*0.27)/('Septmeber 2025'!C15+'Septmeber 2025'!E15)</f>
        <v>0.23793700479311358</v>
      </c>
      <c r="G15" s="97">
        <f>'Septmeber 2025'!U15</f>
        <v>50</v>
      </c>
      <c r="H15" s="113">
        <v>0.62</v>
      </c>
      <c r="I15" s="98">
        <f>'Septmeber 2025'!W15</f>
        <v>118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198</v>
      </c>
      <c r="P15" s="100">
        <f>'Septmeber 2025'!AD15</f>
        <v>384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10090</v>
      </c>
      <c r="F16" s="110">
        <f>('Septmeber 2025'!C16*0.27)/('Septmeber 2025'!C16+'Septmeber 2025'!E16)</f>
        <v>0.23708622398414275</v>
      </c>
      <c r="G16" s="97">
        <f>'Septmeber 2025'!U16</f>
        <v>116</v>
      </c>
      <c r="H16" s="113">
        <v>0.62</v>
      </c>
      <c r="I16" s="98">
        <f>'Septmeber 2025'!W16</f>
        <v>115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196</v>
      </c>
      <c r="P16" s="100">
        <f>'Septmeber 2025'!AD16</f>
        <v>375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9554</v>
      </c>
      <c r="F17" s="110">
        <f>('Septmeber 2025'!C17*0.27)/('Septmeber 2025'!C17+'Septmeber 2025'!E17)</f>
        <v>0.23670923173539879</v>
      </c>
      <c r="G17" s="97">
        <f>'Septmeber 2025'!U17</f>
        <v>75</v>
      </c>
      <c r="H17" s="113">
        <v>0.62</v>
      </c>
      <c r="I17" s="98">
        <f>'Septmeber 2025'!W17</f>
        <v>117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195</v>
      </c>
      <c r="P17" s="100">
        <f>'Septmeber 2025'!AD17</f>
        <v>371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10288</v>
      </c>
      <c r="F18" s="110">
        <f>('Septmeber 2025'!C18*0.27)/('Septmeber 2025'!C18+'Septmeber 2025'!E18)</f>
        <v>0.2392943234836703</v>
      </c>
      <c r="G18" s="97">
        <f>'Septmeber 2025'!U18</f>
        <v>125</v>
      </c>
      <c r="H18" s="113">
        <v>0.62</v>
      </c>
      <c r="I18" s="98">
        <f>'Septmeber 2025'!W18</f>
        <v>120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203</v>
      </c>
      <c r="P18" s="100">
        <f>'Septmeber 2025'!AD18</f>
        <v>384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10256</v>
      </c>
      <c r="F19" s="110">
        <f>('Septmeber 2025'!C19*0.27)/('Septmeber 2025'!C19+'Septmeber 2025'!E19)</f>
        <v>0.2387773010920437</v>
      </c>
      <c r="G19" s="97">
        <f>'Septmeber 2025'!U19</f>
        <v>95</v>
      </c>
      <c r="H19" s="113">
        <v>0.62</v>
      </c>
      <c r="I19" s="98">
        <f>'Septmeber 2025'!W19</f>
        <v>115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197</v>
      </c>
      <c r="P19" s="100">
        <f>'Septmeber 2025'!AD19</f>
        <v>371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0</v>
      </c>
      <c r="F20" s="110" t="e">
        <f>('Septmeber 2025'!C20*0.27)/('Septmeber 2025'!C20+'Septmeber 2025'!E20)</f>
        <v>#DIV/0!</v>
      </c>
      <c r="G20" s="97" t="str">
        <f>'Septmeber 2025'!U20</f>
        <v>0</v>
      </c>
      <c r="H20" s="113">
        <v>0.62</v>
      </c>
      <c r="I20" s="98" t="str">
        <f>'Septmeber 2025'!W20</f>
        <v>0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198</v>
      </c>
      <c r="P20" s="100">
        <f>'Septmeber 2025'!AD20</f>
        <v>375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0</v>
      </c>
      <c r="F21" s="110" t="e">
        <f>('Septmeber 2025'!C21*0.27)/('Septmeber 2025'!C21+'Septmeber 2025'!E21)</f>
        <v>#DIV/0!</v>
      </c>
      <c r="G21" s="97" t="str">
        <f>'Septmeber 2025'!U21</f>
        <v>0</v>
      </c>
      <c r="H21" s="113">
        <v>0.62</v>
      </c>
      <c r="I21" s="98">
        <f>'Septmeber 2025'!W21</f>
        <v>0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0</v>
      </c>
      <c r="P21" s="100">
        <f>'Septmeber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0</v>
      </c>
      <c r="F22" s="110" t="e">
        <f>('Septmeber 2025'!C22*0.27)/('Septmeber 2025'!C22+'Septmeber 2025'!E22)</f>
        <v>#DIV/0!</v>
      </c>
      <c r="G22" s="97" t="str">
        <f>'Septmeber 2025'!U22</f>
        <v>0</v>
      </c>
      <c r="H22" s="113">
        <v>0.62</v>
      </c>
      <c r="I22" s="98">
        <f>'Septmeber 2025'!W22</f>
        <v>0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0</v>
      </c>
      <c r="P22" s="100">
        <f>'Septmeber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0</v>
      </c>
      <c r="F23" s="110" t="e">
        <f>('Septmeber 2025'!C23*0.27)/('Septmeber 2025'!C23+'Septmeber 2025'!E23)</f>
        <v>#DIV/0!</v>
      </c>
      <c r="G23" s="97" t="str">
        <f>'Septmeber 2025'!U23</f>
        <v>0</v>
      </c>
      <c r="H23" s="113">
        <v>0.62</v>
      </c>
      <c r="I23" s="98">
        <f>'Septmeber 2025'!W23</f>
        <v>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0</v>
      </c>
      <c r="P23" s="100">
        <f>'Septmeber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0</v>
      </c>
      <c r="F24" s="110" t="e">
        <f>('Septmeber 2025'!C24*0.27)/('Septmeber 2025'!C24+'Septmeber 2025'!E24)</f>
        <v>#DIV/0!</v>
      </c>
      <c r="G24" s="97" t="str">
        <f>'Septmeber 2025'!U24</f>
        <v>0</v>
      </c>
      <c r="H24" s="113">
        <v>0.62</v>
      </c>
      <c r="I24" s="98">
        <f>'Septmeber 2025'!W24</f>
        <v>0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0</v>
      </c>
      <c r="P24" s="100">
        <f>'Septmeber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0</v>
      </c>
      <c r="F25" s="110" t="e">
        <f>('Septmeber 2025'!C25*0.27)/('Septmeber 2025'!C25+'Septmeber 2025'!E25)</f>
        <v>#DIV/0!</v>
      </c>
      <c r="G25" s="97" t="str">
        <f>'Septmeber 2025'!U25</f>
        <v>0</v>
      </c>
      <c r="H25" s="113">
        <v>0.62</v>
      </c>
      <c r="I25" s="98">
        <f>'Septmeber 2025'!W25</f>
        <v>0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0</v>
      </c>
      <c r="P25" s="100">
        <f>'Septmeber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0</v>
      </c>
      <c r="F26" s="110" t="e">
        <f>('Septmeber 2025'!C26*0.27)/('Septmeber 2025'!C26+'Septmeber 2025'!E26)</f>
        <v>#DIV/0!</v>
      </c>
      <c r="G26" s="97" t="str">
        <f>'Septmeber 2025'!U26</f>
        <v>0</v>
      </c>
      <c r="H26" s="113">
        <v>0.62</v>
      </c>
      <c r="I26" s="98">
        <f>'Septmeber 2025'!W26</f>
        <v>0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0</v>
      </c>
      <c r="P26" s="100">
        <f>'Septmeber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0</v>
      </c>
      <c r="P27" s="100">
        <f>'Septmeber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7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7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7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7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7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145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7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0.7</v>
      </c>
      <c r="Q9" s="85">
        <v>0.56999999999999995</v>
      </c>
      <c r="R9" s="86">
        <v>0.55000000000000004</v>
      </c>
      <c r="S9" s="38">
        <f t="shared" si="9"/>
        <v>4010</v>
      </c>
      <c r="T9" s="123">
        <v>825</v>
      </c>
      <c r="U9" s="32">
        <f t="shared" si="10"/>
        <v>50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7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7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-101.89999999999418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>
        <f t="shared" si="2"/>
        <v>9072</v>
      </c>
      <c r="D12" s="11">
        <v>922637</v>
      </c>
      <c r="E12" s="14">
        <f t="shared" si="3"/>
        <v>1261</v>
      </c>
      <c r="F12" s="27">
        <v>1704</v>
      </c>
      <c r="G12" s="67">
        <f t="shared" si="4"/>
        <v>0</v>
      </c>
      <c r="H12" s="69">
        <f t="shared" si="5"/>
        <v>10333</v>
      </c>
      <c r="I12" s="73">
        <f t="shared" si="6"/>
        <v>-35579.479999999996</v>
      </c>
      <c r="J12" s="32">
        <f t="shared" si="0"/>
        <v>-84.910000000003492</v>
      </c>
      <c r="K12" s="20">
        <f t="shared" si="7"/>
        <v>45911</v>
      </c>
      <c r="L12" s="33">
        <v>7935</v>
      </c>
      <c r="M12" s="34">
        <v>0</v>
      </c>
      <c r="N12" s="32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>
        <f t="shared" si="10"/>
        <v>145</v>
      </c>
      <c r="V12" s="41">
        <v>28944</v>
      </c>
      <c r="W12" s="32">
        <f t="shared" si="1"/>
        <v>123</v>
      </c>
      <c r="X12" s="43">
        <v>61265</v>
      </c>
      <c r="Y12" s="14">
        <f t="shared" si="11"/>
        <v>0</v>
      </c>
      <c r="Z12" s="47">
        <v>3620</v>
      </c>
      <c r="AA12" s="52"/>
      <c r="AB12" s="32">
        <f t="shared" si="12"/>
        <v>0</v>
      </c>
      <c r="AC12" s="13">
        <v>229</v>
      </c>
      <c r="AD12" s="18">
        <v>450</v>
      </c>
    </row>
    <row r="13" spans="1:30" ht="20.7" customHeight="1" x14ac:dyDescent="0.2">
      <c r="A13" s="19">
        <v>45912</v>
      </c>
      <c r="B13" s="10">
        <v>891514</v>
      </c>
      <c r="C13" s="14">
        <f t="shared" si="2"/>
        <v>9018</v>
      </c>
      <c r="D13" s="11">
        <v>923898</v>
      </c>
      <c r="E13" s="14">
        <f t="shared" si="3"/>
        <v>1231</v>
      </c>
      <c r="F13" s="27">
        <v>1704</v>
      </c>
      <c r="G13" s="67">
        <f t="shared" si="4"/>
        <v>0</v>
      </c>
      <c r="H13" s="69">
        <f t="shared" si="5"/>
        <v>10249</v>
      </c>
      <c r="I13" s="73">
        <f t="shared" si="6"/>
        <v>-35664.39</v>
      </c>
      <c r="J13" s="32">
        <f t="shared" si="0"/>
        <v>1332.0799999999945</v>
      </c>
      <c r="K13" s="20">
        <f t="shared" si="7"/>
        <v>45912</v>
      </c>
      <c r="L13" s="33">
        <v>7935</v>
      </c>
      <c r="M13" s="34">
        <v>0</v>
      </c>
      <c r="N13" s="32">
        <f t="shared" si="8"/>
        <v>0</v>
      </c>
      <c r="O13" s="85">
        <v>0.75</v>
      </c>
      <c r="P13" s="86">
        <v>0.75</v>
      </c>
      <c r="Q13" s="85">
        <v>0.64</v>
      </c>
      <c r="R13" s="86">
        <v>0.62</v>
      </c>
      <c r="S13" s="38">
        <f t="shared" si="9"/>
        <v>4380</v>
      </c>
      <c r="T13" s="123"/>
      <c r="U13" s="32">
        <f t="shared" si="10"/>
        <v>115</v>
      </c>
      <c r="V13" s="41">
        <v>29067</v>
      </c>
      <c r="W13" s="32">
        <f t="shared" si="1"/>
        <v>124</v>
      </c>
      <c r="X13" s="43">
        <v>61265</v>
      </c>
      <c r="Y13" s="14">
        <f t="shared" si="11"/>
        <v>0</v>
      </c>
      <c r="Z13" s="47">
        <v>3620</v>
      </c>
      <c r="AA13" s="52"/>
      <c r="AB13" s="32">
        <f t="shared" si="12"/>
        <v>0</v>
      </c>
      <c r="AC13" s="13">
        <v>231</v>
      </c>
      <c r="AD13" s="18">
        <v>459</v>
      </c>
    </row>
    <row r="14" spans="1:30" ht="20.7" customHeight="1" x14ac:dyDescent="0.2">
      <c r="A14" s="19">
        <v>45913</v>
      </c>
      <c r="B14" s="10">
        <v>900532</v>
      </c>
      <c r="C14" s="14">
        <f t="shared" si="2"/>
        <v>10348</v>
      </c>
      <c r="D14" s="11">
        <v>925129</v>
      </c>
      <c r="E14" s="14">
        <f t="shared" si="3"/>
        <v>1234</v>
      </c>
      <c r="F14" s="27">
        <v>1704</v>
      </c>
      <c r="G14" s="67">
        <f t="shared" si="4"/>
        <v>0</v>
      </c>
      <c r="H14" s="69">
        <f t="shared" si="5"/>
        <v>11582</v>
      </c>
      <c r="I14" s="73">
        <f t="shared" si="6"/>
        <v>-34332.310000000005</v>
      </c>
      <c r="J14" s="32">
        <f t="shared" si="0"/>
        <v>-1359.9300000000003</v>
      </c>
      <c r="K14" s="20">
        <f t="shared" si="7"/>
        <v>45913</v>
      </c>
      <c r="L14" s="33">
        <v>7935</v>
      </c>
      <c r="M14" s="34">
        <v>0</v>
      </c>
      <c r="N14" s="32">
        <f t="shared" si="8"/>
        <v>0</v>
      </c>
      <c r="O14" s="85">
        <v>0.73</v>
      </c>
      <c r="P14" s="86">
        <v>0.75</v>
      </c>
      <c r="Q14" s="85">
        <v>0.57999999999999996</v>
      </c>
      <c r="R14" s="86">
        <v>0.55000000000000004</v>
      </c>
      <c r="S14" s="38">
        <f t="shared" si="9"/>
        <v>4265</v>
      </c>
      <c r="T14" s="123"/>
      <c r="U14" s="32">
        <f t="shared" si="10"/>
        <v>165</v>
      </c>
      <c r="V14" s="41">
        <v>29191</v>
      </c>
      <c r="W14" s="32">
        <f t="shared" si="1"/>
        <v>137</v>
      </c>
      <c r="X14" s="43">
        <v>61265</v>
      </c>
      <c r="Y14" s="14">
        <f t="shared" si="11"/>
        <v>0</v>
      </c>
      <c r="Z14" s="47">
        <v>3620</v>
      </c>
      <c r="AA14" s="52"/>
      <c r="AB14" s="32">
        <f t="shared" si="12"/>
        <v>0</v>
      </c>
      <c r="AC14" s="13">
        <v>231</v>
      </c>
      <c r="AD14" s="18">
        <v>458</v>
      </c>
    </row>
    <row r="15" spans="1:30" ht="20.7" customHeight="1" x14ac:dyDescent="0.2">
      <c r="A15" s="19">
        <v>45914</v>
      </c>
      <c r="B15" s="10">
        <v>910880</v>
      </c>
      <c r="C15" s="14">
        <f t="shared" si="2"/>
        <v>9009</v>
      </c>
      <c r="D15" s="11">
        <v>926363</v>
      </c>
      <c r="E15" s="14">
        <f t="shared" si="3"/>
        <v>1214</v>
      </c>
      <c r="F15" s="27">
        <v>1704</v>
      </c>
      <c r="G15" s="67">
        <f t="shared" si="4"/>
        <v>0</v>
      </c>
      <c r="H15" s="69">
        <f t="shared" si="5"/>
        <v>10223</v>
      </c>
      <c r="I15" s="73">
        <f t="shared" si="6"/>
        <v>-35692.240000000005</v>
      </c>
      <c r="J15" s="32">
        <f t="shared" si="0"/>
        <v>-133.96999999999389</v>
      </c>
      <c r="K15" s="20">
        <f t="shared" si="7"/>
        <v>45914</v>
      </c>
      <c r="L15" s="33">
        <v>7935</v>
      </c>
      <c r="M15" s="34">
        <v>0</v>
      </c>
      <c r="N15" s="32">
        <f t="shared" si="8"/>
        <v>0</v>
      </c>
      <c r="O15" s="85">
        <v>0.69</v>
      </c>
      <c r="P15" s="86">
        <v>0.73</v>
      </c>
      <c r="Q15" s="85">
        <v>0.55000000000000004</v>
      </c>
      <c r="R15" s="86">
        <v>0.55000000000000004</v>
      </c>
      <c r="S15" s="38">
        <f t="shared" si="9"/>
        <v>4100</v>
      </c>
      <c r="T15" s="123"/>
      <c r="U15" s="32">
        <f t="shared" si="10"/>
        <v>50</v>
      </c>
      <c r="V15" s="41">
        <v>29328</v>
      </c>
      <c r="W15" s="32">
        <f t="shared" si="1"/>
        <v>118</v>
      </c>
      <c r="X15" s="44">
        <v>61265</v>
      </c>
      <c r="Y15" s="14">
        <f t="shared" si="11"/>
        <v>0</v>
      </c>
      <c r="Z15" s="47">
        <v>3620</v>
      </c>
      <c r="AA15" s="52"/>
      <c r="AB15" s="32">
        <f t="shared" si="12"/>
        <v>0</v>
      </c>
      <c r="AC15" s="13">
        <v>198</v>
      </c>
      <c r="AD15" s="18">
        <v>384</v>
      </c>
    </row>
    <row r="16" spans="1:30" ht="20.7" customHeight="1" x14ac:dyDescent="0.2">
      <c r="A16" s="19">
        <v>45915</v>
      </c>
      <c r="B16" s="10">
        <v>919889</v>
      </c>
      <c r="C16" s="14">
        <f t="shared" si="2"/>
        <v>8860</v>
      </c>
      <c r="D16" s="11">
        <v>927577</v>
      </c>
      <c r="E16" s="14">
        <f t="shared" si="3"/>
        <v>1230</v>
      </c>
      <c r="F16" s="27">
        <v>1704</v>
      </c>
      <c r="G16" s="67">
        <f t="shared" si="4"/>
        <v>0</v>
      </c>
      <c r="H16" s="69">
        <f t="shared" si="5"/>
        <v>10090</v>
      </c>
      <c r="I16" s="73">
        <f t="shared" si="6"/>
        <v>-35826.21</v>
      </c>
      <c r="J16" s="32">
        <f t="shared" si="0"/>
        <v>-537.43999999999505</v>
      </c>
      <c r="K16" s="20">
        <f t="shared" si="7"/>
        <v>45915</v>
      </c>
      <c r="L16" s="33">
        <v>7935</v>
      </c>
      <c r="M16" s="34">
        <v>0</v>
      </c>
      <c r="N16" s="32">
        <f t="shared" si="8"/>
        <v>0</v>
      </c>
      <c r="O16" s="85">
        <v>0.69</v>
      </c>
      <c r="P16" s="86">
        <v>0.72</v>
      </c>
      <c r="Q16" s="85">
        <v>0.52</v>
      </c>
      <c r="R16" s="86">
        <v>0.53</v>
      </c>
      <c r="S16" s="38">
        <f t="shared" si="9"/>
        <v>4050</v>
      </c>
      <c r="T16" s="123">
        <v>886</v>
      </c>
      <c r="U16" s="32">
        <f t="shared" si="10"/>
        <v>116</v>
      </c>
      <c r="V16" s="41">
        <v>29446</v>
      </c>
      <c r="W16" s="32">
        <f t="shared" si="1"/>
        <v>115</v>
      </c>
      <c r="X16" s="124">
        <v>61265</v>
      </c>
      <c r="Y16" s="14">
        <f t="shared" si="11"/>
        <v>0</v>
      </c>
      <c r="Z16" s="47">
        <v>3620</v>
      </c>
      <c r="AA16" s="52"/>
      <c r="AB16" s="32">
        <f t="shared" si="12"/>
        <v>0</v>
      </c>
      <c r="AC16" s="13">
        <v>196</v>
      </c>
      <c r="AD16" s="18">
        <v>375</v>
      </c>
    </row>
    <row r="17" spans="1:30" ht="20.7" customHeight="1" x14ac:dyDescent="0.2">
      <c r="A17" s="19">
        <v>45916</v>
      </c>
      <c r="B17" s="10">
        <v>928749</v>
      </c>
      <c r="C17" s="14">
        <f t="shared" si="2"/>
        <v>8376</v>
      </c>
      <c r="D17" s="11">
        <v>928807</v>
      </c>
      <c r="E17" s="14">
        <f t="shared" si="3"/>
        <v>1178</v>
      </c>
      <c r="F17" s="27">
        <v>1704</v>
      </c>
      <c r="G17" s="67">
        <f t="shared" si="4"/>
        <v>0</v>
      </c>
      <c r="H17" s="69">
        <f t="shared" si="5"/>
        <v>9554</v>
      </c>
      <c r="I17" s="73">
        <f t="shared" si="6"/>
        <v>-36363.649999999994</v>
      </c>
      <c r="J17" s="32">
        <f t="shared" si="0"/>
        <v>733.0399999999936</v>
      </c>
      <c r="K17" s="20">
        <f t="shared" si="7"/>
        <v>45916</v>
      </c>
      <c r="L17" s="33">
        <v>7935</v>
      </c>
      <c r="M17" s="34">
        <v>0</v>
      </c>
      <c r="N17" s="32">
        <f t="shared" si="8"/>
        <v>0</v>
      </c>
      <c r="O17" s="85">
        <v>0.81</v>
      </c>
      <c r="P17" s="86">
        <v>0.8</v>
      </c>
      <c r="Q17" s="85">
        <v>0.84</v>
      </c>
      <c r="R17" s="86">
        <v>0.75</v>
      </c>
      <c r="S17" s="38">
        <f t="shared" si="9"/>
        <v>4820</v>
      </c>
      <c r="T17" s="123"/>
      <c r="U17" s="32">
        <f t="shared" si="10"/>
        <v>75</v>
      </c>
      <c r="V17" s="41">
        <v>29561</v>
      </c>
      <c r="W17" s="32">
        <f t="shared" si="1"/>
        <v>117</v>
      </c>
      <c r="X17" s="44">
        <v>61265</v>
      </c>
      <c r="Y17" s="14">
        <f t="shared" si="11"/>
        <v>0</v>
      </c>
      <c r="Z17" s="47">
        <v>3620</v>
      </c>
      <c r="AA17" s="52"/>
      <c r="AB17" s="32">
        <f t="shared" si="12"/>
        <v>0</v>
      </c>
      <c r="AC17" s="13">
        <v>195</v>
      </c>
      <c r="AD17" s="18">
        <v>371</v>
      </c>
    </row>
    <row r="18" spans="1:30" ht="20.7" customHeight="1" x14ac:dyDescent="0.2">
      <c r="A18" s="19">
        <v>45917</v>
      </c>
      <c r="B18" s="10">
        <v>937125</v>
      </c>
      <c r="C18" s="14">
        <f t="shared" si="2"/>
        <v>9118</v>
      </c>
      <c r="D18" s="11">
        <v>929985</v>
      </c>
      <c r="E18" s="14">
        <f t="shared" si="3"/>
        <v>1170</v>
      </c>
      <c r="F18" s="27">
        <v>1704</v>
      </c>
      <c r="G18" s="67">
        <f t="shared" si="4"/>
        <v>0</v>
      </c>
      <c r="H18" s="69">
        <f t="shared" si="5"/>
        <v>10288</v>
      </c>
      <c r="I18" s="73">
        <f t="shared" si="6"/>
        <v>-35630.61</v>
      </c>
      <c r="J18" s="32">
        <f t="shared" si="0"/>
        <v>-32.930000000000291</v>
      </c>
      <c r="K18" s="20">
        <f t="shared" si="7"/>
        <v>45917</v>
      </c>
      <c r="L18" s="33">
        <v>7935</v>
      </c>
      <c r="M18" s="34">
        <v>0</v>
      </c>
      <c r="N18" s="32">
        <f t="shared" si="8"/>
        <v>0</v>
      </c>
      <c r="O18" s="85">
        <v>0.8</v>
      </c>
      <c r="P18" s="86">
        <v>0.79</v>
      </c>
      <c r="Q18" s="85">
        <v>0.81</v>
      </c>
      <c r="R18" s="86">
        <v>0.73</v>
      </c>
      <c r="S18" s="38">
        <f t="shared" si="9"/>
        <v>4745</v>
      </c>
      <c r="T18" s="123"/>
      <c r="U18" s="32">
        <f t="shared" si="10"/>
        <v>125</v>
      </c>
      <c r="V18" s="41">
        <v>29678</v>
      </c>
      <c r="W18" s="32">
        <f t="shared" si="1"/>
        <v>120</v>
      </c>
      <c r="X18" s="44">
        <v>61265</v>
      </c>
      <c r="Y18" s="14">
        <f t="shared" si="11"/>
        <v>0</v>
      </c>
      <c r="Z18" s="47">
        <v>3620</v>
      </c>
      <c r="AA18" s="52"/>
      <c r="AB18" s="32">
        <f t="shared" si="12"/>
        <v>0</v>
      </c>
      <c r="AC18" s="13">
        <v>203</v>
      </c>
      <c r="AD18" s="18">
        <v>384</v>
      </c>
    </row>
    <row r="19" spans="1:30" ht="20.7" customHeight="1" x14ac:dyDescent="0.2">
      <c r="A19" s="19">
        <v>45918</v>
      </c>
      <c r="B19" s="10">
        <v>946243</v>
      </c>
      <c r="C19" s="14">
        <f t="shared" si="2"/>
        <v>9070</v>
      </c>
      <c r="D19" s="11">
        <v>931155</v>
      </c>
      <c r="E19" s="14">
        <f t="shared" si="3"/>
        <v>1186</v>
      </c>
      <c r="F19" s="27">
        <v>1704</v>
      </c>
      <c r="G19" s="67">
        <f t="shared" si="4"/>
        <v>0</v>
      </c>
      <c r="H19" s="69">
        <f t="shared" si="5"/>
        <v>10256</v>
      </c>
      <c r="I19" s="73">
        <f t="shared" si="6"/>
        <v>-35663.54</v>
      </c>
      <c r="J19" s="32">
        <f t="shared" si="0"/>
        <v>-10256.919999999998</v>
      </c>
      <c r="K19" s="20">
        <f t="shared" si="7"/>
        <v>45918</v>
      </c>
      <c r="L19" s="33">
        <v>7935</v>
      </c>
      <c r="M19" s="34">
        <v>0</v>
      </c>
      <c r="N19" s="32">
        <f t="shared" si="8"/>
        <v>0</v>
      </c>
      <c r="O19" s="85">
        <v>0.78</v>
      </c>
      <c r="P19" s="86">
        <v>0.78</v>
      </c>
      <c r="Q19" s="85">
        <v>0.76</v>
      </c>
      <c r="R19" s="86">
        <v>0.68</v>
      </c>
      <c r="S19" s="38">
        <f t="shared" si="9"/>
        <v>4620</v>
      </c>
      <c r="T19" s="123"/>
      <c r="U19" s="32">
        <f t="shared" si="10"/>
        <v>95</v>
      </c>
      <c r="V19" s="41">
        <v>29798</v>
      </c>
      <c r="W19" s="32">
        <f t="shared" si="1"/>
        <v>115</v>
      </c>
      <c r="X19" s="44">
        <v>61265</v>
      </c>
      <c r="Y19" s="14">
        <f t="shared" si="11"/>
        <v>0</v>
      </c>
      <c r="Z19" s="47">
        <v>3620</v>
      </c>
      <c r="AA19" s="52"/>
      <c r="AB19" s="32">
        <f t="shared" si="12"/>
        <v>0</v>
      </c>
      <c r="AC19" s="13">
        <v>197</v>
      </c>
      <c r="AD19" s="18">
        <v>371</v>
      </c>
    </row>
    <row r="20" spans="1:30" ht="20.7" customHeight="1" x14ac:dyDescent="0.2">
      <c r="A20" s="19">
        <v>45919</v>
      </c>
      <c r="B20" s="10">
        <v>955313</v>
      </c>
      <c r="C20" s="14" t="str">
        <f t="shared" si="2"/>
        <v>0</v>
      </c>
      <c r="D20" s="11">
        <v>932341</v>
      </c>
      <c r="E20" s="14" t="str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-45920.46</v>
      </c>
      <c r="J20" s="32">
        <f t="shared" si="0"/>
        <v>0.45999999999912689</v>
      </c>
      <c r="K20" s="20">
        <f t="shared" si="7"/>
        <v>45919</v>
      </c>
      <c r="L20" s="33">
        <v>7935</v>
      </c>
      <c r="M20" s="34">
        <v>0</v>
      </c>
      <c r="N20" s="32" t="str">
        <f t="shared" si="8"/>
        <v>0</v>
      </c>
      <c r="O20" s="85">
        <v>0.76</v>
      </c>
      <c r="P20" s="86">
        <v>0.78</v>
      </c>
      <c r="Q20" s="85">
        <v>0.7</v>
      </c>
      <c r="R20" s="86">
        <v>0.65</v>
      </c>
      <c r="S20" s="38">
        <f t="shared" si="9"/>
        <v>4525</v>
      </c>
      <c r="T20" s="123"/>
      <c r="U20" s="32" t="str">
        <f t="shared" si="10"/>
        <v>0</v>
      </c>
      <c r="V20" s="41">
        <v>29913</v>
      </c>
      <c r="W20" s="32" t="str">
        <f t="shared" si="1"/>
        <v>0</v>
      </c>
      <c r="X20" s="44">
        <v>61265</v>
      </c>
      <c r="Y20" s="14" t="str">
        <f t="shared" si="11"/>
        <v>0</v>
      </c>
      <c r="Z20" s="47">
        <v>3620</v>
      </c>
      <c r="AA20" s="52"/>
      <c r="AB20" s="32" t="str">
        <f t="shared" si="12"/>
        <v>0</v>
      </c>
      <c r="AC20" s="13">
        <v>198</v>
      </c>
      <c r="AD20" s="18">
        <v>375</v>
      </c>
    </row>
    <row r="21" spans="1:30" ht="20.7" customHeight="1" x14ac:dyDescent="0.2">
      <c r="A21" s="19">
        <v>45920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-45920</v>
      </c>
      <c r="J21" s="32">
        <f t="shared" si="0"/>
        <v>-1</v>
      </c>
      <c r="K21" s="20">
        <f t="shared" si="7"/>
        <v>45920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45921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-45921</v>
      </c>
      <c r="J22" s="32">
        <f t="shared" si="0"/>
        <v>-1</v>
      </c>
      <c r="K22" s="20">
        <f t="shared" si="7"/>
        <v>45921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45922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-45922</v>
      </c>
      <c r="J23" s="32">
        <f t="shared" si="0"/>
        <v>-1</v>
      </c>
      <c r="K23" s="20">
        <f t="shared" si="7"/>
        <v>45922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45923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-45923</v>
      </c>
      <c r="J24" s="32">
        <f t="shared" si="0"/>
        <v>-1</v>
      </c>
      <c r="K24" s="20">
        <f t="shared" si="7"/>
        <v>45923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45924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-45924</v>
      </c>
      <c r="J25" s="32">
        <f t="shared" si="0"/>
        <v>-1</v>
      </c>
      <c r="K25" s="20">
        <f t="shared" si="7"/>
        <v>45924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45925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-45925</v>
      </c>
      <c r="J26" s="32">
        <f t="shared" si="0"/>
        <v>-1</v>
      </c>
      <c r="K26" s="20">
        <f t="shared" si="7"/>
        <v>45925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45926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-45926</v>
      </c>
      <c r="J27" s="32">
        <f t="shared" si="0"/>
        <v>-1</v>
      </c>
      <c r="K27" s="20">
        <f t="shared" si="7"/>
        <v>45926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161943</v>
      </c>
      <c r="D33" s="77"/>
      <c r="E33" s="76">
        <f>SUM(E2:E32)</f>
        <v>21942</v>
      </c>
      <c r="F33" s="78"/>
      <c r="G33" s="76">
        <f>SUM(G2:G32)</f>
        <v>0</v>
      </c>
      <c r="H33" s="77">
        <f>SUM(H2:H32)</f>
        <v>183885</v>
      </c>
      <c r="I33" s="76">
        <f>SUM(I2:I31)</f>
        <v>-1193607.46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3218</v>
      </c>
      <c r="U33" s="76">
        <f>SUM(U2:U32)</f>
        <v>2233</v>
      </c>
      <c r="V33" s="75"/>
      <c r="W33" s="76">
        <f>SUM(W2:W32)</f>
        <v>2156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3946</v>
      </c>
      <c r="AD33" s="80">
        <f>SUM(AD2:AD32)</f>
        <v>7765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2025-09-19T05:47:45Z</dcterms:modified>
  <cp:category/>
  <cp:contentStatus/>
</cp:coreProperties>
</file>