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764" documentId="13_ncr:1_{76C55D63-F869-4AF5-AAA3-3D809A91432B}" xr6:coauthVersionLast="48" xr6:coauthVersionMax="48" xr10:uidLastSave="{55F38995-6AF4-43D8-98A7-567579C866AE}"/>
  <bookViews>
    <workbookView xWindow="-120" yWindow="-120" windowWidth="20730" windowHeight="11160" firstSheet="1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1" i="27" l="1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6" i="27"/>
  <c r="J17" i="27"/>
  <c r="J15" i="27"/>
  <c r="J14" i="27"/>
  <c r="J13" i="27"/>
  <c r="J12" i="27"/>
  <c r="J11" i="27"/>
  <c r="J10" i="27"/>
  <c r="J9" i="27"/>
  <c r="J8" i="27"/>
  <c r="J7" i="27"/>
  <c r="J6" i="27"/>
  <c r="J5" i="27"/>
  <c r="L37" i="27"/>
  <c r="L32" i="27"/>
  <c r="L33" i="27"/>
  <c r="L34" i="27"/>
  <c r="L35" i="27"/>
  <c r="L36" i="27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L31" i="27" s="1"/>
  <c r="F31" i="27"/>
  <c r="C31" i="27"/>
  <c r="D31" i="27" s="1"/>
  <c r="K30" i="27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G26" i="26" l="1"/>
  <c r="L30" i="27"/>
  <c r="H37" i="27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<sst xmlns="http://schemas.openxmlformats.org/spreadsheetml/2006/main" count="72" uniqueCount="33">
  <si>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</si>
  <si>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</si>
  <si>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</si>
  <si>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</si>
  <si>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</si>
  <si>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</si>
  <si>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</si>
  <si>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</si>
  <si>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</si>
  <si>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</si>
  <si>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</si>
  <si>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</si>
  <si>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</si>
  <si>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</si>
  <si>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</si>
  <si>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May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</si>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</sst>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2" xfId="6" applyFont="1" applyBorder="1" applyAlignment="1">
      <alignment horizontal="center" vertical="center"/>
    </xf>
    <xf numFmtId="164" fontId="10" fillId="3" borderId="63" xfId="6" applyNumberFormat="1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65" xfId="6" applyNumberFormat="1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3" borderId="63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1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5"/>
  <sheetViews>
    <sheetView topLeftCell="F1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5</v>
      </c>
      <c r="D2" s="10">
        <v>2022</v>
      </c>
      <c r="E2" s="11">
        <f>IF(Electricity!F8&lt;0,0,Electricity!F8)</f>
        <v>14762.500000001637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2088</v>
      </c>
      <c r="J2" s="83">
        <v>0.21186441</v>
      </c>
      <c r="K2" s="11">
        <f>IF('Water, Gas, Diesel'!F6&lt;0,0,'Water, Gas, Diesel'!F6)</f>
        <v>190</v>
      </c>
      <c r="L2" s="83">
        <v>1.6949000000000001</v>
      </c>
      <c r="M2" s="11">
        <f>Electricity!H8</f>
        <v>149</v>
      </c>
      <c r="O2" s="107"/>
    </row>
    <row r="3" spans="1:15">
      <c r="A3" s="8" t="s">
        <v>13</v>
      </c>
      <c r="B3" s="9">
        <f>B2+1</f>
        <v>2</v>
      </c>
      <c r="C3" s="9">
        <v>5</v>
      </c>
      <c r="D3" s="10">
        <v>2022</v>
      </c>
      <c r="E3" s="11">
        <f>IF(Electricity!F9&lt;0,0,Electricity!F9)</f>
        <v>21614.999999997053</v>
      </c>
      <c r="F3" s="83">
        <v>9.3200000000000005E-2</v>
      </c>
      <c r="G3" s="11">
        <f>IF('Water, Gas, Diesel'!K7&lt;0,0,'Water, Gas, Diesel'!K7)</f>
        <v>10</v>
      </c>
      <c r="H3" s="83">
        <v>0.7</v>
      </c>
      <c r="I3" s="11">
        <f>IF('Water, Gas, Diesel'!C7&lt;0,0,'Water, Gas, Diesel'!C7)</f>
        <v>2413</v>
      </c>
      <c r="J3" s="83">
        <v>0.21186441</v>
      </c>
      <c r="K3" s="11">
        <f>IF('Water, Gas, Diesel'!F7&lt;0,0,'Water, Gas, Diesel'!F7)</f>
        <v>339</v>
      </c>
      <c r="L3" s="83">
        <v>1.6949000000000001</v>
      </c>
      <c r="M3" s="11">
        <f>Electricity!H9</f>
        <v>158</v>
      </c>
    </row>
    <row r="4" spans="1:15">
      <c r="A4" s="8" t="s">
        <v>13</v>
      </c>
      <c r="B4" s="9">
        <f t="shared" ref="B4:B32" si="0">B3+1</f>
        <v>3</v>
      </c>
      <c r="C4" s="9">
        <v>5</v>
      </c>
      <c r="D4" s="10">
        <v>2022</v>
      </c>
      <c r="E4" s="11">
        <f>IF(Electricity!F10&lt;0,0,Electricity!F10)</f>
        <v>21452.500000004875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2758</v>
      </c>
      <c r="J4" s="83">
        <v>0.21186441</v>
      </c>
      <c r="K4" s="11">
        <f>IF('Water, Gas, Diesel'!F8&lt;0,0,'Water, Gas, Diesel'!F8)</f>
        <v>268</v>
      </c>
      <c r="L4" s="83">
        <v>1.6949000000000001</v>
      </c>
      <c r="M4" s="11">
        <f>Electricity!H10</f>
        <v>161</v>
      </c>
    </row>
    <row r="5" spans="1:15">
      <c r="A5" s="8" t="s">
        <v>13</v>
      </c>
      <c r="B5" s="9">
        <f t="shared" si="0"/>
        <v>4</v>
      </c>
      <c r="C5" s="9">
        <v>5</v>
      </c>
      <c r="D5" s="10">
        <v>2022</v>
      </c>
      <c r="E5" s="11">
        <f>IF(Electricity!F11&lt;0,0,Electricity!F11)</f>
        <v>20944.99999999698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2915</v>
      </c>
      <c r="J5" s="83">
        <v>0.21186441</v>
      </c>
      <c r="K5" s="11">
        <f>IF('Water, Gas, Diesel'!F9&lt;0,0,'Water, Gas, Diesel'!F9)</f>
        <v>266</v>
      </c>
      <c r="L5" s="83">
        <v>1.6949000000000001</v>
      </c>
      <c r="M5" s="11">
        <f>Electricity!H11</f>
        <v>168</v>
      </c>
    </row>
    <row r="6" spans="1:15">
      <c r="A6" s="8" t="s">
        <v>13</v>
      </c>
      <c r="B6" s="9">
        <f t="shared" si="0"/>
        <v>5</v>
      </c>
      <c r="C6" s="9">
        <v>5</v>
      </c>
      <c r="D6" s="10">
        <v>2022</v>
      </c>
      <c r="E6" s="11">
        <f>IF(Electricity!F12&lt;0,0,Electricity!F12)</f>
        <v>20534.999999999854</v>
      </c>
      <c r="F6" s="83">
        <v>9.3200000000000005E-2</v>
      </c>
      <c r="G6" s="11">
        <f>IF('Water, Gas, Diesel'!K10&lt;0,0,'Water, Gas, Diesel'!K10)</f>
        <v>0</v>
      </c>
      <c r="H6" s="83">
        <v>0.7</v>
      </c>
      <c r="I6" s="11">
        <f>IF('Water, Gas, Diesel'!C10&lt;0,0,'Water, Gas, Diesel'!C10)</f>
        <v>3307</v>
      </c>
      <c r="J6" s="83">
        <v>0.21186441</v>
      </c>
      <c r="K6" s="11">
        <f>IF('Water, Gas, Diesel'!F10&lt;0,0,'Water, Gas, Diesel'!F10)</f>
        <v>268</v>
      </c>
      <c r="L6" s="83">
        <v>1.6949000000000001</v>
      </c>
      <c r="M6" s="11">
        <f>Electricity!H12</f>
        <v>171</v>
      </c>
    </row>
    <row r="7" spans="1:15">
      <c r="A7" s="8" t="s">
        <v>13</v>
      </c>
      <c r="B7" s="9">
        <f t="shared" si="0"/>
        <v>6</v>
      </c>
      <c r="C7" s="9">
        <v>5</v>
      </c>
      <c r="D7" s="10">
        <v>2022</v>
      </c>
      <c r="E7" s="11">
        <f>IF(Electricity!F13&lt;0,0,Electricity!F13)</f>
        <v>20345.000000002074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3169</v>
      </c>
      <c r="J7" s="83">
        <v>0.21186441</v>
      </c>
      <c r="K7" s="11">
        <f>IF('Water, Gas, Diesel'!F11&lt;0,0,'Water, Gas, Diesel'!F11)</f>
        <v>288</v>
      </c>
      <c r="L7" s="83">
        <v>1.6949000000000001</v>
      </c>
      <c r="M7" s="11">
        <f>Electricity!H13</f>
        <v>144</v>
      </c>
    </row>
    <row r="8" spans="1:15">
      <c r="A8" s="8" t="s">
        <v>13</v>
      </c>
      <c r="B8" s="9">
        <f t="shared" si="0"/>
        <v>7</v>
      </c>
      <c r="C8" s="9">
        <v>5</v>
      </c>
      <c r="D8" s="10">
        <v>2022</v>
      </c>
      <c r="E8" s="11">
        <f>IF(Electricity!F14&lt;0,0,Electricity!F14)</f>
        <v>19594.999999999345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2667</v>
      </c>
      <c r="J8" s="83">
        <v>0.21186441</v>
      </c>
      <c r="K8" s="11">
        <f>IF('Water, Gas, Diesel'!F12&lt;0,0,'Water, Gas, Diesel'!F12)</f>
        <v>286</v>
      </c>
      <c r="L8" s="83">
        <v>1.6949000000000001</v>
      </c>
      <c r="M8" s="11">
        <f>Electricity!H14</f>
        <v>153</v>
      </c>
    </row>
    <row r="9" spans="1:15">
      <c r="A9" s="8" t="s">
        <v>13</v>
      </c>
      <c r="B9" s="9">
        <f t="shared" si="0"/>
        <v>8</v>
      </c>
      <c r="C9" s="9">
        <v>5</v>
      </c>
      <c r="D9" s="10">
        <v>2022</v>
      </c>
      <c r="E9" s="11">
        <f>IF(Electricity!F15&lt;0,0,Electricity!F15)</f>
        <v>14262.499999999818</v>
      </c>
      <c r="F9" s="83">
        <v>9.3200000000000005E-2</v>
      </c>
      <c r="G9" s="11">
        <f>IF('Water, Gas, Diesel'!K13&lt;0,0,'Water, Gas, Diesel'!K13)</f>
        <v>110</v>
      </c>
      <c r="H9" s="83">
        <v>0.7</v>
      </c>
      <c r="I9" s="11">
        <f>IF('Water, Gas, Diesel'!C13&lt;0,0,'Water, Gas, Diesel'!C13)</f>
        <v>2073</v>
      </c>
      <c r="J9" s="83">
        <v>0.21186441</v>
      </c>
      <c r="K9" s="11">
        <f>IF('Water, Gas, Diesel'!F13&lt;0,0,'Water, Gas, Diesel'!F13)</f>
        <v>201</v>
      </c>
      <c r="L9" s="83">
        <v>1.6949000000000001</v>
      </c>
      <c r="M9" s="11">
        <f>Electricity!H15</f>
        <v>131</v>
      </c>
    </row>
    <row r="10" spans="1:15">
      <c r="A10" s="8" t="s">
        <v>13</v>
      </c>
      <c r="B10" s="9">
        <f t="shared" si="0"/>
        <v>9</v>
      </c>
      <c r="C10" s="9">
        <v>5</v>
      </c>
      <c r="D10" s="10">
        <v>2022</v>
      </c>
      <c r="E10" s="11">
        <f>IF(Electricity!F16&lt;0,0,Electricity!F16)</f>
        <v>20524.999999997817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2082</v>
      </c>
      <c r="J10" s="83">
        <v>0.21186441</v>
      </c>
      <c r="K10" s="11">
        <f>IF('Water, Gas, Diesel'!F14&lt;0,0,'Water, Gas, Diesel'!F14)</f>
        <v>294</v>
      </c>
      <c r="L10" s="83">
        <v>1.6949000000000001</v>
      </c>
      <c r="M10" s="11">
        <f>Electricity!H16</f>
        <v>90</v>
      </c>
    </row>
    <row r="11" spans="1:15">
      <c r="A11" s="8" t="s">
        <v>13</v>
      </c>
      <c r="B11" s="9">
        <f t="shared" si="0"/>
        <v>10</v>
      </c>
      <c r="C11" s="9">
        <v>5</v>
      </c>
      <c r="D11" s="10">
        <v>2022</v>
      </c>
      <c r="E11" s="11">
        <f>IF(Electricity!F17&lt;0,0,Electricity!F17)</f>
        <v>19995.000000003529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1734</v>
      </c>
      <c r="J11" s="83">
        <v>0.21186441</v>
      </c>
      <c r="K11" s="11">
        <f>IF('Water, Gas, Diesel'!F15&lt;0,0,'Water, Gas, Diesel'!F15)</f>
        <v>288</v>
      </c>
      <c r="L11" s="83">
        <v>1.6949000000000001</v>
      </c>
      <c r="M11" s="11">
        <f>Electricity!H17</f>
        <v>84</v>
      </c>
    </row>
    <row r="12" spans="1:15">
      <c r="A12" s="8" t="s">
        <v>13</v>
      </c>
      <c r="B12" s="9">
        <f t="shared" si="0"/>
        <v>11</v>
      </c>
      <c r="C12" s="9">
        <v>5</v>
      </c>
      <c r="D12" s="10">
        <v>2022</v>
      </c>
      <c r="E12" s="11">
        <f>IF(Electricity!F18&lt;0,0,Electricity!F18)</f>
        <v>22139.99999999487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3928</v>
      </c>
      <c r="J12" s="83">
        <v>0.21186441</v>
      </c>
      <c r="K12" s="11">
        <f>IF('Water, Gas, Diesel'!F16&lt;0,0,'Water, Gas, Diesel'!F16)</f>
        <v>315</v>
      </c>
      <c r="L12" s="83">
        <v>1.6949000000000001</v>
      </c>
      <c r="M12" s="11">
        <f>Electricity!H18</f>
        <v>85</v>
      </c>
    </row>
    <row r="13" spans="1:15">
      <c r="A13" s="8" t="s">
        <v>13</v>
      </c>
      <c r="B13" s="9">
        <f t="shared" si="0"/>
        <v>12</v>
      </c>
      <c r="C13" s="9">
        <v>5</v>
      </c>
      <c r="D13" s="10">
        <v>2022</v>
      </c>
      <c r="E13" s="11">
        <f>IF(Electricity!F19&lt;0,0,Electricity!F19)</f>
        <v>19905.000000003383</v>
      </c>
      <c r="F13" s="83">
        <v>9.3200000000000005E-2</v>
      </c>
      <c r="G13" s="11">
        <f>IF('Water, Gas, Diesel'!K17&lt;0,0,'Water, Gas, Diesel'!K17)</f>
        <v>570</v>
      </c>
      <c r="H13" s="83">
        <v>0.7</v>
      </c>
      <c r="I13" s="11">
        <f>IF('Water, Gas, Diesel'!C17&lt;0,0,'Water, Gas, Diesel'!C17)</f>
        <v>1920</v>
      </c>
      <c r="J13" s="83">
        <v>0.21186441</v>
      </c>
      <c r="K13" s="11">
        <f>IF('Water, Gas, Diesel'!F17&lt;0,0,'Water, Gas, Diesel'!F17)</f>
        <v>271</v>
      </c>
      <c r="L13" s="83">
        <v>1.6949000000000001</v>
      </c>
      <c r="M13" s="11">
        <f>Electricity!H19</f>
        <v>89</v>
      </c>
    </row>
    <row r="14" spans="1:15">
      <c r="A14" s="8" t="s">
        <v>13</v>
      </c>
      <c r="B14" s="9">
        <f t="shared" si="0"/>
        <v>13</v>
      </c>
      <c r="C14" s="9">
        <v>5</v>
      </c>
      <c r="D14" s="10">
        <v>2022</v>
      </c>
      <c r="E14" s="11">
        <f>IF(Electricity!F20&lt;0,0,Electricity!F20)</f>
        <v>20554.999999999382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2952</v>
      </c>
      <c r="J14" s="83">
        <v>0.21186441</v>
      </c>
      <c r="K14" s="11">
        <f>IF('Water, Gas, Diesel'!F18&lt;0,0,'Water, Gas, Diesel'!F18)</f>
        <v>273</v>
      </c>
      <c r="L14" s="83">
        <v>1.6949000000000001</v>
      </c>
      <c r="M14" s="11">
        <f>Electricity!H20</f>
        <v>67</v>
      </c>
    </row>
    <row r="15" spans="1:15">
      <c r="A15" s="8" t="s">
        <v>13</v>
      </c>
      <c r="B15" s="9">
        <f t="shared" si="0"/>
        <v>14</v>
      </c>
      <c r="C15" s="9">
        <v>5</v>
      </c>
      <c r="D15" s="10">
        <v>2022</v>
      </c>
      <c r="E15" s="11">
        <f>IF(Electricity!F21&lt;0,0,Electricity!F21)</f>
        <v>19267.500000000837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2438</v>
      </c>
      <c r="J15" s="83">
        <v>0.21186441</v>
      </c>
      <c r="K15" s="11">
        <f>IF('Water, Gas, Diesel'!F19&lt;0,0,'Water, Gas, Diesel'!F19)</f>
        <v>279</v>
      </c>
      <c r="L15" s="83">
        <v>1.6949000000000001</v>
      </c>
      <c r="M15" s="11">
        <f>Electricity!H21</f>
        <v>65</v>
      </c>
    </row>
    <row r="16" spans="1:15">
      <c r="A16" s="8" t="s">
        <v>13</v>
      </c>
      <c r="B16" s="9">
        <f t="shared" si="0"/>
        <v>15</v>
      </c>
      <c r="C16" s="9">
        <v>5</v>
      </c>
      <c r="D16" s="10">
        <v>2022</v>
      </c>
      <c r="E16" s="11">
        <f>IF(Electricity!F22&lt;0,0,Electricity!F22)</f>
        <v>18747.499999999491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1089</v>
      </c>
      <c r="J16" s="83">
        <v>0.21186441</v>
      </c>
      <c r="K16" s="11">
        <f>IF('Water, Gas, Diesel'!F20&lt;0,0,'Water, Gas, Diesel'!F20)</f>
        <v>253</v>
      </c>
      <c r="L16" s="83">
        <v>1.6949000000000001</v>
      </c>
      <c r="M16" s="11">
        <f>Electricity!H22</f>
        <v>70</v>
      </c>
    </row>
    <row r="17" spans="1:13">
      <c r="A17" s="8" t="s">
        <v>13</v>
      </c>
      <c r="B17" s="9">
        <f t="shared" si="0"/>
        <v>16</v>
      </c>
      <c r="C17" s="9">
        <v>5</v>
      </c>
      <c r="D17" s="10">
        <v>2022</v>
      </c>
      <c r="E17" s="11">
        <f>IF(Electricity!F23&lt;0,0,Electricity!F23)</f>
        <v>19507.499999999709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3634</v>
      </c>
      <c r="J17" s="83">
        <v>0.21186441</v>
      </c>
      <c r="K17" s="11">
        <f>IF('Water, Gas, Diesel'!F21&lt;0,0,'Water, Gas, Diesel'!F21)</f>
        <v>260</v>
      </c>
      <c r="L17" s="83">
        <v>1.6949000000000001</v>
      </c>
      <c r="M17" s="11">
        <f>Electricity!H23</f>
        <v>82</v>
      </c>
    </row>
    <row r="18" spans="1:13">
      <c r="A18" s="8" t="s">
        <v>13</v>
      </c>
      <c r="B18" s="9">
        <f t="shared" si="0"/>
        <v>17</v>
      </c>
      <c r="C18" s="9">
        <v>5</v>
      </c>
      <c r="D18" s="10">
        <v>2022</v>
      </c>
      <c r="E18" s="11">
        <f>IF(Electricity!F24&lt;0,0,Electricity!F24)</f>
        <v>11929.999999997563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3630</v>
      </c>
      <c r="J18" s="83">
        <v>0.21186441</v>
      </c>
      <c r="K18" s="11">
        <f>IF('Water, Gas, Diesel'!F22&lt;0,0,'Water, Gas, Diesel'!F22)</f>
        <v>235</v>
      </c>
      <c r="L18" s="83">
        <v>1.6949000000000001</v>
      </c>
      <c r="M18" s="11">
        <f>Electricity!H24</f>
        <v>132</v>
      </c>
    </row>
    <row r="19" spans="1:13">
      <c r="A19" s="8" t="s">
        <v>13</v>
      </c>
      <c r="B19" s="9">
        <f t="shared" si="0"/>
        <v>18</v>
      </c>
      <c r="C19" s="9">
        <v>5</v>
      </c>
      <c r="D19" s="10">
        <v>2022</v>
      </c>
      <c r="E19" s="11">
        <f>IF(Electricity!F25&lt;0,0,Electricity!F25)</f>
        <v>25955.000000003565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923</v>
      </c>
      <c r="J19" s="83">
        <v>0.21186441</v>
      </c>
      <c r="K19" s="11">
        <f>IF('Water, Gas, Diesel'!F23&lt;0,0,'Water, Gas, Diesel'!F23)</f>
        <v>208</v>
      </c>
      <c r="L19" s="83">
        <v>1.6949000000000001</v>
      </c>
      <c r="M19" s="11">
        <f>Electricity!H25</f>
        <v>161</v>
      </c>
    </row>
    <row r="20" spans="1:13">
      <c r="A20" s="8" t="s">
        <v>13</v>
      </c>
      <c r="B20" s="9">
        <f t="shared" si="0"/>
        <v>19</v>
      </c>
      <c r="C20" s="9">
        <v>5</v>
      </c>
      <c r="D20" s="10">
        <v>2022</v>
      </c>
      <c r="E20" s="11">
        <f>IF(Electricity!F26&lt;0,0,Electricity!F26)</f>
        <v>6634.9999999965803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486</v>
      </c>
      <c r="J20" s="83">
        <v>0.21186441</v>
      </c>
      <c r="K20" s="11">
        <f>IF('Water, Gas, Diesel'!F24&lt;0,0,'Water, Gas, Diesel'!F24)</f>
        <v>164</v>
      </c>
      <c r="L20" s="83">
        <v>1.6949000000000001</v>
      </c>
      <c r="M20" s="11">
        <f>Electricity!H26</f>
        <v>121</v>
      </c>
    </row>
    <row r="21" spans="1:13">
      <c r="A21" s="8" t="s">
        <v>13</v>
      </c>
      <c r="B21" s="9">
        <f t="shared" si="0"/>
        <v>20</v>
      </c>
      <c r="C21" s="9">
        <v>5</v>
      </c>
      <c r="D21" s="10">
        <v>2022</v>
      </c>
      <c r="E21" s="11">
        <f>IF(Electricity!F27&lt;0,0,Electricity!F27)</f>
        <v>31282.500000002074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4653</v>
      </c>
      <c r="J21" s="83">
        <v>0.21186441</v>
      </c>
      <c r="K21" s="11">
        <f>IF('Water, Gas, Diesel'!F25&lt;0,0,'Water, Gas, Diesel'!F25)</f>
        <v>196</v>
      </c>
      <c r="L21" s="83">
        <v>1.6949000000000001</v>
      </c>
      <c r="M21" s="11">
        <f>Electricity!H27</f>
        <v>103</v>
      </c>
    </row>
    <row r="22" spans="1:13">
      <c r="A22" s="8" t="s">
        <v>13</v>
      </c>
      <c r="B22" s="9">
        <f t="shared" si="0"/>
        <v>21</v>
      </c>
      <c r="C22" s="9">
        <v>5</v>
      </c>
      <c r="D22" s="10">
        <v>2022</v>
      </c>
      <c r="E22" s="11">
        <f>IF(Electricity!F28&lt;0,0,Electricity!F28)</f>
        <v>18425.000000002001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2253</v>
      </c>
      <c r="J22" s="83">
        <v>0.21186441</v>
      </c>
      <c r="K22" s="11">
        <f>IF('Water, Gas, Diesel'!F26&lt;0,0,'Water, Gas, Diesel'!F26)</f>
        <v>180</v>
      </c>
      <c r="L22" s="83">
        <v>1.6949000000000001</v>
      </c>
      <c r="M22" s="11">
        <f>Electricity!H28</f>
        <v>80</v>
      </c>
    </row>
    <row r="23" spans="1:13">
      <c r="A23" s="8" t="s">
        <v>13</v>
      </c>
      <c r="B23" s="9">
        <f t="shared" si="0"/>
        <v>22</v>
      </c>
      <c r="C23" s="9">
        <v>5</v>
      </c>
      <c r="D23" s="10">
        <v>2022</v>
      </c>
      <c r="E23" s="11">
        <f>IF(Electricity!F29&lt;0,0,Electricity!F29)</f>
        <v>19017.49999999538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2339</v>
      </c>
      <c r="J23" s="83">
        <v>0.21186441</v>
      </c>
      <c r="K23" s="11">
        <f>IF('Water, Gas, Diesel'!F27&lt;0,0,'Water, Gas, Diesel'!F27)</f>
        <v>183</v>
      </c>
      <c r="L23" s="83">
        <v>1.6949000000000001</v>
      </c>
      <c r="M23" s="11">
        <f>Electricity!H29</f>
        <v>73</v>
      </c>
    </row>
    <row r="24" spans="1:13">
      <c r="A24" s="8" t="s">
        <v>13</v>
      </c>
      <c r="B24" s="9">
        <f t="shared" si="0"/>
        <v>23</v>
      </c>
      <c r="C24" s="9">
        <v>5</v>
      </c>
      <c r="D24" s="10">
        <v>2022</v>
      </c>
      <c r="E24" s="11">
        <f>IF(Electricity!F30&lt;0,0,Electricity!F30)</f>
        <v>15472.500000005311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2225</v>
      </c>
      <c r="J24" s="83">
        <v>0.21186441</v>
      </c>
      <c r="K24" s="11">
        <f>IF('Water, Gas, Diesel'!F28&lt;0,0,'Water, Gas, Diesel'!F28)</f>
        <v>172</v>
      </c>
      <c r="L24" s="83">
        <v>1.6949000000000001</v>
      </c>
      <c r="M24" s="11">
        <f>Electricity!H30</f>
        <v>74</v>
      </c>
    </row>
    <row r="25" spans="1:13">
      <c r="A25" s="8" t="s">
        <v>13</v>
      </c>
      <c r="B25" s="9">
        <f t="shared" si="0"/>
        <v>24</v>
      </c>
      <c r="C25" s="9">
        <v>5</v>
      </c>
      <c r="D25" s="10">
        <v>2022</v>
      </c>
      <c r="E25" s="11">
        <f>IF(Electricity!F31&lt;0,0,Electricity!F31)</f>
        <v>24312.499999996362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2888</v>
      </c>
      <c r="J25" s="83">
        <v>0.21186441</v>
      </c>
      <c r="K25" s="11">
        <f>IF('Water, Gas, Diesel'!F29&lt;0,0,'Water, Gas, Diesel'!F29)</f>
        <v>181</v>
      </c>
      <c r="L25" s="83">
        <v>1.6949000000000001</v>
      </c>
      <c r="M25" s="11">
        <f>Electricity!H31</f>
        <v>87</v>
      </c>
    </row>
    <row r="26" spans="1:13">
      <c r="A26" s="8" t="s">
        <v>13</v>
      </c>
      <c r="B26" s="9">
        <f>B25+1</f>
        <v>25</v>
      </c>
      <c r="C26" s="9">
        <v>5</v>
      </c>
      <c r="D26" s="10">
        <v>2022</v>
      </c>
      <c r="E26" s="11">
        <f>IF(Electricity!F32&lt;0,0,Electricity!F32)</f>
        <v>12080.000000000837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2875</v>
      </c>
      <c r="J26" s="83">
        <v>0.21186441</v>
      </c>
      <c r="K26" s="11">
        <f>IF('Water, Gas, Diesel'!F30&lt;0,0,'Water, Gas, Diesel'!F30)</f>
        <v>230</v>
      </c>
      <c r="L26" s="83">
        <v>1.6949000000000001</v>
      </c>
      <c r="M26" s="11">
        <f>Electricity!H32</f>
        <v>92</v>
      </c>
    </row>
    <row r="27" spans="1:13">
      <c r="A27" s="8" t="s">
        <v>13</v>
      </c>
      <c r="B27" s="9">
        <f t="shared" si="0"/>
        <v>26</v>
      </c>
      <c r="C27" s="9">
        <v>5</v>
      </c>
      <c r="D27" s="10">
        <v>2022</v>
      </c>
      <c r="E27" s="11">
        <f>IF(Electricity!F33&lt;0,0,Electricity!F33)</f>
        <v>30015.000000003056</v>
      </c>
      <c r="F27" s="83">
        <v>9.3200000000000005E-2</v>
      </c>
      <c r="G27" s="11">
        <f>IF('Water, Gas, Diesel'!K31&lt;0,0,'Water, Gas, Diesel'!K31)</f>
        <v>11650</v>
      </c>
      <c r="H27" s="83">
        <v>0.7</v>
      </c>
      <c r="I27" s="11">
        <f>IF('Water, Gas, Diesel'!C31&lt;0,0,'Water, Gas, Diesel'!C31)</f>
        <v>1964</v>
      </c>
      <c r="J27" s="83">
        <v>0.21186441</v>
      </c>
      <c r="K27" s="11">
        <f>IF('Water, Gas, Diesel'!F31&lt;0,0,'Water, Gas, Diesel'!F31)</f>
        <v>189</v>
      </c>
      <c r="L27" s="83">
        <v>1.6949000000000001</v>
      </c>
      <c r="M27" s="11">
        <f>Electricity!H33</f>
        <v>121</v>
      </c>
    </row>
    <row r="28" spans="1:13">
      <c r="A28" s="8" t="s">
        <v>13</v>
      </c>
      <c r="B28" s="9">
        <f t="shared" si="0"/>
        <v>27</v>
      </c>
      <c r="C28" s="9">
        <v>5</v>
      </c>
      <c r="D28" s="10">
        <v>2022</v>
      </c>
      <c r="E28" s="11">
        <f>IF(Electricity!F34&lt;0,0,Electricity!F34)</f>
        <v>24504.9999999992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1466</v>
      </c>
      <c r="J28" s="83">
        <v>0.21186441</v>
      </c>
      <c r="K28" s="11">
        <f>IF('Water, Gas, Diesel'!F32&lt;0,0,'Water, Gas, Diesel'!F32)</f>
        <v>300</v>
      </c>
      <c r="L28" s="83">
        <v>1.6949000000000001</v>
      </c>
      <c r="M28" s="11">
        <f>Electricity!H34</f>
        <v>167</v>
      </c>
    </row>
    <row r="29" spans="1:13">
      <c r="A29" s="8" t="s">
        <v>13</v>
      </c>
      <c r="B29" s="9">
        <f t="shared" si="0"/>
        <v>28</v>
      </c>
      <c r="C29" s="9">
        <v>5</v>
      </c>
      <c r="D29" s="10">
        <v>2022</v>
      </c>
      <c r="E29" s="11">
        <f>IF(Electricity!F35&lt;0,0,Electricity!F35)</f>
        <v>21267.49999999447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4225</v>
      </c>
      <c r="J29" s="83">
        <v>0.21186441</v>
      </c>
      <c r="K29" s="11">
        <f>IF('Water, Gas, Diesel'!F33&lt;0,0,'Water, Gas, Diesel'!F33)</f>
        <v>292</v>
      </c>
      <c r="L29" s="83">
        <v>1.6949000000000001</v>
      </c>
      <c r="M29" s="11">
        <f>Electricity!H35</f>
        <v>150</v>
      </c>
    </row>
    <row r="30" spans="1:13">
      <c r="A30" s="8" t="s">
        <v>13</v>
      </c>
      <c r="B30" s="9">
        <f t="shared" si="0"/>
        <v>29</v>
      </c>
      <c r="C30" s="9">
        <v>5</v>
      </c>
      <c r="D30" s="10">
        <v>2022</v>
      </c>
      <c r="E30" s="11">
        <f>IF(Electricity!F36&lt;0,0,Electricity!F36)</f>
        <v>23127.500000000509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2424</v>
      </c>
      <c r="J30" s="83">
        <v>0.21186441</v>
      </c>
      <c r="K30" s="11">
        <f>IF('Water, Gas, Diesel'!F34&lt;0,0,'Water, Gas, Diesel'!F34)</f>
        <v>278</v>
      </c>
      <c r="L30" s="83">
        <v>1.6949000000000001</v>
      </c>
      <c r="M30" s="11">
        <f>Electricity!H36</f>
        <v>95</v>
      </c>
    </row>
    <row r="31" spans="1:13">
      <c r="A31" s="8" t="s">
        <v>13</v>
      </c>
      <c r="B31" s="9">
        <f t="shared" si="0"/>
        <v>30</v>
      </c>
      <c r="C31" s="9">
        <v>5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88</v>
      </c>
    </row>
    <row r="32" spans="1:13">
      <c r="A32" s="8" t="s">
        <v>13</v>
      </c>
      <c r="B32" s="9">
        <f t="shared" si="0"/>
        <v>31</v>
      </c>
      <c r="C32" s="9">
        <v>5</v>
      </c>
      <c r="D32" s="10">
        <v>2022</v>
      </c>
      <c r="E32" s="11">
        <f>IF(Electricity!F38&lt;0,0,Electricity!F38)</f>
        <v>0</v>
      </c>
      <c r="F32" s="83">
        <v>9.3200000000000005E-2</v>
      </c>
      <c r="G32" s="11">
        <f>IF('Water, Gas, Diesel'!K36&lt;0,0,'Water, Gas, Diesel'!K36)</f>
        <v>0</v>
      </c>
      <c r="H32" s="83">
        <v>0.7</v>
      </c>
      <c r="I32" s="11">
        <f>IF('Water, Gas, Diesel'!C36&lt;0,0,'Water, Gas, Diesel'!C36)</f>
        <v>0</v>
      </c>
      <c r="J32" s="83">
        <v>0.21186441</v>
      </c>
      <c r="K32" s="11">
        <f>IF('Water, Gas, Diesel'!F36&lt;0,0,'Water, Gas, Diesel'!F36)</f>
        <v>0</v>
      </c>
      <c r="L32" s="8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27" activePane="bottomLeft" state="frozen"/>
      <selection pane="bottomLeft" activeCell="L37" sqref="L37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6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>
      <c r="A5" s="150"/>
      <c r="B5" s="17" t="s">
        <v>22</v>
      </c>
      <c r="C5" s="62" t="s">
        <v>23</v>
      </c>
      <c r="D5" s="63" t="s">
        <v>22</v>
      </c>
      <c r="E5" s="62" t="s">
        <v>23</v>
      </c>
      <c r="F5" s="155"/>
      <c r="G5" s="157"/>
      <c r="H5" s="147"/>
    </row>
    <row r="6" spans="1:8" ht="15.75" hidden="1">
      <c r="A6" s="97"/>
      <c r="B6" s="24"/>
      <c r="C6" s="64"/>
      <c r="D6" s="65"/>
      <c r="E6" s="64"/>
      <c r="F6" s="27"/>
      <c r="G6" s="66"/>
      <c r="H6" s="98"/>
    </row>
    <row r="7" spans="1:8" ht="27.75" customHeight="1">
      <c r="A7" s="99">
        <v>30</v>
      </c>
      <c r="B7" s="68">
        <v>15128.477000000001</v>
      </c>
      <c r="C7" s="69">
        <f t="shared" ref="C7:C24" si="0">(B8-B7)*2500</f>
        <v>8729.9999999959255</v>
      </c>
      <c r="D7" s="68">
        <v>15517.858</v>
      </c>
      <c r="E7" s="69">
        <f t="shared" ref="E7:E24" si="1">(D8-D7)*2500</f>
        <v>10202.500000000327</v>
      </c>
      <c r="F7" s="95">
        <f t="shared" ref="F7:F38" si="2">C7+E7</f>
        <v>18932.499999996253</v>
      </c>
      <c r="G7" s="67">
        <f>F7*0.0932</f>
        <v>1764.5089999996508</v>
      </c>
      <c r="H7" s="113">
        <v>138</v>
      </c>
    </row>
    <row r="8" spans="1:8" ht="30.95" customHeight="1">
      <c r="A8" s="100">
        <v>1</v>
      </c>
      <c r="B8" s="94">
        <v>15131.968999999999</v>
      </c>
      <c r="C8" s="70">
        <f t="shared" si="0"/>
        <v>6900.0000000005457</v>
      </c>
      <c r="D8" s="71">
        <v>15521.939</v>
      </c>
      <c r="E8" s="70">
        <f t="shared" si="1"/>
        <v>7862.5000000010914</v>
      </c>
      <c r="F8" s="51">
        <f t="shared" si="2"/>
        <v>14762.500000001637</v>
      </c>
      <c r="G8" s="67">
        <f t="shared" ref="G8:G39" si="3">F8*0.0932</f>
        <v>1375.8650000001526</v>
      </c>
      <c r="H8" s="142">
        <v>149</v>
      </c>
    </row>
    <row r="9" spans="1:8" ht="30.95" customHeight="1">
      <c r="A9" s="102">
        <v>2</v>
      </c>
      <c r="B9" s="72">
        <v>15134.728999999999</v>
      </c>
      <c r="C9" s="39">
        <f t="shared" si="0"/>
        <v>10072.500000001128</v>
      </c>
      <c r="D9" s="71">
        <v>15525.084000000001</v>
      </c>
      <c r="E9" s="39">
        <f t="shared" si="1"/>
        <v>11542.499999995925</v>
      </c>
      <c r="F9" s="47">
        <f t="shared" si="2"/>
        <v>21614.999999997053</v>
      </c>
      <c r="G9" s="67">
        <f t="shared" si="3"/>
        <v>2014.5179999997254</v>
      </c>
      <c r="H9" s="101">
        <v>158</v>
      </c>
    </row>
    <row r="10" spans="1:8" ht="30.95" customHeight="1">
      <c r="A10" s="100">
        <v>3</v>
      </c>
      <c r="B10" s="73">
        <v>15138.758</v>
      </c>
      <c r="C10" s="70">
        <f t="shared" si="0"/>
        <v>9622.5000000004002</v>
      </c>
      <c r="D10" s="74">
        <v>15529.700999999999</v>
      </c>
      <c r="E10" s="70">
        <f t="shared" si="1"/>
        <v>11830.000000004475</v>
      </c>
      <c r="F10" s="51">
        <f t="shared" si="2"/>
        <v>21452.500000004875</v>
      </c>
      <c r="G10" s="67">
        <f t="shared" si="3"/>
        <v>1999.3730000004543</v>
      </c>
      <c r="H10" s="103">
        <v>161</v>
      </c>
    </row>
    <row r="11" spans="1:8" ht="30.95" customHeight="1">
      <c r="A11" s="102">
        <v>4</v>
      </c>
      <c r="B11" s="75">
        <v>15142.607</v>
      </c>
      <c r="C11" s="39">
        <f t="shared" si="0"/>
        <v>9369.9999999989814</v>
      </c>
      <c r="D11" s="76">
        <v>15534.433000000001</v>
      </c>
      <c r="E11" s="39">
        <f t="shared" si="1"/>
        <v>11574.999999997999</v>
      </c>
      <c r="F11" s="47">
        <f t="shared" si="2"/>
        <v>20944.99999999698</v>
      </c>
      <c r="G11" s="67">
        <f t="shared" si="3"/>
        <v>1952.0739999997186</v>
      </c>
      <c r="H11" s="103">
        <v>168</v>
      </c>
    </row>
    <row r="12" spans="1:8" ht="30.95" customHeight="1">
      <c r="A12" s="100">
        <v>5</v>
      </c>
      <c r="B12" s="77">
        <v>15146.355</v>
      </c>
      <c r="C12" s="70">
        <f t="shared" si="0"/>
        <v>9237.4999999992724</v>
      </c>
      <c r="D12" s="74">
        <v>15539.063</v>
      </c>
      <c r="E12" s="70">
        <f t="shared" si="1"/>
        <v>11297.500000000582</v>
      </c>
      <c r="F12" s="51">
        <f t="shared" si="2"/>
        <v>20534.999999999854</v>
      </c>
      <c r="G12" s="67">
        <f t="shared" si="3"/>
        <v>1913.8619999999864</v>
      </c>
      <c r="H12" s="103">
        <v>171</v>
      </c>
    </row>
    <row r="13" spans="1:8" ht="30.95" customHeight="1">
      <c r="A13" s="102">
        <v>6</v>
      </c>
      <c r="B13" s="75">
        <v>15150.05</v>
      </c>
      <c r="C13" s="39">
        <f t="shared" si="0"/>
        <v>9227.5000000017826</v>
      </c>
      <c r="D13" s="76">
        <v>15543.582</v>
      </c>
      <c r="E13" s="39">
        <f t="shared" si="1"/>
        <v>11117.500000000291</v>
      </c>
      <c r="F13" s="47">
        <f t="shared" si="2"/>
        <v>20345.000000002074</v>
      </c>
      <c r="G13" s="67">
        <f t="shared" si="3"/>
        <v>1896.1540000001933</v>
      </c>
      <c r="H13" s="103">
        <v>144</v>
      </c>
    </row>
    <row r="14" spans="1:8" ht="30.95" customHeight="1">
      <c r="A14" s="100">
        <v>7</v>
      </c>
      <c r="B14" s="77">
        <v>15153.741</v>
      </c>
      <c r="C14" s="70">
        <f t="shared" si="0"/>
        <v>9397.5000000000364</v>
      </c>
      <c r="D14" s="104">
        <v>15548.029</v>
      </c>
      <c r="E14" s="70">
        <f t="shared" si="1"/>
        <v>10197.499999999309</v>
      </c>
      <c r="F14" s="51">
        <f t="shared" si="2"/>
        <v>19594.999999999345</v>
      </c>
      <c r="G14" s="67">
        <f t="shared" si="3"/>
        <v>1826.253999999939</v>
      </c>
      <c r="H14" s="103">
        <v>153</v>
      </c>
    </row>
    <row r="15" spans="1:8" ht="30.95" customHeight="1">
      <c r="A15" s="102">
        <v>8</v>
      </c>
      <c r="B15" s="75">
        <v>15157.5</v>
      </c>
      <c r="C15" s="39">
        <f t="shared" si="0"/>
        <v>6759.9999999993088</v>
      </c>
      <c r="D15" s="78">
        <v>15552.108</v>
      </c>
      <c r="E15" s="39">
        <f t="shared" si="1"/>
        <v>7502.5000000005093</v>
      </c>
      <c r="F15" s="47">
        <f t="shared" si="2"/>
        <v>14262.499999999818</v>
      </c>
      <c r="G15" s="67">
        <f t="shared" si="3"/>
        <v>1329.264999999983</v>
      </c>
      <c r="H15" s="103">
        <v>131</v>
      </c>
    </row>
    <row r="16" spans="1:8" ht="30.95" customHeight="1">
      <c r="A16" s="100">
        <v>9</v>
      </c>
      <c r="B16" s="79">
        <v>15160.204</v>
      </c>
      <c r="C16" s="70">
        <f t="shared" si="0"/>
        <v>9437.4999999990905</v>
      </c>
      <c r="D16" s="80">
        <v>15555.109</v>
      </c>
      <c r="E16" s="70">
        <f t="shared" si="1"/>
        <v>11087.499999998727</v>
      </c>
      <c r="F16" s="51">
        <f t="shared" si="2"/>
        <v>20524.999999997817</v>
      </c>
      <c r="G16" s="67">
        <f t="shared" si="3"/>
        <v>1912.9299999997966</v>
      </c>
      <c r="H16" s="103">
        <v>90</v>
      </c>
    </row>
    <row r="17" spans="1:8" ht="30.95" customHeight="1">
      <c r="A17" s="102">
        <v>10</v>
      </c>
      <c r="B17" s="77">
        <v>15163.978999999999</v>
      </c>
      <c r="C17" s="39">
        <f t="shared" si="0"/>
        <v>8945.0000000033469</v>
      </c>
      <c r="D17" s="104">
        <v>15559.544</v>
      </c>
      <c r="E17" s="39">
        <f t="shared" si="1"/>
        <v>11050.000000000182</v>
      </c>
      <c r="F17" s="47">
        <f t="shared" si="2"/>
        <v>19995.000000003529</v>
      </c>
      <c r="G17" s="67">
        <f t="shared" si="3"/>
        <v>1863.5340000003289</v>
      </c>
      <c r="H17" s="103">
        <v>84</v>
      </c>
    </row>
    <row r="18" spans="1:8" ht="30.95" customHeight="1">
      <c r="A18" s="100">
        <v>11</v>
      </c>
      <c r="B18" s="75">
        <v>15167.557000000001</v>
      </c>
      <c r="C18" s="70">
        <f t="shared" si="0"/>
        <v>10049.999999996544</v>
      </c>
      <c r="D18" s="78">
        <v>15563.964</v>
      </c>
      <c r="E18" s="70">
        <f t="shared" si="1"/>
        <v>12089.999999998327</v>
      </c>
      <c r="F18" s="51">
        <f t="shared" si="2"/>
        <v>22139.99999999487</v>
      </c>
      <c r="G18" s="67">
        <f t="shared" si="3"/>
        <v>2063.4479999995219</v>
      </c>
      <c r="H18" s="103">
        <v>85</v>
      </c>
    </row>
    <row r="19" spans="1:8" ht="30.95" customHeight="1">
      <c r="A19" s="102">
        <v>12</v>
      </c>
      <c r="B19" s="77">
        <v>15171.576999999999</v>
      </c>
      <c r="C19" s="39">
        <f t="shared" si="0"/>
        <v>11825.000000003456</v>
      </c>
      <c r="D19" s="104">
        <v>15568.8</v>
      </c>
      <c r="E19" s="39">
        <f t="shared" si="1"/>
        <v>8079.9999999999272</v>
      </c>
      <c r="F19" s="47">
        <f t="shared" si="2"/>
        <v>19905.000000003383</v>
      </c>
      <c r="G19" s="67">
        <f t="shared" si="3"/>
        <v>1855.1460000003153</v>
      </c>
      <c r="H19" s="103">
        <v>89</v>
      </c>
    </row>
    <row r="20" spans="1:8" ht="30.95" customHeight="1">
      <c r="A20" s="100">
        <v>13</v>
      </c>
      <c r="B20" s="75">
        <v>15176.307000000001</v>
      </c>
      <c r="C20" s="70">
        <f t="shared" si="0"/>
        <v>12817.499999996471</v>
      </c>
      <c r="D20" s="81">
        <v>15572.031999999999</v>
      </c>
      <c r="E20" s="70">
        <f t="shared" si="1"/>
        <v>7737.5000000029104</v>
      </c>
      <c r="F20" s="51">
        <f t="shared" si="2"/>
        <v>20554.999999999382</v>
      </c>
      <c r="G20" s="67">
        <f t="shared" si="3"/>
        <v>1915.7259999999424</v>
      </c>
      <c r="H20" s="103">
        <v>67</v>
      </c>
    </row>
    <row r="21" spans="1:8" ht="30.95" customHeight="1">
      <c r="A21" s="102">
        <v>14</v>
      </c>
      <c r="B21" s="75">
        <v>15181.433999999999</v>
      </c>
      <c r="C21" s="39">
        <f t="shared" si="0"/>
        <v>12967.499999999745</v>
      </c>
      <c r="D21" s="78">
        <v>15575.127</v>
      </c>
      <c r="E21" s="39">
        <f t="shared" si="1"/>
        <v>6300.0000000010914</v>
      </c>
      <c r="F21" s="47">
        <f t="shared" si="2"/>
        <v>19267.500000000837</v>
      </c>
      <c r="G21" s="67">
        <f t="shared" si="3"/>
        <v>1795.731000000078</v>
      </c>
      <c r="H21" s="103">
        <v>65</v>
      </c>
    </row>
    <row r="22" spans="1:8" ht="30.95" customHeight="1">
      <c r="A22" s="100">
        <v>15</v>
      </c>
      <c r="B22" s="75">
        <v>15186.620999999999</v>
      </c>
      <c r="C22" s="70">
        <f t="shared" si="0"/>
        <v>12500</v>
      </c>
      <c r="D22" s="57">
        <v>15577.647000000001</v>
      </c>
      <c r="E22" s="70">
        <f t="shared" si="1"/>
        <v>6247.4999999994907</v>
      </c>
      <c r="F22" s="51">
        <f t="shared" si="2"/>
        <v>18747.499999999491</v>
      </c>
      <c r="G22" s="67">
        <f t="shared" si="3"/>
        <v>1747.2669999999525</v>
      </c>
      <c r="H22" s="103">
        <v>70</v>
      </c>
    </row>
    <row r="23" spans="1:8" ht="30.95" customHeight="1">
      <c r="A23" s="102">
        <v>16</v>
      </c>
      <c r="B23" s="84">
        <v>15191.620999999999</v>
      </c>
      <c r="C23" s="39">
        <f t="shared" si="0"/>
        <v>11707.500000002256</v>
      </c>
      <c r="D23" s="85">
        <v>15580.146000000001</v>
      </c>
      <c r="E23" s="39">
        <f t="shared" si="1"/>
        <v>7799.9999999974534</v>
      </c>
      <c r="F23" s="47">
        <f t="shared" si="2"/>
        <v>19507.499999999709</v>
      </c>
      <c r="G23" s="67">
        <f t="shared" si="3"/>
        <v>1818.0989999999729</v>
      </c>
      <c r="H23" s="103">
        <v>82</v>
      </c>
    </row>
    <row r="24" spans="1:8" ht="30.95" customHeight="1">
      <c r="A24" s="100">
        <v>17</v>
      </c>
      <c r="B24" s="86">
        <v>15196.304</v>
      </c>
      <c r="C24" s="70">
        <f t="shared" si="0"/>
        <v>7264.9999999975989</v>
      </c>
      <c r="D24" s="104">
        <v>15583.266</v>
      </c>
      <c r="E24" s="70">
        <f t="shared" si="1"/>
        <v>4664.9999999999636</v>
      </c>
      <c r="F24" s="51">
        <f t="shared" si="2"/>
        <v>11929.999999997563</v>
      </c>
      <c r="G24" s="67">
        <f t="shared" si="3"/>
        <v>1111.8759999997728</v>
      </c>
      <c r="H24" s="103">
        <v>132</v>
      </c>
    </row>
    <row r="25" spans="1:8" ht="30.95" customHeight="1">
      <c r="A25" s="102">
        <v>18</v>
      </c>
      <c r="B25" s="75">
        <v>15199.21</v>
      </c>
      <c r="C25" s="39">
        <f>(B26-B25)*2500</f>
        <v>17042.500000002292</v>
      </c>
      <c r="D25" s="78">
        <v>15585.132</v>
      </c>
      <c r="E25" s="39">
        <f>(D26-D25)*2500</f>
        <v>8912.5000000012733</v>
      </c>
      <c r="F25" s="47">
        <f t="shared" si="2"/>
        <v>25955.000000003565</v>
      </c>
      <c r="G25" s="67">
        <f t="shared" si="3"/>
        <v>2419.0060000003323</v>
      </c>
      <c r="H25" s="103">
        <v>161</v>
      </c>
    </row>
    <row r="26" spans="1:8" ht="30.95" customHeight="1">
      <c r="A26" s="100">
        <v>19</v>
      </c>
      <c r="B26" s="77">
        <v>15206.027</v>
      </c>
      <c r="C26" s="70">
        <f t="shared" ref="C26:C38" si="4">(B27-B26)*2500</f>
        <v>3762.4999999979991</v>
      </c>
      <c r="D26" s="104">
        <v>15588.697</v>
      </c>
      <c r="E26" s="70">
        <f t="shared" ref="E26:E38" si="5">(D27-D26)*2500</f>
        <v>2872.4999999985812</v>
      </c>
      <c r="F26" s="47">
        <f t="shared" si="2"/>
        <v>6634.9999999965803</v>
      </c>
      <c r="G26" s="67">
        <f t="shared" si="3"/>
        <v>618.38199999968128</v>
      </c>
      <c r="H26" s="103">
        <v>121</v>
      </c>
    </row>
    <row r="27" spans="1:8" ht="30.95" customHeight="1">
      <c r="A27" s="102">
        <v>20</v>
      </c>
      <c r="B27" s="75">
        <v>15207.531999999999</v>
      </c>
      <c r="C27" s="39">
        <f t="shared" si="4"/>
        <v>20995.000000002619</v>
      </c>
      <c r="D27" s="78">
        <v>15589.846</v>
      </c>
      <c r="E27" s="39">
        <f t="shared" si="5"/>
        <v>10287.499999999454</v>
      </c>
      <c r="F27" s="51">
        <f t="shared" si="2"/>
        <v>31282.500000002074</v>
      </c>
      <c r="G27" s="67">
        <f t="shared" si="3"/>
        <v>2915.5290000001933</v>
      </c>
      <c r="H27" s="103">
        <v>103</v>
      </c>
    </row>
    <row r="28" spans="1:8" ht="30.95" customHeight="1">
      <c r="A28" s="100">
        <v>21</v>
      </c>
      <c r="B28" s="77">
        <v>15215.93</v>
      </c>
      <c r="C28" s="70">
        <f t="shared" si="4"/>
        <v>12252.4999999996</v>
      </c>
      <c r="D28" s="104">
        <v>15593.960999999999</v>
      </c>
      <c r="E28" s="70">
        <f t="shared" si="5"/>
        <v>6172.5000000024011</v>
      </c>
      <c r="F28" s="47">
        <f t="shared" si="2"/>
        <v>18425.000000002001</v>
      </c>
      <c r="G28" s="67">
        <f t="shared" si="3"/>
        <v>1717.2100000001865</v>
      </c>
      <c r="H28" s="103">
        <v>80</v>
      </c>
    </row>
    <row r="29" spans="1:8" ht="30.95" customHeight="1">
      <c r="A29" s="102">
        <v>22</v>
      </c>
      <c r="B29" s="75">
        <v>15220.831</v>
      </c>
      <c r="C29" s="39">
        <f t="shared" si="4"/>
        <v>11549.999999997453</v>
      </c>
      <c r="D29" s="78">
        <v>15596.43</v>
      </c>
      <c r="E29" s="39">
        <f t="shared" si="5"/>
        <v>7467.4999999979264</v>
      </c>
      <c r="F29" s="51">
        <f t="shared" si="2"/>
        <v>19017.49999999538</v>
      </c>
      <c r="G29" s="67">
        <f t="shared" si="3"/>
        <v>1772.4309999995694</v>
      </c>
      <c r="H29" s="103">
        <v>73</v>
      </c>
    </row>
    <row r="30" spans="1:8" ht="30.95" customHeight="1">
      <c r="A30" s="100">
        <v>23</v>
      </c>
      <c r="B30" s="77">
        <v>15225.450999999999</v>
      </c>
      <c r="C30" s="70">
        <f t="shared" si="4"/>
        <v>8915.0000000017826</v>
      </c>
      <c r="D30" s="104">
        <v>15599.416999999999</v>
      </c>
      <c r="E30" s="70">
        <f t="shared" si="5"/>
        <v>6557.5000000035288</v>
      </c>
      <c r="F30" s="47">
        <f t="shared" si="2"/>
        <v>15472.500000005311</v>
      </c>
      <c r="G30" s="67">
        <f t="shared" si="3"/>
        <v>1442.037000000495</v>
      </c>
      <c r="H30" s="103">
        <v>74</v>
      </c>
    </row>
    <row r="31" spans="1:8" ht="30.95" customHeight="1">
      <c r="A31" s="102">
        <v>24</v>
      </c>
      <c r="B31" s="75">
        <v>15229.017</v>
      </c>
      <c r="C31" s="39">
        <f t="shared" si="4"/>
        <v>15284.999999998945</v>
      </c>
      <c r="D31" s="78">
        <v>15602.04</v>
      </c>
      <c r="E31" s="39">
        <f t="shared" si="5"/>
        <v>9027.499999997417</v>
      </c>
      <c r="F31" s="51">
        <f t="shared" si="2"/>
        <v>24312.499999996362</v>
      </c>
      <c r="G31" s="67">
        <f t="shared" si="3"/>
        <v>2265.9249999996609</v>
      </c>
      <c r="H31" s="103">
        <v>87</v>
      </c>
    </row>
    <row r="32" spans="1:8" ht="30.95" customHeight="1">
      <c r="A32" s="100">
        <v>25</v>
      </c>
      <c r="B32" s="77">
        <v>15235.130999999999</v>
      </c>
      <c r="C32" s="70">
        <f t="shared" si="4"/>
        <v>8425.0000000020009</v>
      </c>
      <c r="D32" s="104">
        <v>15605.651</v>
      </c>
      <c r="E32" s="70">
        <f t="shared" si="5"/>
        <v>3654.9999999988358</v>
      </c>
      <c r="F32" s="47">
        <f t="shared" si="2"/>
        <v>12080.000000000837</v>
      </c>
      <c r="G32" s="67">
        <f t="shared" si="3"/>
        <v>1125.856000000078</v>
      </c>
      <c r="H32" s="103">
        <v>92</v>
      </c>
    </row>
    <row r="33" spans="1:8" ht="30.95" customHeight="1">
      <c r="A33" s="102">
        <v>26</v>
      </c>
      <c r="B33" s="75">
        <v>15238.501</v>
      </c>
      <c r="C33" s="39">
        <f t="shared" si="4"/>
        <v>15807.5000000008</v>
      </c>
      <c r="D33" s="78">
        <v>15607.112999999999</v>
      </c>
      <c r="E33" s="39">
        <f t="shared" si="5"/>
        <v>14207.500000002256</v>
      </c>
      <c r="F33" s="51">
        <f t="shared" si="2"/>
        <v>30015.000000003056</v>
      </c>
      <c r="G33" s="67">
        <f t="shared" si="3"/>
        <v>2797.3980000002848</v>
      </c>
      <c r="H33" s="103">
        <v>121</v>
      </c>
    </row>
    <row r="34" spans="1:8" ht="30.95" customHeight="1">
      <c r="A34" s="100">
        <v>27</v>
      </c>
      <c r="B34" s="77">
        <v>15244.824000000001</v>
      </c>
      <c r="C34" s="70">
        <f t="shared" si="4"/>
        <v>11462.499999997817</v>
      </c>
      <c r="D34" s="104">
        <v>15612.796</v>
      </c>
      <c r="E34" s="39">
        <f t="shared" si="5"/>
        <v>13042.500000001382</v>
      </c>
      <c r="F34" s="47">
        <f t="shared" si="2"/>
        <v>24504.9999999992</v>
      </c>
      <c r="G34" s="67">
        <f t="shared" si="3"/>
        <v>2283.8659999999254</v>
      </c>
      <c r="H34" s="103">
        <v>167</v>
      </c>
    </row>
    <row r="35" spans="1:8" ht="30.95" customHeight="1">
      <c r="A35" s="102">
        <v>28</v>
      </c>
      <c r="B35" s="82">
        <v>15249.409</v>
      </c>
      <c r="C35" s="39">
        <f t="shared" si="4"/>
        <v>9167.4999999986539</v>
      </c>
      <c r="D35" s="78">
        <v>15618.013000000001</v>
      </c>
      <c r="E35" s="39">
        <f t="shared" si="5"/>
        <v>12099.999999995816</v>
      </c>
      <c r="F35" s="47">
        <f t="shared" si="2"/>
        <v>21267.49999999447</v>
      </c>
      <c r="G35" s="67">
        <f t="shared" si="3"/>
        <v>1982.1309999994846</v>
      </c>
      <c r="H35" s="103">
        <v>150</v>
      </c>
    </row>
    <row r="36" spans="1:8" ht="30.95" customHeight="1">
      <c r="A36" s="100">
        <v>29</v>
      </c>
      <c r="B36" s="77">
        <v>15253.075999999999</v>
      </c>
      <c r="C36" s="69">
        <f t="shared" si="4"/>
        <v>12032.500000000255</v>
      </c>
      <c r="D36" s="57">
        <v>15622.852999999999</v>
      </c>
      <c r="E36" s="69">
        <f t="shared" si="5"/>
        <v>11095.000000000255</v>
      </c>
      <c r="F36" s="42">
        <f t="shared" si="2"/>
        <v>23127.500000000509</v>
      </c>
      <c r="G36" s="67">
        <f t="shared" si="3"/>
        <v>2155.4830000000475</v>
      </c>
      <c r="H36" s="101">
        <v>95</v>
      </c>
    </row>
    <row r="37" spans="1:8" ht="30.95" customHeight="1">
      <c r="A37" s="108">
        <v>30</v>
      </c>
      <c r="B37" s="109">
        <v>15257.888999999999</v>
      </c>
      <c r="C37" s="110">
        <f>(B38-B37)*2500</f>
        <v>-38144722.5</v>
      </c>
      <c r="D37" s="111">
        <v>15627.290999999999</v>
      </c>
      <c r="E37" s="110">
        <f>(D38-D37)*2500</f>
        <v>-39068227.5</v>
      </c>
      <c r="F37" s="112">
        <f t="shared" si="2"/>
        <v>-77212950</v>
      </c>
      <c r="G37" s="67">
        <f t="shared" si="3"/>
        <v>-7196246.9400000004</v>
      </c>
      <c r="H37" s="113">
        <v>88</v>
      </c>
    </row>
    <row r="38" spans="1:8" ht="30.95" customHeight="1">
      <c r="A38" s="100">
        <v>31</v>
      </c>
      <c r="B38" s="40"/>
      <c r="C38" s="70">
        <f t="shared" si="4"/>
        <v>0</v>
      </c>
      <c r="D38" s="104"/>
      <c r="E38" s="7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25" activePane="bottomLeft" state="frozen"/>
      <selection pane="bottomLeft" activeCell="E36" sqref="E36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93" t="s">
        <v>15</v>
      </c>
      <c r="B3" s="17" t="s">
        <v>22</v>
      </c>
      <c r="C3" s="18" t="s">
        <v>27</v>
      </c>
      <c r="D3" s="19" t="s">
        <v>28</v>
      </c>
      <c r="E3" s="90" t="s">
        <v>22</v>
      </c>
      <c r="F3" s="20" t="s">
        <v>23</v>
      </c>
      <c r="G3" s="21" t="s">
        <v>29</v>
      </c>
      <c r="H3" s="21" t="s">
        <v>30</v>
      </c>
      <c r="I3" s="8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1">
        <v>30</v>
      </c>
      <c r="B5" s="91">
        <v>6779812</v>
      </c>
      <c r="C5" s="105">
        <f>B6-B5</f>
        <v>2439</v>
      </c>
      <c r="D5" s="34">
        <f>C5*0.21186441</f>
        <v>516.73729599000001</v>
      </c>
      <c r="E5" s="35">
        <v>525668</v>
      </c>
      <c r="F5" s="106">
        <f>E6-E5</f>
        <v>283</v>
      </c>
      <c r="G5" s="36">
        <f>F5*0.84746</f>
        <v>239.83117999999999</v>
      </c>
      <c r="H5" s="36">
        <f>F5*0.84746</f>
        <v>239.83117999999999</v>
      </c>
      <c r="I5" s="92">
        <f>G5+H5</f>
        <v>479.66235999999998</v>
      </c>
      <c r="J5" s="37">
        <f>5780+6440</f>
        <v>12220</v>
      </c>
      <c r="K5" s="38">
        <f>J5-J6</f>
        <v>-120</v>
      </c>
      <c r="L5" s="39">
        <f>K5*0.7</f>
        <v>-84</v>
      </c>
    </row>
    <row r="6" spans="1:12" ht="32.450000000000003" customHeight="1">
      <c r="A6" s="40">
        <v>1</v>
      </c>
      <c r="B6" s="91">
        <v>6782251</v>
      </c>
      <c r="C6" s="53">
        <f t="shared" ref="C6:C15" si="0">B7-B6</f>
        <v>2088</v>
      </c>
      <c r="D6" s="41">
        <f>C6*0.21186441</f>
        <v>442.37288808</v>
      </c>
      <c r="E6" s="42">
        <v>525951</v>
      </c>
      <c r="F6" s="54">
        <f t="shared" ref="F6:F15" si="1">E7-E6</f>
        <v>190</v>
      </c>
      <c r="G6" s="43">
        <f>F6*0.84746</f>
        <v>161.01740000000001</v>
      </c>
      <c r="H6" s="43">
        <f>F6*0.84746</f>
        <v>161.01740000000001</v>
      </c>
      <c r="I6" s="44">
        <f t="shared" ref="I6:I36" si="2">G6+H6</f>
        <v>322.03480000000002</v>
      </c>
      <c r="J6" s="37">
        <f>5860+6480</f>
        <v>12340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6784339</v>
      </c>
      <c r="C7" s="55">
        <f t="shared" si="0"/>
        <v>2413</v>
      </c>
      <c r="D7" s="46">
        <f>C7*0.21186441</f>
        <v>511.22882133000002</v>
      </c>
      <c r="E7" s="47">
        <v>526141</v>
      </c>
      <c r="F7" s="56">
        <f t="shared" si="1"/>
        <v>339</v>
      </c>
      <c r="G7" s="48">
        <f t="shared" ref="G7:G36" si="4">F7*0.84746</f>
        <v>287.28894000000003</v>
      </c>
      <c r="H7" s="48">
        <f t="shared" ref="H7:H36" si="5">F7*0.84746</f>
        <v>287.28894000000003</v>
      </c>
      <c r="I7" s="49">
        <f t="shared" si="2"/>
        <v>574.57788000000005</v>
      </c>
      <c r="J7" s="37">
        <f>5860+6480</f>
        <v>12340</v>
      </c>
      <c r="K7" s="38">
        <f t="shared" si="3"/>
        <v>10</v>
      </c>
      <c r="L7" s="39">
        <f t="shared" ref="L7:L36" si="6">K7*0.7</f>
        <v>7</v>
      </c>
    </row>
    <row r="8" spans="1:12" ht="32.450000000000003" customHeight="1">
      <c r="A8" s="40">
        <v>3</v>
      </c>
      <c r="B8" s="40">
        <v>6786752</v>
      </c>
      <c r="C8" s="53">
        <f t="shared" si="0"/>
        <v>2758</v>
      </c>
      <c r="D8" s="46">
        <f t="shared" ref="D8:D36" si="7">C8*0.21186441</f>
        <v>584.32204278000006</v>
      </c>
      <c r="E8" s="47">
        <v>526480</v>
      </c>
      <c r="F8" s="54">
        <f t="shared" si="1"/>
        <v>268</v>
      </c>
      <c r="G8" s="43">
        <f t="shared" si="4"/>
        <v>227.11928</v>
      </c>
      <c r="H8" s="43">
        <f t="shared" si="5"/>
        <v>227.11928</v>
      </c>
      <c r="I8" s="49">
        <f t="shared" si="2"/>
        <v>454.23856000000001</v>
      </c>
      <c r="J8" s="37">
        <f>5850+6480</f>
        <v>12330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6789510</v>
      </c>
      <c r="C9" s="55">
        <f t="shared" si="0"/>
        <v>2915</v>
      </c>
      <c r="D9" s="46">
        <f t="shared" si="7"/>
        <v>617.58475514999998</v>
      </c>
      <c r="E9" s="47">
        <v>526748</v>
      </c>
      <c r="F9" s="56">
        <f t="shared" si="1"/>
        <v>266</v>
      </c>
      <c r="G9" s="48">
        <f t="shared" si="4"/>
        <v>225.42436000000001</v>
      </c>
      <c r="H9" s="48">
        <f t="shared" si="5"/>
        <v>225.42436000000001</v>
      </c>
      <c r="I9" s="49">
        <f t="shared" si="2"/>
        <v>450.84872000000001</v>
      </c>
      <c r="J9" s="37">
        <f>5850+6480</f>
        <v>12330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6792425</v>
      </c>
      <c r="C10" s="53">
        <f t="shared" si="0"/>
        <v>3307</v>
      </c>
      <c r="D10" s="46">
        <f t="shared" si="7"/>
        <v>700.63560386999995</v>
      </c>
      <c r="E10" s="47">
        <v>527014</v>
      </c>
      <c r="F10" s="54">
        <f t="shared" si="1"/>
        <v>268</v>
      </c>
      <c r="G10" s="43">
        <f t="shared" si="4"/>
        <v>227.11928</v>
      </c>
      <c r="H10" s="43">
        <f t="shared" si="5"/>
        <v>227.11928</v>
      </c>
      <c r="I10" s="49">
        <f t="shared" si="2"/>
        <v>454.23856000000001</v>
      </c>
      <c r="J10" s="37">
        <f>5850+6480</f>
        <v>12330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6795732</v>
      </c>
      <c r="C11" s="55">
        <f t="shared" si="0"/>
        <v>3169</v>
      </c>
      <c r="D11" s="46">
        <f t="shared" si="7"/>
        <v>671.39831529000003</v>
      </c>
      <c r="E11" s="47">
        <v>527282</v>
      </c>
      <c r="F11" s="56">
        <f t="shared" si="1"/>
        <v>288</v>
      </c>
      <c r="G11" s="48">
        <f t="shared" si="4"/>
        <v>244.06847999999999</v>
      </c>
      <c r="H11" s="48">
        <f t="shared" si="5"/>
        <v>244.06847999999999</v>
      </c>
      <c r="I11" s="49">
        <f t="shared" si="2"/>
        <v>488.13695999999999</v>
      </c>
      <c r="J11" s="37">
        <f>5850+6480</f>
        <v>12330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6798901</v>
      </c>
      <c r="C12" s="53">
        <f t="shared" si="0"/>
        <v>2667</v>
      </c>
      <c r="D12" s="46">
        <f t="shared" si="7"/>
        <v>565.04238147000001</v>
      </c>
      <c r="E12" s="47">
        <v>527570</v>
      </c>
      <c r="F12" s="54">
        <f t="shared" si="1"/>
        <v>286</v>
      </c>
      <c r="G12" s="43">
        <f t="shared" si="4"/>
        <v>242.37356</v>
      </c>
      <c r="H12" s="43">
        <f t="shared" si="5"/>
        <v>242.37356</v>
      </c>
      <c r="I12" s="49">
        <f t="shared" si="2"/>
        <v>484.74712</v>
      </c>
      <c r="J12" s="37">
        <f>5850+6480</f>
        <v>12330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6801568</v>
      </c>
      <c r="C13" s="55">
        <f t="shared" si="0"/>
        <v>2073</v>
      </c>
      <c r="D13" s="46">
        <f t="shared" si="7"/>
        <v>439.19492193000002</v>
      </c>
      <c r="E13" s="47">
        <v>527856</v>
      </c>
      <c r="F13" s="56">
        <f t="shared" si="1"/>
        <v>201</v>
      </c>
      <c r="G13" s="48">
        <f t="shared" si="4"/>
        <v>170.33946</v>
      </c>
      <c r="H13" s="48">
        <f t="shared" si="5"/>
        <v>170.33946</v>
      </c>
      <c r="I13" s="49">
        <f t="shared" si="2"/>
        <v>340.67892000000001</v>
      </c>
      <c r="J13" s="37">
        <f>5850+6480</f>
        <v>12330</v>
      </c>
      <c r="K13" s="38">
        <f>J13-J14</f>
        <v>110</v>
      </c>
      <c r="L13" s="39">
        <f t="shared" si="6"/>
        <v>77</v>
      </c>
    </row>
    <row r="14" spans="1:12" ht="32.450000000000003" customHeight="1">
      <c r="A14" s="40">
        <v>9</v>
      </c>
      <c r="B14" s="40">
        <v>6803641</v>
      </c>
      <c r="C14" s="53">
        <f t="shared" si="0"/>
        <v>2082</v>
      </c>
      <c r="D14" s="46">
        <f t="shared" si="7"/>
        <v>441.10170162000003</v>
      </c>
      <c r="E14" s="47">
        <v>528057</v>
      </c>
      <c r="F14" s="54">
        <f t="shared" si="1"/>
        <v>294</v>
      </c>
      <c r="G14" s="48">
        <f t="shared" si="4"/>
        <v>249.15324000000001</v>
      </c>
      <c r="H14" s="43">
        <f t="shared" si="5"/>
        <v>249.15324000000001</v>
      </c>
      <c r="I14" s="49">
        <f t="shared" si="2"/>
        <v>498.30648000000002</v>
      </c>
      <c r="J14" s="37">
        <f>5780+6440</f>
        <v>12220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6805723</v>
      </c>
      <c r="C15" s="55">
        <f t="shared" si="0"/>
        <v>1734</v>
      </c>
      <c r="D15" s="46">
        <f t="shared" si="7"/>
        <v>367.37288694</v>
      </c>
      <c r="E15" s="47">
        <v>528351</v>
      </c>
      <c r="F15" s="56">
        <f t="shared" si="1"/>
        <v>288</v>
      </c>
      <c r="G15" s="48">
        <f t="shared" si="4"/>
        <v>244.06847999999999</v>
      </c>
      <c r="H15" s="48">
        <f t="shared" si="5"/>
        <v>244.06847999999999</v>
      </c>
      <c r="I15" s="49">
        <f t="shared" si="2"/>
        <v>488.13695999999999</v>
      </c>
      <c r="J15" s="37">
        <f>5780+6440</f>
        <v>12220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6807457</v>
      </c>
      <c r="C16" s="53">
        <f>B17-B16</f>
        <v>3928</v>
      </c>
      <c r="D16" s="46">
        <f t="shared" si="7"/>
        <v>832.20340248000002</v>
      </c>
      <c r="E16" s="47">
        <v>528639</v>
      </c>
      <c r="F16" s="54">
        <f>E17-E16</f>
        <v>315</v>
      </c>
      <c r="G16" s="43">
        <f t="shared" si="4"/>
        <v>266.94990000000001</v>
      </c>
      <c r="H16" s="43">
        <f t="shared" si="5"/>
        <v>266.94990000000001</v>
      </c>
      <c r="I16" s="49">
        <f t="shared" si="2"/>
        <v>533.89980000000003</v>
      </c>
      <c r="J16" s="37">
        <f>5780+6440</f>
        <v>12220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6811385</v>
      </c>
      <c r="C17" s="55">
        <f t="shared" ref="C17:C35" si="8">B18-B17</f>
        <v>1920</v>
      </c>
      <c r="D17" s="46">
        <f t="shared" si="7"/>
        <v>406.77966720000001</v>
      </c>
      <c r="E17" s="47">
        <v>528954</v>
      </c>
      <c r="F17" s="56">
        <f t="shared" ref="F17:F35" si="9">E18-E17</f>
        <v>271</v>
      </c>
      <c r="G17" s="48">
        <f t="shared" si="4"/>
        <v>229.66165999999998</v>
      </c>
      <c r="H17" s="48">
        <f t="shared" si="5"/>
        <v>229.66165999999998</v>
      </c>
      <c r="I17" s="49">
        <f t="shared" si="2"/>
        <v>459.32331999999997</v>
      </c>
      <c r="J17" s="37">
        <f>5780+6440</f>
        <v>12220</v>
      </c>
      <c r="K17" s="38">
        <f t="shared" si="3"/>
        <v>570</v>
      </c>
      <c r="L17" s="39">
        <f t="shared" si="6"/>
        <v>399</v>
      </c>
    </row>
    <row r="18" spans="1:12" ht="32.450000000000003" customHeight="1">
      <c r="A18" s="40">
        <v>13</v>
      </c>
      <c r="B18" s="40">
        <v>6813305</v>
      </c>
      <c r="C18" s="53">
        <f t="shared" si="8"/>
        <v>2952</v>
      </c>
      <c r="D18" s="46">
        <f t="shared" si="7"/>
        <v>625.42373831999998</v>
      </c>
      <c r="E18" s="51">
        <v>529225</v>
      </c>
      <c r="F18" s="54">
        <f t="shared" si="9"/>
        <v>273</v>
      </c>
      <c r="G18" s="43">
        <f t="shared" si="4"/>
        <v>231.35658000000001</v>
      </c>
      <c r="H18" s="43">
        <f t="shared" si="5"/>
        <v>231.35658000000001</v>
      </c>
      <c r="I18" s="49">
        <f t="shared" si="2"/>
        <v>462.71316000000002</v>
      </c>
      <c r="J18" s="37">
        <f>5210+6440</f>
        <v>11650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6816257</v>
      </c>
      <c r="C19" s="55">
        <f t="shared" si="8"/>
        <v>2438</v>
      </c>
      <c r="D19" s="46">
        <f t="shared" si="7"/>
        <v>516.52543158000003</v>
      </c>
      <c r="E19" s="52">
        <v>529498</v>
      </c>
      <c r="F19" s="56">
        <f t="shared" si="9"/>
        <v>279</v>
      </c>
      <c r="G19" s="48">
        <f t="shared" si="4"/>
        <v>236.44134</v>
      </c>
      <c r="H19" s="48">
        <f t="shared" si="5"/>
        <v>236.44134</v>
      </c>
      <c r="I19" s="49">
        <f t="shared" si="2"/>
        <v>472.88267999999999</v>
      </c>
      <c r="J19" s="37">
        <f>5210+6440</f>
        <v>11650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6818695</v>
      </c>
      <c r="C20" s="53">
        <f t="shared" si="8"/>
        <v>1089</v>
      </c>
      <c r="D20" s="46">
        <f t="shared" si="7"/>
        <v>230.72034249000001</v>
      </c>
      <c r="E20" s="51">
        <v>529777</v>
      </c>
      <c r="F20" s="54">
        <f t="shared" si="9"/>
        <v>253</v>
      </c>
      <c r="G20" s="43">
        <f t="shared" si="4"/>
        <v>214.40737999999999</v>
      </c>
      <c r="H20" s="43">
        <f t="shared" si="5"/>
        <v>214.40737999999999</v>
      </c>
      <c r="I20" s="49">
        <f t="shared" si="2"/>
        <v>428.81475999999998</v>
      </c>
      <c r="J20" s="37">
        <f>5210+6440</f>
        <v>11650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6">
        <v>6819784</v>
      </c>
      <c r="C21" s="55">
        <f t="shared" si="8"/>
        <v>3634</v>
      </c>
      <c r="D21" s="46">
        <f t="shared" si="7"/>
        <v>769.91526594000004</v>
      </c>
      <c r="E21" s="87">
        <v>530030</v>
      </c>
      <c r="F21" s="56">
        <f t="shared" si="9"/>
        <v>260</v>
      </c>
      <c r="G21" s="48">
        <f t="shared" si="4"/>
        <v>220.33959999999999</v>
      </c>
      <c r="H21" s="48">
        <f t="shared" si="5"/>
        <v>220.33959999999999</v>
      </c>
      <c r="I21" s="49">
        <f t="shared" si="2"/>
        <v>440.67919999999998</v>
      </c>
      <c r="J21" s="88">
        <f>5210+6440</f>
        <v>11650</v>
      </c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>
        <v>6823418</v>
      </c>
      <c r="C22" s="53">
        <f t="shared" si="8"/>
        <v>3630</v>
      </c>
      <c r="D22" s="46">
        <f t="shared" si="7"/>
        <v>769.06780830000002</v>
      </c>
      <c r="E22" s="52">
        <v>530290</v>
      </c>
      <c r="F22" s="54">
        <f t="shared" si="9"/>
        <v>235</v>
      </c>
      <c r="G22" s="43">
        <f t="shared" si="4"/>
        <v>199.15309999999999</v>
      </c>
      <c r="H22" s="43">
        <f t="shared" si="5"/>
        <v>199.15309999999999</v>
      </c>
      <c r="I22" s="49">
        <f t="shared" si="2"/>
        <v>398.30619999999999</v>
      </c>
      <c r="J22" s="88">
        <f>5210+6440</f>
        <v>11650</v>
      </c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>
        <v>6827048</v>
      </c>
      <c r="C23" s="55">
        <f t="shared" si="8"/>
        <v>923</v>
      </c>
      <c r="D23" s="46">
        <f t="shared" si="7"/>
        <v>195.55085043</v>
      </c>
      <c r="E23" s="52">
        <v>530525</v>
      </c>
      <c r="F23" s="56">
        <f t="shared" si="9"/>
        <v>208</v>
      </c>
      <c r="G23" s="48">
        <f t="shared" si="4"/>
        <v>176.27168</v>
      </c>
      <c r="H23" s="48">
        <f t="shared" si="5"/>
        <v>176.27168</v>
      </c>
      <c r="I23" s="49">
        <f t="shared" si="2"/>
        <v>352.54336000000001</v>
      </c>
      <c r="J23" s="88">
        <f>5210+6440</f>
        <v>11650</v>
      </c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>
        <v>6827971</v>
      </c>
      <c r="C24" s="53">
        <f t="shared" si="8"/>
        <v>486</v>
      </c>
      <c r="D24" s="46">
        <f t="shared" si="7"/>
        <v>102.96610326</v>
      </c>
      <c r="E24" s="52">
        <v>530733</v>
      </c>
      <c r="F24" s="54">
        <f t="shared" si="9"/>
        <v>164</v>
      </c>
      <c r="G24" s="43">
        <f t="shared" si="4"/>
        <v>138.98344</v>
      </c>
      <c r="H24" s="43">
        <f t="shared" si="5"/>
        <v>138.98344</v>
      </c>
      <c r="I24" s="49">
        <f t="shared" si="2"/>
        <v>277.96688</v>
      </c>
      <c r="J24" s="88">
        <f>5210+6440</f>
        <v>11650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6828457</v>
      </c>
      <c r="C25" s="55">
        <f t="shared" si="8"/>
        <v>4653</v>
      </c>
      <c r="D25" s="46">
        <f t="shared" si="7"/>
        <v>985.80509973000005</v>
      </c>
      <c r="E25" s="52">
        <v>530897</v>
      </c>
      <c r="F25" s="56">
        <f t="shared" si="9"/>
        <v>196</v>
      </c>
      <c r="G25" s="48">
        <f t="shared" si="4"/>
        <v>166.10216</v>
      </c>
      <c r="H25" s="48">
        <f t="shared" si="5"/>
        <v>166.10216</v>
      </c>
      <c r="I25" s="49">
        <f t="shared" si="2"/>
        <v>332.20432</v>
      </c>
      <c r="J25" s="88">
        <f>5210+6440</f>
        <v>11650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6833110</v>
      </c>
      <c r="C26" s="53">
        <f t="shared" si="8"/>
        <v>2253</v>
      </c>
      <c r="D26" s="46">
        <f t="shared" si="7"/>
        <v>477.33051573</v>
      </c>
      <c r="E26" s="52">
        <v>531093</v>
      </c>
      <c r="F26" s="54">
        <f t="shared" si="9"/>
        <v>180</v>
      </c>
      <c r="G26" s="43">
        <f t="shared" si="4"/>
        <v>152.5428</v>
      </c>
      <c r="H26" s="43">
        <f t="shared" si="5"/>
        <v>152.5428</v>
      </c>
      <c r="I26" s="49">
        <f t="shared" si="2"/>
        <v>305.0856</v>
      </c>
      <c r="J26" s="88">
        <f>5210+6440</f>
        <v>11650</v>
      </c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>
        <v>6835363</v>
      </c>
      <c r="C27" s="55">
        <f t="shared" si="8"/>
        <v>2339</v>
      </c>
      <c r="D27" s="46">
        <f t="shared" si="7"/>
        <v>495.55085499</v>
      </c>
      <c r="E27" s="52">
        <v>531273</v>
      </c>
      <c r="F27" s="56">
        <f t="shared" si="9"/>
        <v>183</v>
      </c>
      <c r="G27" s="48">
        <f t="shared" si="4"/>
        <v>155.08518000000001</v>
      </c>
      <c r="H27" s="48">
        <f t="shared" si="5"/>
        <v>155.08518000000001</v>
      </c>
      <c r="I27" s="49">
        <f t="shared" si="2"/>
        <v>310.17036000000002</v>
      </c>
      <c r="J27" s="88">
        <f>5210+6440</f>
        <v>11650</v>
      </c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>
        <v>6837702</v>
      </c>
      <c r="C28" s="53">
        <f t="shared" si="8"/>
        <v>2225</v>
      </c>
      <c r="D28" s="46">
        <f t="shared" si="7"/>
        <v>471.39831225</v>
      </c>
      <c r="E28" s="52">
        <v>531456</v>
      </c>
      <c r="F28" s="54">
        <f t="shared" si="9"/>
        <v>172</v>
      </c>
      <c r="G28" s="43">
        <f t="shared" si="4"/>
        <v>145.76311999999999</v>
      </c>
      <c r="H28" s="43">
        <f t="shared" si="5"/>
        <v>145.76311999999999</v>
      </c>
      <c r="I28" s="49">
        <f t="shared" si="2"/>
        <v>291.52623999999997</v>
      </c>
      <c r="J28" s="88">
        <f>5210+6440</f>
        <v>11650</v>
      </c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>
        <v>6839927</v>
      </c>
      <c r="C29" s="55">
        <f t="shared" si="8"/>
        <v>2888</v>
      </c>
      <c r="D29" s="46">
        <f t="shared" si="7"/>
        <v>611.86441607999996</v>
      </c>
      <c r="E29" s="52">
        <v>531628</v>
      </c>
      <c r="F29" s="56">
        <f t="shared" si="9"/>
        <v>181</v>
      </c>
      <c r="G29" s="48">
        <f t="shared" si="4"/>
        <v>153.39026000000001</v>
      </c>
      <c r="H29" s="48">
        <f t="shared" si="5"/>
        <v>153.39026000000001</v>
      </c>
      <c r="I29" s="49">
        <f t="shared" si="2"/>
        <v>306.78052000000002</v>
      </c>
      <c r="J29" s="88">
        <f>5210+6440</f>
        <v>11650</v>
      </c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>
        <v>6842815</v>
      </c>
      <c r="C30" s="53">
        <f t="shared" si="8"/>
        <v>2875</v>
      </c>
      <c r="D30" s="46">
        <f t="shared" si="7"/>
        <v>609.11017875000005</v>
      </c>
      <c r="E30" s="52">
        <v>531809</v>
      </c>
      <c r="F30" s="54">
        <f t="shared" si="9"/>
        <v>230</v>
      </c>
      <c r="G30" s="43">
        <f t="shared" si="4"/>
        <v>194.91579999999999</v>
      </c>
      <c r="H30" s="43">
        <f t="shared" si="5"/>
        <v>194.91579999999999</v>
      </c>
      <c r="I30" s="49">
        <f t="shared" si="2"/>
        <v>389.83159999999998</v>
      </c>
      <c r="J30" s="88">
        <f>5210+6440</f>
        <v>11650</v>
      </c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>
        <v>6845690</v>
      </c>
      <c r="C31" s="55">
        <f t="shared" si="8"/>
        <v>1964</v>
      </c>
      <c r="D31" s="46">
        <f t="shared" si="7"/>
        <v>416.10170124000001</v>
      </c>
      <c r="E31" s="52">
        <v>532039</v>
      </c>
      <c r="F31" s="56">
        <f t="shared" si="9"/>
        <v>189</v>
      </c>
      <c r="G31" s="48">
        <f t="shared" si="4"/>
        <v>160.16994</v>
      </c>
      <c r="H31" s="48">
        <f t="shared" si="5"/>
        <v>160.16994</v>
      </c>
      <c r="I31" s="49">
        <f t="shared" si="2"/>
        <v>320.33987999999999</v>
      </c>
      <c r="J31" s="88">
        <f>5210+6440</f>
        <v>11650</v>
      </c>
      <c r="K31" s="38">
        <f t="shared" si="3"/>
        <v>11650</v>
      </c>
      <c r="L31" s="39">
        <f t="shared" si="6"/>
        <v>8154.9999999999991</v>
      </c>
    </row>
    <row r="32" spans="1:12" ht="32.450000000000003" customHeight="1">
      <c r="A32" s="40">
        <v>27</v>
      </c>
      <c r="B32" s="40">
        <v>6847654</v>
      </c>
      <c r="C32" s="53">
        <f t="shared" si="8"/>
        <v>1466</v>
      </c>
      <c r="D32" s="46">
        <f t="shared" si="7"/>
        <v>310.59322506000001</v>
      </c>
      <c r="E32" s="52">
        <v>532228</v>
      </c>
      <c r="F32" s="55">
        <f t="shared" si="9"/>
        <v>300</v>
      </c>
      <c r="G32" s="43">
        <f t="shared" si="4"/>
        <v>254.238</v>
      </c>
      <c r="H32" s="43">
        <f t="shared" si="5"/>
        <v>254.238</v>
      </c>
      <c r="I32" s="49">
        <f t="shared" si="2"/>
        <v>508.476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>
        <v>6849120</v>
      </c>
      <c r="C33" s="55">
        <f t="shared" si="8"/>
        <v>4225</v>
      </c>
      <c r="D33" s="46">
        <f t="shared" si="7"/>
        <v>895.12713225000005</v>
      </c>
      <c r="E33" s="52">
        <v>532528</v>
      </c>
      <c r="F33" s="54">
        <f t="shared" si="9"/>
        <v>292</v>
      </c>
      <c r="G33" s="48">
        <f t="shared" si="4"/>
        <v>247.45831999999999</v>
      </c>
      <c r="H33" s="48">
        <f t="shared" si="5"/>
        <v>247.45831999999999</v>
      </c>
      <c r="I33" s="49">
        <f t="shared" si="2"/>
        <v>494.91663999999997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>
        <v>6853345</v>
      </c>
      <c r="C34" s="55">
        <f t="shared" si="8"/>
        <v>2424</v>
      </c>
      <c r="D34" s="46">
        <f t="shared" si="7"/>
        <v>513.55932984000003</v>
      </c>
      <c r="E34" s="52">
        <v>532820</v>
      </c>
      <c r="F34" s="55">
        <f t="shared" si="9"/>
        <v>278</v>
      </c>
      <c r="G34" s="43">
        <f t="shared" si="4"/>
        <v>235.59387999999998</v>
      </c>
      <c r="H34" s="43">
        <f t="shared" si="5"/>
        <v>235.59387999999998</v>
      </c>
      <c r="I34" s="49">
        <f t="shared" si="2"/>
        <v>471.18775999999997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7">
        <v>30</v>
      </c>
      <c r="B35" s="118">
        <v>6855769</v>
      </c>
      <c r="C35" s="119">
        <f t="shared" si="8"/>
        <v>-6855769</v>
      </c>
      <c r="D35" s="120">
        <f t="shared" si="7"/>
        <v>-1452493.4542812901</v>
      </c>
      <c r="E35" s="112">
        <v>533098</v>
      </c>
      <c r="F35" s="119">
        <f t="shared" si="9"/>
        <v>-533098</v>
      </c>
      <c r="G35" s="121">
        <f t="shared" si="4"/>
        <v>-451779.23108</v>
      </c>
      <c r="H35" s="121">
        <f t="shared" si="5"/>
        <v>-451779.23108</v>
      </c>
      <c r="I35" s="122">
        <f t="shared" si="2"/>
        <v>-903558.46216</v>
      </c>
      <c r="J35" s="123"/>
      <c r="K35" s="124">
        <f t="shared" si="3"/>
        <v>0</v>
      </c>
      <c r="L35" s="39">
        <f t="shared" si="6"/>
        <v>0</v>
      </c>
    </row>
    <row r="36" spans="1:12" ht="32.450000000000003" customHeight="1">
      <c r="A36" s="114">
        <v>31</v>
      </c>
      <c r="B36" s="115"/>
      <c r="C36" s="125">
        <f t="shared" ref="C36" si="10">B37-B36</f>
        <v>0</v>
      </c>
      <c r="D36" s="126">
        <f t="shared" si="7"/>
        <v>0</v>
      </c>
      <c r="E36" s="116"/>
      <c r="F36" s="125">
        <f t="shared" ref="F36" si="11">E37-E36</f>
        <v>0</v>
      </c>
      <c r="G36" s="127">
        <f t="shared" ref="G36" si="12">F36*0.84746</f>
        <v>0</v>
      </c>
      <c r="H36" s="127">
        <f t="shared" ref="H36" si="13">F36*0.84746</f>
        <v>0</v>
      </c>
      <c r="I36" s="128">
        <f t="shared" ref="I36" si="14">G36+H36</f>
        <v>0</v>
      </c>
      <c r="J36" s="129"/>
      <c r="K36" s="130">
        <f t="shared" ref="K36" si="15">J36-J37</f>
        <v>0</v>
      </c>
      <c r="L36" s="141">
        <f t="shared" si="6"/>
        <v>0</v>
      </c>
    </row>
    <row r="37" spans="1:12" ht="32.450000000000003" customHeight="1">
      <c r="A37" s="114">
        <v>1</v>
      </c>
      <c r="B37" s="115"/>
      <c r="C37" s="125">
        <f t="shared" ref="C37" si="16">B38-B37</f>
        <v>0</v>
      </c>
      <c r="D37" s="126">
        <f t="shared" ref="D37" si="17">C37*0.21186441</f>
        <v>0</v>
      </c>
      <c r="E37" s="116"/>
      <c r="F37" s="125">
        <f t="shared" ref="F37" si="18">E38-E37</f>
        <v>0</v>
      </c>
      <c r="G37" s="127">
        <f t="shared" ref="G37" si="19">F37*0.84746</f>
        <v>0</v>
      </c>
      <c r="H37" s="127">
        <f t="shared" ref="H37" si="20">F37*0.84746</f>
        <v>0</v>
      </c>
      <c r="I37" s="128">
        <f t="shared" ref="I37" si="21">G37+H37</f>
        <v>0</v>
      </c>
      <c r="J37" s="129"/>
      <c r="K37" s="130">
        <f t="shared" ref="K37" si="22">J37-J38</f>
        <v>0</v>
      </c>
      <c r="L37" s="131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2022-05-31T08:54:27Z</dcterms:modified>
  <cp:category/>
  <cp:contentStatus/>
</cp:coreProperties>
</file>