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 activeTab="1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K185" i="4" s="1"/>
  <c r="J186" i="4"/>
  <c r="J187" i="4"/>
  <c r="K184" i="4"/>
  <c r="K186" i="4"/>
  <c r="K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206" i="4" l="1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K199" i="4"/>
  <c r="I199" i="4"/>
  <c r="S198" i="4"/>
  <c r="R198" i="4"/>
  <c r="O198" i="4"/>
  <c r="K198" i="4"/>
  <c r="I198" i="4"/>
  <c r="S197" i="4"/>
  <c r="R197" i="4"/>
  <c r="O197" i="4"/>
  <c r="K197" i="4"/>
  <c r="I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188" i="4" l="1"/>
  <c r="E181" i="1"/>
  <c r="E203" i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<sst xmlns="http://schemas.openxmlformats.org/spreadsheetml/2006/main" count="607" uniqueCount="77">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</sst>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165" fontId="3" fillId="17" borderId="9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A166" workbookViewId="0">
      <selection activeCell="L194" sqref="L19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0.75</v>
      </c>
      <c r="G153" s="4">
        <f>'Gas Water'!M155</f>
        <v>1816</v>
      </c>
      <c r="H153" s="154">
        <v>1.85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0.75</v>
      </c>
      <c r="G154" s="4">
        <f>'Gas Water'!M156</f>
        <v>1894</v>
      </c>
      <c r="H154" s="154">
        <v>1.85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0.75</v>
      </c>
      <c r="G155" s="4">
        <f>'Gas Water'!M157</f>
        <v>2090</v>
      </c>
      <c r="H155" s="154">
        <v>1.85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0.75</v>
      </c>
      <c r="G156" s="4">
        <f>'Gas Water'!M158</f>
        <v>1843</v>
      </c>
      <c r="H156" s="154">
        <v>1.85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0.75</v>
      </c>
      <c r="G157" s="4">
        <f>'Gas Water'!M159</f>
        <v>1664</v>
      </c>
      <c r="H157" s="154">
        <v>1.85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0.75</v>
      </c>
      <c r="G158" s="4">
        <f>'Gas Water'!M160</f>
        <v>1481</v>
      </c>
      <c r="H158" s="154">
        <v>1.85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4">
        <v>0.75</v>
      </c>
      <c r="G159" s="4">
        <f>'Gas Water'!M161</f>
        <v>1578</v>
      </c>
      <c r="H159" s="154">
        <v>1.85</v>
      </c>
      <c r="I159" s="2">
        <f>'Gas Water'!L161</f>
        <v>162</v>
      </c>
      <c r="J159" s="154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4">
        <v>0.75</v>
      </c>
      <c r="G160" s="4">
        <f>'Gas Water'!M162</f>
        <v>996</v>
      </c>
      <c r="H160" s="154">
        <v>1.85</v>
      </c>
      <c r="I160" s="2">
        <f>'Gas Water'!L162</f>
        <v>185</v>
      </c>
      <c r="J160" s="154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4">
        <v>0.75</v>
      </c>
      <c r="G161" s="4">
        <f>'Gas Water'!M163</f>
        <v>1611</v>
      </c>
      <c r="H161" s="154">
        <v>1.85</v>
      </c>
      <c r="I161" s="2">
        <f>'Gas Water'!L163</f>
        <v>229</v>
      </c>
      <c r="J161" s="154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4">
        <v>0.75</v>
      </c>
      <c r="G162" s="4">
        <f>'Gas Water'!M164</f>
        <v>1798</v>
      </c>
      <c r="H162" s="154">
        <v>1.85</v>
      </c>
      <c r="I162" s="2">
        <f>'Gas Water'!L164</f>
        <v>275</v>
      </c>
      <c r="J162" s="154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4">
        <v>0.75</v>
      </c>
      <c r="G163" s="4">
        <f>'Gas Water'!M165</f>
        <v>1793</v>
      </c>
      <c r="H163" s="154">
        <v>1.85</v>
      </c>
      <c r="I163" s="2">
        <f>'Gas Water'!L165</f>
        <v>236</v>
      </c>
      <c r="J163" s="154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4">
        <v>0.75</v>
      </c>
      <c r="G164" s="4">
        <f>'Gas Water'!M166</f>
        <v>2190</v>
      </c>
      <c r="H164" s="154">
        <v>1.85</v>
      </c>
      <c r="I164" s="2">
        <f>'Gas Water'!L166</f>
        <v>215</v>
      </c>
      <c r="J164" s="154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4">
        <v>0.75</v>
      </c>
      <c r="G165" s="4">
        <f>'Gas Water'!M167</f>
        <v>1995</v>
      </c>
      <c r="H165" s="154">
        <v>1.85</v>
      </c>
      <c r="I165" s="2">
        <f>'Gas Water'!L167</f>
        <v>209</v>
      </c>
      <c r="J165" s="154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4">
        <v>0.75</v>
      </c>
      <c r="G166" s="4">
        <f>'Gas Water'!M168</f>
        <v>1986</v>
      </c>
      <c r="H166" s="154">
        <v>1.85</v>
      </c>
      <c r="I166" s="2">
        <f>'Gas Water'!L168</f>
        <v>185</v>
      </c>
      <c r="J166" s="154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4">
        <v>0.75</v>
      </c>
      <c r="G167" s="4">
        <f>'Gas Water'!M169</f>
        <v>2127</v>
      </c>
      <c r="H167" s="154">
        <v>1.85</v>
      </c>
      <c r="I167" s="2">
        <f>'Gas Water'!L169</f>
        <v>156</v>
      </c>
      <c r="J167" s="154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4">
        <v>0.75</v>
      </c>
      <c r="G168" s="4">
        <f>'Gas Water'!M170</f>
        <v>1552</v>
      </c>
      <c r="H168" s="154">
        <v>1.85</v>
      </c>
      <c r="I168" s="2">
        <f>'Gas Water'!L170</f>
        <v>144</v>
      </c>
      <c r="J168" s="154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4">
        <v>0.75</v>
      </c>
      <c r="G169" s="4">
        <f>'Gas Water'!M171</f>
        <v>1556</v>
      </c>
      <c r="H169" s="154">
        <v>1.85</v>
      </c>
      <c r="I169" s="2">
        <f>'Gas Water'!L171</f>
        <v>184</v>
      </c>
      <c r="J169" s="154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4">
        <v>0.75</v>
      </c>
      <c r="G170" s="4">
        <f>'Gas Water'!M172</f>
        <v>1841</v>
      </c>
      <c r="H170" s="154">
        <v>1.85</v>
      </c>
      <c r="I170" s="2">
        <f>'Gas Water'!L172</f>
        <v>148</v>
      </c>
      <c r="J170" s="154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4">
        <v>0.75</v>
      </c>
      <c r="G171" s="4">
        <f>'Gas Water'!M173</f>
        <v>1706</v>
      </c>
      <c r="H171" s="154">
        <v>1.85</v>
      </c>
      <c r="I171" s="2">
        <f>'Gas Water'!L173</f>
        <v>170</v>
      </c>
      <c r="J171" s="154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4">
        <v>0.75</v>
      </c>
      <c r="G172" s="4">
        <f>'Gas Water'!M174</f>
        <v>2361</v>
      </c>
      <c r="H172" s="154">
        <v>1.85</v>
      </c>
      <c r="I172" s="2">
        <f>'Gas Water'!L174</f>
        <v>170</v>
      </c>
      <c r="J172" s="154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4">
        <v>0.75</v>
      </c>
      <c r="G173" s="4">
        <f>'Gas Water'!M175</f>
        <v>2032</v>
      </c>
      <c r="H173" s="154">
        <v>1.85</v>
      </c>
      <c r="I173" s="2">
        <f>'Gas Water'!L175</f>
        <v>194</v>
      </c>
      <c r="J173" s="154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4">
        <v>0.75</v>
      </c>
      <c r="G174" s="4">
        <f>'Gas Water'!M176</f>
        <v>1637</v>
      </c>
      <c r="H174" s="154">
        <v>1.85</v>
      </c>
      <c r="I174" s="2">
        <f>'Gas Water'!L176</f>
        <v>213</v>
      </c>
      <c r="J174" s="154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4">
        <v>0.75</v>
      </c>
      <c r="G175" s="4">
        <f>'Gas Water'!M177</f>
        <v>1867</v>
      </c>
      <c r="H175" s="154">
        <v>1.85</v>
      </c>
      <c r="I175" s="2">
        <f>'Gas Water'!L177</f>
        <v>228</v>
      </c>
      <c r="J175" s="154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4">
        <v>0.75</v>
      </c>
      <c r="G176" s="4">
        <f>'Gas Water'!M178</f>
        <v>1675</v>
      </c>
      <c r="H176" s="154">
        <v>1.85</v>
      </c>
      <c r="I176" s="2">
        <f>'Gas Water'!L178</f>
        <v>209</v>
      </c>
      <c r="J176" s="154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4">
        <v>0.75</v>
      </c>
      <c r="G177" s="4">
        <f>'Gas Water'!M179</f>
        <v>1418</v>
      </c>
      <c r="H177" s="154">
        <v>1.85</v>
      </c>
      <c r="I177" s="2">
        <f>'Gas Water'!L179</f>
        <v>204</v>
      </c>
      <c r="J177" s="154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4">
        <v>0.75</v>
      </c>
      <c r="G178" s="4">
        <f>'Gas Water'!M180</f>
        <v>1523</v>
      </c>
      <c r="H178" s="154">
        <v>1.85</v>
      </c>
      <c r="I178" s="2">
        <f>'Gas Water'!L180</f>
        <v>217</v>
      </c>
      <c r="J178" s="154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4">
        <v>0.75</v>
      </c>
      <c r="G179" s="4">
        <f>'Gas Water'!M181</f>
        <v>1426</v>
      </c>
      <c r="H179" s="154">
        <v>1.85</v>
      </c>
      <c r="I179" s="2">
        <f>'Gas Water'!L181</f>
        <v>242</v>
      </c>
      <c r="J179" s="154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4">
        <v>0.75</v>
      </c>
      <c r="G180" s="4">
        <f>'Gas Water'!M182</f>
        <v>1283</v>
      </c>
      <c r="H180" s="154">
        <v>1.85</v>
      </c>
      <c r="I180" s="2">
        <f>'Gas Water'!L182</f>
        <v>235</v>
      </c>
      <c r="J180" s="154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4">
        <v>0.75</v>
      </c>
      <c r="G181" s="4">
        <f>'Gas Water'!M183</f>
        <v>1461</v>
      </c>
      <c r="H181" s="154">
        <v>1.85</v>
      </c>
      <c r="I181" s="2">
        <f>'Gas Water'!L183</f>
        <v>260</v>
      </c>
      <c r="J181" s="154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4">
        <v>0.75</v>
      </c>
      <c r="G182" s="4">
        <f>'Gas Water'!M184</f>
        <v>1376</v>
      </c>
      <c r="H182" s="154">
        <v>1.85</v>
      </c>
      <c r="I182" s="2">
        <f>'Gas Water'!L184</f>
        <v>236</v>
      </c>
      <c r="J182" s="154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4">
        <v>0.75</v>
      </c>
      <c r="G183" s="4">
        <f>'Gas Water'!M185</f>
        <v>1385</v>
      </c>
      <c r="H183" s="154">
        <v>1.85</v>
      </c>
      <c r="I183" s="2">
        <f>'Gas Water'!L185</f>
        <v>302</v>
      </c>
      <c r="J183" s="154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4">
        <v>0.75</v>
      </c>
      <c r="G184" s="4">
        <f>'Gas Water'!M186</f>
        <v>1358</v>
      </c>
      <c r="H184" s="154">
        <v>1.85</v>
      </c>
      <c r="I184" s="2">
        <f>'Gas Water'!L186</f>
        <v>272</v>
      </c>
      <c r="J184" s="154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4">
        <v>0.75</v>
      </c>
      <c r="G185" s="4">
        <f>'Gas Water'!M187</f>
        <v>1358</v>
      </c>
      <c r="H185" s="154">
        <v>1.85</v>
      </c>
      <c r="I185" s="2">
        <f>'Gas Water'!L187</f>
        <v>257</v>
      </c>
      <c r="J185" s="154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4">
        <v>0.75</v>
      </c>
      <c r="G186" s="4">
        <f>'Gas Water'!M188</f>
        <v>1460</v>
      </c>
      <c r="H186" s="154">
        <v>1.85</v>
      </c>
      <c r="I186" s="2">
        <f>'Gas Water'!L188</f>
        <v>277</v>
      </c>
      <c r="J186" s="154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4">
        <v>0.75</v>
      </c>
      <c r="G187" s="4">
        <f>'Gas Water'!M189</f>
        <v>1460</v>
      </c>
      <c r="H187" s="154">
        <v>1.85</v>
      </c>
      <c r="I187" s="2">
        <f>'Gas Water'!L189</f>
        <v>343</v>
      </c>
      <c r="J187" s="154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4">
        <v>0.75</v>
      </c>
      <c r="G188" s="4">
        <f>'Gas Water'!M190</f>
        <v>1400</v>
      </c>
      <c r="H188" s="154">
        <v>1.85</v>
      </c>
      <c r="I188" s="2">
        <f>'Gas Water'!L190</f>
        <v>237</v>
      </c>
      <c r="J188" s="154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4">
        <v>0.75</v>
      </c>
      <c r="G189" s="4">
        <f>'Gas Water'!M191</f>
        <v>1315</v>
      </c>
      <c r="H189" s="154">
        <v>1.85</v>
      </c>
      <c r="I189" s="2">
        <f>'Gas Water'!L191</f>
        <v>241</v>
      </c>
      <c r="J189" s="154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4">
        <v>0.75</v>
      </c>
      <c r="G190" s="4">
        <f>'Gas Water'!M192</f>
        <v>1356</v>
      </c>
      <c r="H190" s="154">
        <v>1.85</v>
      </c>
      <c r="I190" s="2">
        <f>'Gas Water'!L192</f>
        <v>228</v>
      </c>
      <c r="J190" s="154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4">
        <v>0.75</v>
      </c>
      <c r="G191" s="4">
        <f>'Gas Water'!M193</f>
        <v>1409</v>
      </c>
      <c r="H191" s="154">
        <v>1.85</v>
      </c>
      <c r="I191" s="2">
        <f>'Gas Water'!L193</f>
        <v>276</v>
      </c>
      <c r="J191" s="154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4">
        <v>0.75</v>
      </c>
      <c r="G192" s="4">
        <f>'Gas Water'!M194</f>
        <v>1445</v>
      </c>
      <c r="H192" s="154">
        <v>1.85</v>
      </c>
      <c r="I192" s="2">
        <f>'Gas Water'!L194</f>
        <v>254</v>
      </c>
      <c r="J192" s="154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4">
        <v>0.75</v>
      </c>
      <c r="G193" s="4">
        <f>'Gas Water'!M195</f>
        <v>1452</v>
      </c>
      <c r="H193" s="154">
        <v>1.85</v>
      </c>
      <c r="I193" s="2">
        <f>'Gas Water'!L195</f>
        <v>356</v>
      </c>
      <c r="J193" s="154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4">
        <v>0.75</v>
      </c>
      <c r="G194" s="4">
        <f>'Gas Water'!M196</f>
        <v>1344</v>
      </c>
      <c r="H194" s="154">
        <v>1.85</v>
      </c>
      <c r="I194" s="2">
        <f>'Gas Water'!L196</f>
        <v>272</v>
      </c>
      <c r="J194" s="154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>
        <v>0.75</v>
      </c>
      <c r="G195" s="4" t="str">
        <f>'Gas Water'!M197</f>
        <v/>
      </c>
      <c r="H195" s="154">
        <v>1.85</v>
      </c>
      <c r="I195" s="2" t="str">
        <f>'Gas Water'!L197</f>
        <v/>
      </c>
      <c r="J195" s="154">
        <v>12.93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>
        <v>0.75</v>
      </c>
      <c r="G196" s="4" t="str">
        <f>'Gas Water'!M198</f>
        <v/>
      </c>
      <c r="H196" s="154">
        <v>1.85</v>
      </c>
      <c r="I196" s="2" t="str">
        <f>'Gas Water'!L198</f>
        <v/>
      </c>
      <c r="J196" s="154">
        <v>12.93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>
        <v>0.75</v>
      </c>
      <c r="G197" s="4" t="str">
        <f>'Gas Water'!M199</f>
        <v/>
      </c>
      <c r="H197" s="154">
        <v>1.85</v>
      </c>
      <c r="I197" s="2" t="str">
        <f>'Gas Water'!L199</f>
        <v/>
      </c>
      <c r="J197" s="154">
        <v>12.93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>
        <v>0.75</v>
      </c>
      <c r="G198" s="4" t="str">
        <f>'Gas Water'!M200</f>
        <v/>
      </c>
      <c r="H198" s="154">
        <v>1.85</v>
      </c>
      <c r="I198" s="2" t="str">
        <f>'Gas Water'!L200</f>
        <v/>
      </c>
      <c r="J198" s="154">
        <v>12.93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>
        <v>0.75</v>
      </c>
      <c r="G199" s="4" t="str">
        <f>'Gas Water'!M201</f>
        <v/>
      </c>
      <c r="H199" s="154">
        <v>1.85</v>
      </c>
      <c r="I199" s="2" t="str">
        <f>'Gas Water'!L201</f>
        <v/>
      </c>
      <c r="J199" s="154">
        <v>12.93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>
        <v>0.75</v>
      </c>
      <c r="G200" s="4" t="str">
        <f>'Gas Water'!M202</f>
        <v/>
      </c>
      <c r="H200" s="154">
        <v>1.85</v>
      </c>
      <c r="I200" s="2" t="str">
        <f>'Gas Water'!L202</f>
        <v/>
      </c>
      <c r="J200" s="154">
        <v>12.93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>
        <v>0.75</v>
      </c>
      <c r="G201" s="4" t="str">
        <f>'Gas Water'!M203</f>
        <v/>
      </c>
      <c r="H201" s="154">
        <v>1.85</v>
      </c>
      <c r="I201" s="2" t="str">
        <f>'Gas Water'!L203</f>
        <v/>
      </c>
      <c r="J201" s="154">
        <v>12.93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>
        <v>0.75</v>
      </c>
      <c r="G202" s="4" t="str">
        <f>'Gas Water'!M204</f>
        <v/>
      </c>
      <c r="H202" s="154">
        <v>1.85</v>
      </c>
      <c r="I202" s="2" t="str">
        <f>'Gas Water'!L204</f>
        <v/>
      </c>
      <c r="J202" s="154">
        <v>12.93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>
        <v>0.75</v>
      </c>
      <c r="G203" s="4" t="str">
        <f>'Gas Water'!M205</f>
        <v/>
      </c>
      <c r="H203" s="154">
        <v>1.85</v>
      </c>
      <c r="I203" s="2" t="str">
        <f>'Gas Water'!L205</f>
        <v/>
      </c>
      <c r="J203" s="154">
        <v>12.93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>
        <v>0.75</v>
      </c>
      <c r="G204" s="4" t="str">
        <f>'Gas Water'!M206</f>
        <v/>
      </c>
      <c r="H204" s="154">
        <v>1.85</v>
      </c>
      <c r="I204" s="2" t="str">
        <f>'Gas Water'!L206</f>
        <v/>
      </c>
      <c r="J204" s="154">
        <v>12.93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>
        <v>0.75</v>
      </c>
      <c r="G205" s="4" t="str">
        <f>'Gas Water'!M207</f>
        <v/>
      </c>
      <c r="H205" s="154">
        <v>1.85</v>
      </c>
      <c r="I205" s="2" t="str">
        <f>'Gas Water'!L207</f>
        <v/>
      </c>
      <c r="J205" s="154">
        <v>12.93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>
        <v>0.75</v>
      </c>
      <c r="G206" s="4" t="str">
        <f>'Gas Water'!M208</f>
        <v/>
      </c>
      <c r="H206" s="154">
        <v>1.85</v>
      </c>
      <c r="I206" s="2" t="str">
        <f>'Gas Water'!L208</f>
        <v/>
      </c>
      <c r="J206" s="154">
        <v>12.93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>
        <v>0.75</v>
      </c>
      <c r="G207" s="4" t="str">
        <f>'Gas Water'!M209</f>
        <v/>
      </c>
      <c r="H207" s="154">
        <v>1.85</v>
      </c>
      <c r="I207" s="2" t="str">
        <f>'Gas Water'!L209</f>
        <v/>
      </c>
      <c r="J207" s="154">
        <v>12.93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>
        <v>0.75</v>
      </c>
      <c r="G208" s="4" t="str">
        <f>'Gas Water'!M210</f>
        <v/>
      </c>
      <c r="H208" s="154">
        <v>1.85</v>
      </c>
      <c r="I208" s="2" t="str">
        <f>'Gas Water'!L210</f>
        <v/>
      </c>
      <c r="J208" s="154">
        <v>12.93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>
        <v>0.75</v>
      </c>
      <c r="G209" s="4" t="str">
        <f>'Gas Water'!M211</f>
        <v/>
      </c>
      <c r="H209" s="154">
        <v>1.85</v>
      </c>
      <c r="I209" s="2" t="str">
        <f>'Gas Water'!L211</f>
        <v/>
      </c>
      <c r="J209" s="154">
        <v>12.93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>
        <v>0.75</v>
      </c>
      <c r="G210" s="4" t="str">
        <f>'Gas Water'!M212</f>
        <v/>
      </c>
      <c r="H210" s="154">
        <v>1.85</v>
      </c>
      <c r="I210" s="2" t="str">
        <f>'Gas Water'!L212</f>
        <v/>
      </c>
      <c r="J210" s="154">
        <v>12.93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>
        <v>0.75</v>
      </c>
      <c r="G211" s="4" t="str">
        <f>'Gas Water'!M213</f>
        <v/>
      </c>
      <c r="H211" s="154">
        <v>1.85</v>
      </c>
      <c r="I211" s="2" t="str">
        <f>'Gas Water'!L213</f>
        <v/>
      </c>
      <c r="J211" s="154">
        <v>12.93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>
        <v>0.75</v>
      </c>
      <c r="G212" s="4" t="str">
        <f>'Gas Water'!M214</f>
        <v/>
      </c>
      <c r="H212" s="154">
        <v>1.85</v>
      </c>
      <c r="I212" s="2" t="str">
        <f>'Gas Water'!L214</f>
        <v/>
      </c>
      <c r="J212" s="154">
        <v>12.93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>
        <v>0.75</v>
      </c>
      <c r="G213" s="4" t="str">
        <f>'Gas Water'!M215</f>
        <v/>
      </c>
      <c r="H213" s="154">
        <v>1.85</v>
      </c>
      <c r="I213" s="2" t="str">
        <f>'Gas Water'!L215</f>
        <v/>
      </c>
      <c r="J213" s="154">
        <v>12.93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abSelected="1" topLeftCell="A178" workbookViewId="0">
      <selection activeCell="N194" sqref="N194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7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208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8" t="s">
        <v>21</v>
      </c>
      <c r="O206" s="198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9"/>
      <c r="O207" s="199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200"/>
      <c r="O208" s="200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3013</v>
      </c>
      <c r="O209" s="32">
        <f>SUM(M186:M216)</f>
        <v>15357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8" t="s">
        <v>23</v>
      </c>
      <c r="O210" s="198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200"/>
      <c r="O211" s="200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>
        <f>AVERAGE(L186:L216)</f>
        <v>273.90909090909093</v>
      </c>
      <c r="O212" s="32">
        <f>AVERAGE(M186:M216)</f>
        <v>1396.090909090909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8" t="s">
        <v>21</v>
      </c>
      <c r="O237" s="198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9"/>
      <c r="O238" s="199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200"/>
      <c r="O239" s="200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8" t="s">
        <v>23</v>
      </c>
      <c r="O241" s="198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200"/>
      <c r="O242" s="200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8" t="s">
        <v>21</v>
      </c>
      <c r="O267" s="198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9"/>
      <c r="O268" s="199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200"/>
      <c r="O269" s="200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8" t="s">
        <v>23</v>
      </c>
      <c r="O271" s="198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200"/>
      <c r="O272" s="200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8" t="s">
        <v>21</v>
      </c>
      <c r="O298" s="198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9"/>
      <c r="O299" s="199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200"/>
      <c r="O300" s="200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8" t="s">
        <v>23</v>
      </c>
      <c r="O302" s="198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200"/>
      <c r="O303" s="200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8" t="s">
        <v>21</v>
      </c>
      <c r="O328" s="198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9"/>
      <c r="O329" s="199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200"/>
      <c r="O330" s="200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8" t="s">
        <v>23</v>
      </c>
      <c r="O332" s="198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200"/>
      <c r="O333" s="200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8" t="s">
        <v>21</v>
      </c>
      <c r="O359" s="198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9"/>
      <c r="O360" s="199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200"/>
      <c r="O361" s="200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8" t="s">
        <v>23</v>
      </c>
      <c r="O363" s="198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200"/>
      <c r="O364" s="200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422324</v>
      </c>
      <c r="J371" s="40">
        <f t="shared" si="29"/>
        <v>29828</v>
      </c>
      <c r="K371" s="40">
        <f t="shared" si="29"/>
        <v>27796</v>
      </c>
      <c r="L371" s="40">
        <f t="shared" si="29"/>
        <v>29835</v>
      </c>
      <c r="M371" s="40">
        <f t="shared" si="29"/>
        <v>479948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65" workbookViewId="0">
      <selection activeCell="F196" sqref="F196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4"/>
      <c r="Q22" s="205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>
        <v>0.14199999999999999</v>
      </c>
      <c r="E160" s="58">
        <v>430.46100000000001</v>
      </c>
      <c r="F160" s="59">
        <v>16.686</v>
      </c>
      <c r="G160" s="60"/>
      <c r="H160" s="60">
        <v>4140</v>
      </c>
      <c r="I160" s="60">
        <f t="shared" ref="I160:I196" si="23">IF(D160="","",+(E160-E159)*4140)</f>
        <v>24955.920000000082</v>
      </c>
      <c r="J160" s="60">
        <f t="shared" ref="J160:J199" si="24">IF(E160="","",+(F160-F159)*4140)</f>
        <v>745.19999999999879</v>
      </c>
      <c r="K160" s="61">
        <f t="shared" si="19"/>
        <v>2.9860650298606357E-2</v>
      </c>
      <c r="L160" s="60">
        <f t="shared" si="20"/>
        <v>745.19999999999879</v>
      </c>
      <c r="M160" s="61">
        <f t="shared" si="21"/>
        <v>2.9860650298606357E-2</v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>
        <v>0.14199999999999999</v>
      </c>
      <c r="E161" s="58">
        <v>437.37299999999999</v>
      </c>
      <c r="F161" s="59">
        <v>16.876999999999999</v>
      </c>
      <c r="G161" s="60"/>
      <c r="H161" s="60">
        <v>4140</v>
      </c>
      <c r="I161" s="60">
        <f t="shared" si="23"/>
        <v>28615.679999999909</v>
      </c>
      <c r="J161" s="60">
        <f t="shared" si="24"/>
        <v>790.73999999999569</v>
      </c>
      <c r="K161" s="61">
        <f t="shared" si="19"/>
        <v>2.7633101851851787E-2</v>
      </c>
      <c r="L161" s="60">
        <f t="shared" si="20"/>
        <v>790.73999999999569</v>
      </c>
      <c r="M161" s="61">
        <f t="shared" si="21"/>
        <v>2.7633101851851787E-2</v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>
        <v>0.14199999999999999</v>
      </c>
      <c r="E162" s="58">
        <v>444.34300000000002</v>
      </c>
      <c r="F162" s="59">
        <v>17.027999999999999</v>
      </c>
      <c r="G162" s="60"/>
      <c r="H162" s="60">
        <v>4140</v>
      </c>
      <c r="I162" s="60">
        <f t="shared" si="23"/>
        <v>28855.800000000112</v>
      </c>
      <c r="J162" s="60">
        <f t="shared" si="24"/>
        <v>625.13999999999919</v>
      </c>
      <c r="K162" s="61">
        <f t="shared" si="19"/>
        <v>2.1664275466283963E-2</v>
      </c>
      <c r="L162" s="60">
        <f t="shared" si="20"/>
        <v>625.13999999999919</v>
      </c>
      <c r="M162" s="61">
        <f t="shared" si="21"/>
        <v>2.1664275466283963E-2</v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>
        <v>0.14199999999999999</v>
      </c>
      <c r="E163" s="58">
        <v>451.52300000000002</v>
      </c>
      <c r="F163" s="59">
        <v>17.213999999999999</v>
      </c>
      <c r="G163" s="60"/>
      <c r="H163" s="60">
        <v>4140</v>
      </c>
      <c r="I163" s="60">
        <f t="shared" si="23"/>
        <v>29725.20000000003</v>
      </c>
      <c r="J163" s="60">
        <f t="shared" si="24"/>
        <v>770.03999999999974</v>
      </c>
      <c r="K163" s="61">
        <f t="shared" si="19"/>
        <v>2.59052924791086E-2</v>
      </c>
      <c r="L163" s="60">
        <f t="shared" si="20"/>
        <v>770.03999999999974</v>
      </c>
      <c r="M163" s="61">
        <f t="shared" si="21"/>
        <v>2.59052924791086E-2</v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>
        <v>0.14199999999999999</v>
      </c>
      <c r="E164" s="58">
        <v>457.99400000000003</v>
      </c>
      <c r="F164" s="59">
        <v>17.364000000000001</v>
      </c>
      <c r="G164" s="60"/>
      <c r="H164" s="60">
        <v>4140</v>
      </c>
      <c r="I164" s="60">
        <f t="shared" si="23"/>
        <v>26789.940000000017</v>
      </c>
      <c r="J164" s="60">
        <f t="shared" si="24"/>
        <v>621.00000000000887</v>
      </c>
      <c r="K164" s="61">
        <f t="shared" si="19"/>
        <v>2.3180343069077739E-2</v>
      </c>
      <c r="L164" s="60">
        <f t="shared" si="20"/>
        <v>621.00000000000887</v>
      </c>
      <c r="M164" s="61">
        <f t="shared" si="21"/>
        <v>2.3180343069077739E-2</v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>
        <v>0.14199999999999999</v>
      </c>
      <c r="E165" s="58">
        <v>464.56900000000002</v>
      </c>
      <c r="F165" s="59">
        <v>17.532</v>
      </c>
      <c r="G165" s="60"/>
      <c r="H165" s="60">
        <v>4140</v>
      </c>
      <c r="I165" s="60">
        <f t="shared" si="23"/>
        <v>27220.499999999953</v>
      </c>
      <c r="J165" s="60">
        <f t="shared" si="24"/>
        <v>695.51999999999691</v>
      </c>
      <c r="K165" s="61">
        <f t="shared" si="19"/>
        <v>2.555133079847902E-2</v>
      </c>
      <c r="L165" s="60">
        <f t="shared" si="20"/>
        <v>695.51999999999691</v>
      </c>
      <c r="M165" s="61">
        <f t="shared" si="21"/>
        <v>2.555133079847902E-2</v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>
        <v>0.14199999999999999</v>
      </c>
      <c r="E166" s="58">
        <v>471.69799999999998</v>
      </c>
      <c r="F166" s="59">
        <v>17.760000000000002</v>
      </c>
      <c r="G166" s="60"/>
      <c r="H166" s="60">
        <v>4140</v>
      </c>
      <c r="I166" s="60">
        <f t="shared" si="23"/>
        <v>29514.059999999845</v>
      </c>
      <c r="J166" s="60">
        <f t="shared" si="24"/>
        <v>943.92000000000633</v>
      </c>
      <c r="K166" s="61">
        <f t="shared" si="19"/>
        <v>3.1982045167625574E-2</v>
      </c>
      <c r="L166" s="60">
        <f t="shared" si="20"/>
        <v>943.92000000000633</v>
      </c>
      <c r="M166" s="61">
        <f t="shared" si="21"/>
        <v>3.1982045167625574E-2</v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>
        <v>0.14199999999999999</v>
      </c>
      <c r="E167" s="58">
        <v>477.51900000000001</v>
      </c>
      <c r="F167" s="59">
        <v>17.888000000000002</v>
      </c>
      <c r="G167" s="60"/>
      <c r="H167" s="60">
        <v>4140</v>
      </c>
      <c r="I167" s="60">
        <f t="shared" si="23"/>
        <v>24098.940000000108</v>
      </c>
      <c r="J167" s="60">
        <f t="shared" si="24"/>
        <v>529.92000000000053</v>
      </c>
      <c r="K167" s="61">
        <f t="shared" si="19"/>
        <v>2.1989348909122068E-2</v>
      </c>
      <c r="L167" s="60">
        <f t="shared" si="20"/>
        <v>529.92000000000053</v>
      </c>
      <c r="M167" s="61">
        <f t="shared" si="21"/>
        <v>2.1989348909122068E-2</v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>
        <v>0.14199999999999999</v>
      </c>
      <c r="E168" s="58">
        <v>483.72199999999998</v>
      </c>
      <c r="F168" s="59">
        <v>17.988</v>
      </c>
      <c r="G168" s="60"/>
      <c r="H168" s="60">
        <v>4140</v>
      </c>
      <c r="I168" s="60">
        <f t="shared" si="23"/>
        <v>25680.419999999896</v>
      </c>
      <c r="J168" s="60">
        <f t="shared" si="24"/>
        <v>413.99999999999119</v>
      </c>
      <c r="K168" s="61">
        <f t="shared" si="19"/>
        <v>1.6121231662098705E-2</v>
      </c>
      <c r="L168" s="60">
        <f t="shared" si="20"/>
        <v>413.99999999999119</v>
      </c>
      <c r="M168" s="61">
        <f t="shared" si="21"/>
        <v>1.6121231662098705E-2</v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>
        <v>0.14199999999999999</v>
      </c>
      <c r="E169" s="58">
        <v>489.74599999999998</v>
      </c>
      <c r="F169" s="59">
        <v>18.103999999999999</v>
      </c>
      <c r="G169" s="60"/>
      <c r="H169" s="60">
        <v>4140</v>
      </c>
      <c r="I169" s="60">
        <f t="shared" si="23"/>
        <v>24939.360000000004</v>
      </c>
      <c r="J169" s="60">
        <f t="shared" si="24"/>
        <v>480.23999999999859</v>
      </c>
      <c r="K169" s="61">
        <f t="shared" si="19"/>
        <v>1.9256308100929556E-2</v>
      </c>
      <c r="L169" s="60">
        <f t="shared" si="20"/>
        <v>480.23999999999859</v>
      </c>
      <c r="M169" s="61">
        <f t="shared" si="21"/>
        <v>1.9256308100929556E-2</v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>
        <v>0.14199999999999999</v>
      </c>
      <c r="E170" s="58">
        <v>496.43</v>
      </c>
      <c r="F170" s="59">
        <v>18.248000000000001</v>
      </c>
      <c r="G170" s="60"/>
      <c r="H170" s="60">
        <v>4140</v>
      </c>
      <c r="I170" s="60">
        <f t="shared" si="23"/>
        <v>27671.760000000108</v>
      </c>
      <c r="J170" s="60">
        <f t="shared" si="24"/>
        <v>596.16000000000793</v>
      </c>
      <c r="K170" s="61">
        <f t="shared" si="19"/>
        <v>2.154398563734311E-2</v>
      </c>
      <c r="L170" s="60">
        <f t="shared" si="20"/>
        <v>596.16000000000793</v>
      </c>
      <c r="M170" s="61">
        <f t="shared" si="21"/>
        <v>2.154398563734311E-2</v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>
        <v>0.14199999999999999</v>
      </c>
      <c r="E171" s="58">
        <v>503.71</v>
      </c>
      <c r="F171" s="59">
        <v>18.428999999999998</v>
      </c>
      <c r="G171" s="60"/>
      <c r="H171" s="60">
        <v>4140</v>
      </c>
      <c r="I171" s="60">
        <f t="shared" si="23"/>
        <v>30139.199999999888</v>
      </c>
      <c r="J171" s="60">
        <f t="shared" si="24"/>
        <v>749.33999999998923</v>
      </c>
      <c r="K171" s="61">
        <f t="shared" si="19"/>
        <v>2.4862637362637097E-2</v>
      </c>
      <c r="L171" s="60">
        <f t="shared" si="20"/>
        <v>749.33999999998923</v>
      </c>
      <c r="M171" s="61">
        <f t="shared" si="21"/>
        <v>2.4862637362637097E-2</v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>
        <v>0.14199999999999999</v>
      </c>
      <c r="E172" s="58">
        <v>511.08300000000003</v>
      </c>
      <c r="F172" s="59">
        <v>18.687000000000001</v>
      </c>
      <c r="G172" s="60"/>
      <c r="H172" s="60">
        <v>4140</v>
      </c>
      <c r="I172" s="60">
        <f t="shared" si="23"/>
        <v>30524.220000000198</v>
      </c>
      <c r="J172" s="60">
        <f t="shared" si="24"/>
        <v>1068.120000000011</v>
      </c>
      <c r="K172" s="61">
        <f t="shared" si="19"/>
        <v>3.4992540349925536E-2</v>
      </c>
      <c r="L172" s="60">
        <f t="shared" si="20"/>
        <v>1068.120000000011</v>
      </c>
      <c r="M172" s="61">
        <f t="shared" si="21"/>
        <v>3.4992540349925536E-2</v>
      </c>
      <c r="N172" s="62">
        <v>66068309</v>
      </c>
      <c r="O172" s="62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>
        <v>0.14199999999999999</v>
      </c>
      <c r="E173" s="58">
        <v>518.23500000000001</v>
      </c>
      <c r="F173" s="59">
        <v>18.954999999999998</v>
      </c>
      <c r="G173" s="60"/>
      <c r="H173" s="60">
        <v>4140</v>
      </c>
      <c r="I173" s="60">
        <f t="shared" si="23"/>
        <v>29609.279999999944</v>
      </c>
      <c r="J173" s="60">
        <f t="shared" si="24"/>
        <v>1109.5199999999882</v>
      </c>
      <c r="K173" s="61">
        <f t="shared" si="19"/>
        <v>3.7472035794183116E-2</v>
      </c>
      <c r="L173" s="60">
        <f t="shared" si="20"/>
        <v>1109.5199999999882</v>
      </c>
      <c r="M173" s="61">
        <f t="shared" si="21"/>
        <v>3.7472035794183116E-2</v>
      </c>
      <c r="N173" s="62">
        <v>66068309</v>
      </c>
      <c r="O173" s="62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>
        <v>0.14199999999999999</v>
      </c>
      <c r="E174" s="58">
        <v>525.51800000000003</v>
      </c>
      <c r="F174" s="59">
        <v>19.170000000000002</v>
      </c>
      <c r="G174" s="60"/>
      <c r="H174" s="60">
        <v>4140</v>
      </c>
      <c r="I174" s="60">
        <f t="shared" si="23"/>
        <v>30151.620000000064</v>
      </c>
      <c r="J174" s="60">
        <f t="shared" si="24"/>
        <v>890.10000000001412</v>
      </c>
      <c r="K174" s="61">
        <f t="shared" si="19"/>
        <v>2.9520801867362757E-2</v>
      </c>
      <c r="L174" s="60">
        <f t="shared" si="20"/>
        <v>890.10000000001412</v>
      </c>
      <c r="M174" s="61">
        <f t="shared" si="21"/>
        <v>2.9520801867362757E-2</v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>
        <v>0.14199999999999999</v>
      </c>
      <c r="E175" s="58">
        <v>532.41399999999999</v>
      </c>
      <c r="F175" s="59">
        <v>19.331</v>
      </c>
      <c r="G175" s="60"/>
      <c r="H175" s="60">
        <v>4140</v>
      </c>
      <c r="I175" s="60">
        <f t="shared" si="23"/>
        <v>28549.439999999828</v>
      </c>
      <c r="J175" s="60">
        <f t="shared" si="24"/>
        <v>666.53999999999098</v>
      </c>
      <c r="K175" s="61">
        <f t="shared" si="19"/>
        <v>2.334686774941978E-2</v>
      </c>
      <c r="L175" s="60">
        <f t="shared" si="20"/>
        <v>666.53999999999098</v>
      </c>
      <c r="M175" s="61">
        <f t="shared" si="21"/>
        <v>2.334686774941978E-2</v>
      </c>
      <c r="N175" s="62">
        <v>66068309</v>
      </c>
      <c r="O175" s="62">
        <f t="shared" si="17"/>
        <v>0</v>
      </c>
      <c r="P175" s="71">
        <f>IF(J155="",0,+SUM(J155:J184)/SUM(I155:I184))</f>
        <v>3.0969101787351475E-2</v>
      </c>
      <c r="Q175" s="71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>
        <v>0.14199999999999999</v>
      </c>
      <c r="E176" s="58">
        <v>540.71799999999996</v>
      </c>
      <c r="F176" s="59">
        <v>19.658000000000001</v>
      </c>
      <c r="G176" s="60"/>
      <c r="H176" s="60">
        <v>4140</v>
      </c>
      <c r="I176" s="60">
        <f t="shared" si="23"/>
        <v>34378.559999999889</v>
      </c>
      <c r="J176" s="60">
        <f t="shared" si="24"/>
        <v>1353.7800000000072</v>
      </c>
      <c r="K176" s="61">
        <f t="shared" si="19"/>
        <v>3.9378612716763343E-2</v>
      </c>
      <c r="L176" s="60">
        <f t="shared" si="20"/>
        <v>1353.7800000000072</v>
      </c>
      <c r="M176" s="61">
        <f t="shared" si="21"/>
        <v>3.9378612716763343E-2</v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>
        <v>0.14199999999999999</v>
      </c>
      <c r="E177" s="58">
        <v>548.72299999999996</v>
      </c>
      <c r="F177" s="59">
        <v>19.989999999999998</v>
      </c>
      <c r="G177" s="60"/>
      <c r="H177" s="60">
        <v>4140</v>
      </c>
      <c r="I177" s="60">
        <f t="shared" si="23"/>
        <v>33140.699999999983</v>
      </c>
      <c r="J177" s="60">
        <f t="shared" si="24"/>
        <v>1374.4799999999884</v>
      </c>
      <c r="K177" s="61">
        <f t="shared" si="19"/>
        <v>4.1474078700811663E-2</v>
      </c>
      <c r="L177" s="60">
        <f t="shared" si="20"/>
        <v>1374.4799999999884</v>
      </c>
      <c r="M177" s="61">
        <f t="shared" si="21"/>
        <v>4.1474078700811663E-2</v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>
        <v>0.14199999999999999</v>
      </c>
      <c r="E178" s="58">
        <v>556.97199999999998</v>
      </c>
      <c r="F178" s="59">
        <v>20.370999999999999</v>
      </c>
      <c r="G178" s="60"/>
      <c r="H178" s="60">
        <v>4140</v>
      </c>
      <c r="I178" s="60">
        <f t="shared" si="23"/>
        <v>34150.860000000095</v>
      </c>
      <c r="J178" s="60">
        <f t="shared" si="24"/>
        <v>1577.3400000000011</v>
      </c>
      <c r="K178" s="61">
        <f t="shared" si="19"/>
        <v>4.6187416656564333E-2</v>
      </c>
      <c r="L178" s="60">
        <f t="shared" si="20"/>
        <v>1577.3400000000011</v>
      </c>
      <c r="M178" s="61">
        <f t="shared" si="21"/>
        <v>4.6187416656564333E-2</v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>
        <v>0.14199999999999999</v>
      </c>
      <c r="E179" s="58">
        <v>565.03700000000003</v>
      </c>
      <c r="F179" s="59">
        <v>20.728000000000002</v>
      </c>
      <c r="G179" s="60"/>
      <c r="H179" s="60">
        <v>4140</v>
      </c>
      <c r="I179" s="60">
        <f t="shared" si="23"/>
        <v>33389.100000000224</v>
      </c>
      <c r="J179" s="60">
        <f t="shared" si="24"/>
        <v>1477.9800000000118</v>
      </c>
      <c r="K179" s="61">
        <f t="shared" si="19"/>
        <v>4.4265344079355298E-2</v>
      </c>
      <c r="L179" s="60">
        <f t="shared" si="20"/>
        <v>1477.9800000000118</v>
      </c>
      <c r="M179" s="61">
        <f t="shared" si="21"/>
        <v>4.4265344079355298E-2</v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>
        <v>0.14199999999999999</v>
      </c>
      <c r="E180" s="58">
        <v>573.14</v>
      </c>
      <c r="F180" s="59">
        <v>21.113</v>
      </c>
      <c r="G180" s="60"/>
      <c r="H180" s="60">
        <v>4140</v>
      </c>
      <c r="I180" s="60">
        <f t="shared" si="23"/>
        <v>33546.419999999802</v>
      </c>
      <c r="J180" s="60">
        <f t="shared" si="24"/>
        <v>1593.8999999999917</v>
      </c>
      <c r="K180" s="61">
        <f t="shared" si="19"/>
        <v>4.7513266691348914E-2</v>
      </c>
      <c r="L180" s="60">
        <f t="shared" si="20"/>
        <v>1593.8999999999917</v>
      </c>
      <c r="M180" s="61">
        <f t="shared" si="21"/>
        <v>4.7513266691348914E-2</v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>
        <v>0.14199999999999999</v>
      </c>
      <c r="E181" s="58">
        <v>581.4</v>
      </c>
      <c r="F181" s="59">
        <v>21.446999999999999</v>
      </c>
      <c r="G181" s="60"/>
      <c r="H181" s="60">
        <v>4140</v>
      </c>
      <c r="I181" s="60">
        <f t="shared" si="23"/>
        <v>34196.399999999965</v>
      </c>
      <c r="J181" s="60">
        <f t="shared" si="24"/>
        <v>1382.7599999999984</v>
      </c>
      <c r="K181" s="61">
        <f t="shared" si="19"/>
        <v>4.0435835351089584E-2</v>
      </c>
      <c r="L181" s="60">
        <f t="shared" si="20"/>
        <v>1382.7599999999984</v>
      </c>
      <c r="M181" s="61">
        <f t="shared" si="21"/>
        <v>4.0435835351089584E-2</v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>
        <v>0.14199999999999999</v>
      </c>
      <c r="E182" s="58">
        <v>590.779</v>
      </c>
      <c r="F182" s="59">
        <v>21.803000000000001</v>
      </c>
      <c r="G182" s="60"/>
      <c r="H182" s="60">
        <v>4140</v>
      </c>
      <c r="I182" s="60">
        <f t="shared" si="23"/>
        <v>38829.060000000078</v>
      </c>
      <c r="J182" s="60">
        <f t="shared" si="24"/>
        <v>1473.8400000000067</v>
      </c>
      <c r="K182" s="61">
        <f t="shared" si="19"/>
        <v>3.7957138287664026E-2</v>
      </c>
      <c r="L182" s="60">
        <f t="shared" si="20"/>
        <v>1473.8400000000067</v>
      </c>
      <c r="M182" s="61">
        <f t="shared" si="21"/>
        <v>3.7957138287664026E-2</v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>
        <v>0.14199999999999999</v>
      </c>
      <c r="E183" s="58">
        <v>599.01</v>
      </c>
      <c r="F183" s="59">
        <v>22.135000000000002</v>
      </c>
      <c r="G183" s="60"/>
      <c r="H183" s="60">
        <v>4140</v>
      </c>
      <c r="I183" s="60">
        <f t="shared" si="23"/>
        <v>34076.339999999975</v>
      </c>
      <c r="J183" s="60">
        <f t="shared" si="24"/>
        <v>1374.480000000003</v>
      </c>
      <c r="K183" s="61">
        <f t="shared" si="19"/>
        <v>4.0335317701372976E-2</v>
      </c>
      <c r="L183" s="60">
        <f t="shared" si="20"/>
        <v>1374.480000000003</v>
      </c>
      <c r="M183" s="61">
        <f t="shared" si="21"/>
        <v>4.0335317701372976E-2</v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57">
        <v>0.14199999999999999</v>
      </c>
      <c r="E184" s="58">
        <v>607.61099999999999</v>
      </c>
      <c r="F184" s="59">
        <v>22.405999999999999</v>
      </c>
      <c r="G184" s="91"/>
      <c r="H184" s="60">
        <v>4140</v>
      </c>
      <c r="I184" s="60">
        <f t="shared" si="23"/>
        <v>35608.14</v>
      </c>
      <c r="J184" s="60">
        <f t="shared" si="24"/>
        <v>1121.9399999999887</v>
      </c>
      <c r="K184" s="61">
        <f t="shared" si="19"/>
        <v>3.1507964190210125E-2</v>
      </c>
      <c r="L184" s="60">
        <f t="shared" si="20"/>
        <v>1121.9399999999887</v>
      </c>
      <c r="M184" s="61">
        <f t="shared" si="21"/>
        <v>3.1507964190210125E-2</v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>
        <v>0.14199999999999999</v>
      </c>
      <c r="E185" s="58">
        <v>616.39800000000002</v>
      </c>
      <c r="F185" s="59">
        <v>22.785</v>
      </c>
      <c r="G185" s="60"/>
      <c r="H185" s="60">
        <v>4140</v>
      </c>
      <c r="I185" s="60">
        <f t="shared" si="23"/>
        <v>36378.180000000146</v>
      </c>
      <c r="J185" s="60">
        <f t="shared" si="24"/>
        <v>1569.0600000000056</v>
      </c>
      <c r="K185" s="61">
        <f t="shared" si="19"/>
        <v>4.3131899396836218E-2</v>
      </c>
      <c r="L185" s="60">
        <f t="shared" si="20"/>
        <v>1569.0600000000056</v>
      </c>
      <c r="M185" s="61">
        <f t="shared" si="21"/>
        <v>4.3131899396836218E-2</v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>
        <v>0.14199999999999999</v>
      </c>
      <c r="E186" s="58">
        <v>624.93200000000002</v>
      </c>
      <c r="F186" s="59">
        <v>23.138000000000002</v>
      </c>
      <c r="G186" s="60"/>
      <c r="H186" s="60">
        <v>4140</v>
      </c>
      <c r="I186" s="60">
        <f t="shared" si="23"/>
        <v>35330.759999999966</v>
      </c>
      <c r="J186" s="60">
        <f t="shared" si="24"/>
        <v>1461.4200000000064</v>
      </c>
      <c r="K186" s="61">
        <f t="shared" si="19"/>
        <v>4.1363955940942339E-2</v>
      </c>
      <c r="L186" s="60">
        <f t="shared" si="20"/>
        <v>1461.4200000000064</v>
      </c>
      <c r="M186" s="61">
        <f t="shared" si="21"/>
        <v>4.1363955940942339E-2</v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>
        <v>0.14199999999999999</v>
      </c>
      <c r="E187" s="58">
        <v>632.51300000000003</v>
      </c>
      <c r="F187" s="59">
        <v>23.402000000000001</v>
      </c>
      <c r="G187" s="60"/>
      <c r="H187" s="60">
        <v>4140</v>
      </c>
      <c r="I187" s="60">
        <f t="shared" si="23"/>
        <v>31385.340000000073</v>
      </c>
      <c r="J187" s="60">
        <f t="shared" si="24"/>
        <v>1092.9599999999973</v>
      </c>
      <c r="K187" s="61">
        <f t="shared" si="19"/>
        <v>3.482390185991277E-2</v>
      </c>
      <c r="L187" s="60">
        <f t="shared" si="20"/>
        <v>1092.9599999999973</v>
      </c>
      <c r="M187" s="61">
        <f t="shared" si="21"/>
        <v>3.482390185991277E-2</v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>
        <v>0.14199999999999999</v>
      </c>
      <c r="E188" s="58">
        <v>640.61099999999999</v>
      </c>
      <c r="F188" s="59">
        <v>23.684999999999999</v>
      </c>
      <c r="G188" s="60"/>
      <c r="H188" s="60">
        <v>4140</v>
      </c>
      <c r="I188" s="60">
        <f t="shared" si="23"/>
        <v>33525.719999999819</v>
      </c>
      <c r="J188" s="60">
        <f t="shared" si="24"/>
        <v>1171.6199999999906</v>
      </c>
      <c r="K188" s="61">
        <f t="shared" si="19"/>
        <v>3.4946900469251571E-2</v>
      </c>
      <c r="L188" s="60">
        <f t="shared" si="20"/>
        <v>1171.6199999999906</v>
      </c>
      <c r="M188" s="61">
        <f t="shared" si="21"/>
        <v>3.4946900469251571E-2</v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>
        <v>0.14199999999999999</v>
      </c>
      <c r="E189" s="58">
        <v>648.19000000000005</v>
      </c>
      <c r="F189" s="59">
        <v>23.98</v>
      </c>
      <c r="G189" s="60"/>
      <c r="H189" s="60">
        <v>4140</v>
      </c>
      <c r="I189" s="60">
        <f t="shared" si="23"/>
        <v>31377.060000000267</v>
      </c>
      <c r="J189" s="60">
        <f t="shared" si="24"/>
        <v>1221.300000000007</v>
      </c>
      <c r="K189" s="61">
        <f t="shared" si="19"/>
        <v>3.8923340810133156E-2</v>
      </c>
      <c r="L189" s="60">
        <f t="shared" si="20"/>
        <v>1221.300000000007</v>
      </c>
      <c r="M189" s="61">
        <f t="shared" si="21"/>
        <v>3.8923340810133156E-2</v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>
        <v>0.14199999999999999</v>
      </c>
      <c r="E190" s="58">
        <v>656.75800000000004</v>
      </c>
      <c r="F190" s="59">
        <v>24.395</v>
      </c>
      <c r="G190" s="60"/>
      <c r="H190" s="60">
        <v>4140</v>
      </c>
      <c r="I190" s="60">
        <f t="shared" si="23"/>
        <v>35471.519999999931</v>
      </c>
      <c r="J190" s="60">
        <f t="shared" si="24"/>
        <v>1718.0999999999965</v>
      </c>
      <c r="K190" s="61">
        <f t="shared" si="19"/>
        <v>4.8436041083099901E-2</v>
      </c>
      <c r="L190" s="60">
        <f t="shared" si="20"/>
        <v>1718.0999999999965</v>
      </c>
      <c r="M190" s="61">
        <f t="shared" si="21"/>
        <v>4.8436041083099901E-2</v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>
        <v>0.14199999999999999</v>
      </c>
      <c r="E191" s="58">
        <v>665.13</v>
      </c>
      <c r="F191" s="59">
        <v>24.728000000000002</v>
      </c>
      <c r="G191" s="60"/>
      <c r="H191" s="60">
        <v>4140</v>
      </c>
      <c r="I191" s="60">
        <f t="shared" si="23"/>
        <v>34660.07999999982</v>
      </c>
      <c r="J191" s="60">
        <f t="shared" si="24"/>
        <v>1378.6200000000081</v>
      </c>
      <c r="K191" s="61">
        <f t="shared" si="19"/>
        <v>3.9775441949355429E-2</v>
      </c>
      <c r="L191" s="60">
        <f t="shared" si="20"/>
        <v>1378.6200000000081</v>
      </c>
      <c r="M191" s="61">
        <f t="shared" si="21"/>
        <v>3.9775441949355429E-2</v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>
        <v>0.14199999999999999</v>
      </c>
      <c r="E192" s="58">
        <v>673.84400000000005</v>
      </c>
      <c r="F192" s="59">
        <v>25.103000000000002</v>
      </c>
      <c r="G192" s="60"/>
      <c r="H192" s="60">
        <v>4140</v>
      </c>
      <c r="I192" s="60">
        <f t="shared" si="23"/>
        <v>36075.960000000232</v>
      </c>
      <c r="J192" s="60">
        <f t="shared" si="24"/>
        <v>1552.5</v>
      </c>
      <c r="K192" s="61">
        <f t="shared" si="19"/>
        <v>4.3034197842551941E-2</v>
      </c>
      <c r="L192" s="60">
        <f t="shared" si="20"/>
        <v>1552.5</v>
      </c>
      <c r="M192" s="61">
        <f t="shared" si="21"/>
        <v>4.3034197842551941E-2</v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>
        <v>0.14199999999999999</v>
      </c>
      <c r="E193" s="58">
        <v>682.65200000000004</v>
      </c>
      <c r="F193" s="59">
        <v>25.42</v>
      </c>
      <c r="G193" s="60"/>
      <c r="H193" s="60">
        <v>4140</v>
      </c>
      <c r="I193" s="60">
        <f t="shared" si="23"/>
        <v>36465.119999999966</v>
      </c>
      <c r="J193" s="60">
        <f t="shared" si="24"/>
        <v>1312.3800000000008</v>
      </c>
      <c r="K193" s="61">
        <f t="shared" si="19"/>
        <v>3.5990009082652187E-2</v>
      </c>
      <c r="L193" s="60">
        <f t="shared" si="20"/>
        <v>1312.3800000000008</v>
      </c>
      <c r="M193" s="61">
        <f t="shared" si="21"/>
        <v>3.5990009082652187E-2</v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>
        <v>0.14199999999999999</v>
      </c>
      <c r="E194" s="58">
        <v>691.53899999999999</v>
      </c>
      <c r="F194" s="59">
        <v>25.803000000000001</v>
      </c>
      <c r="G194" s="60"/>
      <c r="H194" s="60">
        <v>4140</v>
      </c>
      <c r="I194" s="60">
        <f t="shared" si="23"/>
        <v>36792.179999999767</v>
      </c>
      <c r="J194" s="60">
        <f t="shared" si="24"/>
        <v>1585.6199999999963</v>
      </c>
      <c r="K194" s="61">
        <f t="shared" si="19"/>
        <v>4.3096658039833632E-2</v>
      </c>
      <c r="L194" s="60">
        <f t="shared" si="20"/>
        <v>1585.6199999999963</v>
      </c>
      <c r="M194" s="61">
        <f t="shared" si="21"/>
        <v>4.3096658039833632E-2</v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>
        <v>0.14199999999999999</v>
      </c>
      <c r="E195" s="58">
        <v>700.66899999999998</v>
      </c>
      <c r="F195" s="59">
        <v>26.106000000000002</v>
      </c>
      <c r="G195" s="60"/>
      <c r="H195" s="60">
        <v>4140</v>
      </c>
      <c r="I195" s="60">
        <f t="shared" si="23"/>
        <v>37798.199999999983</v>
      </c>
      <c r="J195" s="60">
        <f t="shared" si="24"/>
        <v>1254.4200000000035</v>
      </c>
      <c r="K195" s="61">
        <f t="shared" si="19"/>
        <v>3.3187294633077874E-2</v>
      </c>
      <c r="L195" s="60">
        <f t="shared" si="20"/>
        <v>1254.4200000000035</v>
      </c>
      <c r="M195" s="61">
        <f t="shared" si="21"/>
        <v>3.3187294633077874E-2</v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4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4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4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4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6" t="s">
        <v>64</v>
      </c>
      <c r="Q203" s="207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4"/>
      <c r="Q204" s="205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3.9760149584130364E-2</v>
      </c>
      <c r="Q206" s="71">
        <f>IF(L185="",0,+SUM(L185:L215)/SUM(I185:I215))</f>
        <v>3.9760149584130364E-2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 t="e">
        <f>IF(J185="",0,+(+(LOOKUP(9.99999999999999E+307,E185:E215)-E184))/(+(LOOKUP(9.99999999999999E+307,D185:D215)-D184)))</f>
        <v>#DIV/0!</v>
      </c>
      <c r="Q207" s="72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6" t="s">
        <v>65</v>
      </c>
      <c r="Q234" s="207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4"/>
      <c r="Q235" s="205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4489386.5399999963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2021-07-14T14:37:06Z</dcterms:modified>
  <cp:category/>
  <cp:contentStatus/>
</cp:coreProperties>
</file>