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.c.chen\Pictures\"/>
    </mc:Choice>
  </mc:AlternateContent>
  <xr:revisionPtr revIDLastSave="0" documentId="8_{51CC01D1-3000-46E3-BAE7-3FF336698749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Shenzhen Daily" sheetId="119" r:id="rId2"/>
  </sheets>
  <calcPr calcId="191029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7" l="1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E15" i="117"/>
  <c r="D26" i="119"/>
  <c r="E23" i="117"/>
  <c r="D33" i="119"/>
  <c r="E30" i="117"/>
  <c r="D34" i="119"/>
  <c r="E31" i="117"/>
  <c r="H34" i="119"/>
  <c r="I31" i="117"/>
  <c r="F34" i="119"/>
  <c r="G31" i="117"/>
  <c r="H33" i="119"/>
  <c r="I30" i="117"/>
  <c r="F33" i="119"/>
  <c r="G30" i="117"/>
  <c r="H32" i="119"/>
  <c r="I29" i="117"/>
  <c r="F32" i="119"/>
  <c r="G29" i="117"/>
  <c r="D32" i="119"/>
  <c r="E29" i="117"/>
  <c r="H31" i="119"/>
  <c r="I28" i="117"/>
  <c r="F31" i="119"/>
  <c r="G28" i="117"/>
  <c r="D31" i="119"/>
  <c r="E28" i="117"/>
  <c r="H30" i="119"/>
  <c r="I27" i="117"/>
  <c r="F30" i="119"/>
  <c r="G27" i="117"/>
  <c r="D30" i="119"/>
  <c r="E27" i="117"/>
  <c r="H29" i="119"/>
  <c r="I26" i="117"/>
  <c r="F29" i="119"/>
  <c r="G26" i="117"/>
  <c r="D29" i="119"/>
  <c r="E26" i="117"/>
  <c r="H28" i="119"/>
  <c r="I25" i="117"/>
  <c r="F28" i="119"/>
  <c r="G25" i="117"/>
  <c r="D28" i="119"/>
  <c r="E25" i="117"/>
  <c r="H27" i="119"/>
  <c r="I24" i="117"/>
  <c r="F27" i="119"/>
  <c r="G24" i="117"/>
  <c r="D27" i="119"/>
  <c r="E24" i="117"/>
  <c r="H26" i="119"/>
  <c r="I23" i="117"/>
  <c r="F26" i="119"/>
  <c r="G23" i="117"/>
  <c r="H25" i="119"/>
  <c r="I22" i="117"/>
  <c r="F25" i="119"/>
  <c r="G22" i="117"/>
  <c r="D25" i="119"/>
  <c r="E22" i="117"/>
  <c r="H24" i="119"/>
  <c r="I21" i="117"/>
  <c r="D24" i="119"/>
  <c r="E21" i="117"/>
  <c r="H23" i="119"/>
  <c r="I20" i="117"/>
  <c r="F23" i="119"/>
  <c r="G20" i="117"/>
  <c r="D23" i="119"/>
  <c r="E20" i="117"/>
  <c r="H22" i="119"/>
  <c r="I19" i="117"/>
  <c r="D22" i="119"/>
  <c r="E19" i="117"/>
  <c r="H21" i="119"/>
  <c r="I18" i="117"/>
  <c r="F21" i="119"/>
  <c r="G18" i="117"/>
  <c r="D21" i="119"/>
  <c r="E18" i="117"/>
  <c r="H20" i="119"/>
  <c r="I17" i="117"/>
  <c r="F20" i="119"/>
  <c r="G17" i="117"/>
  <c r="D20" i="119"/>
  <c r="E17" i="117"/>
  <c r="H19" i="119"/>
  <c r="I16" i="117"/>
  <c r="F19" i="119"/>
  <c r="G16" i="117"/>
  <c r="D19" i="119"/>
  <c r="E16" i="117"/>
  <c r="H18" i="119"/>
  <c r="I15" i="117"/>
  <c r="F18" i="119"/>
  <c r="G15" i="117"/>
  <c r="H17" i="119"/>
  <c r="I14" i="117"/>
  <c r="F17" i="119"/>
  <c r="G14" i="117"/>
  <c r="D17" i="119"/>
  <c r="E14" i="117"/>
  <c r="H16" i="119"/>
  <c r="I13" i="117"/>
  <c r="D16" i="119"/>
  <c r="E13" i="117"/>
  <c r="H15" i="119"/>
  <c r="I12" i="117"/>
  <c r="F15" i="119"/>
  <c r="G12" i="117"/>
  <c r="D15" i="119"/>
  <c r="E12" i="117"/>
  <c r="H14" i="119"/>
  <c r="I11" i="117"/>
  <c r="D14" i="119"/>
  <c r="E11" i="117"/>
  <c r="H13" i="119"/>
  <c r="I10" i="117"/>
  <c r="F13" i="119"/>
  <c r="G10" i="117"/>
  <c r="D13" i="119"/>
  <c r="E10" i="117"/>
  <c r="H12" i="119"/>
  <c r="I9" i="117"/>
  <c r="F12" i="119"/>
  <c r="G9" i="117"/>
  <c r="D12" i="119"/>
  <c r="E9" i="117"/>
  <c r="H11" i="119"/>
  <c r="I8" i="117"/>
  <c r="F11" i="119"/>
  <c r="G8" i="117"/>
  <c r="D11" i="119"/>
  <c r="E8" i="117"/>
  <c r="H10" i="119"/>
  <c r="I7" i="117"/>
  <c r="F10" i="119"/>
  <c r="G7" i="117"/>
  <c r="D10" i="119"/>
  <c r="E7" i="117"/>
  <c r="H9" i="119"/>
  <c r="I6" i="117"/>
  <c r="F9" i="119"/>
  <c r="G6" i="117"/>
  <c r="D9" i="119"/>
  <c r="E6" i="117"/>
  <c r="H8" i="119"/>
  <c r="I5" i="117"/>
  <c r="F8" i="119"/>
  <c r="G5" i="117"/>
  <c r="D8" i="119"/>
  <c r="E5" i="117"/>
  <c r="H7" i="119"/>
  <c r="I4" i="117"/>
  <c r="F7" i="119"/>
  <c r="G4" i="117"/>
  <c r="D7" i="119"/>
  <c r="E4" i="117"/>
  <c r="H6" i="119"/>
  <c r="I3" i="117"/>
  <c r="F6" i="119"/>
  <c r="G3" i="117"/>
  <c r="D6" i="119"/>
  <c r="E3" i="117"/>
  <c r="F5" i="119"/>
  <c r="G2" i="117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<sst xmlns="http://schemas.openxmlformats.org/spreadsheetml/2006/main" count="55" uniqueCount="25">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</sst>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  <xf numFmtId="0" fontId="0" fillId="9" borderId="0" xfId="0" applyFill="1"/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H33" sqref="H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23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24</v>
      </c>
      <c r="B2" s="7">
        <v>1</v>
      </c>
      <c r="C2" s="8">
        <v>4</v>
      </c>
      <c r="D2" s="7">
        <v>2022</v>
      </c>
      <c r="E2" s="9">
        <f>'Shenzhen Daily'!D5</f>
        <v>17971</v>
      </c>
      <c r="F2" s="33">
        <v>0.93</v>
      </c>
      <c r="G2" s="9">
        <f>'Shenzhen Daily'!F5</f>
        <v>593</v>
      </c>
      <c r="H2" s="33">
        <v>4.3899999999999997</v>
      </c>
      <c r="I2" s="9">
        <f>'Shenzhen Daily'!H5</f>
        <v>231</v>
      </c>
      <c r="J2" s="33">
        <v>1.72</v>
      </c>
      <c r="K2" s="9">
        <f>'Shenzhen Daily'!I5</f>
        <v>0</v>
      </c>
      <c r="L2" s="9">
        <f>'Shenzhen Daily'!J5</f>
        <v>0</v>
      </c>
    </row>
    <row r="3" spans="1:12" ht="15" x14ac:dyDescent="0.25">
      <c r="A3" s="6" t="s">
        <v>24</v>
      </c>
      <c r="B3" s="7">
        <f>B2+1</f>
        <v>2</v>
      </c>
      <c r="C3" s="8">
        <v>4</v>
      </c>
      <c r="D3" s="7">
        <v>2022</v>
      </c>
      <c r="E3" s="9">
        <f>'Shenzhen Daily'!D6</f>
        <v>15741</v>
      </c>
      <c r="F3" s="33">
        <v>0.93</v>
      </c>
      <c r="G3" s="9">
        <f>'Shenzhen Daily'!F6</f>
        <v>1027</v>
      </c>
      <c r="H3" s="33">
        <v>4.3899999999999997</v>
      </c>
      <c r="I3" s="9">
        <f>'Shenzhen Daily'!H6</f>
        <v>239</v>
      </c>
      <c r="J3" s="33">
        <v>1.72</v>
      </c>
      <c r="K3" s="9">
        <f>'Shenzhen Daily'!I6</f>
        <v>0</v>
      </c>
      <c r="L3" s="9">
        <f>'Shenzhen Daily'!J6</f>
        <v>0</v>
      </c>
    </row>
    <row r="4" spans="1:12" ht="15" x14ac:dyDescent="0.25">
      <c r="A4" s="6" t="s">
        <v>24</v>
      </c>
      <c r="B4" s="7">
        <f t="shared" ref="B4:B31" si="0">B3+1</f>
        <v>3</v>
      </c>
      <c r="C4" s="8">
        <v>4</v>
      </c>
      <c r="D4" s="7">
        <v>2022</v>
      </c>
      <c r="E4" s="9">
        <f>'Shenzhen Daily'!D7</f>
        <v>17333</v>
      </c>
      <c r="F4" s="33">
        <v>0.93</v>
      </c>
      <c r="G4" s="9">
        <f>'Shenzhen Daily'!F7</f>
        <v>822</v>
      </c>
      <c r="H4" s="33">
        <v>4.3899999999999997</v>
      </c>
      <c r="I4" s="9">
        <f>'Shenzhen Daily'!H7</f>
        <v>260</v>
      </c>
      <c r="J4" s="33">
        <v>1.72</v>
      </c>
      <c r="K4" s="9">
        <f>'Shenzhen Daily'!I7</f>
        <v>0</v>
      </c>
      <c r="L4" s="9">
        <f>'Shenzhen Daily'!J7</f>
        <v>0</v>
      </c>
    </row>
    <row r="5" spans="1:12" ht="15" x14ac:dyDescent="0.25">
      <c r="A5" s="6" t="s">
        <v>24</v>
      </c>
      <c r="B5" s="7">
        <f t="shared" si="0"/>
        <v>4</v>
      </c>
      <c r="C5" s="8">
        <v>4</v>
      </c>
      <c r="D5" s="7">
        <v>2022</v>
      </c>
      <c r="E5" s="9">
        <f>'Shenzhen Daily'!D8</f>
        <v>18096</v>
      </c>
      <c r="F5" s="33">
        <v>0.93</v>
      </c>
      <c r="G5" s="9">
        <f>'Shenzhen Daily'!F8</f>
        <v>974</v>
      </c>
      <c r="H5" s="33">
        <v>4.3899999999999997</v>
      </c>
      <c r="I5" s="9">
        <f>'Shenzhen Daily'!H8</f>
        <v>268</v>
      </c>
      <c r="J5" s="33">
        <v>1.72</v>
      </c>
      <c r="K5" s="9">
        <f>'Shenzhen Daily'!I8</f>
        <v>0</v>
      </c>
      <c r="L5" s="9">
        <f>'Shenzhen Daily'!J8</f>
        <v>0</v>
      </c>
    </row>
    <row r="6" spans="1:12" ht="15" x14ac:dyDescent="0.25">
      <c r="A6" s="6" t="s">
        <v>24</v>
      </c>
      <c r="B6" s="7">
        <f t="shared" si="0"/>
        <v>5</v>
      </c>
      <c r="C6" s="8">
        <v>4</v>
      </c>
      <c r="D6" s="7">
        <v>2022</v>
      </c>
      <c r="E6" s="9">
        <f>'Shenzhen Daily'!D9</f>
        <v>19455</v>
      </c>
      <c r="F6" s="33">
        <v>0.93</v>
      </c>
      <c r="G6" s="9">
        <f>'Shenzhen Daily'!F9</f>
        <v>1089</v>
      </c>
      <c r="H6" s="33">
        <v>4.3899999999999997</v>
      </c>
      <c r="I6" s="9">
        <f>'Shenzhen Daily'!H9</f>
        <v>252</v>
      </c>
      <c r="J6" s="33">
        <v>1.72</v>
      </c>
      <c r="K6" s="9">
        <f>'Shenzhen Daily'!I9</f>
        <v>0</v>
      </c>
      <c r="L6" s="9">
        <f>'Shenzhen Daily'!J9</f>
        <v>0</v>
      </c>
    </row>
    <row r="7" spans="1:12" ht="15" x14ac:dyDescent="0.25">
      <c r="A7" s="6" t="s">
        <v>24</v>
      </c>
      <c r="B7" s="7">
        <f t="shared" si="0"/>
        <v>6</v>
      </c>
      <c r="C7" s="8">
        <v>4</v>
      </c>
      <c r="D7" s="7">
        <v>2022</v>
      </c>
      <c r="E7" s="9">
        <f>'Shenzhen Daily'!D10</f>
        <v>19848</v>
      </c>
      <c r="F7" s="33">
        <v>0.93</v>
      </c>
      <c r="G7" s="9">
        <f>'Shenzhen Daily'!F10</f>
        <v>1199</v>
      </c>
      <c r="H7" s="33">
        <v>4.3899999999999997</v>
      </c>
      <c r="I7" s="9">
        <f>'Shenzhen Daily'!H10</f>
        <v>312</v>
      </c>
      <c r="J7" s="33">
        <v>1.72</v>
      </c>
      <c r="K7" s="9">
        <f>'Shenzhen Daily'!I10</f>
        <v>0</v>
      </c>
      <c r="L7" s="9">
        <f>'Shenzhen Daily'!J10</f>
        <v>0</v>
      </c>
    </row>
    <row r="8" spans="1:12" ht="15" x14ac:dyDescent="0.25">
      <c r="A8" s="6" t="s">
        <v>24</v>
      </c>
      <c r="B8" s="7">
        <f t="shared" si="0"/>
        <v>7</v>
      </c>
      <c r="C8" s="8">
        <v>4</v>
      </c>
      <c r="D8" s="7">
        <v>2022</v>
      </c>
      <c r="E8" s="9">
        <f>'Shenzhen Daily'!D11</f>
        <v>21662</v>
      </c>
      <c r="F8" s="33">
        <v>0.93</v>
      </c>
      <c r="G8" s="9">
        <f>'Shenzhen Daily'!F11</f>
        <v>1072</v>
      </c>
      <c r="H8" s="33">
        <v>4.3899999999999997</v>
      </c>
      <c r="I8" s="9">
        <f>'Shenzhen Daily'!H11</f>
        <v>260</v>
      </c>
      <c r="J8" s="33">
        <v>1.72</v>
      </c>
      <c r="K8" s="9">
        <f>'Shenzhen Daily'!I11</f>
        <v>0</v>
      </c>
      <c r="L8" s="9">
        <f>'Shenzhen Daily'!J11</f>
        <v>0</v>
      </c>
    </row>
    <row r="9" spans="1:12" ht="15" x14ac:dyDescent="0.25">
      <c r="A9" s="6" t="s">
        <v>24</v>
      </c>
      <c r="B9" s="7">
        <f t="shared" si="0"/>
        <v>8</v>
      </c>
      <c r="C9" s="8">
        <v>4</v>
      </c>
      <c r="D9" s="7">
        <v>2022</v>
      </c>
      <c r="E9" s="9">
        <f>'Shenzhen Daily'!D12</f>
        <v>22464</v>
      </c>
      <c r="F9" s="33">
        <v>0.93</v>
      </c>
      <c r="G9" s="9">
        <f>'Shenzhen Daily'!F12</f>
        <v>1077</v>
      </c>
      <c r="H9" s="33">
        <v>4.3899999999999997</v>
      </c>
      <c r="I9" s="9">
        <f>'Shenzhen Daily'!H12</f>
        <v>308</v>
      </c>
      <c r="J9" s="33">
        <v>1.72</v>
      </c>
      <c r="K9" s="9">
        <f>'Shenzhen Daily'!I12</f>
        <v>0</v>
      </c>
      <c r="L9" s="9">
        <f>'Shenzhen Daily'!J12</f>
        <v>0</v>
      </c>
    </row>
    <row r="10" spans="1:12" ht="15" x14ac:dyDescent="0.25">
      <c r="A10" s="6" t="s">
        <v>24</v>
      </c>
      <c r="B10" s="7">
        <f t="shared" si="0"/>
        <v>9</v>
      </c>
      <c r="C10" s="8">
        <v>4</v>
      </c>
      <c r="D10" s="7">
        <v>2022</v>
      </c>
      <c r="E10" s="9">
        <f>'Shenzhen Daily'!D13</f>
        <v>23900</v>
      </c>
      <c r="F10" s="33">
        <v>0.93</v>
      </c>
      <c r="G10" s="9">
        <f>'Shenzhen Daily'!F13</f>
        <v>1372</v>
      </c>
      <c r="H10" s="33">
        <v>4.3899999999999997</v>
      </c>
      <c r="I10" s="9">
        <f>'Shenzhen Daily'!H13</f>
        <v>330</v>
      </c>
      <c r="J10" s="33">
        <v>1.72</v>
      </c>
      <c r="K10" s="9">
        <f>'Shenzhen Daily'!I13</f>
        <v>0</v>
      </c>
      <c r="L10" s="9">
        <f>'Shenzhen Daily'!J13</f>
        <v>0</v>
      </c>
    </row>
    <row r="11" spans="1:12" ht="15" x14ac:dyDescent="0.25">
      <c r="A11" s="6" t="s">
        <v>24</v>
      </c>
      <c r="B11" s="7">
        <f t="shared" si="0"/>
        <v>10</v>
      </c>
      <c r="C11" s="8">
        <v>4</v>
      </c>
      <c r="D11" s="7">
        <v>2022</v>
      </c>
      <c r="E11" s="9">
        <f>'Shenzhen Daily'!D14</f>
        <v>23792</v>
      </c>
      <c r="F11" s="33">
        <v>0.93</v>
      </c>
      <c r="G11" s="9">
        <f>'Shenzhen Daily'!F14</f>
        <v>1154</v>
      </c>
      <c r="H11" s="33">
        <v>4.3899999999999997</v>
      </c>
      <c r="I11" s="9">
        <f>'Shenzhen Daily'!H14</f>
        <v>288</v>
      </c>
      <c r="J11" s="33">
        <v>1.72</v>
      </c>
      <c r="K11" s="9">
        <f>'Shenzhen Daily'!I14</f>
        <v>0</v>
      </c>
      <c r="L11" s="9">
        <f>'Shenzhen Daily'!J14</f>
        <v>0</v>
      </c>
    </row>
    <row r="12" spans="1:12" ht="15" x14ac:dyDescent="0.25">
      <c r="A12" s="6" t="s">
        <v>24</v>
      </c>
      <c r="B12" s="7">
        <f t="shared" si="0"/>
        <v>11</v>
      </c>
      <c r="C12" s="8">
        <v>4</v>
      </c>
      <c r="D12" s="7">
        <v>2022</v>
      </c>
      <c r="E12" s="9">
        <f>'Shenzhen Daily'!D15</f>
        <v>24690</v>
      </c>
      <c r="F12" s="33">
        <v>0.93</v>
      </c>
      <c r="G12" s="9">
        <f>'Shenzhen Daily'!F15</f>
        <v>1152</v>
      </c>
      <c r="H12" s="33">
        <v>4.3899999999999997</v>
      </c>
      <c r="I12" s="9">
        <f>'Shenzhen Daily'!H15</f>
        <v>365</v>
      </c>
      <c r="J12" s="33">
        <v>1.72</v>
      </c>
      <c r="K12" s="9">
        <f>'Shenzhen Daily'!I15</f>
        <v>0</v>
      </c>
      <c r="L12" s="9">
        <f>'Shenzhen Daily'!J15</f>
        <v>0</v>
      </c>
    </row>
    <row r="13" spans="1:12" ht="15" x14ac:dyDescent="0.25">
      <c r="A13" s="6" t="s">
        <v>24</v>
      </c>
      <c r="B13" s="7">
        <f t="shared" si="0"/>
        <v>12</v>
      </c>
      <c r="C13" s="8">
        <v>4</v>
      </c>
      <c r="D13" s="7">
        <v>2022</v>
      </c>
      <c r="E13" s="9">
        <f>'Shenzhen Daily'!D16</f>
        <v>26071</v>
      </c>
      <c r="F13" s="33">
        <v>0.93</v>
      </c>
      <c r="G13" s="9">
        <f>'Shenzhen Daily'!F16</f>
        <v>1280</v>
      </c>
      <c r="H13" s="33">
        <v>4.3899999999999997</v>
      </c>
      <c r="I13" s="9">
        <f>'Shenzhen Daily'!H16</f>
        <v>313</v>
      </c>
      <c r="J13" s="33">
        <v>1.72</v>
      </c>
      <c r="K13" s="9">
        <f>'Shenzhen Daily'!I16</f>
        <v>0</v>
      </c>
      <c r="L13" s="9">
        <f>'Shenzhen Daily'!J16</f>
        <v>0</v>
      </c>
    </row>
    <row r="14" spans="1:12" ht="15" x14ac:dyDescent="0.25">
      <c r="A14" s="6" t="s">
        <v>24</v>
      </c>
      <c r="B14" s="7">
        <f t="shared" si="0"/>
        <v>13</v>
      </c>
      <c r="C14" s="8">
        <v>4</v>
      </c>
      <c r="D14" s="7">
        <v>2022</v>
      </c>
      <c r="E14" s="9">
        <f>'Shenzhen Daily'!D17</f>
        <v>25342</v>
      </c>
      <c r="F14" s="33">
        <v>0.93</v>
      </c>
      <c r="G14" s="9">
        <f>'Shenzhen Daily'!F17</f>
        <v>1091</v>
      </c>
      <c r="H14" s="33">
        <v>4.3899999999999997</v>
      </c>
      <c r="I14" s="9">
        <f>'Shenzhen Daily'!H17</f>
        <v>363</v>
      </c>
      <c r="J14" s="33">
        <v>1.72</v>
      </c>
      <c r="K14" s="9">
        <f>'Shenzhen Daily'!I17</f>
        <v>0</v>
      </c>
      <c r="L14" s="9">
        <f>'Shenzhen Daily'!J17</f>
        <v>0</v>
      </c>
    </row>
    <row r="15" spans="1:12" ht="15" x14ac:dyDescent="0.25">
      <c r="A15" s="6" t="s">
        <v>24</v>
      </c>
      <c r="B15" s="7">
        <f t="shared" si="0"/>
        <v>14</v>
      </c>
      <c r="C15" s="8">
        <v>4</v>
      </c>
      <c r="D15" s="7">
        <v>2022</v>
      </c>
      <c r="E15" s="9">
        <f>'Shenzhen Daily'!D18</f>
        <v>25397</v>
      </c>
      <c r="F15" s="33">
        <v>0.93</v>
      </c>
      <c r="G15" s="9">
        <f>'Shenzhen Daily'!F18</f>
        <v>1282</v>
      </c>
      <c r="H15" s="33">
        <v>4.3899999999999997</v>
      </c>
      <c r="I15" s="9">
        <f>'Shenzhen Daily'!H18</f>
        <v>353</v>
      </c>
      <c r="J15" s="33">
        <v>1.72</v>
      </c>
      <c r="K15" s="9">
        <f>'Shenzhen Daily'!I18</f>
        <v>0</v>
      </c>
      <c r="L15" s="9">
        <f>'Shenzhen Daily'!J18</f>
        <v>0</v>
      </c>
    </row>
    <row r="16" spans="1:12" ht="15" x14ac:dyDescent="0.25">
      <c r="A16" s="6" t="s">
        <v>24</v>
      </c>
      <c r="B16" s="7">
        <f t="shared" si="0"/>
        <v>15</v>
      </c>
      <c r="C16" s="8">
        <v>4</v>
      </c>
      <c r="D16" s="7">
        <v>2022</v>
      </c>
      <c r="E16" s="9">
        <f>'Shenzhen Daily'!D19</f>
        <v>26410</v>
      </c>
      <c r="F16" s="33">
        <v>0.93</v>
      </c>
      <c r="G16" s="9">
        <f>'Shenzhen Daily'!F19</f>
        <v>1313</v>
      </c>
      <c r="H16" s="33">
        <v>4.3899999999999997</v>
      </c>
      <c r="I16" s="9">
        <f>'Shenzhen Daily'!H19</f>
        <v>339</v>
      </c>
      <c r="J16" s="33">
        <v>1.72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24</v>
      </c>
      <c r="B17" s="7">
        <f t="shared" si="0"/>
        <v>16</v>
      </c>
      <c r="C17" s="8">
        <v>4</v>
      </c>
      <c r="D17" s="7">
        <v>2022</v>
      </c>
      <c r="E17" s="9">
        <f>'Shenzhen Daily'!D20</f>
        <v>26350</v>
      </c>
      <c r="F17" s="33">
        <v>0.93</v>
      </c>
      <c r="G17" s="9">
        <f>'Shenzhen Daily'!F20</f>
        <v>1227</v>
      </c>
      <c r="H17" s="33">
        <v>4.3899999999999997</v>
      </c>
      <c r="I17" s="9">
        <f>'Shenzhen Daily'!H20</f>
        <v>383</v>
      </c>
      <c r="J17" s="33">
        <v>1.72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24</v>
      </c>
      <c r="B18" s="7">
        <f t="shared" si="0"/>
        <v>17</v>
      </c>
      <c r="C18" s="8">
        <v>4</v>
      </c>
      <c r="D18" s="7">
        <v>2022</v>
      </c>
      <c r="E18" s="9">
        <f>'Shenzhen Daily'!D21</f>
        <v>23137</v>
      </c>
      <c r="F18" s="33">
        <v>0.93</v>
      </c>
      <c r="G18" s="9">
        <f>'Shenzhen Daily'!F21</f>
        <v>1226</v>
      </c>
      <c r="H18" s="33">
        <v>4.3899999999999997</v>
      </c>
      <c r="I18" s="9">
        <f>'Shenzhen Daily'!H21</f>
        <v>367</v>
      </c>
      <c r="J18" s="33">
        <v>1.72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24</v>
      </c>
      <c r="B19" s="7">
        <f t="shared" si="0"/>
        <v>18</v>
      </c>
      <c r="C19" s="8">
        <v>4</v>
      </c>
      <c r="D19" s="7">
        <v>2022</v>
      </c>
      <c r="E19" s="9">
        <f>'Shenzhen Daily'!D22</f>
        <v>24296</v>
      </c>
      <c r="F19" s="33">
        <v>0.93</v>
      </c>
      <c r="G19" s="9">
        <f>'Shenzhen Daily'!F22</f>
        <v>1271</v>
      </c>
      <c r="H19" s="33">
        <v>4.3899999999999997</v>
      </c>
      <c r="I19" s="9">
        <f>'Shenzhen Daily'!H22</f>
        <v>386</v>
      </c>
      <c r="J19" s="33">
        <v>1.72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24</v>
      </c>
      <c r="B20" s="7">
        <f t="shared" si="0"/>
        <v>19</v>
      </c>
      <c r="C20" s="8">
        <v>4</v>
      </c>
      <c r="D20" s="7">
        <v>2022</v>
      </c>
      <c r="E20" s="9">
        <f>'Shenzhen Daily'!D23</f>
        <v>21434</v>
      </c>
      <c r="F20" s="33">
        <v>0.93</v>
      </c>
      <c r="G20" s="9">
        <f>'Shenzhen Daily'!F23</f>
        <v>1278</v>
      </c>
      <c r="H20" s="33">
        <v>4.3899999999999997</v>
      </c>
      <c r="I20" s="9">
        <f>'Shenzhen Daily'!H23</f>
        <v>340</v>
      </c>
      <c r="J20" s="33">
        <v>1.72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24</v>
      </c>
      <c r="B21" s="7">
        <f t="shared" si="0"/>
        <v>20</v>
      </c>
      <c r="C21" s="8">
        <v>4</v>
      </c>
      <c r="D21" s="7">
        <v>2022</v>
      </c>
      <c r="E21" s="9">
        <f>'Shenzhen Daily'!D24</f>
        <v>22469</v>
      </c>
      <c r="F21" s="33">
        <v>0.93</v>
      </c>
      <c r="G21" s="9">
        <f>'Shenzhen Daily'!F24</f>
        <v>1245</v>
      </c>
      <c r="H21" s="33">
        <v>4.3899999999999997</v>
      </c>
      <c r="I21" s="9">
        <f>'Shenzhen Daily'!H24</f>
        <v>379</v>
      </c>
      <c r="J21" s="33">
        <v>1.72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24</v>
      </c>
      <c r="B22" s="7">
        <f t="shared" si="0"/>
        <v>21</v>
      </c>
      <c r="C22" s="8">
        <v>4</v>
      </c>
      <c r="D22" s="7">
        <v>2022</v>
      </c>
      <c r="E22" s="9">
        <f>'Shenzhen Daily'!D25</f>
        <v>23694</v>
      </c>
      <c r="F22" s="33">
        <v>0.93</v>
      </c>
      <c r="G22" s="9">
        <f>'Shenzhen Daily'!F25</f>
        <v>1209</v>
      </c>
      <c r="H22" s="33">
        <v>4.3899999999999997</v>
      </c>
      <c r="I22" s="9">
        <f>'Shenzhen Daily'!H25</f>
        <v>414</v>
      </c>
      <c r="J22" s="33">
        <v>1.72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24</v>
      </c>
      <c r="B23" s="7">
        <f t="shared" si="0"/>
        <v>22</v>
      </c>
      <c r="C23" s="8">
        <v>4</v>
      </c>
      <c r="D23" s="7">
        <v>2022</v>
      </c>
      <c r="E23" s="9">
        <f>'Shenzhen Daily'!D26</f>
        <v>26699</v>
      </c>
      <c r="F23" s="33">
        <v>0.93</v>
      </c>
      <c r="G23" s="9">
        <f>'Shenzhen Daily'!F26</f>
        <v>1300</v>
      </c>
      <c r="H23" s="33">
        <v>4.3899999999999997</v>
      </c>
      <c r="I23" s="9">
        <f>'Shenzhen Daily'!H26</f>
        <v>413</v>
      </c>
      <c r="J23" s="33">
        <v>1.72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24</v>
      </c>
      <c r="B24" s="7">
        <f t="shared" si="0"/>
        <v>23</v>
      </c>
      <c r="C24" s="8">
        <v>4</v>
      </c>
      <c r="D24" s="7">
        <v>2022</v>
      </c>
      <c r="E24" s="9">
        <f>'Shenzhen Daily'!D27</f>
        <v>27982</v>
      </c>
      <c r="F24" s="33">
        <v>0.93</v>
      </c>
      <c r="G24" s="9">
        <f>'Shenzhen Daily'!F27</f>
        <v>1231</v>
      </c>
      <c r="H24" s="33">
        <v>4.3899999999999997</v>
      </c>
      <c r="I24" s="9">
        <f>'Shenzhen Daily'!H27</f>
        <v>442</v>
      </c>
      <c r="J24" s="33">
        <v>1.72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24</v>
      </c>
      <c r="B25" s="7">
        <f t="shared" si="0"/>
        <v>24</v>
      </c>
      <c r="C25" s="8">
        <v>4</v>
      </c>
      <c r="D25" s="7">
        <v>2022</v>
      </c>
      <c r="E25" s="9">
        <f>'Shenzhen Daily'!D28</f>
        <v>25448</v>
      </c>
      <c r="F25" s="33">
        <v>0.93</v>
      </c>
      <c r="G25" s="9">
        <f>'Shenzhen Daily'!F28</f>
        <v>1178</v>
      </c>
      <c r="H25" s="33">
        <v>4.3899999999999997</v>
      </c>
      <c r="I25" s="9">
        <f>'Shenzhen Daily'!H28</f>
        <v>511</v>
      </c>
      <c r="J25" s="33">
        <v>1.72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24</v>
      </c>
      <c r="B26" s="7">
        <f>B25+1</f>
        <v>25</v>
      </c>
      <c r="C26" s="8">
        <v>4</v>
      </c>
      <c r="D26" s="7">
        <v>2022</v>
      </c>
      <c r="E26" s="9">
        <f>'Shenzhen Daily'!D29</f>
        <v>31542</v>
      </c>
      <c r="F26" s="33">
        <v>0.93</v>
      </c>
      <c r="G26" s="9">
        <f>'Shenzhen Daily'!F29</f>
        <v>1122</v>
      </c>
      <c r="H26" s="33">
        <v>4.3899999999999997</v>
      </c>
      <c r="I26" s="9">
        <f>'Shenzhen Daily'!H29</f>
        <v>450</v>
      </c>
      <c r="J26" s="33">
        <v>1.72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24</v>
      </c>
      <c r="B27" s="7">
        <f t="shared" si="0"/>
        <v>26</v>
      </c>
      <c r="C27" s="8">
        <v>4</v>
      </c>
      <c r="D27" s="7">
        <v>2022</v>
      </c>
      <c r="E27" s="9">
        <f>'Shenzhen Daily'!D30</f>
        <v>32167</v>
      </c>
      <c r="F27" s="33">
        <v>0.93</v>
      </c>
      <c r="G27" s="9">
        <f>'Shenzhen Daily'!F30</f>
        <v>1376</v>
      </c>
      <c r="H27" s="33">
        <v>4.3899999999999997</v>
      </c>
      <c r="I27" s="9">
        <f>'Shenzhen Daily'!H30</f>
        <v>480</v>
      </c>
      <c r="J27" s="33">
        <v>1.72</v>
      </c>
      <c r="K27" s="9">
        <f>'Shenzhen Daily'!I30</f>
        <v>0</v>
      </c>
      <c r="L27" s="9">
        <f>'Shenzhen Daily'!J30</f>
        <v>0</v>
      </c>
    </row>
    <row r="28" spans="1:12" ht="15" x14ac:dyDescent="0.25">
      <c r="A28" s="6" t="s">
        <v>24</v>
      </c>
      <c r="B28" s="7">
        <f t="shared" si="0"/>
        <v>27</v>
      </c>
      <c r="C28" s="8">
        <v>4</v>
      </c>
      <c r="D28" s="7">
        <v>2022</v>
      </c>
      <c r="E28" s="9">
        <f>'Shenzhen Daily'!D31</f>
        <v>29866</v>
      </c>
      <c r="F28" s="33">
        <v>0.93</v>
      </c>
      <c r="G28" s="9">
        <f>'Shenzhen Daily'!F31</f>
        <v>1279</v>
      </c>
      <c r="H28" s="33">
        <v>4.3899999999999997</v>
      </c>
      <c r="I28" s="9">
        <f>'Shenzhen Daily'!H31</f>
        <v>462</v>
      </c>
      <c r="J28" s="33">
        <v>1.72</v>
      </c>
      <c r="K28" s="9">
        <f>'Shenzhen Daily'!I31</f>
        <v>0</v>
      </c>
      <c r="L28" s="9">
        <f>'Shenzhen Daily'!J31</f>
        <v>0</v>
      </c>
    </row>
    <row r="29" spans="1:12" ht="15" x14ac:dyDescent="0.25">
      <c r="A29" s="6" t="s">
        <v>24</v>
      </c>
      <c r="B29" s="7">
        <f t="shared" si="0"/>
        <v>28</v>
      </c>
      <c r="C29" s="8">
        <v>4</v>
      </c>
      <c r="D29" s="7">
        <v>2022</v>
      </c>
      <c r="E29" s="9">
        <f>'Shenzhen Daily'!D32</f>
        <v>32527</v>
      </c>
      <c r="F29" s="33">
        <v>0.93</v>
      </c>
      <c r="G29" s="9">
        <f>'Shenzhen Daily'!F32</f>
        <v>1327</v>
      </c>
      <c r="H29" s="33">
        <v>4.3899999999999997</v>
      </c>
      <c r="I29" s="9">
        <f>'Shenzhen Daily'!H32</f>
        <v>459</v>
      </c>
      <c r="J29" s="33">
        <v>1.72</v>
      </c>
      <c r="K29" s="9">
        <f>'Shenzhen Daily'!I32</f>
        <v>0</v>
      </c>
      <c r="L29" s="9">
        <f>'Shenzhen Daily'!J32</f>
        <v>0</v>
      </c>
    </row>
    <row r="30" spans="1:12" ht="15" x14ac:dyDescent="0.25">
      <c r="A30" s="6" t="s">
        <v>24</v>
      </c>
      <c r="B30" s="7">
        <f t="shared" si="0"/>
        <v>29</v>
      </c>
      <c r="C30" s="8">
        <v>4</v>
      </c>
      <c r="D30" s="7">
        <v>2022</v>
      </c>
      <c r="E30" s="9">
        <f>'Shenzhen Daily'!D33</f>
        <v>32956</v>
      </c>
      <c r="F30" s="33">
        <v>0.93</v>
      </c>
      <c r="G30" s="9">
        <f>'Shenzhen Daily'!F33</f>
        <v>1323</v>
      </c>
      <c r="H30" s="33">
        <v>4.3899999999999997</v>
      </c>
      <c r="I30" s="9">
        <f>'Shenzhen Daily'!H33</f>
        <v>478</v>
      </c>
      <c r="J30" s="33">
        <v>1.72</v>
      </c>
      <c r="K30" s="9">
        <f>'Shenzhen Daily'!I33</f>
        <v>0</v>
      </c>
      <c r="L30" s="9">
        <f>'Shenzhen Daily'!J33</f>
        <v>0</v>
      </c>
    </row>
    <row r="31" spans="1:12" ht="15" x14ac:dyDescent="0.25">
      <c r="A31" s="6" t="s">
        <v>24</v>
      </c>
      <c r="B31" s="7">
        <f t="shared" si="0"/>
        <v>30</v>
      </c>
      <c r="C31" s="8">
        <v>4</v>
      </c>
      <c r="D31" s="7">
        <v>2022</v>
      </c>
      <c r="E31" s="9">
        <f>'Shenzhen Daily'!D34</f>
        <v>29050</v>
      </c>
      <c r="F31" s="33">
        <v>0.93</v>
      </c>
      <c r="G31" s="9">
        <f>'Shenzhen Daily'!F34</f>
        <v>1327</v>
      </c>
      <c r="H31" s="33">
        <v>4.3899999999999997</v>
      </c>
      <c r="I31" s="9">
        <f>'Shenzhen Daily'!H34</f>
        <v>473</v>
      </c>
      <c r="J31" s="33">
        <v>1.72</v>
      </c>
      <c r="K31" s="9">
        <f>'Shenzhen Daily'!I34</f>
        <v>0</v>
      </c>
      <c r="L31" s="9">
        <f>'Shenzhen Daily'!J34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4"/>
  <sheetViews>
    <sheetView tabSelected="1" zoomScale="85" zoomScaleNormal="85" workbookViewId="0">
      <pane xSplit="1" topLeftCell="B1" activePane="topRight" state="frozen"/>
      <selection pane="topRight" activeCell="M37" sqref="M3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6" width="14.85546875" style="30" customWidth="1"/>
    <col min="7" max="7" width="8.85546875" style="13" customWidth="1"/>
    <col min="8" max="8" width="12.5703125" style="13" customWidth="1"/>
    <col min="9" max="10" width="13" style="32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4"/>
      <c r="C1" s="10"/>
      <c r="D1" s="11"/>
      <c r="E1" s="10"/>
      <c r="F1" s="10"/>
      <c r="G1" s="35"/>
      <c r="H1" s="35"/>
      <c r="I1" s="12"/>
      <c r="J1" s="12"/>
    </row>
    <row r="2" spans="1:10" ht="35.25" customHeight="1" thickBot="1" x14ac:dyDescent="0.3">
      <c r="A2" s="14" t="s">
        <v>10</v>
      </c>
      <c r="B2" s="34"/>
      <c r="C2" s="36" t="s">
        <v>20</v>
      </c>
      <c r="D2" s="37"/>
      <c r="E2" s="38" t="s">
        <v>21</v>
      </c>
      <c r="F2" s="38"/>
      <c r="G2" s="39" t="s">
        <v>11</v>
      </c>
      <c r="H2" s="40"/>
      <c r="I2" s="15"/>
      <c r="J2" s="15"/>
    </row>
    <row r="3" spans="1:10" ht="44.25" customHeight="1" x14ac:dyDescent="0.25">
      <c r="A3" s="16" t="s">
        <v>12</v>
      </c>
      <c r="B3" s="34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16</v>
      </c>
      <c r="H3" s="20" t="s">
        <v>17</v>
      </c>
      <c r="I3" s="21" t="s">
        <v>18</v>
      </c>
      <c r="J3" s="21" t="s">
        <v>19</v>
      </c>
    </row>
    <row r="4" spans="1:10" s="25" customFormat="1" ht="35.25" customHeight="1" x14ac:dyDescent="0.25">
      <c r="A4" s="22">
        <v>44651</v>
      </c>
      <c r="B4" s="34"/>
      <c r="C4" s="41">
        <v>40000000</v>
      </c>
      <c r="D4" s="23"/>
      <c r="E4" s="41">
        <v>40000000</v>
      </c>
      <c r="F4" s="24"/>
      <c r="G4" s="41">
        <v>40000000</v>
      </c>
      <c r="I4" s="26"/>
      <c r="J4" s="26"/>
    </row>
    <row r="5" spans="1:10" ht="33" customHeight="1" x14ac:dyDescent="0.25">
      <c r="A5" s="27">
        <v>44652</v>
      </c>
      <c r="B5" s="34"/>
      <c r="C5" s="41">
        <v>40017971</v>
      </c>
      <c r="D5" s="28">
        <f t="shared" ref="D5:D22" si="0">IF((C5-C4&lt;0), "0",C5-C4)</f>
        <v>17971</v>
      </c>
      <c r="E5" s="41">
        <v>40000593</v>
      </c>
      <c r="F5" s="28">
        <f>IF((E5-E4&lt;0), "0",E5-E4)</f>
        <v>593</v>
      </c>
      <c r="G5" s="41">
        <v>40000231</v>
      </c>
      <c r="H5" s="28">
        <f>IF((G5-G4&lt;0), "0",G5-G4)</f>
        <v>231</v>
      </c>
      <c r="I5" s="29"/>
      <c r="J5" s="29"/>
    </row>
    <row r="6" spans="1:10" ht="45" customHeight="1" x14ac:dyDescent="0.25">
      <c r="A6" s="27">
        <v>44653</v>
      </c>
      <c r="B6" s="34"/>
      <c r="C6" s="41">
        <v>40033712</v>
      </c>
      <c r="D6" s="28">
        <f t="shared" si="0"/>
        <v>15741</v>
      </c>
      <c r="E6" s="41">
        <v>40001620</v>
      </c>
      <c r="F6" s="28">
        <f t="shared" ref="F6:F34" si="1">IF((E6-E5&lt;0), "0",E6-E5)</f>
        <v>1027</v>
      </c>
      <c r="G6" s="41">
        <v>40000470</v>
      </c>
      <c r="H6" s="28">
        <f t="shared" ref="H6:H34" si="2">IF((G6-G5&lt;0), "0",G6-G5)</f>
        <v>239</v>
      </c>
      <c r="I6" s="12"/>
      <c r="J6" s="12"/>
    </row>
    <row r="7" spans="1:10" ht="45" customHeight="1" x14ac:dyDescent="0.25">
      <c r="A7" s="27">
        <v>44654</v>
      </c>
      <c r="B7" s="34"/>
      <c r="C7" s="41">
        <v>40051045</v>
      </c>
      <c r="D7" s="28">
        <f t="shared" si="0"/>
        <v>17333</v>
      </c>
      <c r="E7" s="41">
        <v>40002442</v>
      </c>
      <c r="F7" s="28">
        <f t="shared" si="1"/>
        <v>822</v>
      </c>
      <c r="G7" s="41">
        <v>40000730</v>
      </c>
      <c r="H7" s="28">
        <f t="shared" si="2"/>
        <v>260</v>
      </c>
      <c r="I7" s="12"/>
      <c r="J7" s="12"/>
    </row>
    <row r="8" spans="1:10" ht="45" customHeight="1" x14ac:dyDescent="0.25">
      <c r="A8" s="27">
        <v>44655</v>
      </c>
      <c r="B8" s="34"/>
      <c r="C8" s="41">
        <v>40069141</v>
      </c>
      <c r="D8" s="28">
        <f t="shared" si="0"/>
        <v>18096</v>
      </c>
      <c r="E8" s="41">
        <v>40003416</v>
      </c>
      <c r="F8" s="28">
        <f t="shared" si="1"/>
        <v>974</v>
      </c>
      <c r="G8" s="41">
        <v>40000998</v>
      </c>
      <c r="H8" s="28">
        <f t="shared" si="2"/>
        <v>268</v>
      </c>
      <c r="I8" s="12"/>
      <c r="J8" s="12"/>
    </row>
    <row r="9" spans="1:10" ht="45" customHeight="1" x14ac:dyDescent="0.25">
      <c r="A9" s="27">
        <v>44656</v>
      </c>
      <c r="B9" s="34"/>
      <c r="C9" s="41">
        <v>40088596</v>
      </c>
      <c r="D9" s="28">
        <f t="shared" si="0"/>
        <v>19455</v>
      </c>
      <c r="E9" s="41">
        <v>40004505</v>
      </c>
      <c r="F9" s="28">
        <f t="shared" si="1"/>
        <v>1089</v>
      </c>
      <c r="G9" s="41">
        <v>40001250</v>
      </c>
      <c r="H9" s="28">
        <f t="shared" si="2"/>
        <v>252</v>
      </c>
      <c r="I9" s="12"/>
      <c r="J9" s="12"/>
    </row>
    <row r="10" spans="1:10" ht="45" customHeight="1" x14ac:dyDescent="0.25">
      <c r="A10" s="27">
        <v>44657</v>
      </c>
      <c r="B10" s="34"/>
      <c r="C10" s="41">
        <v>40108444</v>
      </c>
      <c r="D10" s="28">
        <f t="shared" si="0"/>
        <v>19848</v>
      </c>
      <c r="E10" s="41">
        <v>40005704</v>
      </c>
      <c r="F10" s="28">
        <f t="shared" si="1"/>
        <v>1199</v>
      </c>
      <c r="G10" s="41">
        <v>40001562</v>
      </c>
      <c r="H10" s="28">
        <f t="shared" si="2"/>
        <v>312</v>
      </c>
      <c r="I10" s="12"/>
      <c r="J10" s="12"/>
    </row>
    <row r="11" spans="1:10" ht="45" customHeight="1" x14ac:dyDescent="0.25">
      <c r="A11" s="27">
        <v>44658</v>
      </c>
      <c r="B11" s="34"/>
      <c r="C11" s="41">
        <v>40130106</v>
      </c>
      <c r="D11" s="28">
        <f t="shared" si="0"/>
        <v>21662</v>
      </c>
      <c r="E11" s="41">
        <v>40006776</v>
      </c>
      <c r="F11" s="28">
        <f t="shared" si="1"/>
        <v>1072</v>
      </c>
      <c r="G11" s="41">
        <v>40001822</v>
      </c>
      <c r="H11" s="28">
        <f t="shared" si="2"/>
        <v>260</v>
      </c>
      <c r="I11" s="12"/>
      <c r="J11" s="12"/>
    </row>
    <row r="12" spans="1:10" ht="45" customHeight="1" x14ac:dyDescent="0.25">
      <c r="A12" s="27">
        <v>44659</v>
      </c>
      <c r="B12" s="34"/>
      <c r="C12" s="41">
        <v>40152570</v>
      </c>
      <c r="D12" s="28">
        <f t="shared" si="0"/>
        <v>22464</v>
      </c>
      <c r="E12" s="41">
        <v>40007853</v>
      </c>
      <c r="F12" s="28">
        <f t="shared" si="1"/>
        <v>1077</v>
      </c>
      <c r="G12" s="41">
        <v>40002130</v>
      </c>
      <c r="H12" s="28">
        <f t="shared" si="2"/>
        <v>308</v>
      </c>
      <c r="I12" s="12"/>
      <c r="J12" s="12"/>
    </row>
    <row r="13" spans="1:10" ht="45" customHeight="1" x14ac:dyDescent="0.25">
      <c r="A13" s="27">
        <v>44660</v>
      </c>
      <c r="B13" s="34"/>
      <c r="C13" s="41">
        <v>40176470</v>
      </c>
      <c r="D13" s="28">
        <f t="shared" si="0"/>
        <v>23900</v>
      </c>
      <c r="E13" s="41">
        <v>40009225</v>
      </c>
      <c r="F13" s="28">
        <f t="shared" si="1"/>
        <v>1372</v>
      </c>
      <c r="G13" s="41">
        <v>40002460</v>
      </c>
      <c r="H13" s="28">
        <f t="shared" si="2"/>
        <v>330</v>
      </c>
      <c r="I13" s="12"/>
      <c r="J13" s="12"/>
    </row>
    <row r="14" spans="1:10" ht="45" customHeight="1" x14ac:dyDescent="0.25">
      <c r="A14" s="27">
        <v>44661</v>
      </c>
      <c r="B14" s="34"/>
      <c r="C14" s="41">
        <v>40200262</v>
      </c>
      <c r="D14" s="28">
        <f t="shared" si="0"/>
        <v>23792</v>
      </c>
      <c r="E14" s="41">
        <v>40010379</v>
      </c>
      <c r="F14" s="28">
        <f t="shared" si="1"/>
        <v>1154</v>
      </c>
      <c r="G14" s="41">
        <v>40002748</v>
      </c>
      <c r="H14" s="28">
        <f t="shared" si="2"/>
        <v>288</v>
      </c>
      <c r="I14" s="12"/>
      <c r="J14" s="12"/>
    </row>
    <row r="15" spans="1:10" ht="45" customHeight="1" x14ac:dyDescent="0.25">
      <c r="A15" s="27">
        <v>44662</v>
      </c>
      <c r="B15" s="34"/>
      <c r="C15" s="41">
        <v>40224952</v>
      </c>
      <c r="D15" s="28">
        <f t="shared" si="0"/>
        <v>24690</v>
      </c>
      <c r="E15" s="41">
        <v>40011531</v>
      </c>
      <c r="F15" s="28">
        <f t="shared" si="1"/>
        <v>1152</v>
      </c>
      <c r="G15" s="41">
        <v>40003113</v>
      </c>
      <c r="H15" s="28">
        <f t="shared" si="2"/>
        <v>365</v>
      </c>
      <c r="I15" s="12"/>
      <c r="J15" s="12"/>
    </row>
    <row r="16" spans="1:10" ht="45" customHeight="1" x14ac:dyDescent="0.25">
      <c r="A16" s="27">
        <v>44663</v>
      </c>
      <c r="B16" s="34"/>
      <c r="C16" s="41">
        <v>40251023</v>
      </c>
      <c r="D16" s="28">
        <f t="shared" si="0"/>
        <v>26071</v>
      </c>
      <c r="E16" s="41">
        <v>40012811</v>
      </c>
      <c r="F16" s="28">
        <f t="shared" si="1"/>
        <v>1280</v>
      </c>
      <c r="G16" s="41">
        <v>40003426</v>
      </c>
      <c r="H16" s="28">
        <f t="shared" si="2"/>
        <v>313</v>
      </c>
      <c r="I16" s="12"/>
      <c r="J16" s="12"/>
    </row>
    <row r="17" spans="1:10" ht="45" customHeight="1" x14ac:dyDescent="0.25">
      <c r="A17" s="27">
        <v>44664</v>
      </c>
      <c r="B17" s="34"/>
      <c r="C17" s="41">
        <v>40276365</v>
      </c>
      <c r="D17" s="28">
        <f t="shared" si="0"/>
        <v>25342</v>
      </c>
      <c r="E17" s="41">
        <v>40013902</v>
      </c>
      <c r="F17" s="28">
        <f t="shared" si="1"/>
        <v>1091</v>
      </c>
      <c r="G17" s="41">
        <v>40003789</v>
      </c>
      <c r="H17" s="28">
        <f t="shared" si="2"/>
        <v>363</v>
      </c>
      <c r="I17" s="12"/>
      <c r="J17" s="12"/>
    </row>
    <row r="18" spans="1:10" ht="45" customHeight="1" x14ac:dyDescent="0.25">
      <c r="A18" s="27">
        <v>44665</v>
      </c>
      <c r="B18" s="34"/>
      <c r="C18" s="41">
        <v>40301762</v>
      </c>
      <c r="D18" s="28">
        <f t="shared" si="0"/>
        <v>25397</v>
      </c>
      <c r="E18" s="41">
        <v>40015184</v>
      </c>
      <c r="F18" s="28">
        <f t="shared" si="1"/>
        <v>1282</v>
      </c>
      <c r="G18" s="41">
        <v>40004142</v>
      </c>
      <c r="H18" s="28">
        <f t="shared" si="2"/>
        <v>353</v>
      </c>
      <c r="I18" s="12"/>
      <c r="J18" s="12"/>
    </row>
    <row r="19" spans="1:10" ht="45" customHeight="1" x14ac:dyDescent="0.25">
      <c r="A19" s="27">
        <v>44666</v>
      </c>
      <c r="B19" s="34"/>
      <c r="C19" s="41">
        <v>40328172</v>
      </c>
      <c r="D19" s="28">
        <f t="shared" si="0"/>
        <v>26410</v>
      </c>
      <c r="E19" s="41">
        <v>40016497</v>
      </c>
      <c r="F19" s="28">
        <f t="shared" si="1"/>
        <v>1313</v>
      </c>
      <c r="G19" s="41">
        <v>40004481</v>
      </c>
      <c r="H19" s="28">
        <f t="shared" si="2"/>
        <v>339</v>
      </c>
      <c r="I19" s="12"/>
      <c r="J19" s="12"/>
    </row>
    <row r="20" spans="1:10" ht="45" customHeight="1" x14ac:dyDescent="0.25">
      <c r="A20" s="27">
        <v>44667</v>
      </c>
      <c r="B20" s="34"/>
      <c r="C20" s="41">
        <v>40354522</v>
      </c>
      <c r="D20" s="28">
        <f t="shared" si="0"/>
        <v>26350</v>
      </c>
      <c r="E20" s="41">
        <v>40017724</v>
      </c>
      <c r="F20" s="28">
        <f t="shared" si="1"/>
        <v>1227</v>
      </c>
      <c r="G20" s="41">
        <v>40004864</v>
      </c>
      <c r="H20" s="28">
        <f t="shared" si="2"/>
        <v>383</v>
      </c>
      <c r="I20" s="12"/>
      <c r="J20" s="12"/>
    </row>
    <row r="21" spans="1:10" ht="45" customHeight="1" x14ac:dyDescent="0.25">
      <c r="A21" s="27">
        <v>44668</v>
      </c>
      <c r="B21" s="34"/>
      <c r="C21" s="41">
        <v>40377659</v>
      </c>
      <c r="D21" s="28">
        <f t="shared" si="0"/>
        <v>23137</v>
      </c>
      <c r="E21" s="41">
        <v>40018950</v>
      </c>
      <c r="F21" s="28">
        <f t="shared" si="1"/>
        <v>1226</v>
      </c>
      <c r="G21" s="41">
        <v>40005231</v>
      </c>
      <c r="H21" s="28">
        <f t="shared" si="2"/>
        <v>367</v>
      </c>
      <c r="I21" s="12"/>
      <c r="J21" s="12"/>
    </row>
    <row r="22" spans="1:10" ht="45" customHeight="1" x14ac:dyDescent="0.25">
      <c r="A22" s="27">
        <v>44669</v>
      </c>
      <c r="B22" s="34"/>
      <c r="C22" s="41">
        <v>40401955</v>
      </c>
      <c r="D22" s="28">
        <f t="shared" si="0"/>
        <v>24296</v>
      </c>
      <c r="E22" s="41">
        <v>40020221</v>
      </c>
      <c r="F22" s="28">
        <f t="shared" si="1"/>
        <v>1271</v>
      </c>
      <c r="G22" s="41">
        <v>40005617</v>
      </c>
      <c r="H22" s="28">
        <f t="shared" si="2"/>
        <v>386</v>
      </c>
      <c r="I22" s="12"/>
      <c r="J22" s="12"/>
    </row>
    <row r="23" spans="1:10" ht="45" customHeight="1" x14ac:dyDescent="0.25">
      <c r="A23" s="27">
        <v>44670</v>
      </c>
      <c r="B23" s="34"/>
      <c r="C23" s="41">
        <v>40423389</v>
      </c>
      <c r="D23" s="28">
        <f>IF((C23-C22&lt;0), "0",C23-C22)</f>
        <v>21434</v>
      </c>
      <c r="E23" s="41">
        <v>40021499</v>
      </c>
      <c r="F23" s="28">
        <f t="shared" si="1"/>
        <v>1278</v>
      </c>
      <c r="G23" s="41">
        <v>40005957</v>
      </c>
      <c r="H23" s="28">
        <f t="shared" si="2"/>
        <v>340</v>
      </c>
      <c r="I23" s="12"/>
      <c r="J23" s="12"/>
    </row>
    <row r="24" spans="1:10" ht="45" customHeight="1" x14ac:dyDescent="0.25">
      <c r="A24" s="27">
        <v>44671</v>
      </c>
      <c r="B24" s="34"/>
      <c r="C24" s="41">
        <v>40445858</v>
      </c>
      <c r="D24" s="28">
        <f t="shared" ref="D24:D34" si="3">IF((C24-C23&lt;0), "0",C24-C23)</f>
        <v>22469</v>
      </c>
      <c r="E24" s="41">
        <v>40022744</v>
      </c>
      <c r="F24" s="28">
        <f t="shared" si="1"/>
        <v>1245</v>
      </c>
      <c r="G24" s="41">
        <v>40006336</v>
      </c>
      <c r="H24" s="28">
        <f t="shared" si="2"/>
        <v>379</v>
      </c>
      <c r="I24" s="12"/>
      <c r="J24" s="12"/>
    </row>
    <row r="25" spans="1:10" ht="45" customHeight="1" x14ac:dyDescent="0.25">
      <c r="A25" s="27">
        <v>44672</v>
      </c>
      <c r="B25" s="34"/>
      <c r="C25" s="41">
        <v>40469552</v>
      </c>
      <c r="D25" s="28">
        <f t="shared" si="3"/>
        <v>23694</v>
      </c>
      <c r="E25" s="41">
        <v>40023953</v>
      </c>
      <c r="F25" s="28">
        <f t="shared" si="1"/>
        <v>1209</v>
      </c>
      <c r="G25" s="41">
        <v>40006750</v>
      </c>
      <c r="H25" s="28">
        <f t="shared" si="2"/>
        <v>414</v>
      </c>
      <c r="I25" s="12"/>
      <c r="J25" s="12"/>
    </row>
    <row r="26" spans="1:10" ht="45" customHeight="1" x14ac:dyDescent="0.25">
      <c r="A26" s="27">
        <v>44673</v>
      </c>
      <c r="B26" s="34"/>
      <c r="C26" s="41">
        <v>40496251</v>
      </c>
      <c r="D26" s="28">
        <f t="shared" si="3"/>
        <v>26699</v>
      </c>
      <c r="E26" s="41">
        <v>40025253</v>
      </c>
      <c r="F26" s="28">
        <f t="shared" si="1"/>
        <v>1300</v>
      </c>
      <c r="G26" s="41">
        <v>40007163</v>
      </c>
      <c r="H26" s="28">
        <f t="shared" si="2"/>
        <v>413</v>
      </c>
      <c r="I26" s="12"/>
      <c r="J26" s="12"/>
    </row>
    <row r="27" spans="1:10" ht="45" customHeight="1" x14ac:dyDescent="0.25">
      <c r="A27" s="27">
        <v>44674</v>
      </c>
      <c r="B27" s="34"/>
      <c r="C27" s="41">
        <v>40524233</v>
      </c>
      <c r="D27" s="28">
        <f t="shared" si="3"/>
        <v>27982</v>
      </c>
      <c r="E27" s="41">
        <v>40026484</v>
      </c>
      <c r="F27" s="28">
        <f t="shared" si="1"/>
        <v>1231</v>
      </c>
      <c r="G27" s="41">
        <v>40007605</v>
      </c>
      <c r="H27" s="28">
        <f t="shared" si="2"/>
        <v>442</v>
      </c>
      <c r="I27" s="12"/>
      <c r="J27" s="12"/>
    </row>
    <row r="28" spans="1:10" ht="45" customHeight="1" x14ac:dyDescent="0.25">
      <c r="A28" s="27">
        <v>44675</v>
      </c>
      <c r="B28" s="34"/>
      <c r="C28" s="41">
        <v>40549681</v>
      </c>
      <c r="D28" s="28">
        <f t="shared" si="3"/>
        <v>25448</v>
      </c>
      <c r="E28" s="41">
        <v>40027662</v>
      </c>
      <c r="F28" s="28">
        <f t="shared" si="1"/>
        <v>1178</v>
      </c>
      <c r="G28" s="41">
        <v>40008116</v>
      </c>
      <c r="H28" s="28">
        <f t="shared" si="2"/>
        <v>511</v>
      </c>
      <c r="I28" s="12"/>
      <c r="J28" s="12"/>
    </row>
    <row r="29" spans="1:10" ht="45" customHeight="1" x14ac:dyDescent="0.25">
      <c r="A29" s="27">
        <v>44676</v>
      </c>
      <c r="B29" s="34"/>
      <c r="C29" s="41">
        <v>40581223</v>
      </c>
      <c r="D29" s="28">
        <f t="shared" si="3"/>
        <v>31542</v>
      </c>
      <c r="E29" s="41">
        <v>40028784</v>
      </c>
      <c r="F29" s="28">
        <f t="shared" si="1"/>
        <v>1122</v>
      </c>
      <c r="G29" s="41">
        <v>40008566</v>
      </c>
      <c r="H29" s="28">
        <f t="shared" si="2"/>
        <v>450</v>
      </c>
      <c r="I29" s="12"/>
      <c r="J29" s="12"/>
    </row>
    <row r="30" spans="1:10" ht="45" customHeight="1" x14ac:dyDescent="0.25">
      <c r="A30" s="27">
        <v>44677</v>
      </c>
      <c r="B30" s="34"/>
      <c r="C30" s="41">
        <v>40613390</v>
      </c>
      <c r="D30" s="28">
        <f t="shared" si="3"/>
        <v>32167</v>
      </c>
      <c r="E30" s="41">
        <v>40030160</v>
      </c>
      <c r="F30" s="28">
        <f t="shared" si="1"/>
        <v>1376</v>
      </c>
      <c r="G30" s="41">
        <v>40009046</v>
      </c>
      <c r="H30" s="28">
        <f t="shared" si="2"/>
        <v>480</v>
      </c>
      <c r="I30" s="12"/>
      <c r="J30" s="12"/>
    </row>
    <row r="31" spans="1:10" ht="45" customHeight="1" x14ac:dyDescent="0.25">
      <c r="A31" s="27">
        <v>44678</v>
      </c>
      <c r="B31" s="34"/>
      <c r="C31" s="41">
        <v>40643256</v>
      </c>
      <c r="D31" s="28">
        <f t="shared" si="3"/>
        <v>29866</v>
      </c>
      <c r="E31" s="41">
        <v>40031439</v>
      </c>
      <c r="F31" s="28">
        <f t="shared" si="1"/>
        <v>1279</v>
      </c>
      <c r="G31" s="41">
        <v>40009508</v>
      </c>
      <c r="H31" s="28">
        <f t="shared" si="2"/>
        <v>462</v>
      </c>
      <c r="I31" s="12"/>
      <c r="J31" s="12"/>
    </row>
    <row r="32" spans="1:10" ht="45" customHeight="1" x14ac:dyDescent="0.25">
      <c r="A32" s="27">
        <v>44679</v>
      </c>
      <c r="B32" s="34"/>
      <c r="C32" s="41">
        <v>40675783</v>
      </c>
      <c r="D32" s="28">
        <f t="shared" si="3"/>
        <v>32527</v>
      </c>
      <c r="E32" s="41">
        <v>40032766</v>
      </c>
      <c r="F32" s="28">
        <f t="shared" si="1"/>
        <v>1327</v>
      </c>
      <c r="G32" s="41">
        <v>40009967</v>
      </c>
      <c r="H32" s="28">
        <f t="shared" si="2"/>
        <v>459</v>
      </c>
      <c r="I32" s="12"/>
      <c r="J32" s="12"/>
    </row>
    <row r="33" spans="1:10" ht="36" customHeight="1" x14ac:dyDescent="0.25">
      <c r="A33" s="27">
        <v>44680</v>
      </c>
      <c r="C33" s="41">
        <v>40708739</v>
      </c>
      <c r="D33" s="28">
        <f t="shared" si="3"/>
        <v>32956</v>
      </c>
      <c r="E33" s="41">
        <v>40034089</v>
      </c>
      <c r="F33" s="28">
        <f t="shared" si="1"/>
        <v>1323</v>
      </c>
      <c r="G33" s="41">
        <v>40010445</v>
      </c>
      <c r="H33" s="28">
        <f t="shared" si="2"/>
        <v>478</v>
      </c>
      <c r="I33" s="12"/>
      <c r="J33" s="12"/>
    </row>
    <row r="34" spans="1:10" ht="45.6" customHeight="1" x14ac:dyDescent="0.25">
      <c r="A34" s="27">
        <v>44681</v>
      </c>
      <c r="C34" s="41">
        <v>40737789</v>
      </c>
      <c r="D34" s="28">
        <f t="shared" si="3"/>
        <v>29050</v>
      </c>
      <c r="E34" s="41">
        <v>40035416</v>
      </c>
      <c r="F34" s="28">
        <f t="shared" si="1"/>
        <v>1327</v>
      </c>
      <c r="G34" s="41">
        <v>40010918</v>
      </c>
      <c r="H34" s="28">
        <f t="shared" si="2"/>
        <v>473</v>
      </c>
      <c r="I34" s="12"/>
      <c r="J34" s="1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Jeff Chen</cp:lastModifiedBy>
  <cp:lastPrinted>2020-10-01T03:34:29Z</cp:lastPrinted>
  <dcterms:created xsi:type="dcterms:W3CDTF">2009-02-11T09:03:59Z</dcterms:created>
  <dcterms:modified xsi:type="dcterms:W3CDTF">2023-03-05T09:55:32Z</dcterms:modified>
</cp:coreProperties>
</file>