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H9" i="7" l="1"/>
  <c r="AT9" i="7"/>
  <c r="CJ8" i="7" l="1"/>
  <c r="BX8" i="7" l="1"/>
  <c r="X8" i="7"/>
  <c r="Z8" i="7"/>
  <c r="AB8" i="7"/>
  <c r="V8" i="7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10" i="7"/>
  <c r="F8" i="6" s="1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N6" i="6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<sst xmlns="http://schemas.openxmlformats.org/spreadsheetml/2006/main" count="296" uniqueCount="138">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</sst>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6" sqref="F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 t="e">
        <f>Submetering!E8+Submetering!F8+Submetering!G8+Submetering!H8-Submetering!AV8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 t="e">
        <f>'FS Desroches Daily'!#REF!</f>
        <v>#REF!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 t="str">
        <f>'FS Desroches Daily'!T7</f>
        <v/>
      </c>
      <c r="N5" s="35" t="str">
        <f>'FS Desroches Daily'!V7</f>
        <v/>
      </c>
      <c r="O5" s="35">
        <f>'FS Desroches Daily'!X7</f>
        <v>430.00000000000682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716851</v>
      </c>
      <c r="N6" s="35">
        <f>'FS Desroches Daily'!V8</f>
        <v>290165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 t="str">
        <f>'FS Desroches Daily'!T9</f>
        <v/>
      </c>
      <c r="N7" s="35" t="str">
        <f>'FS Desroches Daily'!V9</f>
        <v/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 t="str">
        <f>'FS Desroches Daily'!D10</f>
        <v>0</v>
      </c>
      <c r="F8" s="36" t="str">
        <f>'FS Desroches Daily'!F10</f>
        <v>0</v>
      </c>
      <c r="G8" s="35" t="str">
        <f>'FS Desroches Daily'!H10</f>
        <v>0</v>
      </c>
      <c r="H8" s="36" t="str">
        <f>'FS Desroches Daily'!J10</f>
        <v>0</v>
      </c>
      <c r="I8" s="35" t="str">
        <f>'FS Desroches Daily'!L10</f>
        <v>0</v>
      </c>
      <c r="J8" s="36" t="str">
        <f>'FS Desroches Daily'!N10</f>
        <v/>
      </c>
      <c r="K8" s="13" t="str">
        <f>'FS Desroches Daily'!P10</f>
        <v/>
      </c>
      <c r="L8" s="35" t="str">
        <f>'FS Desroches Daily'!R10</f>
        <v/>
      </c>
      <c r="M8" s="35">
        <f>'FS Desroches Daily'!T10</f>
        <v>0</v>
      </c>
      <c r="N8" s="35">
        <f>'FS Desroches Daily'!V10</f>
        <v>0</v>
      </c>
      <c r="O8" s="35" t="str">
        <f>'FS Desroches Daily'!X10</f>
        <v/>
      </c>
      <c r="P8" s="35" t="str">
        <f>'FS Desroches Daily'!Z10</f>
        <v/>
      </c>
      <c r="Q8" s="35" t="str">
        <f>'FS Desroches Daily'!AB10</f>
        <v/>
      </c>
      <c r="R8" s="35" t="str">
        <f>'FS Desroches Daily'!AD10</f>
        <v/>
      </c>
      <c r="S8" s="35" t="str">
        <f>'FS Desroches Daily'!AF10</f>
        <v/>
      </c>
      <c r="T8" s="35" t="str">
        <f>'FS Desroches Daily'!AH10</f>
        <v/>
      </c>
      <c r="U8" s="39" t="str">
        <f>'FS Desroches Daily'!AJ10</f>
        <v/>
      </c>
      <c r="V8" s="39" t="str">
        <f>'FS Desroches Daily'!AL10</f>
        <v/>
      </c>
      <c r="W8" s="39" t="str">
        <f>'FS Desroches Daily'!AN10</f>
        <v/>
      </c>
      <c r="X8" s="39" t="str">
        <f>'FS Desroches Daily'!AP10</f>
        <v/>
      </c>
      <c r="Y8" s="39" t="str">
        <f>'FS Desroches Daily'!AR10</f>
        <v/>
      </c>
      <c r="Z8" s="39" t="str">
        <f>'FS Desroches Daily'!AT10</f>
        <v/>
      </c>
      <c r="AA8" s="39" t="str">
        <f>'FS Desroches Daily'!AT10</f>
        <v/>
      </c>
      <c r="AB8" s="39" t="str">
        <f>'FS Desroches Daily'!AV10</f>
        <v/>
      </c>
      <c r="AC8" s="39" t="str">
        <f>'FS Desroches Daily'!AZ10</f>
        <v/>
      </c>
      <c r="AD8" s="39" t="str">
        <f>'FS Desroches Daily'!BB10</f>
        <v/>
      </c>
      <c r="AE8" s="39" t="str">
        <f>'FS Desroches Daily'!BD10</f>
        <v/>
      </c>
      <c r="AF8" s="35" t="str">
        <f>'FS Desroches Daily'!BF10</f>
        <v/>
      </c>
      <c r="AG8" s="36" t="str">
        <f>'FS Desroches Daily'!BH10</f>
        <v/>
      </c>
      <c r="AH8" s="36" t="str">
        <f>'FS Desroches Daily'!BJ10</f>
        <v/>
      </c>
      <c r="AI8" s="36" t="str">
        <f>'FS Desroches Daily'!BL10</f>
        <v/>
      </c>
      <c r="AJ8" s="36" t="str">
        <f>'FS Desroches Daily'!BN10</f>
        <v/>
      </c>
      <c r="AK8" s="36" t="str">
        <f>'FS Desroches Daily'!BP10</f>
        <v/>
      </c>
      <c r="AL8" s="36" t="str">
        <f>'FS Desroches Daily'!BR10</f>
        <v/>
      </c>
      <c r="AM8" s="36" t="str">
        <f>'FS Desroches Daily'!BT10</f>
        <v/>
      </c>
      <c r="AN8" s="36" t="str">
        <f>'FS Desroches Daily'!BV10</f>
        <v/>
      </c>
      <c r="AO8" s="36" t="str">
        <f>'FS Desroches Daily'!BX10</f>
        <v/>
      </c>
      <c r="AP8" s="36" t="str">
        <f>'FS Desroches Daily'!BZ10</f>
        <v/>
      </c>
      <c r="AQ8" s="35" t="str">
        <f>'FS Desroches Daily'!CB10</f>
        <v/>
      </c>
      <c r="AR8" s="35" t="str">
        <f>'FS Desroches Daily'!CD10</f>
        <v/>
      </c>
      <c r="AS8" s="35" t="str">
        <f>'FS Desroches Daily'!CF10</f>
        <v/>
      </c>
      <c r="AT8" s="35" t="str">
        <f>'FS Desroches Daily'!CH10</f>
        <v/>
      </c>
      <c r="AU8" s="35" t="str">
        <f>'FS Desroches Daily'!CJ10</f>
        <v/>
      </c>
      <c r="AV8" s="35" t="str">
        <f>'FS Desroches Daily'!CL10</f>
        <v/>
      </c>
      <c r="AW8" s="35">
        <f>'FS Desroches Daily'!CM10</f>
        <v>0</v>
      </c>
      <c r="AX8" s="35" t="str">
        <f>IF(LPG!F15-LPG!F14&lt;0,"0",(LPG!F15-LPG!F14)*1.8315)</f>
        <v>0</v>
      </c>
      <c r="AY8" s="35" t="str">
        <f>IF(LPG!H15-LPG!H14&lt;0,"0",(LPG!H15-LPG!H14)*1.8315)</f>
        <v>0</v>
      </c>
      <c r="AZ8" s="35" t="str">
        <f>IF(LPG!J15-LPG!J14&lt;0,"0",(LPG!J15-LPG!J14)*1.8315)</f>
        <v>0</v>
      </c>
      <c r="BA8" s="35" t="str">
        <f>IF(LPG!M15-LPG!M14&lt;0,"0",(LPG!M15-LPG!M14)*1.8315)</f>
        <v>0</v>
      </c>
      <c r="BB8" s="35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17300.000000000091</v>
      </c>
      <c r="F33" s="17">
        <f t="shared" ref="F33:BC33" si="1">SUM(F2:F32)</f>
        <v>22699.999999999942</v>
      </c>
      <c r="G33" s="17">
        <f t="shared" si="1"/>
        <v>21500.000000000073</v>
      </c>
      <c r="H33" s="17">
        <f t="shared" si="1"/>
        <v>10199.999999999985</v>
      </c>
      <c r="I33" s="17">
        <f t="shared" si="1"/>
        <v>17199.999999999884</v>
      </c>
      <c r="J33" s="17">
        <f t="shared" si="1"/>
        <v>10039.999999999964</v>
      </c>
      <c r="K33" s="17">
        <f t="shared" si="1"/>
        <v>127</v>
      </c>
      <c r="L33" s="17">
        <f t="shared" si="1"/>
        <v>51</v>
      </c>
      <c r="M33" s="17">
        <f t="shared" si="1"/>
        <v>721325</v>
      </c>
      <c r="N33" s="17">
        <f t="shared" si="1"/>
        <v>292006</v>
      </c>
      <c r="O33" s="17" t="e">
        <f t="shared" si="1"/>
        <v>#REF!</v>
      </c>
      <c r="P33" s="17">
        <f t="shared" si="1"/>
        <v>19800.000000000036</v>
      </c>
      <c r="Q33" s="17">
        <f t="shared" si="1"/>
        <v>2949.9999999999886</v>
      </c>
      <c r="R33" s="17">
        <f t="shared" si="1"/>
        <v>1969.9999999999989</v>
      </c>
      <c r="S33" s="17">
        <f t="shared" si="1"/>
        <v>4450.0000000000455</v>
      </c>
      <c r="T33" s="17">
        <f t="shared" si="1"/>
        <v>11.299999999999955</v>
      </c>
      <c r="U33" s="39">
        <f t="shared" si="1"/>
        <v>3370.0000000000045</v>
      </c>
      <c r="V33" s="39">
        <f t="shared" si="1"/>
        <v>1.039999999999992</v>
      </c>
      <c r="W33" s="39">
        <f t="shared" si="1"/>
        <v>1.1400000000000006</v>
      </c>
      <c r="X33" s="39">
        <f t="shared" si="1"/>
        <v>1.0499999999999972</v>
      </c>
      <c r="Y33" s="39">
        <f t="shared" si="1"/>
        <v>1520.0000000000102</v>
      </c>
      <c r="Z33" s="39">
        <f t="shared" si="1"/>
        <v>1670.0000000000159</v>
      </c>
      <c r="AA33" s="39">
        <f t="shared" si="1"/>
        <v>1670.0000000000159</v>
      </c>
      <c r="AB33" s="39">
        <f t="shared" si="1"/>
        <v>1259.9999999999909</v>
      </c>
      <c r="AC33" s="39">
        <f t="shared" si="1"/>
        <v>250</v>
      </c>
      <c r="AD33" s="39">
        <f t="shared" si="1"/>
        <v>1330.0000000000409</v>
      </c>
      <c r="AE33" s="39">
        <f t="shared" si="1"/>
        <v>1419.9999999999875</v>
      </c>
      <c r="AF33" s="17">
        <f t="shared" si="1"/>
        <v>391</v>
      </c>
      <c r="AG33" s="36">
        <f t="shared" si="1"/>
        <v>239.99999999998067</v>
      </c>
      <c r="AH33" s="36">
        <f t="shared" si="1"/>
        <v>329.99999999998408</v>
      </c>
      <c r="AI33" s="36">
        <f t="shared" si="1"/>
        <v>299.99999999998295</v>
      </c>
      <c r="AJ33" s="36">
        <f t="shared" si="1"/>
        <v>250</v>
      </c>
      <c r="AK33" s="36">
        <f t="shared" si="1"/>
        <v>299.99999999995453</v>
      </c>
      <c r="AL33" s="36">
        <f t="shared" si="1"/>
        <v>250</v>
      </c>
      <c r="AM33" s="36">
        <f t="shared" si="1"/>
        <v>289.99999999999204</v>
      </c>
      <c r="AN33" s="36">
        <f t="shared" si="1"/>
        <v>248</v>
      </c>
      <c r="AO33" s="36">
        <f t="shared" si="1"/>
        <v>289.99999999999204</v>
      </c>
      <c r="AP33" s="36">
        <f t="shared" si="1"/>
        <v>421</v>
      </c>
      <c r="AQ33" s="17">
        <f t="shared" si="1"/>
        <v>280.39999999999782</v>
      </c>
      <c r="AR33" s="17">
        <f t="shared" si="1"/>
        <v>78.600000000000364</v>
      </c>
      <c r="AS33" s="17">
        <f t="shared" si="1"/>
        <v>45.699999999999818</v>
      </c>
      <c r="AT33" s="17">
        <f t="shared" si="1"/>
        <v>452.40000000000146</v>
      </c>
      <c r="AU33" s="17">
        <f t="shared" si="1"/>
        <v>1768</v>
      </c>
      <c r="AV33" s="17">
        <f t="shared" si="1"/>
        <v>4250</v>
      </c>
      <c r="AW33" s="17">
        <f t="shared" si="1"/>
        <v>580.30000000000007</v>
      </c>
      <c r="AX33" s="17">
        <f t="shared" si="1"/>
        <v>93.406499999999994</v>
      </c>
      <c r="AY33" s="17">
        <f t="shared" si="1"/>
        <v>27.472499999999997</v>
      </c>
      <c r="AZ33" s="17">
        <f t="shared" si="1"/>
        <v>5.4944999999999995</v>
      </c>
      <c r="BA33" s="17">
        <f t="shared" si="1"/>
        <v>27.472499999999997</v>
      </c>
      <c r="BB33" s="17">
        <f t="shared" si="1"/>
        <v>34.798499999999997</v>
      </c>
      <c r="BC33" s="17">
        <f t="shared" si="1"/>
        <v>171</v>
      </c>
    </row>
    <row r="35" spans="5:55" x14ac:dyDescent="0.25">
      <c r="E35" s="42">
        <f>E33/E37</f>
        <v>0.23738302368341718</v>
      </c>
      <c r="G35" s="33">
        <f>G33-M36</f>
        <v>-991830.99999999988</v>
      </c>
      <c r="AE35" s="39">
        <f>SUM(U33:AE33)</f>
        <v>12493.230000000067</v>
      </c>
      <c r="AG35" s="36">
        <f>SUM(AG33:AP33)</f>
        <v>2918.9999999998863</v>
      </c>
    </row>
    <row r="36" spans="5:55" x14ac:dyDescent="0.25">
      <c r="G36" s="33">
        <f>G35-633*14</f>
        <v>-1000692.9999999999</v>
      </c>
      <c r="M36" s="33">
        <f>M33+N33</f>
        <v>1013331</v>
      </c>
    </row>
    <row r="37" spans="5:55" x14ac:dyDescent="0.25">
      <c r="E37" s="17">
        <f>E33+F33+G33+H33+J33-633*14</f>
        <v>72878.000000000058</v>
      </c>
      <c r="G37" s="41">
        <f>M36/E37</f>
        <v>13.904484206482055</v>
      </c>
      <c r="M37" s="39">
        <f>AE35</f>
        <v>12493.230000000067</v>
      </c>
    </row>
    <row r="38" spans="5:55" x14ac:dyDescent="0.25">
      <c r="L38" s="31">
        <f>M38/E37</f>
        <v>4.0053239660801397E-2</v>
      </c>
      <c r="M38" s="33">
        <f>AG35</f>
        <v>2918.9999999998863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BN1" zoomScale="70" zoomScaleNormal="70" workbookViewId="0">
      <pane ySplit="1" topLeftCell="A2" activePane="bottomLeft" state="frozen"/>
      <selection pane="bottomLeft" activeCell="CN16" sqref="CN16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7">
        <f t="shared" ref="T5:T34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7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/>
      <c r="T7" s="77" t="str">
        <f t="shared" si="8"/>
        <v/>
      </c>
      <c r="U7" s="65"/>
      <c r="V7" s="77" t="str">
        <f t="shared" si="9"/>
        <v/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7">
        <f t="shared" si="8"/>
        <v>716851</v>
      </c>
      <c r="U8" s="65">
        <v>290165</v>
      </c>
      <c r="V8" s="77">
        <f t="shared" si="9"/>
        <v>290165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/>
      <c r="T9" s="77" t="str">
        <f t="shared" si="8"/>
        <v/>
      </c>
      <c r="U9" s="65"/>
      <c r="V9" s="77" t="str">
        <f t="shared" si="9"/>
        <v/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/>
      <c r="D10" s="76" t="str">
        <f t="shared" si="3"/>
        <v>0</v>
      </c>
      <c r="E10" s="65"/>
      <c r="F10" s="76" t="str">
        <f t="shared" si="4"/>
        <v>0</v>
      </c>
      <c r="G10" s="65"/>
      <c r="H10" s="76" t="str">
        <f t="shared" si="5"/>
        <v>0</v>
      </c>
      <c r="I10" s="65"/>
      <c r="J10" s="76" t="str">
        <f t="shared" si="43"/>
        <v>0</v>
      </c>
      <c r="K10" s="65"/>
      <c r="L10" s="76" t="str">
        <f t="shared" si="0"/>
        <v>0</v>
      </c>
      <c r="M10" s="65"/>
      <c r="N10" s="77" t="str">
        <f t="shared" si="22"/>
        <v/>
      </c>
      <c r="O10" s="65"/>
      <c r="P10" s="77" t="str">
        <f t="shared" si="6"/>
        <v/>
      </c>
      <c r="Q10" s="65"/>
      <c r="R10" s="77" t="str">
        <f t="shared" si="7"/>
        <v/>
      </c>
      <c r="S10" s="65"/>
      <c r="T10" s="77">
        <f t="shared" si="8"/>
        <v>0</v>
      </c>
      <c r="U10" s="65"/>
      <c r="V10" s="77">
        <f t="shared" si="9"/>
        <v>0</v>
      </c>
      <c r="W10" s="65"/>
      <c r="X10" s="77" t="str">
        <f t="shared" si="23"/>
        <v/>
      </c>
      <c r="Y10" s="65"/>
      <c r="Z10" s="77" t="str">
        <f t="shared" si="24"/>
        <v/>
      </c>
      <c r="AA10" s="65"/>
      <c r="AB10" s="77" t="str">
        <f t="shared" si="25"/>
        <v/>
      </c>
      <c r="AC10" s="65"/>
      <c r="AD10" s="77" t="str">
        <f t="shared" si="26"/>
        <v/>
      </c>
      <c r="AE10" s="65"/>
      <c r="AF10" s="77" t="str">
        <f t="shared" si="27"/>
        <v/>
      </c>
      <c r="AG10" s="65"/>
      <c r="AH10" s="77" t="str">
        <f t="shared" si="10"/>
        <v/>
      </c>
      <c r="AI10" s="65"/>
      <c r="AJ10" s="77" t="str">
        <f t="shared" si="28"/>
        <v/>
      </c>
      <c r="AK10" s="65"/>
      <c r="AL10" s="77" t="str">
        <f t="shared" si="11"/>
        <v/>
      </c>
      <c r="AM10" s="65"/>
      <c r="AN10" s="77" t="str">
        <f t="shared" si="12"/>
        <v/>
      </c>
      <c r="AO10" s="65"/>
      <c r="AP10" s="77" t="str">
        <f t="shared" si="13"/>
        <v/>
      </c>
      <c r="AQ10" s="65"/>
      <c r="AR10" s="77" t="str">
        <f t="shared" si="29"/>
        <v/>
      </c>
      <c r="AS10" s="65"/>
      <c r="AT10" s="77" t="str">
        <f t="shared" si="30"/>
        <v/>
      </c>
      <c r="AU10" s="65"/>
      <c r="AV10" s="77" t="str">
        <f t="shared" si="31"/>
        <v/>
      </c>
      <c r="AW10" s="65"/>
      <c r="AX10" s="77" t="str">
        <f t="shared" si="32"/>
        <v/>
      </c>
      <c r="AY10" s="65"/>
      <c r="AZ10" s="77" t="str">
        <f t="shared" si="33"/>
        <v/>
      </c>
      <c r="BA10" s="65"/>
      <c r="BB10" s="77" t="str">
        <f t="shared" si="34"/>
        <v/>
      </c>
      <c r="BC10" s="65"/>
      <c r="BD10" s="77" t="str">
        <f t="shared" si="35"/>
        <v/>
      </c>
      <c r="BE10" s="70"/>
      <c r="BF10" s="77" t="str">
        <f t="shared" si="14"/>
        <v/>
      </c>
      <c r="BG10" s="71"/>
      <c r="BH10" s="77" t="str">
        <f t="shared" si="36"/>
        <v/>
      </c>
      <c r="BI10" s="70"/>
      <c r="BJ10" s="77" t="str">
        <f t="shared" si="37"/>
        <v/>
      </c>
      <c r="BK10" s="70"/>
      <c r="BL10" s="77" t="str">
        <f t="shared" si="38"/>
        <v/>
      </c>
      <c r="BM10" s="70"/>
      <c r="BN10" s="77" t="str">
        <f t="shared" si="39"/>
        <v/>
      </c>
      <c r="BO10" s="70"/>
      <c r="BP10" s="77" t="str">
        <f t="shared" si="40"/>
        <v/>
      </c>
      <c r="BQ10" s="70"/>
      <c r="BR10" s="77" t="str">
        <f t="shared" si="15"/>
        <v/>
      </c>
      <c r="BS10" s="70"/>
      <c r="BT10" s="77" t="str">
        <f t="shared" si="41"/>
        <v/>
      </c>
      <c r="BU10" s="70"/>
      <c r="BV10" s="77" t="str">
        <f t="shared" si="1"/>
        <v/>
      </c>
      <c r="BW10" s="70"/>
      <c r="BX10" s="77" t="str">
        <f t="shared" si="42"/>
        <v/>
      </c>
      <c r="BY10" s="72"/>
      <c r="BZ10" s="77" t="str">
        <f t="shared" si="16"/>
        <v/>
      </c>
      <c r="CA10" s="65"/>
      <c r="CB10" s="77" t="str">
        <f t="shared" si="17"/>
        <v/>
      </c>
      <c r="CC10" s="65"/>
      <c r="CD10" s="77" t="str">
        <f t="shared" si="18"/>
        <v/>
      </c>
      <c r="CE10" s="65"/>
      <c r="CF10" s="77" t="str">
        <f t="shared" si="19"/>
        <v/>
      </c>
      <c r="CG10" s="65"/>
      <c r="CH10" s="77" t="str">
        <f t="shared" si="20"/>
        <v/>
      </c>
      <c r="CI10" s="65"/>
      <c r="CJ10" s="77" t="str">
        <f t="shared" si="2"/>
        <v/>
      </c>
      <c r="CK10" s="65"/>
      <c r="CL10" s="76" t="str">
        <f t="shared" si="21"/>
        <v/>
      </c>
      <c r="CM10" s="77"/>
      <c r="CN10" s="74"/>
      <c r="CO10" s="74"/>
    </row>
    <row r="11" spans="1:93" ht="25.5" customHeight="1" thickBot="1" x14ac:dyDescent="0.45">
      <c r="A11" s="75">
        <v>43838</v>
      </c>
      <c r="B11" s="49"/>
      <c r="C11" s="65"/>
      <c r="D11" s="76">
        <f t="shared" si="3"/>
        <v>0</v>
      </c>
      <c r="E11" s="65"/>
      <c r="F11" s="76">
        <f t="shared" si="4"/>
        <v>0</v>
      </c>
      <c r="G11" s="65"/>
      <c r="H11" s="76">
        <f t="shared" si="5"/>
        <v>0</v>
      </c>
      <c r="I11" s="65"/>
      <c r="J11" s="76">
        <f t="shared" si="43"/>
        <v>0</v>
      </c>
      <c r="K11" s="65"/>
      <c r="L11" s="76">
        <f t="shared" si="0"/>
        <v>0</v>
      </c>
      <c r="M11" s="65"/>
      <c r="N11" s="77">
        <f t="shared" si="22"/>
        <v>0</v>
      </c>
      <c r="O11" s="65"/>
      <c r="P11" s="77">
        <f t="shared" si="6"/>
        <v>0</v>
      </c>
      <c r="Q11" s="65"/>
      <c r="R11" s="77">
        <f t="shared" si="7"/>
        <v>0</v>
      </c>
      <c r="S11" s="65"/>
      <c r="T11" s="77">
        <f t="shared" si="8"/>
        <v>0</v>
      </c>
      <c r="U11" s="65"/>
      <c r="V11" s="77">
        <f t="shared" si="9"/>
        <v>0</v>
      </c>
      <c r="W11" s="65"/>
      <c r="X11" s="77">
        <f t="shared" si="23"/>
        <v>0</v>
      </c>
      <c r="Y11" s="65"/>
      <c r="Z11" s="77">
        <f t="shared" si="24"/>
        <v>0</v>
      </c>
      <c r="AA11" s="65"/>
      <c r="AB11" s="77">
        <f t="shared" si="25"/>
        <v>0</v>
      </c>
      <c r="AC11" s="65"/>
      <c r="AD11" s="77">
        <f t="shared" si="26"/>
        <v>0</v>
      </c>
      <c r="AE11" s="65"/>
      <c r="AF11" s="77">
        <f t="shared" si="27"/>
        <v>0</v>
      </c>
      <c r="AG11" s="65"/>
      <c r="AH11" s="77">
        <f t="shared" si="10"/>
        <v>0</v>
      </c>
      <c r="AI11" s="65"/>
      <c r="AJ11" s="77">
        <f t="shared" si="28"/>
        <v>0</v>
      </c>
      <c r="AK11" s="65"/>
      <c r="AL11" s="77">
        <f t="shared" si="11"/>
        <v>0</v>
      </c>
      <c r="AM11" s="65"/>
      <c r="AN11" s="77">
        <f t="shared" si="12"/>
        <v>0</v>
      </c>
      <c r="AO11" s="65"/>
      <c r="AP11" s="77">
        <f t="shared" si="13"/>
        <v>0</v>
      </c>
      <c r="AQ11" s="65"/>
      <c r="AR11" s="77">
        <f t="shared" si="29"/>
        <v>0</v>
      </c>
      <c r="AS11" s="65"/>
      <c r="AT11" s="77">
        <f t="shared" si="30"/>
        <v>0</v>
      </c>
      <c r="AU11" s="65"/>
      <c r="AV11" s="77">
        <f t="shared" si="31"/>
        <v>0</v>
      </c>
      <c r="AW11" s="65"/>
      <c r="AX11" s="77">
        <f t="shared" si="32"/>
        <v>0</v>
      </c>
      <c r="AY11" s="65"/>
      <c r="AZ11" s="77">
        <f t="shared" si="33"/>
        <v>0</v>
      </c>
      <c r="BA11" s="65"/>
      <c r="BB11" s="77">
        <f t="shared" si="34"/>
        <v>0</v>
      </c>
      <c r="BC11" s="65"/>
      <c r="BD11" s="77">
        <f t="shared" si="35"/>
        <v>0</v>
      </c>
      <c r="BE11" s="70"/>
      <c r="BF11" s="77">
        <f t="shared" si="14"/>
        <v>0</v>
      </c>
      <c r="BG11" s="71"/>
      <c r="BH11" s="77">
        <f t="shared" si="36"/>
        <v>0</v>
      </c>
      <c r="BI11" s="70"/>
      <c r="BJ11" s="77">
        <f t="shared" si="37"/>
        <v>0</v>
      </c>
      <c r="BK11" s="70"/>
      <c r="BL11" s="77">
        <f t="shared" si="38"/>
        <v>0</v>
      </c>
      <c r="BM11" s="70"/>
      <c r="BN11" s="77">
        <f t="shared" si="39"/>
        <v>0</v>
      </c>
      <c r="BO11" s="70"/>
      <c r="BP11" s="77">
        <f t="shared" si="40"/>
        <v>0</v>
      </c>
      <c r="BQ11" s="70"/>
      <c r="BR11" s="77">
        <f t="shared" si="15"/>
        <v>0</v>
      </c>
      <c r="BS11" s="70"/>
      <c r="BT11" s="77">
        <f t="shared" si="41"/>
        <v>0</v>
      </c>
      <c r="BU11" s="70"/>
      <c r="BV11" s="77">
        <f t="shared" si="1"/>
        <v>0</v>
      </c>
      <c r="BW11" s="70"/>
      <c r="BX11" s="77">
        <f t="shared" si="42"/>
        <v>0</v>
      </c>
      <c r="BY11" s="72"/>
      <c r="BZ11" s="77">
        <f t="shared" si="16"/>
        <v>0</v>
      </c>
      <c r="CA11" s="65"/>
      <c r="CB11" s="77">
        <f t="shared" si="17"/>
        <v>0</v>
      </c>
      <c r="CC11" s="65"/>
      <c r="CD11" s="77">
        <f t="shared" si="18"/>
        <v>0</v>
      </c>
      <c r="CE11" s="65"/>
      <c r="CF11" s="77">
        <f t="shared" si="19"/>
        <v>0</v>
      </c>
      <c r="CG11" s="65"/>
      <c r="CH11" s="77">
        <f t="shared" si="20"/>
        <v>0</v>
      </c>
      <c r="CI11" s="65"/>
      <c r="CJ11" s="77">
        <f t="shared" si="2"/>
        <v>0</v>
      </c>
      <c r="CK11" s="65"/>
      <c r="CL11" s="76">
        <f t="shared" si="21"/>
        <v>0</v>
      </c>
      <c r="CM11" s="77"/>
      <c r="CN11" s="74"/>
      <c r="CO11" s="74"/>
    </row>
    <row r="12" spans="1:93" ht="25.5" customHeight="1" thickBot="1" x14ac:dyDescent="0.45">
      <c r="A12" s="75">
        <v>43839</v>
      </c>
      <c r="B12" s="49"/>
      <c r="C12" s="65"/>
      <c r="D12" s="76">
        <f t="shared" si="3"/>
        <v>0</v>
      </c>
      <c r="E12" s="65"/>
      <c r="F12" s="76">
        <f t="shared" si="4"/>
        <v>0</v>
      </c>
      <c r="G12" s="65"/>
      <c r="H12" s="76">
        <f t="shared" si="5"/>
        <v>0</v>
      </c>
      <c r="I12" s="65"/>
      <c r="J12" s="76">
        <f t="shared" si="43"/>
        <v>0</v>
      </c>
      <c r="K12" s="65"/>
      <c r="L12" s="76">
        <f t="shared" si="0"/>
        <v>0</v>
      </c>
      <c r="M12" s="65"/>
      <c r="N12" s="77">
        <f t="shared" si="22"/>
        <v>0</v>
      </c>
      <c r="O12" s="65"/>
      <c r="P12" s="77">
        <f t="shared" si="6"/>
        <v>0</v>
      </c>
      <c r="Q12" s="65"/>
      <c r="R12" s="77">
        <f t="shared" si="7"/>
        <v>0</v>
      </c>
      <c r="S12" s="65"/>
      <c r="T12" s="77">
        <f t="shared" si="8"/>
        <v>0</v>
      </c>
      <c r="U12" s="65"/>
      <c r="V12" s="77">
        <f t="shared" si="9"/>
        <v>0</v>
      </c>
      <c r="W12" s="65"/>
      <c r="X12" s="77">
        <f t="shared" si="23"/>
        <v>0</v>
      </c>
      <c r="Y12" s="65"/>
      <c r="Z12" s="77">
        <f t="shared" si="24"/>
        <v>0</v>
      </c>
      <c r="AA12" s="65"/>
      <c r="AB12" s="77">
        <f t="shared" si="25"/>
        <v>0</v>
      </c>
      <c r="AC12" s="65"/>
      <c r="AD12" s="77">
        <f t="shared" si="26"/>
        <v>0</v>
      </c>
      <c r="AE12" s="65"/>
      <c r="AF12" s="77">
        <f t="shared" si="27"/>
        <v>0</v>
      </c>
      <c r="AG12" s="65"/>
      <c r="AH12" s="77">
        <f t="shared" si="10"/>
        <v>0</v>
      </c>
      <c r="AI12" s="65"/>
      <c r="AJ12" s="77">
        <f t="shared" si="28"/>
        <v>0</v>
      </c>
      <c r="AK12" s="65"/>
      <c r="AL12" s="77">
        <f t="shared" si="11"/>
        <v>0</v>
      </c>
      <c r="AM12" s="65"/>
      <c r="AN12" s="77">
        <f t="shared" si="12"/>
        <v>0</v>
      </c>
      <c r="AO12" s="65"/>
      <c r="AP12" s="77">
        <f t="shared" si="13"/>
        <v>0</v>
      </c>
      <c r="AQ12" s="65"/>
      <c r="AR12" s="77">
        <f t="shared" si="29"/>
        <v>0</v>
      </c>
      <c r="AS12" s="65"/>
      <c r="AT12" s="77">
        <f t="shared" si="30"/>
        <v>0</v>
      </c>
      <c r="AU12" s="65"/>
      <c r="AV12" s="77">
        <f t="shared" si="31"/>
        <v>0</v>
      </c>
      <c r="AW12" s="65"/>
      <c r="AX12" s="77">
        <f t="shared" si="32"/>
        <v>0</v>
      </c>
      <c r="AY12" s="65"/>
      <c r="AZ12" s="77">
        <f t="shared" si="33"/>
        <v>0</v>
      </c>
      <c r="BA12" s="65"/>
      <c r="BB12" s="77">
        <f t="shared" si="34"/>
        <v>0</v>
      </c>
      <c r="BC12" s="65"/>
      <c r="BD12" s="77">
        <f t="shared" si="35"/>
        <v>0</v>
      </c>
      <c r="BE12" s="70"/>
      <c r="BF12" s="77">
        <f t="shared" si="14"/>
        <v>0</v>
      </c>
      <c r="BG12" s="71"/>
      <c r="BH12" s="77">
        <f t="shared" si="36"/>
        <v>0</v>
      </c>
      <c r="BI12" s="70"/>
      <c r="BJ12" s="77">
        <f t="shared" si="37"/>
        <v>0</v>
      </c>
      <c r="BK12" s="70"/>
      <c r="BL12" s="77">
        <f t="shared" si="38"/>
        <v>0</v>
      </c>
      <c r="BM12" s="70"/>
      <c r="BN12" s="77">
        <f t="shared" si="39"/>
        <v>0</v>
      </c>
      <c r="BO12" s="70"/>
      <c r="BP12" s="77">
        <f t="shared" si="40"/>
        <v>0</v>
      </c>
      <c r="BQ12" s="70"/>
      <c r="BR12" s="77">
        <f t="shared" si="15"/>
        <v>0</v>
      </c>
      <c r="BS12" s="70"/>
      <c r="BT12" s="77">
        <f t="shared" si="41"/>
        <v>0</v>
      </c>
      <c r="BU12" s="70"/>
      <c r="BV12" s="77">
        <f t="shared" si="1"/>
        <v>0</v>
      </c>
      <c r="BW12" s="70"/>
      <c r="BX12" s="77">
        <f t="shared" si="42"/>
        <v>0</v>
      </c>
      <c r="BY12" s="72"/>
      <c r="BZ12" s="77">
        <f t="shared" si="16"/>
        <v>0</v>
      </c>
      <c r="CA12" s="65"/>
      <c r="CB12" s="77">
        <f t="shared" si="17"/>
        <v>0</v>
      </c>
      <c r="CC12" s="65"/>
      <c r="CD12" s="77">
        <f t="shared" si="18"/>
        <v>0</v>
      </c>
      <c r="CE12" s="65"/>
      <c r="CF12" s="77">
        <f t="shared" si="19"/>
        <v>0</v>
      </c>
      <c r="CG12" s="65"/>
      <c r="CH12" s="77">
        <f t="shared" si="20"/>
        <v>0</v>
      </c>
      <c r="CI12" s="65"/>
      <c r="CJ12" s="77">
        <f t="shared" si="2"/>
        <v>0</v>
      </c>
      <c r="CK12" s="65"/>
      <c r="CL12" s="76">
        <f t="shared" si="21"/>
        <v>0</v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43"/>
        <v>0</v>
      </c>
      <c r="K13" s="65"/>
      <c r="L13" s="76">
        <f t="shared" si="0"/>
        <v>0</v>
      </c>
      <c r="M13" s="65"/>
      <c r="N13" s="77">
        <f t="shared" si="22"/>
        <v>0</v>
      </c>
      <c r="O13" s="65"/>
      <c r="P13" s="77">
        <f t="shared" si="6"/>
        <v>0</v>
      </c>
      <c r="Q13" s="65"/>
      <c r="R13" s="77">
        <f t="shared" si="7"/>
        <v>0</v>
      </c>
      <c r="S13" s="65"/>
      <c r="T13" s="77">
        <f t="shared" si="8"/>
        <v>0</v>
      </c>
      <c r="U13" s="65"/>
      <c r="V13" s="77">
        <f t="shared" si="9"/>
        <v>0</v>
      </c>
      <c r="W13" s="65"/>
      <c r="X13" s="77">
        <f t="shared" si="2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0"/>
        <v>0</v>
      </c>
      <c r="AI13" s="65"/>
      <c r="AJ13" s="77">
        <f t="shared" si="28"/>
        <v>0</v>
      </c>
      <c r="AK13" s="65"/>
      <c r="AL13" s="77">
        <f t="shared" si="11"/>
        <v>0</v>
      </c>
      <c r="AM13" s="65"/>
      <c r="AN13" s="77">
        <f t="shared" si="12"/>
        <v>0</v>
      </c>
      <c r="AO13" s="65"/>
      <c r="AP13" s="77">
        <f t="shared" si="13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4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5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6"/>
        <v>0</v>
      </c>
      <c r="CA13" s="65"/>
      <c r="CB13" s="77">
        <f t="shared" si="17"/>
        <v>0</v>
      </c>
      <c r="CC13" s="65"/>
      <c r="CD13" s="77">
        <f t="shared" si="18"/>
        <v>0</v>
      </c>
      <c r="CE13" s="65"/>
      <c r="CF13" s="77">
        <f t="shared" si="19"/>
        <v>0</v>
      </c>
      <c r="CG13" s="65"/>
      <c r="CH13" s="77">
        <f t="shared" si="20"/>
        <v>0</v>
      </c>
      <c r="CI13" s="65"/>
      <c r="CJ13" s="77">
        <f t="shared" si="2"/>
        <v>0</v>
      </c>
      <c r="CK13" s="65"/>
      <c r="CL13" s="76">
        <f t="shared" si="21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43"/>
        <v>0</v>
      </c>
      <c r="K14" s="65"/>
      <c r="L14" s="76">
        <f t="shared" si="0"/>
        <v>0</v>
      </c>
      <c r="M14" s="65"/>
      <c r="N14" s="77">
        <f t="shared" si="22"/>
        <v>0</v>
      </c>
      <c r="O14" s="65"/>
      <c r="P14" s="77">
        <f t="shared" si="6"/>
        <v>0</v>
      </c>
      <c r="Q14" s="65"/>
      <c r="R14" s="77">
        <f t="shared" si="7"/>
        <v>0</v>
      </c>
      <c r="S14" s="65"/>
      <c r="T14" s="77">
        <f t="shared" si="8"/>
        <v>0</v>
      </c>
      <c r="U14" s="65"/>
      <c r="V14" s="77">
        <f t="shared" si="9"/>
        <v>0</v>
      </c>
      <c r="W14" s="65"/>
      <c r="X14" s="77">
        <f t="shared" si="2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0"/>
        <v>0</v>
      </c>
      <c r="AI14" s="65"/>
      <c r="AJ14" s="77">
        <f t="shared" si="28"/>
        <v>0</v>
      </c>
      <c r="AK14" s="65"/>
      <c r="AL14" s="77">
        <f t="shared" si="11"/>
        <v>0</v>
      </c>
      <c r="AM14" s="65"/>
      <c r="AN14" s="77">
        <f t="shared" si="12"/>
        <v>0</v>
      </c>
      <c r="AO14" s="65"/>
      <c r="AP14" s="77">
        <f t="shared" si="13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4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5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6"/>
        <v>0</v>
      </c>
      <c r="CA14" s="65"/>
      <c r="CB14" s="77">
        <f t="shared" si="17"/>
        <v>0</v>
      </c>
      <c r="CC14" s="65"/>
      <c r="CD14" s="77">
        <f t="shared" si="18"/>
        <v>0</v>
      </c>
      <c r="CE14" s="65"/>
      <c r="CF14" s="77">
        <f t="shared" si="19"/>
        <v>0</v>
      </c>
      <c r="CG14" s="65"/>
      <c r="CH14" s="77">
        <f t="shared" si="20"/>
        <v>0</v>
      </c>
      <c r="CI14" s="65"/>
      <c r="CJ14" s="77">
        <f t="shared" si="2"/>
        <v>0</v>
      </c>
      <c r="CK14" s="65"/>
      <c r="CL14" s="76">
        <f t="shared" si="21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43"/>
        <v>0</v>
      </c>
      <c r="K15" s="65"/>
      <c r="L15" s="76">
        <f t="shared" si="0"/>
        <v>0</v>
      </c>
      <c r="M15" s="65"/>
      <c r="N15" s="77">
        <f t="shared" si="22"/>
        <v>0</v>
      </c>
      <c r="O15" s="65"/>
      <c r="P15" s="77">
        <f t="shared" si="6"/>
        <v>0</v>
      </c>
      <c r="Q15" s="65"/>
      <c r="R15" s="77">
        <f t="shared" si="7"/>
        <v>0</v>
      </c>
      <c r="S15" s="65"/>
      <c r="T15" s="77">
        <f t="shared" si="8"/>
        <v>0</v>
      </c>
      <c r="U15" s="65"/>
      <c r="V15" s="77">
        <f t="shared" si="9"/>
        <v>0</v>
      </c>
      <c r="W15" s="65"/>
      <c r="X15" s="77">
        <f t="shared" si="2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0"/>
        <v>0</v>
      </c>
      <c r="AI15" s="65"/>
      <c r="AJ15" s="77">
        <f t="shared" si="28"/>
        <v>0</v>
      </c>
      <c r="AK15" s="65"/>
      <c r="AL15" s="77">
        <f t="shared" si="11"/>
        <v>0</v>
      </c>
      <c r="AM15" s="65"/>
      <c r="AN15" s="77">
        <f t="shared" si="12"/>
        <v>0</v>
      </c>
      <c r="AO15" s="65"/>
      <c r="AP15" s="77">
        <f t="shared" si="13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4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5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6"/>
        <v>0</v>
      </c>
      <c r="CA15" s="65"/>
      <c r="CB15" s="77">
        <f t="shared" si="17"/>
        <v>0</v>
      </c>
      <c r="CC15" s="65"/>
      <c r="CD15" s="77">
        <f t="shared" si="18"/>
        <v>0</v>
      </c>
      <c r="CE15" s="65"/>
      <c r="CF15" s="77">
        <f t="shared" si="19"/>
        <v>0</v>
      </c>
      <c r="CG15" s="65"/>
      <c r="CH15" s="77">
        <f t="shared" si="20"/>
        <v>0</v>
      </c>
      <c r="CI15" s="65"/>
      <c r="CJ15" s="77">
        <f t="shared" si="2"/>
        <v>0</v>
      </c>
      <c r="CK15" s="65"/>
      <c r="CL15" s="76">
        <f t="shared" si="21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43"/>
        <v>0</v>
      </c>
      <c r="K16" s="65"/>
      <c r="L16" s="76">
        <f t="shared" si="0"/>
        <v>0</v>
      </c>
      <c r="M16" s="65"/>
      <c r="N16" s="77">
        <f t="shared" si="22"/>
        <v>0</v>
      </c>
      <c r="O16" s="65"/>
      <c r="P16" s="77">
        <f t="shared" si="6"/>
        <v>0</v>
      </c>
      <c r="Q16" s="65"/>
      <c r="R16" s="77">
        <f t="shared" si="7"/>
        <v>0</v>
      </c>
      <c r="S16" s="65"/>
      <c r="T16" s="77">
        <f t="shared" si="8"/>
        <v>0</v>
      </c>
      <c r="U16" s="65"/>
      <c r="V16" s="77">
        <f t="shared" si="9"/>
        <v>0</v>
      </c>
      <c r="W16" s="65"/>
      <c r="X16" s="77">
        <f t="shared" si="2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0"/>
        <v>0</v>
      </c>
      <c r="AI16" s="65"/>
      <c r="AJ16" s="77">
        <f t="shared" si="28"/>
        <v>0</v>
      </c>
      <c r="AK16" s="65"/>
      <c r="AL16" s="77">
        <f t="shared" si="11"/>
        <v>0</v>
      </c>
      <c r="AM16" s="65"/>
      <c r="AN16" s="77">
        <f t="shared" si="12"/>
        <v>0</v>
      </c>
      <c r="AO16" s="65"/>
      <c r="AP16" s="77">
        <f t="shared" si="13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4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5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6"/>
        <v>0</v>
      </c>
      <c r="CA16" s="65"/>
      <c r="CB16" s="77">
        <f t="shared" si="17"/>
        <v>0</v>
      </c>
      <c r="CC16" s="65"/>
      <c r="CD16" s="77">
        <f t="shared" si="18"/>
        <v>0</v>
      </c>
      <c r="CE16" s="65"/>
      <c r="CF16" s="77">
        <f t="shared" si="19"/>
        <v>0</v>
      </c>
      <c r="CG16" s="65"/>
      <c r="CH16" s="77">
        <f t="shared" si="20"/>
        <v>0</v>
      </c>
      <c r="CI16" s="65"/>
      <c r="CJ16" s="77">
        <f t="shared" si="2"/>
        <v>0</v>
      </c>
      <c r="CK16" s="65"/>
      <c r="CL16" s="76">
        <f t="shared" si="21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43"/>
        <v>0</v>
      </c>
      <c r="K17" s="65"/>
      <c r="L17" s="76">
        <f t="shared" si="0"/>
        <v>0</v>
      </c>
      <c r="M17" s="65"/>
      <c r="N17" s="77">
        <f t="shared" si="22"/>
        <v>0</v>
      </c>
      <c r="O17" s="65"/>
      <c r="P17" s="77">
        <f t="shared" si="6"/>
        <v>0</v>
      </c>
      <c r="Q17" s="65"/>
      <c r="R17" s="77">
        <f t="shared" si="7"/>
        <v>0</v>
      </c>
      <c r="S17" s="65"/>
      <c r="T17" s="77">
        <f t="shared" si="8"/>
        <v>0</v>
      </c>
      <c r="U17" s="65"/>
      <c r="V17" s="77">
        <f t="shared" si="9"/>
        <v>0</v>
      </c>
      <c r="W17" s="65"/>
      <c r="X17" s="77">
        <f t="shared" si="2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0"/>
        <v>0</v>
      </c>
      <c r="AI17" s="65"/>
      <c r="AJ17" s="77">
        <f t="shared" si="28"/>
        <v>0</v>
      </c>
      <c r="AK17" s="65"/>
      <c r="AL17" s="77">
        <f t="shared" si="11"/>
        <v>0</v>
      </c>
      <c r="AM17" s="65"/>
      <c r="AN17" s="77">
        <f t="shared" si="12"/>
        <v>0</v>
      </c>
      <c r="AO17" s="65"/>
      <c r="AP17" s="77">
        <f t="shared" si="13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4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5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6"/>
        <v>0</v>
      </c>
      <c r="CA17" s="65"/>
      <c r="CB17" s="77">
        <f t="shared" si="17"/>
        <v>0</v>
      </c>
      <c r="CC17" s="65"/>
      <c r="CD17" s="77">
        <f t="shared" si="18"/>
        <v>0</v>
      </c>
      <c r="CE17" s="65"/>
      <c r="CF17" s="77">
        <f t="shared" si="19"/>
        <v>0</v>
      </c>
      <c r="CG17" s="65"/>
      <c r="CH17" s="77">
        <f t="shared" si="20"/>
        <v>0</v>
      </c>
      <c r="CI17" s="65"/>
      <c r="CJ17" s="77">
        <f t="shared" si="2"/>
        <v>0</v>
      </c>
      <c r="CK17" s="65"/>
      <c r="CL17" s="76">
        <f t="shared" si="21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43"/>
        <v>0</v>
      </c>
      <c r="K18" s="65"/>
      <c r="L18" s="76">
        <f t="shared" si="0"/>
        <v>0</v>
      </c>
      <c r="M18" s="65"/>
      <c r="N18" s="77">
        <f t="shared" si="22"/>
        <v>0</v>
      </c>
      <c r="O18" s="65"/>
      <c r="P18" s="77">
        <f t="shared" si="6"/>
        <v>0</v>
      </c>
      <c r="Q18" s="65"/>
      <c r="R18" s="77">
        <f t="shared" si="7"/>
        <v>0</v>
      </c>
      <c r="S18" s="65"/>
      <c r="T18" s="77">
        <f t="shared" si="8"/>
        <v>0</v>
      </c>
      <c r="U18" s="65"/>
      <c r="V18" s="77">
        <f t="shared" si="9"/>
        <v>0</v>
      </c>
      <c r="W18" s="65"/>
      <c r="X18" s="77">
        <f t="shared" si="2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0"/>
        <v>0</v>
      </c>
      <c r="AI18" s="65"/>
      <c r="AJ18" s="77">
        <f t="shared" si="28"/>
        <v>0</v>
      </c>
      <c r="AK18" s="65"/>
      <c r="AL18" s="77">
        <f t="shared" si="11"/>
        <v>0</v>
      </c>
      <c r="AM18" s="65"/>
      <c r="AN18" s="77">
        <f t="shared" si="12"/>
        <v>0</v>
      </c>
      <c r="AO18" s="65"/>
      <c r="AP18" s="77">
        <f t="shared" si="13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4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5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6"/>
        <v>0</v>
      </c>
      <c r="CA18" s="65"/>
      <c r="CB18" s="77">
        <f t="shared" si="17"/>
        <v>0</v>
      </c>
      <c r="CC18" s="65"/>
      <c r="CD18" s="77">
        <f t="shared" si="18"/>
        <v>0</v>
      </c>
      <c r="CE18" s="65"/>
      <c r="CF18" s="77">
        <f t="shared" si="19"/>
        <v>0</v>
      </c>
      <c r="CG18" s="65"/>
      <c r="CH18" s="77">
        <f t="shared" si="20"/>
        <v>0</v>
      </c>
      <c r="CI18" s="65"/>
      <c r="CJ18" s="77">
        <f t="shared" si="2"/>
        <v>0</v>
      </c>
      <c r="CK18" s="65"/>
      <c r="CL18" s="76">
        <f t="shared" si="21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8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8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8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8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8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8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8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8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8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8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8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8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8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8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8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8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127</v>
      </c>
      <c r="R35" s="81">
        <f>SUM(R4:R33)</f>
        <v>51</v>
      </c>
      <c r="AX35" s="77">
        <f t="shared" si="32"/>
        <v>0</v>
      </c>
      <c r="BF35" s="81">
        <f>SUM(BF4:BF33)</f>
        <v>391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1.75" x14ac:dyDescent="0.4">
      <c r="AX37" s="77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Q15" sqref="Q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47">
        <v>43838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2020-01-07T03:35:42Z</dcterms:modified>
</cp:coreProperties>
</file>