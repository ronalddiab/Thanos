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0" i="7"/>
  <c r="AT11" i="7"/>
  <c r="AL5" i="7"/>
  <c r="AL6" i="7"/>
  <c r="AL7" i="7"/>
  <c r="AL8" i="7"/>
  <c r="AL9" i="7"/>
  <c r="AL10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M16" i="7" s="1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17" i="7" l="1"/>
  <c r="CM5" i="7"/>
  <c r="CM4" i="7"/>
  <c r="CM27" i="7"/>
  <c r="CM6" i="7"/>
  <c r="CM7" i="7"/>
  <c r="CM8" i="7"/>
  <c r="CM9" i="7"/>
  <c r="CM10" i="7"/>
  <c r="CM11" i="7"/>
  <c r="CM12" i="7"/>
  <c r="CM13" i="7"/>
  <c r="CM14" i="7"/>
  <c r="CM15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AP5" i="7" l="1"/>
  <c r="AP6" i="7"/>
  <c r="AP7" i="7"/>
  <c r="AP9" i="7"/>
  <c r="AN5" i="7"/>
  <c r="AN6" i="7"/>
  <c r="AN7" i="7"/>
  <c r="AN8" i="7"/>
  <c r="AN9" i="7"/>
  <c r="AN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<sst xmlns="http://schemas.openxmlformats.org/spreadsheetml/2006/main" count="313" uniqueCount="148">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</sst>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5" sqref="F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5159.9999999994088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34.149999999999636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4400.0000000001264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23.770000000000437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5789.9999999997599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45.960000000000036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6120.000000000553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35.039999999999964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5850.0000000000073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37.899999999999636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5900.0000000001501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36.680000000000291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6099.9999999998718</v>
      </c>
      <c r="F13" s="11">
        <f t="shared" si="1"/>
        <v>0.58765030286592534</v>
      </c>
      <c r="G13" s="12">
        <f>(Submetering!AX13+Submetering!AY13+Submetering!AZ13+Submetering!BA13+Submetering!BB13)</f>
        <v>7.3259999999999996</v>
      </c>
      <c r="H13" s="11">
        <f t="shared" si="2"/>
        <v>0.99</v>
      </c>
      <c r="I13" s="12">
        <f>'FS Desroches Daily'!CM15</f>
        <v>37.509999999999309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6280.0000000003456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35.160000000000764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5339.9999999996598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30.099999999999454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6700.0000000002838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38.600000000000364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7249.9999999993288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47.149999999999636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8120.0000000001919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63.400000000000546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2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799.99999999991189</v>
      </c>
      <c r="F7" s="32">
        <f>'FS Desroches Daily'!F9</f>
        <v>1199.9999999998679</v>
      </c>
      <c r="G7" s="31">
        <f>'FS Desroches Daily'!H9</f>
        <v>1999.9999999997797</v>
      </c>
      <c r="H7" s="32">
        <f>'FS Desroches Daily'!J9</f>
        <v>999.99999999988984</v>
      </c>
      <c r="I7" s="31">
        <f>'FS Desroches Daily'!L9</f>
        <v>1900.0000000000127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5</v>
      </c>
      <c r="M7" s="31">
        <f>'FS Desroches Daily'!T9</f>
        <v>273.39999999990687</v>
      </c>
      <c r="N7" s="31">
        <f>'FS Desroches Daily'!V9</f>
        <v>220.5</v>
      </c>
      <c r="O7" s="31">
        <f>'FS Desroches Daily'!X9</f>
        <v>90.000000000031832</v>
      </c>
      <c r="P7" s="31">
        <f>'FS Desroches Daily'!Z9</f>
        <v>999.99999999988984</v>
      </c>
      <c r="Q7" s="31">
        <f>'FS Desroches Daily'!AB9</f>
        <v>280.00000000002956</v>
      </c>
      <c r="R7" s="31">
        <f>'FS Desroches Daily'!AD9</f>
        <v>159.99999999996817</v>
      </c>
      <c r="S7" s="31">
        <f>'FS Desroches Daily'!AF9</f>
        <v>169.99999999995907</v>
      </c>
      <c r="T7" s="31">
        <f>'FS Desroches Daily'!AH9</f>
        <v>29</v>
      </c>
      <c r="U7" s="35">
        <f>'FS Desroches Daily'!AJ9</f>
        <v>319.99999999993634</v>
      </c>
      <c r="V7" s="35">
        <f>'FS Desroches Daily'!AL9</f>
        <v>30.000000000001137</v>
      </c>
      <c r="W7" s="35">
        <f>'FS Desroches Daily'!AN9</f>
        <v>60.000000000002274</v>
      </c>
      <c r="X7" s="35">
        <f>'FS Desroches Daily'!AP9</f>
        <v>20.000000000010232</v>
      </c>
      <c r="Y7" s="35">
        <f>'FS Desroches Daily'!AR9</f>
        <v>30.000000000001137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20.000000000038654</v>
      </c>
      <c r="AC7" s="35">
        <f>'FS Desroches Daily'!AZ9</f>
        <v>9.9999999999909051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37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0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31</v>
      </c>
      <c r="AM7" s="32">
        <f>'FS Desroches Daily'!BT9</f>
        <v>30.000000000001137</v>
      </c>
      <c r="AN7" s="32">
        <f>'FS Desroches Daily'!BV9</f>
        <v>24</v>
      </c>
      <c r="AO7" s="32">
        <f>'FS Desroches Daily'!BX9</f>
        <v>20.000000000010232</v>
      </c>
      <c r="AP7" s="32">
        <f>'FS Desroches Daily'!BZ9</f>
        <v>34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40.5</v>
      </c>
      <c r="AU7" s="31">
        <f>'FS Desroches Daily'!CJ9</f>
        <v>176</v>
      </c>
      <c r="AV7" s="31">
        <f>'FS Desroches Daily'!CL9</f>
        <v>539.99999999996362</v>
      </c>
      <c r="AW7" s="31">
        <f>'FS Desroches Daily'!CM9</f>
        <v>34.149999999999636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599.99999999993395</v>
      </c>
      <c r="F8" s="32">
        <f>'FS Desroches Daily'!F10</f>
        <v>799.99999999991189</v>
      </c>
      <c r="G8" s="31">
        <f>'FS Desroches Daily'!H10</f>
        <v>1700.0000000000348</v>
      </c>
      <c r="H8" s="32">
        <f>'FS Desroches Daily'!J10</f>
        <v>1100.000000000101</v>
      </c>
      <c r="I8" s="31">
        <f>'FS Desroches Daily'!L10</f>
        <v>2099.9999999999909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6</v>
      </c>
      <c r="M8" s="31">
        <f>'FS Desroches Daily'!T10</f>
        <v>103.40000000002328</v>
      </c>
      <c r="N8" s="31">
        <f>'FS Desroches Daily'!V10</f>
        <v>73.600000000034925</v>
      </c>
      <c r="O8" s="31">
        <f>'FS Desroches Daily'!X10</f>
        <v>89.999999999974989</v>
      </c>
      <c r="P8" s="31">
        <f>'FS Desroches Daily'!Z10</f>
        <v>799.99999999991189</v>
      </c>
      <c r="Q8" s="31">
        <f>'FS Desroches Daily'!AB10</f>
        <v>269.99999999998181</v>
      </c>
      <c r="R8" s="31">
        <f>'FS Desroches Daily'!AD10</f>
        <v>150.00000000003411</v>
      </c>
      <c r="S8" s="31">
        <f>'FS Desroches Daily'!AF10</f>
        <v>180.00000000006366</v>
      </c>
      <c r="T8" s="31">
        <f>'FS Desroches Daily'!AH10</f>
        <v>30</v>
      </c>
      <c r="U8" s="35">
        <f>'FS Desroches Daily'!AJ10</f>
        <v>310.00000000005912</v>
      </c>
      <c r="V8" s="35">
        <f>'FS Desroches Daily'!AL10</f>
        <v>19.99999999998181</v>
      </c>
      <c r="W8" s="35">
        <f>'FS Desroches Daily'!AN10</f>
        <v>9.9999999999909051</v>
      </c>
      <c r="X8" s="35">
        <f>'FS Desroches Daily'!AP10</f>
        <v>19.99999999998181</v>
      </c>
      <c r="Y8" s="35">
        <f>'FS Desroches Daily'!AR10</f>
        <v>19.99999999998181</v>
      </c>
      <c r="Z8" s="35">
        <f>'FS Desroches Daily'!AT10</f>
        <v>30.000000000029559</v>
      </c>
      <c r="AA8" s="35">
        <f>'FS Desroches Daily'!AT10</f>
        <v>30.000000000029559</v>
      </c>
      <c r="AB8" s="35">
        <f>'FS Desroches Daily'!AV10</f>
        <v>9.9999999999909051</v>
      </c>
      <c r="AC8" s="35">
        <f>'FS Desroches Daily'!AZ10</f>
        <v>9.9999999999909051</v>
      </c>
      <c r="AD8" s="35">
        <f>'FS Desroches Daily'!BB10</f>
        <v>10.000000000047748</v>
      </c>
      <c r="AE8" s="35">
        <f>'FS Desroches Daily'!BD10</f>
        <v>9.9999999999909051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29.999999999972715</v>
      </c>
      <c r="AL8" s="32">
        <f>'FS Desroches Daily'!BR10</f>
        <v>34</v>
      </c>
      <c r="AM8" s="32">
        <f>'FS Desroches Daily'!BT10</f>
        <v>30.000000000001137</v>
      </c>
      <c r="AN8" s="32">
        <f>'FS Desroches Daily'!BV10</f>
        <v>30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47.200000000004366</v>
      </c>
      <c r="AU8" s="31">
        <f>'FS Desroches Daily'!CJ10</f>
        <v>179</v>
      </c>
      <c r="AV8" s="31">
        <f>'FS Desroches Daily'!CL10</f>
        <v>500</v>
      </c>
      <c r="AW8" s="31">
        <f>'FS Desroches Daily'!CM10</f>
        <v>23.770000000000437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>
        <f>'FS Desroches Daily'!D11</f>
        <v>900.0000000001229</v>
      </c>
      <c r="F9" s="32">
        <f>'FS Desroches Daily'!F11</f>
        <v>1199.9999999998679</v>
      </c>
      <c r="G9" s="31">
        <f>'FS Desroches Daily'!H11</f>
        <v>2099.9999999999909</v>
      </c>
      <c r="H9" s="32">
        <f>'FS Desroches Daily'!J11</f>
        <v>1199.9999999998679</v>
      </c>
      <c r="I9" s="31">
        <f>'FS Desroches Daily'!L11</f>
        <v>2000.0000000002237</v>
      </c>
      <c r="J9" s="32">
        <f>'FS Desroches Daily'!N11</f>
        <v>899.99999999990087</v>
      </c>
      <c r="K9" s="13">
        <f>'FS Desroches Daily'!P11</f>
        <v>0</v>
      </c>
      <c r="L9" s="31">
        <f>'FS Desroches Daily'!R11</f>
        <v>5</v>
      </c>
      <c r="M9" s="31">
        <f>'FS Desroches Daily'!T11</f>
        <v>487.59999999997672</v>
      </c>
      <c r="N9" s="31">
        <f>'FS Desroches Daily'!V11</f>
        <v>310</v>
      </c>
      <c r="O9" s="31">
        <f>'FS Desroches Daily'!X11</f>
        <v>110.00000000001364</v>
      </c>
      <c r="P9" s="31">
        <f>'FS Desroches Daily'!Z11</f>
        <v>999.99999999988984</v>
      </c>
      <c r="Q9" s="31">
        <f>'FS Desroches Daily'!AB11</f>
        <v>300.00000000001137</v>
      </c>
      <c r="R9" s="31">
        <f>'FS Desroches Daily'!AD11</f>
        <v>169.99999999995907</v>
      </c>
      <c r="S9" s="31">
        <f>'FS Desroches Daily'!AF11</f>
        <v>240.00000000000909</v>
      </c>
      <c r="T9" s="31">
        <f>'FS Desroches Daily'!AH11</f>
        <v>32</v>
      </c>
      <c r="U9" s="35">
        <f>'FS Desroches Daily'!AJ11</f>
        <v>269.99999999998181</v>
      </c>
      <c r="V9" s="35">
        <f>'FS Desroches Daily'!AL11</f>
        <v>80.000000000012506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50.000000000011369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39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10.000000000019327</v>
      </c>
      <c r="AJ9" s="32">
        <f>'FS Desroches Daily'!BN11</f>
        <v>49.999999999982947</v>
      </c>
      <c r="AK9" s="32">
        <f>'FS Desroches Daily'!BP11</f>
        <v>30.000000000029559</v>
      </c>
      <c r="AL9" s="32">
        <f>'FS Desroches Daily'!BR11</f>
        <v>38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19.99999999998181</v>
      </c>
      <c r="AP9" s="32">
        <f>'FS Desroches Daily'!BZ11</f>
        <v>40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37.599999999998545</v>
      </c>
      <c r="AU9" s="31">
        <f>'FS Desroches Daily'!CJ11</f>
        <v>181</v>
      </c>
      <c r="AV9" s="31">
        <f>'FS Desroches Daily'!CL11</f>
        <v>509.99999999999091</v>
      </c>
      <c r="AW9" s="31">
        <f>'FS Desroches Daily'!CM11</f>
        <v>45.960000000000036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900.0000000001229</v>
      </c>
      <c r="F10" s="32">
        <f>'FS Desroches Daily'!F12</f>
        <v>1600.0000000002678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2199.9999999997576</v>
      </c>
      <c r="J10" s="32">
        <f>'FS Desroches Daily'!N12</f>
        <v>700.00000000014495</v>
      </c>
      <c r="K10" s="13">
        <f>'FS Desroches Daily'!P12</f>
        <v>0</v>
      </c>
      <c r="L10" s="31">
        <f>'FS Desroches Daily'!R12</f>
        <v>6</v>
      </c>
      <c r="M10" s="31">
        <f>'FS Desroches Daily'!T12</f>
        <v>443.20000000006985</v>
      </c>
      <c r="N10" s="31">
        <f>'FS Desroches Daily'!V12</f>
        <v>280.39999999996508</v>
      </c>
      <c r="O10" s="31">
        <f>'FS Desroches Daily'!X12</f>
        <v>99.999999999965894</v>
      </c>
      <c r="P10" s="31">
        <f>'FS Desroches Daily'!Z12</f>
        <v>1500.0000000000568</v>
      </c>
      <c r="Q10" s="31">
        <f>'FS Desroches Daily'!AB12</f>
        <v>259.99999999999091</v>
      </c>
      <c r="R10" s="31">
        <f>'FS Desroches Daily'!AD12</f>
        <v>170.00000000001592</v>
      </c>
      <c r="S10" s="31">
        <f>'FS Desroches Daily'!AF12</f>
        <v>189.99999999994088</v>
      </c>
      <c r="T10" s="31">
        <f>'FS Desroches Daily'!AH12</f>
        <v>31</v>
      </c>
      <c r="U10" s="35">
        <f>'FS Desroches Daily'!AJ12</f>
        <v>320.00000000005002</v>
      </c>
      <c r="V10" s="35">
        <f>'FS Desroches Daily'!AL12</f>
        <v>49.999999999982947</v>
      </c>
      <c r="W10" s="35">
        <f>'FS Desroches Daily'!AN12</f>
        <v>20.000000000010232</v>
      </c>
      <c r="X10" s="35">
        <f>'FS Desroches Daily'!AP12</f>
        <v>20.000000000010232</v>
      </c>
      <c r="Y10" s="35">
        <f>'FS Desroches Daily'!AR12</f>
        <v>39.999999999992042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20.000000000038654</v>
      </c>
      <c r="AC10" s="35">
        <f>'FS Desroches Daily'!AZ12</f>
        <v>9.9999999999909051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25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9.9999999999909051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38</v>
      </c>
      <c r="AM10" s="32">
        <f>'FS Desroches Daily'!BT12</f>
        <v>30.000000000001137</v>
      </c>
      <c r="AN10" s="32">
        <f>'FS Desroches Daily'!BV12</f>
        <v>23</v>
      </c>
      <c r="AO10" s="32">
        <f>'FS Desroches Daily'!BX12</f>
        <v>30.000000000001137</v>
      </c>
      <c r="AP10" s="32">
        <f>'FS Desroches Daily'!BZ12</f>
        <v>45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39.599999999998545</v>
      </c>
      <c r="AU10" s="31">
        <f>'FS Desroches Daily'!CJ12</f>
        <v>188</v>
      </c>
      <c r="AV10" s="31">
        <f>'FS Desroches Daily'!CL12</f>
        <v>580.00000000004093</v>
      </c>
      <c r="AW10" s="31">
        <f>'FS Desroches Daily'!CM12</f>
        <v>35.039999999999964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>
        <f>'FS Desroches Daily'!D13</f>
        <v>799.99999999991189</v>
      </c>
      <c r="F11" s="32">
        <f>'FS Desroches Daily'!F13</f>
        <v>1700.0000000000348</v>
      </c>
      <c r="G11" s="31">
        <f>'FS Desroches Daily'!H13</f>
        <v>2099.9999999999909</v>
      </c>
      <c r="H11" s="32">
        <f>'FS Desroches Daily'!J13</f>
        <v>1100.000000000101</v>
      </c>
      <c r="I11" s="31">
        <f>'FS Desroches Daily'!L13</f>
        <v>2200.0000000002019</v>
      </c>
      <c r="J11" s="32">
        <f>'FS Desroches Daily'!N13</f>
        <v>699.99999999992292</v>
      </c>
      <c r="K11" s="13">
        <f>'FS Desroches Daily'!P13</f>
        <v>0</v>
      </c>
      <c r="L11" s="31">
        <f>'FS Desroches Daily'!R13</f>
        <v>6</v>
      </c>
      <c r="M11" s="31">
        <f>'FS Desroches Daily'!T13</f>
        <v>495.40000000002328</v>
      </c>
      <c r="N11" s="31">
        <f>'FS Desroches Daily'!V13</f>
        <v>315.30000000004657</v>
      </c>
      <c r="O11" s="31">
        <f>'FS Desroches Daily'!X13</f>
        <v>160.00000000002501</v>
      </c>
      <c r="P11" s="31">
        <f>'FS Desroches Daily'!Z13</f>
        <v>1500.0000000000568</v>
      </c>
      <c r="Q11" s="31">
        <f>'FS Desroches Daily'!AB13</f>
        <v>269.99999999998181</v>
      </c>
      <c r="R11" s="31">
        <f>'FS Desroches Daily'!AD13</f>
        <v>160.00000000002501</v>
      </c>
      <c r="S11" s="31">
        <f>'FS Desroches Daily'!AF13</f>
        <v>180.00000000006366</v>
      </c>
      <c r="T11" s="31">
        <f>'FS Desroches Daily'!AH13</f>
        <v>23</v>
      </c>
      <c r="U11" s="35">
        <f>'FS Desroches Daily'!AJ13</f>
        <v>269.99999999998181</v>
      </c>
      <c r="V11" s="35">
        <f>'FS Desroches Daily'!AL13</f>
        <v>40.000000000020464</v>
      </c>
      <c r="W11" s="35">
        <f>'FS Desroches Daily'!AN13</f>
        <v>19.99999999998181</v>
      </c>
      <c r="X11" s="35">
        <f>'FS Desroches Daily'!AP13</f>
        <v>30.000000000001137</v>
      </c>
      <c r="Y11" s="35">
        <f>'FS Desroches Daily'!AR13</f>
        <v>39.999999999992042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29.999999999972715</v>
      </c>
      <c r="AC11" s="35">
        <f>'FS Desroches Daily'!AZ13</f>
        <v>50.000000000011369</v>
      </c>
      <c r="AD11" s="35">
        <f>'FS Desroches Daily'!BB13</f>
        <v>30.000000000029559</v>
      </c>
      <c r="AE11" s="35">
        <f>'FS Desroches Daily'!BD13</f>
        <v>30.000000000001137</v>
      </c>
      <c r="AF11" s="31">
        <f>'FS Desroches Daily'!BF13</f>
        <v>33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31</v>
      </c>
      <c r="AM11" s="32">
        <f>'FS Desroches Daily'!BT13</f>
        <v>30.000000000001137</v>
      </c>
      <c r="AN11" s="32">
        <f>'FS Desroches Daily'!BV13</f>
        <v>22</v>
      </c>
      <c r="AO11" s="32">
        <f>'FS Desroches Daily'!BX13</f>
        <v>20.000000000010232</v>
      </c>
      <c r="AP11" s="32">
        <f>'FS Desroches Daily'!BZ13</f>
        <v>42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32</v>
      </c>
      <c r="AU11" s="31">
        <f>'FS Desroches Daily'!CJ13</f>
        <v>178</v>
      </c>
      <c r="AV11" s="31">
        <f>'FS Desroches Daily'!CL13</f>
        <v>549.99999999995453</v>
      </c>
      <c r="AW11" s="31">
        <f>'FS Desroches Daily'!CM13</f>
        <v>37.899999999999636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900.0000000001229</v>
      </c>
      <c r="F12" s="32">
        <f>'FS Desroches Daily'!F14</f>
        <v>1599.9999999998238</v>
      </c>
      <c r="G12" s="31">
        <f>'FS Desroches Daily'!H14</f>
        <v>2100.0000000004347</v>
      </c>
      <c r="H12" s="32">
        <f>'FS Desroches Daily'!J14</f>
        <v>1199.9999999998679</v>
      </c>
      <c r="I12" s="31">
        <f>'FS Desroches Daily'!L14</f>
        <v>2099.9999999999909</v>
      </c>
      <c r="J12" s="32">
        <f>'FS Desroches Daily'!N14</f>
        <v>699.99999999992292</v>
      </c>
      <c r="K12" s="13">
        <f>'FS Desroches Daily'!P14</f>
        <v>73</v>
      </c>
      <c r="L12" s="31">
        <f>'FS Desroches Daily'!R14</f>
        <v>6</v>
      </c>
      <c r="M12" s="31">
        <f>'FS Desroches Daily'!T14</f>
        <v>358</v>
      </c>
      <c r="N12" s="31">
        <f>'FS Desroches Daily'!V14</f>
        <v>271.69999999995343</v>
      </c>
      <c r="O12" s="31">
        <f>'FS Desroches Daily'!X14</f>
        <v>149.99999999997726</v>
      </c>
      <c r="P12" s="31">
        <f>'FS Desroches Daily'!Z14</f>
        <v>1399.9999999998458</v>
      </c>
      <c r="Q12" s="31">
        <f>'FS Desroches Daily'!AB14</f>
        <v>180.00000000000682</v>
      </c>
      <c r="R12" s="31">
        <f>'FS Desroches Daily'!AD14</f>
        <v>169.99999999995907</v>
      </c>
      <c r="S12" s="31">
        <f>'FS Desroches Daily'!AF14</f>
        <v>199.99999999993179</v>
      </c>
      <c r="T12" s="31">
        <f>'FS Desroches Daily'!AH14</f>
        <v>31</v>
      </c>
      <c r="U12" s="35">
        <f>'FS Desroches Daily'!AJ14</f>
        <v>339.99999999991815</v>
      </c>
      <c r="V12" s="35">
        <f>'FS Desroches Daily'!AL14</f>
        <v>30.000000000001137</v>
      </c>
      <c r="W12" s="35">
        <f>'FS Desroches Daily'!AN14</f>
        <v>10.000000000019327</v>
      </c>
      <c r="X12" s="35">
        <f>'FS Desroches Daily'!AP14</f>
        <v>39.999999999992042</v>
      </c>
      <c r="Y12" s="35">
        <f>'FS Desroches Daily'!AR14</f>
        <v>40.000000000020464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33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9.9999999999909051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33</v>
      </c>
      <c r="AM12" s="32">
        <f>'FS Desroches Daily'!BT14</f>
        <v>30.000000000001137</v>
      </c>
      <c r="AN12" s="32">
        <f>'FS Desroches Daily'!BV14</f>
        <v>22</v>
      </c>
      <c r="AO12" s="32">
        <f>'FS Desroches Daily'!BX14</f>
        <v>20.000000000010232</v>
      </c>
      <c r="AP12" s="32">
        <f>'FS Desroches Daily'!BZ14</f>
        <v>44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32.80000000000291</v>
      </c>
      <c r="AU12" s="31">
        <f>'FS Desroches Daily'!CJ14</f>
        <v>180</v>
      </c>
      <c r="AV12" s="31">
        <f>'FS Desroches Daily'!CL14</f>
        <v>600.00000000002274</v>
      </c>
      <c r="AW12" s="31">
        <f>'FS Desroches Daily'!CM14</f>
        <v>36.680000000000291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>
        <f>'FS Desroches Daily'!D15</f>
        <v>1100.000000000101</v>
      </c>
      <c r="F13" s="32">
        <f>'FS Desroches Daily'!F15</f>
        <v>1399.9999999998458</v>
      </c>
      <c r="G13" s="31">
        <f>'FS Desroches Daily'!H15</f>
        <v>2199.9999999997576</v>
      </c>
      <c r="H13" s="32">
        <f>'FS Desroches Daily'!J15</f>
        <v>1300.0000000000789</v>
      </c>
      <c r="I13" s="31">
        <f>'FS Desroches Daily'!L15</f>
        <v>2199.9999999997576</v>
      </c>
      <c r="J13" s="32">
        <f>'FS Desroches Daily'!N15</f>
        <v>800.00000000013392</v>
      </c>
      <c r="K13" s="13">
        <f>'FS Desroches Daily'!P15</f>
        <v>0</v>
      </c>
      <c r="L13" s="31">
        <f>'FS Desroches Daily'!R15</f>
        <v>6</v>
      </c>
      <c r="M13" s="31">
        <f>'FS Desroches Daily'!T15</f>
        <v>403.39999999990687</v>
      </c>
      <c r="N13" s="31">
        <f>'FS Desroches Daily'!V15</f>
        <v>271.70000000001164</v>
      </c>
      <c r="O13" s="31">
        <f>'FS Desroches Daily'!X15</f>
        <v>160.00000000002501</v>
      </c>
      <c r="P13" s="31">
        <f>'FS Desroches Daily'!Z15</f>
        <v>1300.0000000000789</v>
      </c>
      <c r="Q13" s="31">
        <f>'FS Desroches Daily'!AB15</f>
        <v>259.99999999999091</v>
      </c>
      <c r="R13" s="31">
        <f>'FS Desroches Daily'!AD15</f>
        <v>129.99999999999545</v>
      </c>
      <c r="S13" s="31">
        <f>'FS Desroches Daily'!AF15</f>
        <v>220.00000000002728</v>
      </c>
      <c r="T13" s="31">
        <f>'FS Desroches Daily'!AH15</f>
        <v>27</v>
      </c>
      <c r="U13" s="35">
        <f>'FS Desroches Daily'!AJ15</f>
        <v>390.00000000010004</v>
      </c>
      <c r="V13" s="35">
        <f>'FS Desroches Daily'!AL15</f>
        <v>49.999999999982947</v>
      </c>
      <c r="W13" s="35">
        <f>'FS Desroches Daily'!AN15</f>
        <v>89.999999999974989</v>
      </c>
      <c r="X13" s="35">
        <f>'FS Desroches Daily'!AP15</f>
        <v>39.999999999992042</v>
      </c>
      <c r="Y13" s="35">
        <f>'FS Desroches Daily'!AR15</f>
        <v>30.000000000001137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69.999999999993179</v>
      </c>
      <c r="AC13" s="35">
        <f>'FS Desroches Daily'!AZ15</f>
        <v>40.000000000020464</v>
      </c>
      <c r="AD13" s="35">
        <f>'FS Desroches Daily'!BB15</f>
        <v>29.999999999972715</v>
      </c>
      <c r="AE13" s="35">
        <f>'FS Desroches Daily'!BD15</f>
        <v>19.99999999998181</v>
      </c>
      <c r="AF13" s="31">
        <f>'FS Desroches Daily'!BF15</f>
        <v>35</v>
      </c>
      <c r="AG13" s="32">
        <f>'FS Desroches Daily'!BH15</f>
        <v>40.000000000020464</v>
      </c>
      <c r="AH13" s="32">
        <f>'FS Desroches Daily'!BJ15</f>
        <v>40.000000000020464</v>
      </c>
      <c r="AI13" s="32">
        <f>'FS Desroches Daily'!BL15</f>
        <v>20.000000000010232</v>
      </c>
      <c r="AJ13" s="32">
        <f>'FS Desroches Daily'!BN15</f>
        <v>50.000000000011369</v>
      </c>
      <c r="AK13" s="32">
        <f>'FS Desroches Daily'!BP15</f>
        <v>30.000000000029559</v>
      </c>
      <c r="AL13" s="32">
        <f>'FS Desroches Daily'!BR15</f>
        <v>35</v>
      </c>
      <c r="AM13" s="32">
        <f>'FS Desroches Daily'!BT15</f>
        <v>39.999999999992042</v>
      </c>
      <c r="AN13" s="32">
        <f>'FS Desroches Daily'!BV15</f>
        <v>65</v>
      </c>
      <c r="AO13" s="32">
        <f>'FS Desroches Daily'!BX15</f>
        <v>19.99999999998181</v>
      </c>
      <c r="AP13" s="32">
        <f>'FS Desroches Daily'!BZ15</f>
        <v>51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37.299999999995634</v>
      </c>
      <c r="AU13" s="31">
        <f>'FS Desroches Daily'!CJ15</f>
        <v>331</v>
      </c>
      <c r="AV13" s="31">
        <f>'FS Desroches Daily'!CL15</f>
        <v>700.00000000004547</v>
      </c>
      <c r="AW13" s="31">
        <f>'FS Desroches Daily'!CM15</f>
        <v>37.509999999999309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7.3259999999999996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799.99999999991189</v>
      </c>
      <c r="F14" s="32">
        <f>'FS Desroches Daily'!F16</f>
        <v>1600.0000000002678</v>
      </c>
      <c r="G14" s="31">
        <f>'FS Desroches Daily'!H16</f>
        <v>2200.0000000002019</v>
      </c>
      <c r="H14" s="32">
        <f>'FS Desroches Daily'!J16</f>
        <v>1600.0000000000459</v>
      </c>
      <c r="I14" s="31">
        <f>'FS Desroches Daily'!L16</f>
        <v>2200.0000000002019</v>
      </c>
      <c r="J14" s="32">
        <f>'FS Desroches Daily'!N16</f>
        <v>699.99999999992292</v>
      </c>
      <c r="K14" s="13">
        <f>'FS Desroches Daily'!P16</f>
        <v>0</v>
      </c>
      <c r="L14" s="31">
        <f>'FS Desroches Daily'!R16</f>
        <v>7</v>
      </c>
      <c r="M14" s="31">
        <f>'FS Desroches Daily'!T16</f>
        <v>353</v>
      </c>
      <c r="N14" s="31">
        <f>'FS Desroches Daily'!V16</f>
        <v>278.10000000003492</v>
      </c>
      <c r="O14" s="31">
        <f>'FS Desroches Daily'!X16</f>
        <v>180.00000000000682</v>
      </c>
      <c r="P14" s="31">
        <f>'FS Desroches Daily'!Z16</f>
        <v>1199.9999999998679</v>
      </c>
      <c r="Q14" s="31">
        <f>'FS Desroches Daily'!AB16</f>
        <v>240.00000000000909</v>
      </c>
      <c r="R14" s="31">
        <f>'FS Desroches Daily'!AD16</f>
        <v>310.00000000000227</v>
      </c>
      <c r="S14" s="31">
        <f>'FS Desroches Daily'!AF16</f>
        <v>200.00000000004547</v>
      </c>
      <c r="T14" s="31">
        <f>'FS Desroches Daily'!AH16</f>
        <v>29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20.000000000010232</v>
      </c>
      <c r="X14" s="35">
        <f>'FS Desroches Daily'!AP16</f>
        <v>40.000000000020464</v>
      </c>
      <c r="Y14" s="35">
        <f>'FS Desroches Daily'!AR16</f>
        <v>39.999999999992042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80.000000000040927</v>
      </c>
      <c r="AC14" s="35">
        <f>'FS Desroches Daily'!AZ16</f>
        <v>19.99999999998181</v>
      </c>
      <c r="AD14" s="35">
        <f>'FS Desroches Daily'!BB16</f>
        <v>20.000000000038654</v>
      </c>
      <c r="AE14" s="35">
        <f>'FS Desroches Daily'!BD16</f>
        <v>10.000000000019327</v>
      </c>
      <c r="AF14" s="31">
        <f>'FS Desroches Daily'!BF16</f>
        <v>34</v>
      </c>
      <c r="AG14" s="32">
        <f>'FS Desroches Daily'!BH16</f>
        <v>39.999999999992042</v>
      </c>
      <c r="AH14" s="32">
        <f>'FS Desroches Daily'!BJ16</f>
        <v>40.000000000020464</v>
      </c>
      <c r="AI14" s="32">
        <f>'FS Desroches Daily'!BL16</f>
        <v>19.99999999998181</v>
      </c>
      <c r="AJ14" s="32">
        <f>'FS Desroches Daily'!BN16</f>
        <v>49.999999999982947</v>
      </c>
      <c r="AK14" s="32">
        <f>'FS Desroches Daily'!BP16</f>
        <v>29.999999999972715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65</v>
      </c>
      <c r="AO14" s="32">
        <f>'FS Desroches Daily'!BX16</f>
        <v>20.000000000010232</v>
      </c>
      <c r="AP14" s="32">
        <f>'FS Desroches Daily'!BZ16</f>
        <v>56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43.900000000001455</v>
      </c>
      <c r="AU14" s="31">
        <f>'FS Desroches Daily'!CJ16</f>
        <v>360</v>
      </c>
      <c r="AV14" s="31">
        <f>'FS Desroches Daily'!CL16</f>
        <v>620.00000000000455</v>
      </c>
      <c r="AW14" s="31">
        <f>'FS Desroches Daily'!CM16</f>
        <v>35.160000000000764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899.99999999967883</v>
      </c>
      <c r="F15" s="32">
        <f>'FS Desroches Daily'!F17</f>
        <v>1100.000000000101</v>
      </c>
      <c r="G15" s="31">
        <f>'FS Desroches Daily'!H17</f>
        <v>1700.0000000000348</v>
      </c>
      <c r="H15" s="32">
        <f>'FS Desroches Daily'!J17</f>
        <v>1399.9999999998458</v>
      </c>
      <c r="I15" s="31">
        <f>'FS Desroches Daily'!L17</f>
        <v>2199.9999999997576</v>
      </c>
      <c r="J15" s="32">
        <f>'FS Desroches Daily'!N17</f>
        <v>699.99999999992292</v>
      </c>
      <c r="K15" s="13">
        <f>'FS Desroches Daily'!P17</f>
        <v>54</v>
      </c>
      <c r="L15" s="31">
        <f>'FS Desroches Daily'!R17</f>
        <v>5</v>
      </c>
      <c r="M15" s="31">
        <f>'FS Desroches Daily'!T17</f>
        <v>89.600000000093132</v>
      </c>
      <c r="N15" s="31">
        <f>'FS Desroches Daily'!V17</f>
        <v>68</v>
      </c>
      <c r="O15" s="31">
        <f>'FS Desroches Daily'!X17</f>
        <v>169.99999999995907</v>
      </c>
      <c r="P15" s="31">
        <f>'FS Desroches Daily'!Z17</f>
        <v>900.0000000001229</v>
      </c>
      <c r="Q15" s="31">
        <f>'FS Desroches Daily'!AB17</f>
        <v>230.00000000001819</v>
      </c>
      <c r="R15" s="31">
        <f>'FS Desroches Daily'!AD17</f>
        <v>210.00000000003638</v>
      </c>
      <c r="S15" s="31">
        <f>'FS Desroches Daily'!AF17</f>
        <v>179.99999999994998</v>
      </c>
      <c r="T15" s="31">
        <f>'FS Desroches Daily'!AH17</f>
        <v>30</v>
      </c>
      <c r="U15" s="35">
        <f>'FS Desroches Daily'!AJ17</f>
        <v>250</v>
      </c>
      <c r="V15" s="35">
        <f>'FS Desroches Daily'!AL17</f>
        <v>30.000000000001137</v>
      </c>
      <c r="W15" s="35">
        <f>'FS Desroches Daily'!AN17</f>
        <v>0</v>
      </c>
      <c r="X15" s="35">
        <f>'FS Desroches Daily'!AP17</f>
        <v>229.99999999998977</v>
      </c>
      <c r="Y15" s="35">
        <f>'FS Desroches Daily'!AR17</f>
        <v>49.999999999982947</v>
      </c>
      <c r="Z15" s="35">
        <f>'FS Desroches Daily'!AT17</f>
        <v>39.99999999996362</v>
      </c>
      <c r="AA15" s="35">
        <f>'FS Desroches Daily'!AT17</f>
        <v>39.99999999996362</v>
      </c>
      <c r="AB15" s="35">
        <f>'FS Desroches Daily'!AV17</f>
        <v>39.99999999996362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19.99999999998181</v>
      </c>
      <c r="AF15" s="31">
        <f>'FS Desroches Daily'!BF17</f>
        <v>32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32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58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42.700000000004366</v>
      </c>
      <c r="AU15" s="31">
        <f>'FS Desroches Daily'!CJ17</f>
        <v>335</v>
      </c>
      <c r="AV15" s="31">
        <f>'FS Desroches Daily'!CL17</f>
        <v>459.99999999992269</v>
      </c>
      <c r="AW15" s="31">
        <f>'FS Desroches Daily'!CM17</f>
        <v>30.099999999999454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1100.000000000101</v>
      </c>
      <c r="F16" s="32">
        <f>'FS Desroches Daily'!F18</f>
        <v>1700.0000000000348</v>
      </c>
      <c r="G16" s="31">
        <f>'FS Desroches Daily'!H18</f>
        <v>2099.9999999999909</v>
      </c>
      <c r="H16" s="32">
        <f>'FS Desroches Daily'!J18</f>
        <v>1600.0000000000459</v>
      </c>
      <c r="I16" s="31">
        <f>'FS Desroches Daily'!L18</f>
        <v>2099.9999999999909</v>
      </c>
      <c r="J16" s="32">
        <f>'FS Desroches Daily'!N18</f>
        <v>800.00000000013392</v>
      </c>
      <c r="K16" s="13">
        <f>'FS Desroches Daily'!P18</f>
        <v>19</v>
      </c>
      <c r="L16" s="31">
        <f>'FS Desroches Daily'!R18</f>
        <v>5</v>
      </c>
      <c r="M16" s="31">
        <f>'FS Desroches Daily'!T18</f>
        <v>388.39999999990687</v>
      </c>
      <c r="N16" s="31">
        <f>'FS Desroches Daily'!V18</f>
        <v>231.69999999995343</v>
      </c>
      <c r="O16" s="31">
        <f>'FS Desroches Daily'!X18</f>
        <v>180.00000000000682</v>
      </c>
      <c r="P16" s="31">
        <f>'FS Desroches Daily'!Z18</f>
        <v>1500.0000000000568</v>
      </c>
      <c r="Q16" s="31">
        <f>'FS Desroches Daily'!AB18</f>
        <v>209.99999999997954</v>
      </c>
      <c r="R16" s="31">
        <f>'FS Desroches Daily'!AD18</f>
        <v>209.99999999997954</v>
      </c>
      <c r="S16" s="31">
        <f>'FS Desroches Daily'!AF18</f>
        <v>230.00000000001819</v>
      </c>
      <c r="T16" s="31">
        <f>'FS Desroches Daily'!AH18</f>
        <v>33</v>
      </c>
      <c r="U16" s="35">
        <f>'FS Desroches Daily'!AJ18</f>
        <v>250</v>
      </c>
      <c r="V16" s="35">
        <f>'FS Desroches Daily'!AL18</f>
        <v>50.000000000011369</v>
      </c>
      <c r="W16" s="35">
        <f>'FS Desroches Daily'!AN18</f>
        <v>30.000000000001137</v>
      </c>
      <c r="X16" s="35">
        <f>'FS Desroches Daily'!AP18</f>
        <v>300.00000000001137</v>
      </c>
      <c r="Y16" s="35">
        <f>'FS Desroches Daily'!AR18</f>
        <v>120.00000000000455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20.000000000038654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20.000000000010232</v>
      </c>
      <c r="AF16" s="31">
        <f>'FS Desroches Daily'!BF18</f>
        <v>30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39.999999999992042</v>
      </c>
      <c r="AK16" s="32">
        <f>'FS Desroches Daily'!BP18</f>
        <v>29.999999999972715</v>
      </c>
      <c r="AL16" s="32">
        <f>'FS Desroches Daily'!BR18</f>
        <v>28</v>
      </c>
      <c r="AM16" s="32">
        <f>'FS Desroches Daily'!BT18</f>
        <v>49.999999999982947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45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32.19999999999709</v>
      </c>
      <c r="AU16" s="31">
        <f>'FS Desroches Daily'!CJ18</f>
        <v>419</v>
      </c>
      <c r="AV16" s="31">
        <f>'FS Desroches Daily'!CL18</f>
        <v>600.00000000002274</v>
      </c>
      <c r="AW16" s="31">
        <f>'FS Desroches Daily'!CM18</f>
        <v>38.600000000000364</v>
      </c>
      <c r="AX16" s="31">
        <f>IF(LPG!F23-LPG!F22&lt;0,"0",(LPG!F23-LPG!F22)*1.8315)</f>
        <v>9.1574999999999989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1199.9999999998679</v>
      </c>
      <c r="F17" s="32">
        <f>'FS Desroches Daily'!F19</f>
        <v>2199.9999999997576</v>
      </c>
      <c r="G17" s="31">
        <f>'FS Desroches Daily'!H19</f>
        <v>1999.9999999997797</v>
      </c>
      <c r="H17" s="32">
        <f>'FS Desroches Daily'!J19</f>
        <v>1300.0000000000789</v>
      </c>
      <c r="I17" s="31">
        <f>'FS Desroches Daily'!L19</f>
        <v>1800.0000000002458</v>
      </c>
      <c r="J17" s="32">
        <f>'FS Desroches Daily'!N19</f>
        <v>999.99999999988984</v>
      </c>
      <c r="K17" s="13">
        <f>'FS Desroches Daily'!P19</f>
        <v>40</v>
      </c>
      <c r="L17" s="31">
        <f>'FS Desroches Daily'!R19</f>
        <v>5</v>
      </c>
      <c r="M17" s="31">
        <f>'FS Desroches Daily'!T19</f>
        <v>466.80000000004657</v>
      </c>
      <c r="N17" s="31">
        <f>'FS Desroches Daily'!V19</f>
        <v>303.40000000002328</v>
      </c>
      <c r="O17" s="31">
        <f>'FS Desroches Daily'!X19</f>
        <v>150.00000000003411</v>
      </c>
      <c r="P17" s="31">
        <f>'FS Desroches Daily'!Z19</f>
        <v>2000.0000000002237</v>
      </c>
      <c r="Q17" s="31">
        <f>'FS Desroches Daily'!AB19</f>
        <v>360.00000000001364</v>
      </c>
      <c r="R17" s="31">
        <f>'FS Desroches Daily'!AD19</f>
        <v>189.99999999999773</v>
      </c>
      <c r="S17" s="31">
        <f>'FS Desroches Daily'!AF19</f>
        <v>230.00000000001819</v>
      </c>
      <c r="T17" s="31">
        <f>'FS Desroches Daily'!AH19</f>
        <v>23</v>
      </c>
      <c r="U17" s="35">
        <f>'FS Desroches Daily'!AJ19</f>
        <v>189.99999999994088</v>
      </c>
      <c r="V17" s="35">
        <f>'FS Desroches Daily'!AL19</f>
        <v>120.00000000000455</v>
      </c>
      <c r="W17" s="35">
        <f>'FS Desroches Daily'!AN19</f>
        <v>20.000000000010232</v>
      </c>
      <c r="X17" s="35">
        <f>'FS Desroches Daily'!AP19</f>
        <v>289.99999999999204</v>
      </c>
      <c r="Y17" s="35">
        <f>'FS Desroches Daily'!AR19</f>
        <v>129.99999999999545</v>
      </c>
      <c r="Z17" s="35">
        <f>'FS Desroches Daily'!AU20</f>
        <v>276.45999999999998</v>
      </c>
      <c r="AA17" s="35">
        <f>'FS Desroches Daily'!AU20</f>
        <v>276.45999999999998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10.000000000047748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27</v>
      </c>
      <c r="AM17" s="32">
        <f>'FS Desroches Daily'!BT19</f>
        <v>20.000000000010232</v>
      </c>
      <c r="AN17" s="32">
        <f>'FS Desroches Daily'!BV19</f>
        <v>26</v>
      </c>
      <c r="AO17" s="32">
        <f>'FS Desroches Daily'!BX19</f>
        <v>20.000000000010232</v>
      </c>
      <c r="AP17" s="32">
        <f>'FS Desroches Daily'!BZ19</f>
        <v>53</v>
      </c>
      <c r="AQ17" s="31">
        <f>'FS Desroches Daily'!CB19</f>
        <v>69.69999999999709</v>
      </c>
      <c r="AR17" s="31">
        <f>'FS Desroches Daily'!CD19</f>
        <v>21.600000000000364</v>
      </c>
      <c r="AS17" s="31">
        <f>'FS Desroches Daily'!CF19</f>
        <v>0</v>
      </c>
      <c r="AT17" s="31">
        <f>'FS Desroches Daily'!CH19</f>
        <v>23.69999999999709</v>
      </c>
      <c r="AU17" s="31">
        <f>'FS Desroches Daily'!CJ19</f>
        <v>301</v>
      </c>
      <c r="AV17" s="31">
        <f>'FS Desroches Daily'!CL19</f>
        <v>450.00000000004547</v>
      </c>
      <c r="AW17" s="31">
        <f>'FS Desroches Daily'!CM19</f>
        <v>47.149999999999636</v>
      </c>
      <c r="AX17" s="31">
        <f>IF(LPG!F24-LPG!F23&lt;0,"0",(LPG!F24-LPG!F23)*1.8315)</f>
        <v>10.988999999999999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1400.0000000002899</v>
      </c>
      <c r="F18" s="32">
        <f>'FS Desroches Daily'!F20</f>
        <v>2499.9999999999468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900.0000000001229</v>
      </c>
      <c r="K18" s="13" t="str">
        <f>'FS Desroches Daily'!P20</f>
        <v/>
      </c>
      <c r="L18" s="31">
        <f>'FS Desroches Daily'!R20</f>
        <v>8</v>
      </c>
      <c r="M18" s="31">
        <f>'FS Desroches Daily'!T20</f>
        <v>721.80000000004657</v>
      </c>
      <c r="N18" s="31">
        <f>'FS Desroches Daily'!V20</f>
        <v>363.29999999998836</v>
      </c>
      <c r="O18" s="31">
        <f>'FS Desroches Daily'!X20</f>
        <v>219.99999999997044</v>
      </c>
      <c r="P18" s="31">
        <f>'FS Desroches Daily'!Z20</f>
        <v>2299.9999999999686</v>
      </c>
      <c r="Q18" s="31">
        <f>'FS Desroches Daily'!AB20</f>
        <v>430.00000000000682</v>
      </c>
      <c r="R18" s="31">
        <f>'FS Desroches Daily'!AD20</f>
        <v>209.99999999997954</v>
      </c>
      <c r="S18" s="31">
        <f>'FS Desroches Daily'!AF20</f>
        <v>279.99999999997272</v>
      </c>
      <c r="T18" s="31">
        <f>'FS Desroches Daily'!AH20</f>
        <v>28</v>
      </c>
      <c r="U18" s="35">
        <f>'FS Desroches Daily'!AJ20</f>
        <v>279.99999999997272</v>
      </c>
      <c r="V18" s="35">
        <f>'FS Desroches Daily'!AL20</f>
        <v>240.00000000000909</v>
      </c>
      <c r="W18" s="35">
        <f>'FS Desroches Daily'!AN20</f>
        <v>19.99999999998181</v>
      </c>
      <c r="X18" s="35">
        <f>'FS Desroches Daily'!AP20</f>
        <v>329.99999999998408</v>
      </c>
      <c r="Y18" s="35">
        <f>'FS Desroches Daily'!AR20</f>
        <v>190.00000000002615</v>
      </c>
      <c r="Z18" s="35">
        <f>'FS Desroches Daily'!AT20</f>
        <v>50.000000000011369</v>
      </c>
      <c r="AA18" s="35">
        <f>'FS Desroches Daily'!AT20</f>
        <v>50.000000000011369</v>
      </c>
      <c r="AB18" s="35">
        <f>'FS Desroches Daily'!AV20</f>
        <v>29.999999999972715</v>
      </c>
      <c r="AC18" s="35">
        <f>'FS Desroches Daily'!AZ20</f>
        <v>29.999999999972715</v>
      </c>
      <c r="AD18" s="35">
        <f>'FS Desroches Daily'!BB20</f>
        <v>19.99999999998181</v>
      </c>
      <c r="AE18" s="35">
        <f>'FS Desroches Daily'!BD20</f>
        <v>20.000000000010232</v>
      </c>
      <c r="AF18" s="31" t="str">
        <f>'FS Desroches Daily'!BF20</f>
        <v/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30.000000000001137</v>
      </c>
      <c r="AJ18" s="32">
        <f>'FS Desroches Daily'!BN20</f>
        <v>39.999999999992042</v>
      </c>
      <c r="AK18" s="32">
        <f>'FS Desroches Daily'!BP20</f>
        <v>29.999999999972715</v>
      </c>
      <c r="AL18" s="32">
        <f>'FS Desroches Daily'!BR20</f>
        <v>28</v>
      </c>
      <c r="AM18" s="32">
        <f>'FS Desroches Daily'!BT20</f>
        <v>49.999999999982947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55</v>
      </c>
      <c r="AQ18" s="31">
        <f>'FS Desroches Daily'!CB20</f>
        <v>20.700000000000728</v>
      </c>
      <c r="AR18" s="31">
        <f>'FS Desroches Daily'!CD20</f>
        <v>9.3999999999996362</v>
      </c>
      <c r="AS18" s="31">
        <f>'FS Desroches Daily'!CF20</f>
        <v>54.399999999999636</v>
      </c>
      <c r="AT18" s="31">
        <f>'FS Desroches Daily'!CH20</f>
        <v>33.30000000000291</v>
      </c>
      <c r="AU18" s="31">
        <f>'FS Desroches Daily'!CJ20</f>
        <v>305</v>
      </c>
      <c r="AV18" s="31">
        <f>'FS Desroches Daily'!CL20</f>
        <v>679.99999999994998</v>
      </c>
      <c r="AW18" s="31">
        <f>'FS Desroches Daily'!CM20</f>
        <v>63.400000000000546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>
        <f>'FS Desroches Daily'!P21</f>
        <v>0</v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>
        <f>'FS Desroches Daily'!BF21</f>
        <v>0</v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15299.999999999865</v>
      </c>
      <c r="F33" s="17">
        <f t="shared" ref="F33:BC33" si="1">SUM(F2:F32)</f>
        <v>24699.999999999724</v>
      </c>
      <c r="G33" s="17">
        <f t="shared" si="1"/>
        <v>34499.999999999971</v>
      </c>
      <c r="H33" s="17">
        <f t="shared" si="1"/>
        <v>20599.999999999953</v>
      </c>
      <c r="I33" s="17">
        <f t="shared" si="1"/>
        <v>34899.999999999927</v>
      </c>
      <c r="J33" s="17">
        <f t="shared" si="1"/>
        <v>12499.999999999956</v>
      </c>
      <c r="K33" s="17">
        <f t="shared" si="1"/>
        <v>189</v>
      </c>
      <c r="L33" s="17">
        <f t="shared" si="1"/>
        <v>95</v>
      </c>
      <c r="M33" s="17">
        <f t="shared" si="1"/>
        <v>6164</v>
      </c>
      <c r="N33" s="17">
        <f t="shared" si="1"/>
        <v>4160.8999999999651</v>
      </c>
      <c r="O33" s="17">
        <f t="shared" si="1"/>
        <v>2270.0000000000387</v>
      </c>
      <c r="P33" s="17">
        <f t="shared" si="1"/>
        <v>21700.000000000047</v>
      </c>
      <c r="Q33" s="17">
        <f t="shared" si="1"/>
        <v>4170.0000000000164</v>
      </c>
      <c r="R33" s="17">
        <f t="shared" si="1"/>
        <v>3009.9999999999909</v>
      </c>
      <c r="S33" s="17">
        <f t="shared" si="1"/>
        <v>3509.9999999999909</v>
      </c>
      <c r="T33" s="17">
        <f t="shared" si="1"/>
        <v>508</v>
      </c>
      <c r="U33" s="35">
        <f t="shared" si="1"/>
        <v>4762.5499999999274</v>
      </c>
      <c r="V33" s="35">
        <f t="shared" si="1"/>
        <v>1130.0000000000239</v>
      </c>
      <c r="W33" s="35">
        <f t="shared" si="1"/>
        <v>449.99999999998863</v>
      </c>
      <c r="X33" s="35">
        <f t="shared" si="1"/>
        <v>1509.9999999999909</v>
      </c>
      <c r="Y33" s="35">
        <f t="shared" si="1"/>
        <v>940.00000000002615</v>
      </c>
      <c r="Z33" s="35">
        <f t="shared" si="1"/>
        <v>976.45999999998867</v>
      </c>
      <c r="AA33" s="35">
        <f t="shared" si="1"/>
        <v>976.45999999998867</v>
      </c>
      <c r="AB33" s="35">
        <f t="shared" si="1"/>
        <v>479.99999999996135</v>
      </c>
      <c r="AC33" s="35">
        <f t="shared" si="1"/>
        <v>359.9999999999568</v>
      </c>
      <c r="AD33" s="35">
        <f t="shared" si="1"/>
        <v>319.99999999999318</v>
      </c>
      <c r="AE33" s="35">
        <f t="shared" si="1"/>
        <v>250</v>
      </c>
      <c r="AF33" s="17">
        <f t="shared" si="1"/>
        <v>541</v>
      </c>
      <c r="AG33" s="32">
        <f t="shared" si="1"/>
        <v>689.99999999999773</v>
      </c>
      <c r="AH33" s="32">
        <f t="shared" si="1"/>
        <v>629.99999999999545</v>
      </c>
      <c r="AI33" s="32">
        <f t="shared" si="1"/>
        <v>240.00000000000909</v>
      </c>
      <c r="AJ33" s="32">
        <f t="shared" si="1"/>
        <v>709.99999999997954</v>
      </c>
      <c r="AK33" s="32">
        <f t="shared" si="1"/>
        <v>540.00000000002046</v>
      </c>
      <c r="AL33" s="32">
        <f t="shared" si="1"/>
        <v>538</v>
      </c>
      <c r="AM33" s="32">
        <f t="shared" si="1"/>
        <v>549.99999999998295</v>
      </c>
      <c r="AN33" s="32">
        <f t="shared" si="1"/>
        <v>557</v>
      </c>
      <c r="AO33" s="32">
        <f t="shared" si="1"/>
        <v>390.00000000001478</v>
      </c>
      <c r="AP33" s="32">
        <f t="shared" si="1"/>
        <v>736</v>
      </c>
      <c r="AQ33" s="17">
        <f t="shared" si="1"/>
        <v>90.399999999997817</v>
      </c>
      <c r="AR33" s="17">
        <f t="shared" si="1"/>
        <v>31</v>
      </c>
      <c r="AS33" s="17">
        <f t="shared" si="1"/>
        <v>54.399999999999636</v>
      </c>
      <c r="AT33" s="17">
        <f t="shared" si="1"/>
        <v>606.90000000000146</v>
      </c>
      <c r="AU33" s="17">
        <f t="shared" si="1"/>
        <v>4041</v>
      </c>
      <c r="AV33" s="17">
        <f t="shared" si="1"/>
        <v>9049.9999999999527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0.1549555389009292</v>
      </c>
      <c r="G35" s="29">
        <f>G33-M36</f>
        <v>24175.100000000006</v>
      </c>
      <c r="AE35" s="35">
        <f>SUM(U33:AE33)</f>
        <v>12155.469999999843</v>
      </c>
      <c r="AG35" s="32">
        <f>SUM(AG33:AP33)</f>
        <v>5581</v>
      </c>
    </row>
    <row r="36" spans="5:55" x14ac:dyDescent="0.25">
      <c r="G36" s="29">
        <f>G35-633*14</f>
        <v>15313.100000000006</v>
      </c>
      <c r="M36" s="29">
        <f>M33+N33</f>
        <v>10324.899999999965</v>
      </c>
    </row>
    <row r="37" spans="5:55" x14ac:dyDescent="0.25">
      <c r="E37" s="17">
        <f>E33+F33+G33+H33+J33-633*14</f>
        <v>98737.999999999476</v>
      </c>
      <c r="G37" s="37">
        <f>M36/E37</f>
        <v>0.10456865644432761</v>
      </c>
      <c r="M37" s="35">
        <f>AE35</f>
        <v>12155.469999999843</v>
      </c>
    </row>
    <row r="38" spans="5:55" x14ac:dyDescent="0.25">
      <c r="L38" s="27">
        <f>M38/E37</f>
        <v>5.6523324353339441E-2</v>
      </c>
      <c r="M38" s="29">
        <f>AG35</f>
        <v>5581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77" zoomScaleNormal="77" workbookViewId="0">
      <pane ySplit="1" topLeftCell="A11" activePane="bottomLeft" state="frozen"/>
      <selection pane="bottomLeft" activeCell="A20" sqref="A20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>
        <v>12745</v>
      </c>
      <c r="P6" s="67">
        <f t="shared" si="5"/>
        <v>0</v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>
        <f t="shared" si="8"/>
        <v>262.59999999997672</v>
      </c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12632</v>
      </c>
      <c r="CW6" s="67">
        <f t="shared" si="38"/>
        <v>27</v>
      </c>
    </row>
    <row r="7" spans="1:102" ht="25.5" customHeight="1" thickBot="1" x14ac:dyDescent="0.45">
      <c r="A7" s="63">
        <v>44259</v>
      </c>
      <c r="B7" s="44"/>
      <c r="C7" s="58">
        <v>2.0678000000000001</v>
      </c>
      <c r="D7" s="64">
        <f t="shared" si="0"/>
        <v>799.99999999991189</v>
      </c>
      <c r="E7" s="58">
        <v>2.9384999999999999</v>
      </c>
      <c r="F7" s="64">
        <f t="shared" si="1"/>
        <v>1199.9999999998679</v>
      </c>
      <c r="G7" s="58">
        <v>3.0222000000000002</v>
      </c>
      <c r="H7" s="64">
        <f t="shared" si="2"/>
        <v>2000.0000000002237</v>
      </c>
      <c r="I7" s="58">
        <v>1.4783999999999999</v>
      </c>
      <c r="J7" s="64">
        <f t="shared" si="3"/>
        <v>1099.9999999998788</v>
      </c>
      <c r="K7" s="58">
        <v>2.3997000000000002</v>
      </c>
      <c r="L7" s="64">
        <f t="shared" si="39"/>
        <v>2000.0000000002237</v>
      </c>
      <c r="M7" s="58">
        <v>1.3504</v>
      </c>
      <c r="N7" s="64">
        <f t="shared" si="4"/>
        <v>700.00000000014495</v>
      </c>
      <c r="O7" s="58">
        <v>12747</v>
      </c>
      <c r="P7" s="67">
        <f t="shared" si="5"/>
        <v>2</v>
      </c>
      <c r="Q7" s="58">
        <v>422</v>
      </c>
      <c r="R7" s="67">
        <f t="shared" si="6"/>
        <v>5</v>
      </c>
      <c r="S7" s="58">
        <v>904508</v>
      </c>
      <c r="T7" s="67">
        <f t="shared" si="7"/>
        <v>372.19999999995343</v>
      </c>
      <c r="U7" s="58">
        <v>376724.2</v>
      </c>
      <c r="V7" s="67">
        <f t="shared" si="8"/>
        <v>266.10000000003492</v>
      </c>
      <c r="W7" s="58">
        <v>364.28</v>
      </c>
      <c r="X7" s="65">
        <f t="shared" si="9"/>
        <v>99.999999999965894</v>
      </c>
      <c r="Y7" s="58">
        <v>2.5613999999999999</v>
      </c>
      <c r="Z7" s="65">
        <f t="shared" si="10"/>
        <v>1100.000000000101</v>
      </c>
      <c r="AA7" s="58">
        <v>358.66</v>
      </c>
      <c r="AB7" s="65">
        <f t="shared" si="11"/>
        <v>210.00000000003638</v>
      </c>
      <c r="AC7" s="58">
        <v>345.38</v>
      </c>
      <c r="AD7" s="65">
        <f t="shared" si="12"/>
        <v>149.99999999997726</v>
      </c>
      <c r="AE7" s="58">
        <v>533.78</v>
      </c>
      <c r="AF7" s="65">
        <f t="shared" si="13"/>
        <v>189.99999999994088</v>
      </c>
      <c r="AG7" s="58">
        <v>521</v>
      </c>
      <c r="AH7" s="67">
        <f t="shared" si="14"/>
        <v>33</v>
      </c>
      <c r="AI7" s="58">
        <v>535.63</v>
      </c>
      <c r="AJ7" s="65">
        <v>182.55</v>
      </c>
      <c r="AK7" s="58">
        <v>182.55</v>
      </c>
      <c r="AL7" s="65">
        <f t="shared" si="15"/>
        <v>50.000000000011369</v>
      </c>
      <c r="AM7" s="58">
        <v>179.9</v>
      </c>
      <c r="AN7" s="65">
        <f t="shared" si="15"/>
        <v>20.000000000010232</v>
      </c>
      <c r="AO7" s="58">
        <v>171.56</v>
      </c>
      <c r="AP7" s="65">
        <f t="shared" si="15"/>
        <v>30.000000000001137</v>
      </c>
      <c r="AQ7" s="58">
        <v>229.79</v>
      </c>
      <c r="AR7" s="65">
        <f t="shared" si="16"/>
        <v>30.000000000001137</v>
      </c>
      <c r="AS7" s="58">
        <v>357.57</v>
      </c>
      <c r="AT7" s="65">
        <f t="shared" si="17"/>
        <v>29.999999999972715</v>
      </c>
      <c r="AU7" s="58">
        <v>276.07</v>
      </c>
      <c r="AV7" s="65">
        <f t="shared" si="18"/>
        <v>19.99999999998181</v>
      </c>
      <c r="AW7" s="58">
        <v>312.29000000000002</v>
      </c>
      <c r="AX7" s="65">
        <f t="shared" si="19"/>
        <v>60.000000000002274</v>
      </c>
      <c r="AY7" s="58">
        <v>357.3</v>
      </c>
      <c r="AZ7" s="65">
        <f t="shared" si="20"/>
        <v>20.000000000038654</v>
      </c>
      <c r="BA7" s="58">
        <v>378.62</v>
      </c>
      <c r="BB7" s="65">
        <f t="shared" si="21"/>
        <v>19.99999999998181</v>
      </c>
      <c r="BC7" s="58">
        <v>236.98</v>
      </c>
      <c r="BD7" s="65">
        <f t="shared" si="22"/>
        <v>19.99999999998181</v>
      </c>
      <c r="BE7" s="59">
        <v>36059</v>
      </c>
      <c r="BF7" s="67">
        <f t="shared" si="40"/>
        <v>37</v>
      </c>
      <c r="BG7" s="60">
        <v>229.45</v>
      </c>
      <c r="BH7" s="65">
        <f t="shared" si="23"/>
        <v>39.999999999992042</v>
      </c>
      <c r="BI7" s="60">
        <v>288.83</v>
      </c>
      <c r="BJ7" s="65">
        <f t="shared" si="41"/>
        <v>39.99999999996362</v>
      </c>
      <c r="BK7" s="60">
        <v>233.23</v>
      </c>
      <c r="BL7" s="65">
        <f t="shared" si="24"/>
        <v>9.9999999999909051</v>
      </c>
      <c r="BM7" s="60">
        <v>219.09</v>
      </c>
      <c r="BN7" s="65">
        <f t="shared" si="25"/>
        <v>39.999999999992042</v>
      </c>
      <c r="BO7" s="60">
        <v>284.10000000000002</v>
      </c>
      <c r="BP7" s="65">
        <f t="shared" si="26"/>
        <v>40.000000000020464</v>
      </c>
      <c r="BQ7" s="60">
        <v>42062</v>
      </c>
      <c r="BR7" s="65">
        <f t="shared" si="27"/>
        <v>34</v>
      </c>
      <c r="BS7" s="60">
        <v>197.3</v>
      </c>
      <c r="BT7" s="65">
        <f t="shared" si="42"/>
        <v>30.000000000001137</v>
      </c>
      <c r="BU7" s="60">
        <v>35720</v>
      </c>
      <c r="BV7" s="65">
        <f t="shared" si="28"/>
        <v>30</v>
      </c>
      <c r="BW7" s="60">
        <v>228.8</v>
      </c>
      <c r="BX7" s="65">
        <f t="shared" si="29"/>
        <v>20.000000000010232</v>
      </c>
      <c r="BY7" s="60">
        <v>54630</v>
      </c>
      <c r="BZ7" s="67">
        <f t="shared" si="30"/>
        <v>35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55637.8</v>
      </c>
      <c r="CH7" s="67">
        <f t="shared" si="34"/>
        <v>31.600000000005821</v>
      </c>
      <c r="CI7" s="60">
        <v>914982</v>
      </c>
      <c r="CJ7" s="67">
        <f t="shared" si="35"/>
        <v>178</v>
      </c>
      <c r="CK7" s="60">
        <v>686.38</v>
      </c>
      <c r="CL7" s="64">
        <f t="shared" si="36"/>
        <v>480.00000000001819</v>
      </c>
      <c r="CM7" s="65">
        <f t="shared" si="37"/>
        <v>40.520000000000437</v>
      </c>
      <c r="CN7" s="62">
        <v>0</v>
      </c>
      <c r="CO7" s="62">
        <v>0</v>
      </c>
      <c r="CP7" s="68">
        <v>4253.8</v>
      </c>
      <c r="CQ7" s="67">
        <f t="shared" si="38"/>
        <v>30.520000000000437</v>
      </c>
      <c r="CR7" s="68">
        <v>12130</v>
      </c>
      <c r="CS7" s="67">
        <f t="shared" si="38"/>
        <v>10</v>
      </c>
      <c r="CT7" s="75">
        <v>4960</v>
      </c>
      <c r="CU7" s="67">
        <f t="shared" si="38"/>
        <v>10</v>
      </c>
      <c r="CV7" s="68">
        <v>12652</v>
      </c>
      <c r="CW7" s="67">
        <f t="shared" si="38"/>
        <v>20</v>
      </c>
    </row>
    <row r="8" spans="1:102" ht="25.5" customHeight="1" thickBot="1" x14ac:dyDescent="0.45">
      <c r="A8" s="63">
        <v>44260</v>
      </c>
      <c r="B8" s="44"/>
      <c r="C8" s="58">
        <v>2.0686</v>
      </c>
      <c r="D8" s="64">
        <f t="shared" si="0"/>
        <v>799.99999999991189</v>
      </c>
      <c r="E8" s="58">
        <v>2.9399000000000002</v>
      </c>
      <c r="F8" s="64">
        <f t="shared" si="1"/>
        <v>1400.0000000002899</v>
      </c>
      <c r="G8" s="58">
        <v>3.024</v>
      </c>
      <c r="H8" s="64">
        <f t="shared" si="2"/>
        <v>1799.9999999998017</v>
      </c>
      <c r="I8" s="58">
        <v>1.4794</v>
      </c>
      <c r="J8" s="64">
        <f t="shared" si="3"/>
        <v>1000.0000000001119</v>
      </c>
      <c r="K8" s="58">
        <v>2.4016999999999999</v>
      </c>
      <c r="L8" s="64">
        <f t="shared" si="39"/>
        <v>1999.9999999997797</v>
      </c>
      <c r="M8" s="58">
        <v>1.3511</v>
      </c>
      <c r="N8" s="64">
        <f t="shared" si="4"/>
        <v>699.99999999992292</v>
      </c>
      <c r="O8" s="58">
        <v>12747</v>
      </c>
      <c r="P8" s="67">
        <f t="shared" si="5"/>
        <v>0</v>
      </c>
      <c r="Q8" s="58">
        <v>427</v>
      </c>
      <c r="R8" s="67">
        <f t="shared" si="6"/>
        <v>5</v>
      </c>
      <c r="S8" s="58">
        <v>904820.8</v>
      </c>
      <c r="T8" s="67">
        <f t="shared" si="7"/>
        <v>312.80000000004657</v>
      </c>
      <c r="U8" s="58">
        <v>376959.1</v>
      </c>
      <c r="V8" s="67">
        <f t="shared" si="8"/>
        <v>234.89999999996508</v>
      </c>
      <c r="W8" s="58">
        <v>364.38</v>
      </c>
      <c r="X8" s="65">
        <f t="shared" si="9"/>
        <v>100.00000000002274</v>
      </c>
      <c r="Y8" s="58">
        <v>2.5626000000000002</v>
      </c>
      <c r="Z8" s="65">
        <f t="shared" si="10"/>
        <v>1200.000000000312</v>
      </c>
      <c r="AA8" s="58">
        <v>358.88</v>
      </c>
      <c r="AB8" s="65">
        <f t="shared" si="11"/>
        <v>219.99999999997044</v>
      </c>
      <c r="AC8" s="58">
        <v>345.54</v>
      </c>
      <c r="AD8" s="65">
        <f t="shared" si="12"/>
        <v>160.00000000002501</v>
      </c>
      <c r="AE8" s="58">
        <v>534.01</v>
      </c>
      <c r="AF8" s="65">
        <f t="shared" si="13"/>
        <v>230.00000000001819</v>
      </c>
      <c r="AG8" s="58">
        <v>552</v>
      </c>
      <c r="AH8" s="67">
        <f t="shared" si="14"/>
        <v>31</v>
      </c>
      <c r="AI8" s="58">
        <v>535.98</v>
      </c>
      <c r="AJ8" s="65">
        <f t="shared" si="15"/>
        <v>350.00000000002274</v>
      </c>
      <c r="AK8" s="58">
        <v>182.58</v>
      </c>
      <c r="AL8" s="65">
        <f t="shared" si="15"/>
        <v>30.000000000001137</v>
      </c>
      <c r="AM8" s="58">
        <v>179.93</v>
      </c>
      <c r="AN8" s="65">
        <f t="shared" si="15"/>
        <v>30.000000000001137</v>
      </c>
      <c r="AO8" s="58">
        <v>171.59</v>
      </c>
      <c r="AP8" s="65">
        <f t="shared" si="15"/>
        <v>30.000000000001137</v>
      </c>
      <c r="AQ8" s="58">
        <v>229.83</v>
      </c>
      <c r="AR8" s="65">
        <f t="shared" si="16"/>
        <v>40.000000000020464</v>
      </c>
      <c r="AS8" s="58">
        <v>357.59</v>
      </c>
      <c r="AT8" s="65">
        <f t="shared" si="17"/>
        <v>19.99999999998181</v>
      </c>
      <c r="AU8" s="58">
        <v>276.08</v>
      </c>
      <c r="AV8" s="65">
        <f t="shared" si="18"/>
        <v>9.9999999999909051</v>
      </c>
      <c r="AW8" s="58">
        <v>312.31</v>
      </c>
      <c r="AX8" s="65">
        <f t="shared" si="19"/>
        <v>19.99999999998181</v>
      </c>
      <c r="AY8" s="58">
        <v>357.31</v>
      </c>
      <c r="AZ8" s="65">
        <f t="shared" si="20"/>
        <v>9.9999999999909051</v>
      </c>
      <c r="BA8" s="58">
        <v>378.64</v>
      </c>
      <c r="BB8" s="65">
        <f t="shared" si="21"/>
        <v>19.99999999998181</v>
      </c>
      <c r="BC8" s="58">
        <v>236.99</v>
      </c>
      <c r="BD8" s="65">
        <f t="shared" si="22"/>
        <v>10.000000000019327</v>
      </c>
      <c r="BE8" s="59">
        <v>36092</v>
      </c>
      <c r="BF8" s="67">
        <f t="shared" si="40"/>
        <v>33</v>
      </c>
      <c r="BG8" s="60">
        <v>229.5</v>
      </c>
      <c r="BH8" s="65">
        <f t="shared" si="23"/>
        <v>50.000000000011369</v>
      </c>
      <c r="BI8" s="60">
        <v>288.87</v>
      </c>
      <c r="BJ8" s="65">
        <f t="shared" si="41"/>
        <v>40.000000000020464</v>
      </c>
      <c r="BK8" s="60">
        <v>233.24</v>
      </c>
      <c r="BL8" s="65">
        <f t="shared" si="24"/>
        <v>10.000000000019327</v>
      </c>
      <c r="BM8" s="60">
        <v>219.13</v>
      </c>
      <c r="BN8" s="65">
        <f t="shared" si="25"/>
        <v>39.999999999992042</v>
      </c>
      <c r="BO8" s="60">
        <v>284.13</v>
      </c>
      <c r="BP8" s="65">
        <f t="shared" si="26"/>
        <v>29.999999999972715</v>
      </c>
      <c r="BQ8" s="60">
        <v>42084</v>
      </c>
      <c r="BR8" s="65">
        <f t="shared" si="27"/>
        <v>22</v>
      </c>
      <c r="BS8" s="60">
        <v>197.32</v>
      </c>
      <c r="BT8" s="65">
        <f t="shared" si="42"/>
        <v>19.99999999998181</v>
      </c>
      <c r="BU8" s="60">
        <v>35747</v>
      </c>
      <c r="BV8" s="65">
        <f t="shared" si="28"/>
        <v>27</v>
      </c>
      <c r="BW8" s="60">
        <v>228.82</v>
      </c>
      <c r="BX8" s="65">
        <f t="shared" si="29"/>
        <v>19.99999999998181</v>
      </c>
      <c r="BY8" s="60">
        <v>54666</v>
      </c>
      <c r="BZ8" s="67">
        <f t="shared" si="30"/>
        <v>36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55667.199999999997</v>
      </c>
      <c r="CH8" s="67">
        <f t="shared" si="34"/>
        <v>29.399999999994179</v>
      </c>
      <c r="CI8" s="60">
        <v>915163</v>
      </c>
      <c r="CJ8" s="67">
        <f t="shared" si="35"/>
        <v>181</v>
      </c>
      <c r="CK8" s="60">
        <v>686.85</v>
      </c>
      <c r="CL8" s="64">
        <f t="shared" si="36"/>
        <v>470.00000000002728</v>
      </c>
      <c r="CM8" s="65">
        <f t="shared" si="37"/>
        <v>26.880000000000109</v>
      </c>
      <c r="CN8" s="62">
        <v>0</v>
      </c>
      <c r="CO8" s="62">
        <v>0</v>
      </c>
      <c r="CP8" s="68">
        <v>4271.68</v>
      </c>
      <c r="CQ8" s="67">
        <f t="shared" si="38"/>
        <v>17.880000000000109</v>
      </c>
      <c r="CR8" s="68">
        <v>12139</v>
      </c>
      <c r="CS8" s="67">
        <f t="shared" si="38"/>
        <v>9</v>
      </c>
      <c r="CT8" s="75">
        <v>4971</v>
      </c>
      <c r="CU8" s="67">
        <f t="shared" si="38"/>
        <v>11</v>
      </c>
      <c r="CV8" s="68">
        <v>12672</v>
      </c>
      <c r="CW8" s="67">
        <f t="shared" si="38"/>
        <v>20</v>
      </c>
    </row>
    <row r="9" spans="1:102" ht="25.5" customHeight="1" thickBot="1" x14ac:dyDescent="0.45">
      <c r="A9" s="63">
        <v>44261</v>
      </c>
      <c r="B9" s="44"/>
      <c r="C9" s="58">
        <v>2.0693999999999999</v>
      </c>
      <c r="D9" s="64">
        <f t="shared" si="0"/>
        <v>799.99999999991189</v>
      </c>
      <c r="E9" s="58">
        <v>2.9411</v>
      </c>
      <c r="F9" s="64">
        <f t="shared" si="1"/>
        <v>1199.9999999998679</v>
      </c>
      <c r="G9" s="58">
        <v>3.0259999999999998</v>
      </c>
      <c r="H9" s="64">
        <f t="shared" si="2"/>
        <v>1999.9999999997797</v>
      </c>
      <c r="I9" s="58">
        <v>1.4803999999999999</v>
      </c>
      <c r="J9" s="64">
        <f t="shared" si="3"/>
        <v>999.99999999988984</v>
      </c>
      <c r="K9" s="58">
        <v>2.4036</v>
      </c>
      <c r="L9" s="64">
        <f t="shared" si="39"/>
        <v>1900.0000000000127</v>
      </c>
      <c r="M9" s="58">
        <v>1.3517999999999999</v>
      </c>
      <c r="N9" s="64">
        <f t="shared" si="4"/>
        <v>699.99999999992292</v>
      </c>
      <c r="O9" s="58">
        <v>12747</v>
      </c>
      <c r="P9" s="67">
        <f t="shared" si="5"/>
        <v>0</v>
      </c>
      <c r="Q9" s="58">
        <v>432</v>
      </c>
      <c r="R9" s="67">
        <f t="shared" si="6"/>
        <v>5</v>
      </c>
      <c r="S9" s="58">
        <v>905094.2</v>
      </c>
      <c r="T9" s="67">
        <f t="shared" si="7"/>
        <v>273.39999999990687</v>
      </c>
      <c r="U9" s="58">
        <v>377179.6</v>
      </c>
      <c r="V9" s="67">
        <f t="shared" si="8"/>
        <v>220.5</v>
      </c>
      <c r="W9" s="58">
        <v>364.47</v>
      </c>
      <c r="X9" s="65">
        <f t="shared" si="9"/>
        <v>90.000000000031832</v>
      </c>
      <c r="Y9" s="58">
        <v>2.5636000000000001</v>
      </c>
      <c r="Z9" s="65">
        <f t="shared" si="10"/>
        <v>999.99999999988984</v>
      </c>
      <c r="AA9" s="58">
        <v>359.16</v>
      </c>
      <c r="AB9" s="65">
        <f t="shared" si="11"/>
        <v>280.00000000002956</v>
      </c>
      <c r="AC9" s="58">
        <v>345.7</v>
      </c>
      <c r="AD9" s="65">
        <f t="shared" si="12"/>
        <v>159.99999999996817</v>
      </c>
      <c r="AE9" s="58">
        <v>534.17999999999995</v>
      </c>
      <c r="AF9" s="65">
        <f t="shared" si="13"/>
        <v>169.99999999995907</v>
      </c>
      <c r="AG9" s="58">
        <v>581</v>
      </c>
      <c r="AH9" s="67">
        <f t="shared" si="14"/>
        <v>29</v>
      </c>
      <c r="AI9" s="58">
        <v>536.29999999999995</v>
      </c>
      <c r="AJ9" s="65">
        <f t="shared" si="15"/>
        <v>319.99999999993634</v>
      </c>
      <c r="AK9" s="58">
        <v>182.61</v>
      </c>
      <c r="AL9" s="65">
        <f t="shared" si="15"/>
        <v>30.000000000001137</v>
      </c>
      <c r="AM9" s="58">
        <v>179.99</v>
      </c>
      <c r="AN9" s="65">
        <f t="shared" si="15"/>
        <v>60.000000000002274</v>
      </c>
      <c r="AO9" s="58">
        <v>171.61</v>
      </c>
      <c r="AP9" s="65">
        <f t="shared" si="15"/>
        <v>20.000000000010232</v>
      </c>
      <c r="AQ9" s="58">
        <v>229.86</v>
      </c>
      <c r="AR9" s="65">
        <f t="shared" si="16"/>
        <v>30.000000000001137</v>
      </c>
      <c r="AS9" s="58">
        <v>357.63</v>
      </c>
      <c r="AT9" s="65">
        <f t="shared" si="17"/>
        <v>40.000000000020464</v>
      </c>
      <c r="AU9" s="58">
        <v>276.10000000000002</v>
      </c>
      <c r="AV9" s="65">
        <f t="shared" si="18"/>
        <v>20.000000000038654</v>
      </c>
      <c r="AW9" s="58">
        <v>312.33</v>
      </c>
      <c r="AX9" s="65">
        <f t="shared" si="19"/>
        <v>19.99999999998181</v>
      </c>
      <c r="AY9" s="58">
        <v>357.32</v>
      </c>
      <c r="AZ9" s="65">
        <f t="shared" si="20"/>
        <v>9.9999999999909051</v>
      </c>
      <c r="BA9" s="58">
        <v>378.65</v>
      </c>
      <c r="BB9" s="65">
        <f t="shared" si="21"/>
        <v>9.9999999999909051</v>
      </c>
      <c r="BC9" s="58">
        <v>237</v>
      </c>
      <c r="BD9" s="65">
        <f t="shared" si="22"/>
        <v>9.9999999999909051</v>
      </c>
      <c r="BE9" s="59">
        <v>36129</v>
      </c>
      <c r="BF9" s="67">
        <f t="shared" si="40"/>
        <v>37</v>
      </c>
      <c r="BG9" s="60">
        <v>229.54</v>
      </c>
      <c r="BH9" s="65">
        <f t="shared" si="23"/>
        <v>39.999999999992042</v>
      </c>
      <c r="BI9" s="60">
        <v>288.89999999999998</v>
      </c>
      <c r="BJ9" s="65">
        <f t="shared" si="41"/>
        <v>29.999999999972715</v>
      </c>
      <c r="BK9" s="60">
        <v>233.24</v>
      </c>
      <c r="BL9" s="65">
        <f t="shared" si="24"/>
        <v>0</v>
      </c>
      <c r="BM9" s="60">
        <v>219.17</v>
      </c>
      <c r="BN9" s="65">
        <f t="shared" si="25"/>
        <v>39.999999999992042</v>
      </c>
      <c r="BO9" s="60">
        <v>284.16000000000003</v>
      </c>
      <c r="BP9" s="65">
        <f t="shared" si="26"/>
        <v>30.000000000029559</v>
      </c>
      <c r="BQ9" s="60">
        <v>42115</v>
      </c>
      <c r="BR9" s="65">
        <f t="shared" si="27"/>
        <v>31</v>
      </c>
      <c r="BS9" s="60">
        <v>197.35</v>
      </c>
      <c r="BT9" s="65">
        <f t="shared" si="42"/>
        <v>30.000000000001137</v>
      </c>
      <c r="BU9" s="60">
        <v>35771</v>
      </c>
      <c r="BV9" s="65">
        <f t="shared" si="28"/>
        <v>24</v>
      </c>
      <c r="BW9" s="60">
        <v>228.84</v>
      </c>
      <c r="BX9" s="65">
        <f t="shared" si="29"/>
        <v>20.000000000010232</v>
      </c>
      <c r="BY9" s="60">
        <v>54700</v>
      </c>
      <c r="BZ9" s="67">
        <f t="shared" si="30"/>
        <v>34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55707.7</v>
      </c>
      <c r="CH9" s="67">
        <f t="shared" si="34"/>
        <v>40.5</v>
      </c>
      <c r="CI9" s="60">
        <v>915339</v>
      </c>
      <c r="CJ9" s="67">
        <f t="shared" si="35"/>
        <v>176</v>
      </c>
      <c r="CK9" s="60">
        <v>687.39</v>
      </c>
      <c r="CL9" s="64">
        <f t="shared" si="36"/>
        <v>539.99999999996362</v>
      </c>
      <c r="CM9" s="65">
        <f t="shared" si="37"/>
        <v>34.149999999999636</v>
      </c>
      <c r="CN9" s="62">
        <v>0</v>
      </c>
      <c r="CO9" s="62">
        <v>0</v>
      </c>
      <c r="CP9" s="68">
        <v>4297.83</v>
      </c>
      <c r="CQ9" s="67">
        <f t="shared" si="38"/>
        <v>26.149999999999636</v>
      </c>
      <c r="CR9" s="68">
        <v>12147</v>
      </c>
      <c r="CS9" s="67">
        <f t="shared" si="38"/>
        <v>8</v>
      </c>
      <c r="CT9" s="75">
        <v>4980</v>
      </c>
      <c r="CU9" s="67">
        <f t="shared" si="38"/>
        <v>9</v>
      </c>
      <c r="CV9" s="68">
        <v>12708</v>
      </c>
      <c r="CW9" s="67">
        <f t="shared" si="38"/>
        <v>36</v>
      </c>
    </row>
    <row r="10" spans="1:102" ht="25.5" customHeight="1" thickBot="1" x14ac:dyDescent="0.45">
      <c r="A10" s="63">
        <v>44262</v>
      </c>
      <c r="B10" s="44"/>
      <c r="C10" s="58">
        <v>2.0699999999999998</v>
      </c>
      <c r="D10" s="64">
        <f t="shared" si="0"/>
        <v>599.99999999993395</v>
      </c>
      <c r="E10" s="58">
        <v>2.9419</v>
      </c>
      <c r="F10" s="64">
        <f t="shared" si="1"/>
        <v>799.99999999991189</v>
      </c>
      <c r="G10" s="58">
        <v>3.0276999999999998</v>
      </c>
      <c r="H10" s="64">
        <f t="shared" si="2"/>
        <v>1700.0000000000348</v>
      </c>
      <c r="I10" s="58">
        <v>1.4815</v>
      </c>
      <c r="J10" s="64">
        <f t="shared" si="3"/>
        <v>1100.000000000101</v>
      </c>
      <c r="K10" s="58">
        <v>2.4056999999999999</v>
      </c>
      <c r="L10" s="64">
        <f t="shared" si="39"/>
        <v>2099.9999999999909</v>
      </c>
      <c r="M10" s="58">
        <v>1.3525</v>
      </c>
      <c r="N10" s="64">
        <f t="shared" si="4"/>
        <v>700.00000000014495</v>
      </c>
      <c r="O10" s="58">
        <v>12748</v>
      </c>
      <c r="P10" s="67">
        <f t="shared" si="5"/>
        <v>1</v>
      </c>
      <c r="Q10" s="58">
        <v>438</v>
      </c>
      <c r="R10" s="67">
        <f t="shared" si="6"/>
        <v>6</v>
      </c>
      <c r="S10" s="58">
        <v>905197.6</v>
      </c>
      <c r="T10" s="67">
        <f t="shared" si="7"/>
        <v>103.40000000002328</v>
      </c>
      <c r="U10" s="58">
        <v>377253.2</v>
      </c>
      <c r="V10" s="67">
        <f t="shared" si="8"/>
        <v>73.600000000034925</v>
      </c>
      <c r="W10" s="58">
        <v>364.56</v>
      </c>
      <c r="X10" s="65">
        <f t="shared" si="9"/>
        <v>89.999999999974989</v>
      </c>
      <c r="Y10" s="58">
        <v>2.5644</v>
      </c>
      <c r="Z10" s="65">
        <f t="shared" si="10"/>
        <v>799.99999999991189</v>
      </c>
      <c r="AA10" s="58">
        <v>359.43</v>
      </c>
      <c r="AB10" s="65">
        <f t="shared" si="11"/>
        <v>269.99999999998181</v>
      </c>
      <c r="AC10" s="58">
        <v>345.85</v>
      </c>
      <c r="AD10" s="65">
        <f t="shared" si="12"/>
        <v>150.00000000003411</v>
      </c>
      <c r="AE10" s="58">
        <v>534.36</v>
      </c>
      <c r="AF10" s="65">
        <f t="shared" si="13"/>
        <v>180.00000000006366</v>
      </c>
      <c r="AG10" s="58">
        <v>611</v>
      </c>
      <c r="AH10" s="67">
        <f t="shared" si="14"/>
        <v>30</v>
      </c>
      <c r="AI10" s="58">
        <v>536.61</v>
      </c>
      <c r="AJ10" s="65">
        <f t="shared" si="15"/>
        <v>310.00000000005912</v>
      </c>
      <c r="AK10" s="58">
        <v>182.63</v>
      </c>
      <c r="AL10" s="65">
        <f t="shared" si="15"/>
        <v>19.99999999998181</v>
      </c>
      <c r="AM10" s="58">
        <v>180</v>
      </c>
      <c r="AN10" s="65">
        <f t="shared" si="15"/>
        <v>9.9999999999909051</v>
      </c>
      <c r="AO10" s="58">
        <v>171.63</v>
      </c>
      <c r="AP10" s="65">
        <f t="shared" si="15"/>
        <v>19.99999999998181</v>
      </c>
      <c r="AQ10" s="58">
        <v>229.88</v>
      </c>
      <c r="AR10" s="65">
        <f t="shared" si="16"/>
        <v>19.99999999998181</v>
      </c>
      <c r="AS10" s="58">
        <v>357.66</v>
      </c>
      <c r="AT10" s="65">
        <f t="shared" si="17"/>
        <v>30.000000000029559</v>
      </c>
      <c r="AU10" s="58">
        <v>276.11</v>
      </c>
      <c r="AV10" s="65">
        <f t="shared" si="18"/>
        <v>9.9999999999909051</v>
      </c>
      <c r="AW10" s="58">
        <v>312.33999999999997</v>
      </c>
      <c r="AX10" s="65">
        <f t="shared" si="19"/>
        <v>9.9999999999909051</v>
      </c>
      <c r="AY10" s="58">
        <v>357.33</v>
      </c>
      <c r="AZ10" s="65">
        <f t="shared" si="20"/>
        <v>9.9999999999909051</v>
      </c>
      <c r="BA10" s="58">
        <v>378.66</v>
      </c>
      <c r="BB10" s="65">
        <f t="shared" si="21"/>
        <v>10.000000000047748</v>
      </c>
      <c r="BC10" s="58">
        <v>237.01</v>
      </c>
      <c r="BD10" s="65">
        <f t="shared" si="22"/>
        <v>9.9999999999909051</v>
      </c>
      <c r="BE10" s="59">
        <v>36167</v>
      </c>
      <c r="BF10" s="67">
        <f t="shared" si="40"/>
        <v>38</v>
      </c>
      <c r="BG10" s="60">
        <v>229.59</v>
      </c>
      <c r="BH10" s="65">
        <f t="shared" si="23"/>
        <v>50.000000000011369</v>
      </c>
      <c r="BI10" s="60">
        <v>288.94</v>
      </c>
      <c r="BJ10" s="65">
        <f t="shared" si="41"/>
        <v>40.000000000020464</v>
      </c>
      <c r="BK10" s="60">
        <v>233.26</v>
      </c>
      <c r="BL10" s="65">
        <f t="shared" si="24"/>
        <v>19.99999999998181</v>
      </c>
      <c r="BM10" s="60">
        <v>219.21</v>
      </c>
      <c r="BN10" s="65">
        <f t="shared" si="25"/>
        <v>40.000000000020464</v>
      </c>
      <c r="BO10" s="60">
        <v>284.19</v>
      </c>
      <c r="BP10" s="65">
        <f t="shared" si="26"/>
        <v>29.999999999972715</v>
      </c>
      <c r="BQ10" s="60">
        <v>42149</v>
      </c>
      <c r="BR10" s="65">
        <f t="shared" si="27"/>
        <v>34</v>
      </c>
      <c r="BS10" s="60">
        <v>197.38</v>
      </c>
      <c r="BT10" s="65">
        <f t="shared" si="42"/>
        <v>30.000000000001137</v>
      </c>
      <c r="BU10" s="60">
        <v>35801</v>
      </c>
      <c r="BV10" s="65">
        <f t="shared" si="28"/>
        <v>30</v>
      </c>
      <c r="BW10" s="60">
        <v>228.87</v>
      </c>
      <c r="BX10" s="65">
        <f t="shared" si="29"/>
        <v>30.000000000001137</v>
      </c>
      <c r="BY10" s="60">
        <v>54735</v>
      </c>
      <c r="BZ10" s="67">
        <f t="shared" si="30"/>
        <v>35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55754.9</v>
      </c>
      <c r="CH10" s="67">
        <f t="shared" si="34"/>
        <v>47.200000000004366</v>
      </c>
      <c r="CI10" s="60">
        <v>915518</v>
      </c>
      <c r="CJ10" s="67">
        <f t="shared" si="35"/>
        <v>179</v>
      </c>
      <c r="CK10" s="60">
        <v>687.89</v>
      </c>
      <c r="CL10" s="64">
        <f t="shared" si="36"/>
        <v>500</v>
      </c>
      <c r="CM10" s="65">
        <f t="shared" si="37"/>
        <v>23.770000000000437</v>
      </c>
      <c r="CN10" s="62">
        <v>0</v>
      </c>
      <c r="CO10" s="62">
        <v>0</v>
      </c>
      <c r="CP10" s="68">
        <v>4315.6000000000004</v>
      </c>
      <c r="CQ10" s="67">
        <f>IF((CP10-CP9&lt;0), "",CP10-CP9)</f>
        <v>17.770000000000437</v>
      </c>
      <c r="CR10" s="68">
        <v>12153</v>
      </c>
      <c r="CS10" s="67">
        <f t="shared" si="38"/>
        <v>6</v>
      </c>
      <c r="CT10" s="75">
        <v>4992</v>
      </c>
      <c r="CU10" s="67">
        <f t="shared" si="38"/>
        <v>12</v>
      </c>
      <c r="CV10" s="68">
        <v>12733</v>
      </c>
      <c r="CW10" s="67">
        <f t="shared" si="38"/>
        <v>25</v>
      </c>
    </row>
    <row r="11" spans="1:102" ht="25.5" customHeight="1" thickBot="1" x14ac:dyDescent="0.45">
      <c r="A11" s="63">
        <v>44263</v>
      </c>
      <c r="B11" s="44"/>
      <c r="C11" s="58">
        <v>2.0709</v>
      </c>
      <c r="D11" s="64">
        <f t="shared" si="0"/>
        <v>900.0000000001229</v>
      </c>
      <c r="E11" s="58">
        <v>2.9430999999999998</v>
      </c>
      <c r="F11" s="64">
        <f t="shared" si="1"/>
        <v>1199.9999999998679</v>
      </c>
      <c r="G11" s="58">
        <v>3.0297999999999998</v>
      </c>
      <c r="H11" s="64">
        <f t="shared" si="2"/>
        <v>2099.9999999999909</v>
      </c>
      <c r="I11" s="58">
        <v>1.4826999999999999</v>
      </c>
      <c r="J11" s="64">
        <f t="shared" si="3"/>
        <v>1199.9999999998679</v>
      </c>
      <c r="K11" s="58">
        <v>2.4077000000000002</v>
      </c>
      <c r="L11" s="64">
        <f t="shared" si="39"/>
        <v>2000.0000000002237</v>
      </c>
      <c r="M11" s="58">
        <v>1.3533999999999999</v>
      </c>
      <c r="N11" s="64">
        <f t="shared" si="4"/>
        <v>899.99999999990087</v>
      </c>
      <c r="O11" s="58">
        <v>12748</v>
      </c>
      <c r="P11" s="67">
        <f t="shared" ref="P11:P34" si="43">IF((O11-O10&lt;0), "",O11-O10)</f>
        <v>0</v>
      </c>
      <c r="Q11" s="58">
        <v>443</v>
      </c>
      <c r="R11" s="67">
        <f t="shared" si="6"/>
        <v>5</v>
      </c>
      <c r="S11" s="58">
        <v>905685.2</v>
      </c>
      <c r="T11" s="67">
        <f t="shared" si="7"/>
        <v>487.59999999997672</v>
      </c>
      <c r="U11" s="58">
        <v>377563.2</v>
      </c>
      <c r="V11" s="67">
        <f t="shared" si="8"/>
        <v>310</v>
      </c>
      <c r="W11" s="58">
        <v>364.67</v>
      </c>
      <c r="X11" s="65">
        <f t="shared" si="9"/>
        <v>110.00000000001364</v>
      </c>
      <c r="Y11" s="58">
        <v>2.5653999999999999</v>
      </c>
      <c r="Z11" s="65">
        <f t="shared" si="10"/>
        <v>999.99999999988984</v>
      </c>
      <c r="AA11" s="58">
        <v>359.73</v>
      </c>
      <c r="AB11" s="65">
        <f t="shared" si="11"/>
        <v>300.00000000001137</v>
      </c>
      <c r="AC11" s="58">
        <v>346.02</v>
      </c>
      <c r="AD11" s="65">
        <f t="shared" si="12"/>
        <v>169.99999999995907</v>
      </c>
      <c r="AE11" s="58">
        <v>534.6</v>
      </c>
      <c r="AF11" s="65">
        <f t="shared" si="13"/>
        <v>240.00000000000909</v>
      </c>
      <c r="AG11" s="58">
        <v>643</v>
      </c>
      <c r="AH11" s="67">
        <f t="shared" si="14"/>
        <v>32</v>
      </c>
      <c r="AI11" s="58">
        <v>536.88</v>
      </c>
      <c r="AJ11" s="65">
        <f t="shared" si="15"/>
        <v>269.99999999998181</v>
      </c>
      <c r="AK11" s="58">
        <v>182.71</v>
      </c>
      <c r="AL11" s="65">
        <f t="shared" si="15"/>
        <v>80.000000000012506</v>
      </c>
      <c r="AM11" s="58">
        <v>180.03</v>
      </c>
      <c r="AN11" s="65">
        <f t="shared" si="15"/>
        <v>30.000000000001137</v>
      </c>
      <c r="AO11" s="58">
        <v>171.66</v>
      </c>
      <c r="AP11" s="65">
        <f t="shared" si="15"/>
        <v>30.000000000001137</v>
      </c>
      <c r="AQ11" s="58">
        <v>229.93</v>
      </c>
      <c r="AR11" s="65">
        <f t="shared" si="16"/>
        <v>50.000000000011369</v>
      </c>
      <c r="AS11" s="58">
        <v>357.74</v>
      </c>
      <c r="AT11" s="65">
        <f t="shared" si="17"/>
        <v>79.999999999984084</v>
      </c>
      <c r="AU11" s="58">
        <v>276.14</v>
      </c>
      <c r="AV11" s="65">
        <f t="shared" si="18"/>
        <v>29.999999999972715</v>
      </c>
      <c r="AW11" s="58">
        <v>312.37</v>
      </c>
      <c r="AX11" s="65">
        <f t="shared" si="19"/>
        <v>30.000000000029559</v>
      </c>
      <c r="AY11" s="58">
        <v>357.35</v>
      </c>
      <c r="AZ11" s="65">
        <f t="shared" si="20"/>
        <v>20.000000000038654</v>
      </c>
      <c r="BA11" s="58">
        <v>378.68</v>
      </c>
      <c r="BB11" s="65">
        <f t="shared" si="21"/>
        <v>19.99999999998181</v>
      </c>
      <c r="BC11" s="58">
        <v>237.02</v>
      </c>
      <c r="BD11" s="65">
        <f>IF((BC11-BC10&lt;0), "",(BC11-BC10)*1000)</f>
        <v>10.000000000019327</v>
      </c>
      <c r="BE11" s="59">
        <v>36206</v>
      </c>
      <c r="BF11" s="67">
        <f t="shared" si="40"/>
        <v>39</v>
      </c>
      <c r="BG11" s="60">
        <v>229.64</v>
      </c>
      <c r="BH11" s="65">
        <f t="shared" si="23"/>
        <v>49.999999999982947</v>
      </c>
      <c r="BI11" s="60">
        <v>288.98</v>
      </c>
      <c r="BJ11" s="65">
        <f t="shared" si="41"/>
        <v>40.000000000020464</v>
      </c>
      <c r="BK11" s="60">
        <v>233.27</v>
      </c>
      <c r="BL11" s="65">
        <f t="shared" si="24"/>
        <v>10.000000000019327</v>
      </c>
      <c r="BM11" s="60">
        <v>219.26</v>
      </c>
      <c r="BN11" s="65">
        <f t="shared" si="25"/>
        <v>49.999999999982947</v>
      </c>
      <c r="BO11" s="60">
        <v>284.22000000000003</v>
      </c>
      <c r="BP11" s="65">
        <f t="shared" si="26"/>
        <v>30.000000000029559</v>
      </c>
      <c r="BQ11" s="60">
        <v>42187</v>
      </c>
      <c r="BR11" s="65">
        <f t="shared" si="27"/>
        <v>38</v>
      </c>
      <c r="BS11" s="60">
        <v>197.41</v>
      </c>
      <c r="BT11" s="65">
        <f t="shared" si="42"/>
        <v>30.000000000001137</v>
      </c>
      <c r="BU11" s="60">
        <v>35828</v>
      </c>
      <c r="BV11" s="65">
        <f t="shared" si="28"/>
        <v>27</v>
      </c>
      <c r="BW11" s="60">
        <v>228.89</v>
      </c>
      <c r="BX11" s="65">
        <f t="shared" si="29"/>
        <v>19.99999999998181</v>
      </c>
      <c r="BY11" s="60">
        <v>54775</v>
      </c>
      <c r="BZ11" s="67">
        <f t="shared" si="30"/>
        <v>40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55792.5</v>
      </c>
      <c r="CH11" s="67">
        <f t="shared" si="34"/>
        <v>37.599999999998545</v>
      </c>
      <c r="CI11" s="60">
        <v>915699</v>
      </c>
      <c r="CJ11" s="67">
        <f t="shared" si="35"/>
        <v>181</v>
      </c>
      <c r="CK11" s="60">
        <v>688.4</v>
      </c>
      <c r="CL11" s="64">
        <f t="shared" si="36"/>
        <v>509.99999999999091</v>
      </c>
      <c r="CM11" s="65">
        <f t="shared" si="37"/>
        <v>45.960000000000036</v>
      </c>
      <c r="CN11" s="62">
        <v>0</v>
      </c>
      <c r="CO11" s="62">
        <v>0</v>
      </c>
      <c r="CP11" s="68">
        <v>4350.5600000000004</v>
      </c>
      <c r="CQ11" s="67">
        <f>IF((CP11-CP10&lt;0), "",CP11-CP10)</f>
        <v>34.960000000000036</v>
      </c>
      <c r="CR11" s="68">
        <v>12164</v>
      </c>
      <c r="CS11" s="67">
        <f t="shared" si="38"/>
        <v>11</v>
      </c>
      <c r="CT11" s="75">
        <v>5004</v>
      </c>
      <c r="CU11" s="67">
        <f t="shared" si="38"/>
        <v>12</v>
      </c>
      <c r="CV11" s="68">
        <v>12758</v>
      </c>
      <c r="CW11" s="67">
        <f t="shared" si="38"/>
        <v>25</v>
      </c>
    </row>
    <row r="12" spans="1:102" ht="25.5" customHeight="1" thickBot="1" x14ac:dyDescent="0.45">
      <c r="A12" s="63">
        <v>44264</v>
      </c>
      <c r="B12" s="44"/>
      <c r="C12" s="58">
        <v>2.0718000000000001</v>
      </c>
      <c r="D12" s="64">
        <f t="shared" si="0"/>
        <v>900.0000000001229</v>
      </c>
      <c r="E12" s="58">
        <v>2.9447000000000001</v>
      </c>
      <c r="F12" s="64">
        <f t="shared" si="1"/>
        <v>1600.0000000002678</v>
      </c>
      <c r="G12" s="58">
        <v>3.0320999999999998</v>
      </c>
      <c r="H12" s="64">
        <f t="shared" si="2"/>
        <v>2299.9999999999686</v>
      </c>
      <c r="I12" s="58">
        <v>1.4839</v>
      </c>
      <c r="J12" s="64">
        <f t="shared" si="3"/>
        <v>1200.0000000000898</v>
      </c>
      <c r="K12" s="58">
        <v>2.4098999999999999</v>
      </c>
      <c r="L12" s="64">
        <f t="shared" si="39"/>
        <v>2199.9999999997576</v>
      </c>
      <c r="M12" s="58">
        <v>1.3541000000000001</v>
      </c>
      <c r="N12" s="64">
        <f t="shared" si="4"/>
        <v>700.00000000014495</v>
      </c>
      <c r="O12" s="58">
        <v>12748</v>
      </c>
      <c r="P12" s="67">
        <f t="shared" si="43"/>
        <v>0</v>
      </c>
      <c r="Q12" s="58">
        <v>449</v>
      </c>
      <c r="R12" s="67">
        <f t="shared" si="6"/>
        <v>6</v>
      </c>
      <c r="S12" s="58">
        <v>906128.4</v>
      </c>
      <c r="T12" s="67">
        <f t="shared" si="7"/>
        <v>443.20000000006985</v>
      </c>
      <c r="U12" s="58">
        <v>377843.6</v>
      </c>
      <c r="V12" s="67">
        <f t="shared" si="8"/>
        <v>280.39999999996508</v>
      </c>
      <c r="W12" s="58">
        <v>364.77</v>
      </c>
      <c r="X12" s="65">
        <f t="shared" si="9"/>
        <v>99.999999999965894</v>
      </c>
      <c r="Y12" s="58">
        <v>2.5669</v>
      </c>
      <c r="Z12" s="65">
        <f t="shared" si="10"/>
        <v>1500.0000000000568</v>
      </c>
      <c r="AA12" s="58">
        <v>359.99</v>
      </c>
      <c r="AB12" s="65">
        <f t="shared" si="11"/>
        <v>259.99999999999091</v>
      </c>
      <c r="AC12" s="58">
        <v>346.19</v>
      </c>
      <c r="AD12" s="65">
        <f t="shared" si="12"/>
        <v>170.00000000001592</v>
      </c>
      <c r="AE12" s="58">
        <v>534.79</v>
      </c>
      <c r="AF12" s="65">
        <f t="shared" si="13"/>
        <v>189.99999999994088</v>
      </c>
      <c r="AG12" s="58">
        <v>674</v>
      </c>
      <c r="AH12" s="67">
        <f t="shared" si="14"/>
        <v>31</v>
      </c>
      <c r="AI12" s="58">
        <v>537.20000000000005</v>
      </c>
      <c r="AJ12" s="65">
        <f t="shared" si="15"/>
        <v>320.00000000005002</v>
      </c>
      <c r="AK12" s="58">
        <v>182.76</v>
      </c>
      <c r="AL12" s="65">
        <f t="shared" si="15"/>
        <v>49.999999999982947</v>
      </c>
      <c r="AM12" s="58">
        <v>180.05</v>
      </c>
      <c r="AN12" s="65">
        <f t="shared" si="15"/>
        <v>20.000000000010232</v>
      </c>
      <c r="AO12" s="58">
        <v>171.68</v>
      </c>
      <c r="AP12" s="65">
        <f t="shared" si="15"/>
        <v>20.000000000010232</v>
      </c>
      <c r="AQ12" s="58">
        <v>229.97</v>
      </c>
      <c r="AR12" s="65">
        <f t="shared" si="16"/>
        <v>39.999999999992042</v>
      </c>
      <c r="AS12" s="58">
        <v>357.85</v>
      </c>
      <c r="AT12" s="65">
        <f t="shared" si="17"/>
        <v>110.00000000001364</v>
      </c>
      <c r="AU12" s="58">
        <v>276.16000000000003</v>
      </c>
      <c r="AV12" s="65">
        <f t="shared" si="18"/>
        <v>20.000000000038654</v>
      </c>
      <c r="AW12" s="58">
        <v>312.39</v>
      </c>
      <c r="AX12" s="65">
        <f t="shared" si="19"/>
        <v>19.99999999998181</v>
      </c>
      <c r="AY12" s="58">
        <v>357.36</v>
      </c>
      <c r="AZ12" s="65">
        <f t="shared" si="20"/>
        <v>9.9999999999909051</v>
      </c>
      <c r="BA12" s="58">
        <v>378.7</v>
      </c>
      <c r="BB12" s="65">
        <f t="shared" si="21"/>
        <v>19.99999999998181</v>
      </c>
      <c r="BC12" s="58">
        <v>237.03</v>
      </c>
      <c r="BD12" s="65">
        <f t="shared" si="22"/>
        <v>9.9999999999909051</v>
      </c>
      <c r="BE12" s="59">
        <v>36231</v>
      </c>
      <c r="BF12" s="67">
        <f t="shared" si="40"/>
        <v>25</v>
      </c>
      <c r="BG12" s="60">
        <v>229.68</v>
      </c>
      <c r="BH12" s="65">
        <f t="shared" si="23"/>
        <v>40.000000000020464</v>
      </c>
      <c r="BI12" s="60">
        <v>289.02</v>
      </c>
      <c r="BJ12" s="65">
        <f t="shared" si="41"/>
        <v>39.99999999996362</v>
      </c>
      <c r="BK12" s="60">
        <v>233.28</v>
      </c>
      <c r="BL12" s="65">
        <f t="shared" si="24"/>
        <v>9.9999999999909051</v>
      </c>
      <c r="BM12" s="60">
        <v>219.31</v>
      </c>
      <c r="BN12" s="65">
        <f t="shared" si="25"/>
        <v>50.000000000011369</v>
      </c>
      <c r="BO12" s="60">
        <v>284.26</v>
      </c>
      <c r="BP12" s="65">
        <f t="shared" si="26"/>
        <v>39.99999999996362</v>
      </c>
      <c r="BQ12" s="60">
        <v>42225</v>
      </c>
      <c r="BR12" s="65">
        <f t="shared" si="27"/>
        <v>38</v>
      </c>
      <c r="BS12" s="60">
        <v>197.44</v>
      </c>
      <c r="BT12" s="65">
        <f t="shared" si="42"/>
        <v>30.000000000001137</v>
      </c>
      <c r="BU12" s="60">
        <v>35851</v>
      </c>
      <c r="BV12" s="65">
        <f t="shared" si="28"/>
        <v>23</v>
      </c>
      <c r="BW12" s="60">
        <v>228.92</v>
      </c>
      <c r="BX12" s="65">
        <f t="shared" si="29"/>
        <v>30.000000000001137</v>
      </c>
      <c r="BY12" s="60">
        <v>54820</v>
      </c>
      <c r="BZ12" s="67">
        <f t="shared" si="30"/>
        <v>45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55832.1</v>
      </c>
      <c r="CH12" s="67">
        <f t="shared" si="34"/>
        <v>39.599999999998545</v>
      </c>
      <c r="CI12" s="60">
        <v>915887</v>
      </c>
      <c r="CJ12" s="67">
        <f t="shared" si="35"/>
        <v>188</v>
      </c>
      <c r="CK12" s="60">
        <v>688.98</v>
      </c>
      <c r="CL12" s="64">
        <f t="shared" si="36"/>
        <v>580.00000000004093</v>
      </c>
      <c r="CM12" s="65">
        <f t="shared" si="37"/>
        <v>35.039999999999964</v>
      </c>
      <c r="CN12" s="62">
        <v>0</v>
      </c>
      <c r="CO12" s="62">
        <v>0</v>
      </c>
      <c r="CP12" s="68">
        <v>4373.6000000000004</v>
      </c>
      <c r="CQ12" s="67">
        <f>IF((CP12-CP11&lt;0), "",CP12-CP11)</f>
        <v>23.039999999999964</v>
      </c>
      <c r="CR12" s="68">
        <v>12176</v>
      </c>
      <c r="CS12" s="67">
        <f t="shared" si="38"/>
        <v>12</v>
      </c>
      <c r="CT12" s="75">
        <v>5016</v>
      </c>
      <c r="CU12" s="67">
        <f t="shared" si="38"/>
        <v>12</v>
      </c>
      <c r="CV12" s="68">
        <v>12781</v>
      </c>
      <c r="CW12" s="67">
        <f t="shared" si="38"/>
        <v>23</v>
      </c>
    </row>
    <row r="13" spans="1:102" ht="25.5" customHeight="1" thickBot="1" x14ac:dyDescent="0.45">
      <c r="A13" s="63">
        <v>44265</v>
      </c>
      <c r="B13" s="44"/>
      <c r="C13" s="58">
        <v>2.0726</v>
      </c>
      <c r="D13" s="64">
        <f t="shared" si="0"/>
        <v>799.99999999991189</v>
      </c>
      <c r="E13" s="58">
        <v>2.9464000000000001</v>
      </c>
      <c r="F13" s="64">
        <f t="shared" si="1"/>
        <v>1700.0000000000348</v>
      </c>
      <c r="G13" s="58">
        <v>3.0341999999999998</v>
      </c>
      <c r="H13" s="64">
        <f t="shared" si="2"/>
        <v>2099.9999999999909</v>
      </c>
      <c r="I13" s="58">
        <v>1.4850000000000001</v>
      </c>
      <c r="J13" s="64">
        <f t="shared" si="3"/>
        <v>1100.000000000101</v>
      </c>
      <c r="K13" s="58">
        <v>2.4121000000000001</v>
      </c>
      <c r="L13" s="64">
        <f t="shared" si="39"/>
        <v>2200.0000000002019</v>
      </c>
      <c r="M13" s="58">
        <v>1.3548</v>
      </c>
      <c r="N13" s="64">
        <f t="shared" si="4"/>
        <v>699.99999999992292</v>
      </c>
      <c r="O13" s="58">
        <v>12748</v>
      </c>
      <c r="P13" s="67">
        <f t="shared" si="43"/>
        <v>0</v>
      </c>
      <c r="Q13" s="58">
        <v>455</v>
      </c>
      <c r="R13" s="67">
        <f t="shared" si="6"/>
        <v>6</v>
      </c>
      <c r="S13" s="58">
        <v>906623.8</v>
      </c>
      <c r="T13" s="67">
        <f t="shared" si="7"/>
        <v>495.40000000002328</v>
      </c>
      <c r="U13" s="58">
        <v>378158.9</v>
      </c>
      <c r="V13" s="67">
        <f t="shared" si="8"/>
        <v>315.30000000004657</v>
      </c>
      <c r="W13" s="58">
        <v>364.93</v>
      </c>
      <c r="X13" s="65">
        <f t="shared" si="9"/>
        <v>160.00000000002501</v>
      </c>
      <c r="Y13" s="58">
        <v>2.5684</v>
      </c>
      <c r="Z13" s="65">
        <f t="shared" si="10"/>
        <v>1500.0000000000568</v>
      </c>
      <c r="AA13" s="58">
        <v>360.26</v>
      </c>
      <c r="AB13" s="65">
        <f t="shared" si="11"/>
        <v>269.99999999998181</v>
      </c>
      <c r="AC13" s="58">
        <v>346.35</v>
      </c>
      <c r="AD13" s="65">
        <f t="shared" si="12"/>
        <v>160.00000000002501</v>
      </c>
      <c r="AE13" s="58">
        <v>534.97</v>
      </c>
      <c r="AF13" s="65">
        <f t="shared" si="13"/>
        <v>180.00000000006366</v>
      </c>
      <c r="AG13" s="58">
        <v>697</v>
      </c>
      <c r="AH13" s="67">
        <f t="shared" si="14"/>
        <v>23</v>
      </c>
      <c r="AI13" s="58">
        <v>537.47</v>
      </c>
      <c r="AJ13" s="65">
        <f t="shared" si="15"/>
        <v>269.99999999998181</v>
      </c>
      <c r="AK13" s="58">
        <v>182.8</v>
      </c>
      <c r="AL13" s="65">
        <f t="shared" si="15"/>
        <v>40.000000000020464</v>
      </c>
      <c r="AM13" s="58">
        <v>180.07</v>
      </c>
      <c r="AN13" s="65">
        <f t="shared" si="15"/>
        <v>19.99999999998181</v>
      </c>
      <c r="AO13" s="58">
        <v>171.71</v>
      </c>
      <c r="AP13" s="65">
        <f t="shared" si="15"/>
        <v>30.000000000001137</v>
      </c>
      <c r="AQ13" s="58">
        <v>230.01</v>
      </c>
      <c r="AR13" s="65">
        <f t="shared" si="16"/>
        <v>39.999999999992042</v>
      </c>
      <c r="AS13" s="58">
        <v>357.92</v>
      </c>
      <c r="AT13" s="65">
        <f t="shared" si="17"/>
        <v>69.999999999993179</v>
      </c>
      <c r="AU13" s="58">
        <v>276.19</v>
      </c>
      <c r="AV13" s="65">
        <f t="shared" si="18"/>
        <v>29.999999999972715</v>
      </c>
      <c r="AW13" s="58">
        <v>312.41000000000003</v>
      </c>
      <c r="AX13" s="65">
        <f t="shared" si="19"/>
        <v>20.000000000038654</v>
      </c>
      <c r="AY13" s="58">
        <v>357.41</v>
      </c>
      <c r="AZ13" s="65">
        <f t="shared" si="20"/>
        <v>50.000000000011369</v>
      </c>
      <c r="BA13" s="58">
        <v>378.73</v>
      </c>
      <c r="BB13" s="65">
        <f t="shared" si="21"/>
        <v>30.000000000029559</v>
      </c>
      <c r="BC13" s="58">
        <v>237.06</v>
      </c>
      <c r="BD13" s="65">
        <f t="shared" si="22"/>
        <v>30.000000000001137</v>
      </c>
      <c r="BE13" s="59">
        <v>36264</v>
      </c>
      <c r="BF13" s="67">
        <f t="shared" si="40"/>
        <v>33</v>
      </c>
      <c r="BG13" s="60">
        <v>229.72</v>
      </c>
      <c r="BH13" s="65">
        <f t="shared" si="23"/>
        <v>39.999999999992042</v>
      </c>
      <c r="BI13" s="60">
        <v>289.06</v>
      </c>
      <c r="BJ13" s="65">
        <f t="shared" si="41"/>
        <v>40.000000000020464</v>
      </c>
      <c r="BK13" s="60">
        <v>233.3</v>
      </c>
      <c r="BL13" s="65">
        <f t="shared" si="24"/>
        <v>20.000000000010232</v>
      </c>
      <c r="BM13" s="60">
        <v>219.34</v>
      </c>
      <c r="BN13" s="65">
        <f t="shared" si="25"/>
        <v>30.000000000001137</v>
      </c>
      <c r="BO13" s="60">
        <v>284.3</v>
      </c>
      <c r="BP13" s="65">
        <f t="shared" si="26"/>
        <v>40.000000000020464</v>
      </c>
      <c r="BQ13" s="60">
        <v>42256</v>
      </c>
      <c r="BR13" s="65">
        <f t="shared" si="27"/>
        <v>31</v>
      </c>
      <c r="BS13" s="60">
        <v>197.47</v>
      </c>
      <c r="BT13" s="65">
        <f t="shared" si="42"/>
        <v>30.000000000001137</v>
      </c>
      <c r="BU13" s="60">
        <v>35873</v>
      </c>
      <c r="BV13" s="65">
        <f t="shared" si="28"/>
        <v>22</v>
      </c>
      <c r="BW13" s="60">
        <v>228.94</v>
      </c>
      <c r="BX13" s="65">
        <f t="shared" si="29"/>
        <v>20.000000000010232</v>
      </c>
      <c r="BY13" s="60">
        <v>54862</v>
      </c>
      <c r="BZ13" s="67">
        <f t="shared" si="30"/>
        <v>42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55864.1</v>
      </c>
      <c r="CH13" s="67">
        <f t="shared" si="34"/>
        <v>32</v>
      </c>
      <c r="CI13" s="60">
        <v>916065</v>
      </c>
      <c r="CJ13" s="67">
        <f t="shared" si="35"/>
        <v>178</v>
      </c>
      <c r="CK13" s="60">
        <v>689.53</v>
      </c>
      <c r="CL13" s="64">
        <f t="shared" si="36"/>
        <v>549.99999999995453</v>
      </c>
      <c r="CM13" s="65">
        <f t="shared" si="37"/>
        <v>37.899999999999636</v>
      </c>
      <c r="CN13" s="62">
        <v>0</v>
      </c>
      <c r="CO13" s="62">
        <v>0</v>
      </c>
      <c r="CP13" s="68">
        <v>4402.5</v>
      </c>
      <c r="CQ13" s="67">
        <f>IF((CP13-CP12&lt;0), "",CP13-CP12)</f>
        <v>28.899999999999636</v>
      </c>
      <c r="CR13" s="68">
        <v>12185</v>
      </c>
      <c r="CS13" s="67">
        <f t="shared" si="38"/>
        <v>9</v>
      </c>
      <c r="CT13" s="75">
        <v>5029</v>
      </c>
      <c r="CU13" s="67">
        <f t="shared" si="38"/>
        <v>13</v>
      </c>
      <c r="CV13" s="68">
        <v>12801</v>
      </c>
      <c r="CW13" s="67">
        <f t="shared" si="38"/>
        <v>20</v>
      </c>
    </row>
    <row r="14" spans="1:102" ht="25.5" customHeight="1" thickBot="1" x14ac:dyDescent="0.45">
      <c r="A14" s="63">
        <v>44266</v>
      </c>
      <c r="B14" s="44"/>
      <c r="C14" s="58">
        <v>2.0735000000000001</v>
      </c>
      <c r="D14" s="64">
        <f t="shared" si="0"/>
        <v>900.0000000001229</v>
      </c>
      <c r="E14" s="58">
        <v>2.948</v>
      </c>
      <c r="F14" s="64">
        <f t="shared" si="1"/>
        <v>1599.9999999998238</v>
      </c>
      <c r="G14" s="58">
        <v>3.0363000000000002</v>
      </c>
      <c r="H14" s="64">
        <f t="shared" si="2"/>
        <v>2100.0000000004347</v>
      </c>
      <c r="I14" s="58">
        <v>1.4862</v>
      </c>
      <c r="J14" s="64">
        <f t="shared" si="3"/>
        <v>1199.9999999998679</v>
      </c>
      <c r="K14" s="58">
        <v>2.4142000000000001</v>
      </c>
      <c r="L14" s="64">
        <f t="shared" si="39"/>
        <v>2099.9999999999909</v>
      </c>
      <c r="M14" s="58">
        <v>1.3554999999999999</v>
      </c>
      <c r="N14" s="64">
        <f t="shared" si="4"/>
        <v>699.99999999992292</v>
      </c>
      <c r="O14" s="58">
        <v>12821</v>
      </c>
      <c r="P14" s="67">
        <f t="shared" si="43"/>
        <v>73</v>
      </c>
      <c r="Q14" s="58">
        <v>461</v>
      </c>
      <c r="R14" s="67">
        <f t="shared" si="6"/>
        <v>6</v>
      </c>
      <c r="S14" s="58">
        <v>906981.8</v>
      </c>
      <c r="T14" s="67">
        <f t="shared" si="7"/>
        <v>358</v>
      </c>
      <c r="U14" s="58">
        <v>378430.6</v>
      </c>
      <c r="V14" s="67">
        <f t="shared" si="8"/>
        <v>271.69999999995343</v>
      </c>
      <c r="W14" s="58">
        <v>365.08</v>
      </c>
      <c r="X14" s="65">
        <f t="shared" si="9"/>
        <v>149.99999999997726</v>
      </c>
      <c r="Y14" s="58">
        <v>2.5697999999999999</v>
      </c>
      <c r="Z14" s="65">
        <f t="shared" si="10"/>
        <v>1399.9999999998458</v>
      </c>
      <c r="AA14" s="58">
        <v>360.44</v>
      </c>
      <c r="AB14" s="65">
        <f t="shared" si="11"/>
        <v>180.00000000000682</v>
      </c>
      <c r="AC14" s="58">
        <v>346.52</v>
      </c>
      <c r="AD14" s="65">
        <f t="shared" si="12"/>
        <v>169.99999999995907</v>
      </c>
      <c r="AE14" s="58">
        <v>535.16999999999996</v>
      </c>
      <c r="AF14" s="65">
        <f t="shared" si="13"/>
        <v>199.99999999993179</v>
      </c>
      <c r="AG14" s="58">
        <v>728</v>
      </c>
      <c r="AH14" s="67">
        <f t="shared" si="14"/>
        <v>31</v>
      </c>
      <c r="AI14" s="58">
        <v>537.80999999999995</v>
      </c>
      <c r="AJ14" s="65">
        <f t="shared" si="15"/>
        <v>339.99999999991815</v>
      </c>
      <c r="AK14" s="58">
        <v>182.83</v>
      </c>
      <c r="AL14" s="65">
        <f t="shared" si="15"/>
        <v>30.000000000001137</v>
      </c>
      <c r="AM14" s="58">
        <v>180.08</v>
      </c>
      <c r="AN14" s="65">
        <f t="shared" si="15"/>
        <v>10.000000000019327</v>
      </c>
      <c r="AO14" s="58">
        <v>171.75</v>
      </c>
      <c r="AP14" s="65">
        <f t="shared" si="15"/>
        <v>39.999999999992042</v>
      </c>
      <c r="AQ14" s="58">
        <v>230.05</v>
      </c>
      <c r="AR14" s="65">
        <f t="shared" si="16"/>
        <v>40.000000000020464</v>
      </c>
      <c r="AS14" s="58">
        <v>357.96</v>
      </c>
      <c r="AT14" s="65">
        <f t="shared" si="17"/>
        <v>39.99999999996362</v>
      </c>
      <c r="AU14" s="58">
        <v>276.20999999999998</v>
      </c>
      <c r="AV14" s="65">
        <f t="shared" si="18"/>
        <v>19.99999999998181</v>
      </c>
      <c r="AW14" s="58">
        <v>312.44</v>
      </c>
      <c r="AX14" s="65">
        <f t="shared" si="19"/>
        <v>29.999999999972715</v>
      </c>
      <c r="AY14" s="58">
        <v>357.43</v>
      </c>
      <c r="AZ14" s="65">
        <f t="shared" si="20"/>
        <v>19.99999999998181</v>
      </c>
      <c r="BA14" s="58">
        <v>378.75</v>
      </c>
      <c r="BB14" s="65">
        <f t="shared" si="21"/>
        <v>19.99999999998181</v>
      </c>
      <c r="BC14" s="58">
        <v>237.08</v>
      </c>
      <c r="BD14" s="65">
        <f t="shared" si="22"/>
        <v>20.000000000010232</v>
      </c>
      <c r="BE14" s="59">
        <v>36297</v>
      </c>
      <c r="BF14" s="67">
        <f t="shared" si="40"/>
        <v>33</v>
      </c>
      <c r="BG14" s="60">
        <v>229.76</v>
      </c>
      <c r="BH14" s="65">
        <f t="shared" si="23"/>
        <v>39.999999999992042</v>
      </c>
      <c r="BI14" s="60">
        <v>289.08999999999997</v>
      </c>
      <c r="BJ14" s="65">
        <f t="shared" si="41"/>
        <v>29.999999999972715</v>
      </c>
      <c r="BK14" s="60">
        <v>233.31</v>
      </c>
      <c r="BL14" s="65">
        <f t="shared" si="24"/>
        <v>9.9999999999909051</v>
      </c>
      <c r="BM14" s="60">
        <v>219.38</v>
      </c>
      <c r="BN14" s="65">
        <f t="shared" si="25"/>
        <v>39.999999999992042</v>
      </c>
      <c r="BO14" s="60">
        <v>284.32</v>
      </c>
      <c r="BP14" s="65">
        <f t="shared" si="26"/>
        <v>19.99999999998181</v>
      </c>
      <c r="BQ14" s="60">
        <v>42289</v>
      </c>
      <c r="BR14" s="65">
        <f t="shared" si="27"/>
        <v>33</v>
      </c>
      <c r="BS14" s="60">
        <v>197.5</v>
      </c>
      <c r="BT14" s="65">
        <f t="shared" si="42"/>
        <v>30.000000000001137</v>
      </c>
      <c r="BU14" s="60">
        <v>35895</v>
      </c>
      <c r="BV14" s="65">
        <f t="shared" si="28"/>
        <v>22</v>
      </c>
      <c r="BW14" s="60">
        <v>228.96</v>
      </c>
      <c r="BX14" s="65">
        <f t="shared" si="29"/>
        <v>20.000000000010232</v>
      </c>
      <c r="BY14" s="60">
        <v>54906</v>
      </c>
      <c r="BZ14" s="67">
        <f t="shared" si="30"/>
        <v>44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55896.9</v>
      </c>
      <c r="CH14" s="67">
        <f t="shared" si="34"/>
        <v>32.80000000000291</v>
      </c>
      <c r="CI14" s="60">
        <v>916245</v>
      </c>
      <c r="CJ14" s="67">
        <f t="shared" si="35"/>
        <v>180</v>
      </c>
      <c r="CK14" s="60">
        <v>690.13</v>
      </c>
      <c r="CL14" s="64">
        <f t="shared" si="36"/>
        <v>600.00000000002274</v>
      </c>
      <c r="CM14" s="65">
        <f t="shared" si="37"/>
        <v>36.680000000000291</v>
      </c>
      <c r="CN14" s="62">
        <v>0</v>
      </c>
      <c r="CO14" s="62">
        <v>0</v>
      </c>
      <c r="CP14" s="68">
        <v>4431.18</v>
      </c>
      <c r="CQ14" s="67">
        <f t="shared" si="38"/>
        <v>28.680000000000291</v>
      </c>
      <c r="CR14" s="68">
        <v>12193</v>
      </c>
      <c r="CS14" s="67">
        <f t="shared" si="38"/>
        <v>8</v>
      </c>
      <c r="CT14" s="75">
        <v>5042</v>
      </c>
      <c r="CU14" s="67">
        <f t="shared" si="38"/>
        <v>13</v>
      </c>
      <c r="CV14" s="68">
        <v>12824</v>
      </c>
      <c r="CW14" s="67">
        <f t="shared" si="38"/>
        <v>23</v>
      </c>
    </row>
    <row r="15" spans="1:102" ht="25.5" customHeight="1" thickBot="1" x14ac:dyDescent="0.45">
      <c r="A15" s="63">
        <v>44267</v>
      </c>
      <c r="B15" s="44"/>
      <c r="C15" s="58">
        <v>2.0746000000000002</v>
      </c>
      <c r="D15" s="64">
        <f t="shared" si="0"/>
        <v>1100.000000000101</v>
      </c>
      <c r="E15" s="58">
        <v>2.9493999999999998</v>
      </c>
      <c r="F15" s="64">
        <f t="shared" si="1"/>
        <v>1399.9999999998458</v>
      </c>
      <c r="G15" s="58">
        <v>3.0385</v>
      </c>
      <c r="H15" s="64">
        <f t="shared" si="2"/>
        <v>2199.9999999997576</v>
      </c>
      <c r="I15" s="58">
        <v>1.4875</v>
      </c>
      <c r="J15" s="64">
        <f t="shared" si="3"/>
        <v>1300.0000000000789</v>
      </c>
      <c r="K15" s="58">
        <v>2.4163999999999999</v>
      </c>
      <c r="L15" s="64">
        <f t="shared" si="39"/>
        <v>2199.9999999997576</v>
      </c>
      <c r="M15" s="58">
        <v>1.3563000000000001</v>
      </c>
      <c r="N15" s="64">
        <f t="shared" si="4"/>
        <v>800.00000000013392</v>
      </c>
      <c r="O15" s="58">
        <v>12821</v>
      </c>
      <c r="P15" s="67">
        <f t="shared" si="43"/>
        <v>0</v>
      </c>
      <c r="Q15" s="58">
        <v>467</v>
      </c>
      <c r="R15" s="67">
        <f t="shared" si="6"/>
        <v>6</v>
      </c>
      <c r="S15" s="58">
        <v>907385.2</v>
      </c>
      <c r="T15" s="67">
        <f t="shared" si="7"/>
        <v>403.39999999990687</v>
      </c>
      <c r="U15" s="58">
        <v>378702.3</v>
      </c>
      <c r="V15" s="67">
        <f t="shared" si="8"/>
        <v>271.70000000001164</v>
      </c>
      <c r="W15" s="58">
        <v>365.24</v>
      </c>
      <c r="X15" s="65">
        <f t="shared" si="9"/>
        <v>160.00000000002501</v>
      </c>
      <c r="Y15" s="58">
        <v>2.5710999999999999</v>
      </c>
      <c r="Z15" s="65">
        <f t="shared" si="10"/>
        <v>1300.0000000000789</v>
      </c>
      <c r="AA15" s="58">
        <v>360.7</v>
      </c>
      <c r="AB15" s="65">
        <f t="shared" si="11"/>
        <v>259.99999999999091</v>
      </c>
      <c r="AC15" s="58">
        <v>346.65</v>
      </c>
      <c r="AD15" s="65">
        <f t="shared" si="12"/>
        <v>129.99999999999545</v>
      </c>
      <c r="AE15" s="58">
        <v>535.39</v>
      </c>
      <c r="AF15" s="65">
        <f t="shared" si="13"/>
        <v>220.00000000002728</v>
      </c>
      <c r="AG15" s="58">
        <v>755</v>
      </c>
      <c r="AH15" s="67">
        <f t="shared" si="14"/>
        <v>27</v>
      </c>
      <c r="AI15" s="58">
        <v>538.20000000000005</v>
      </c>
      <c r="AJ15" s="65">
        <f t="shared" si="15"/>
        <v>390.00000000010004</v>
      </c>
      <c r="AK15" s="58">
        <v>182.88</v>
      </c>
      <c r="AL15" s="65">
        <f t="shared" si="15"/>
        <v>49.999999999982947</v>
      </c>
      <c r="AM15" s="58">
        <v>180.17</v>
      </c>
      <c r="AN15" s="65">
        <f t="shared" si="15"/>
        <v>89.999999999974989</v>
      </c>
      <c r="AO15" s="58">
        <v>171.79</v>
      </c>
      <c r="AP15" s="65">
        <f t="shared" si="15"/>
        <v>39.999999999992042</v>
      </c>
      <c r="AQ15" s="58">
        <v>230.08</v>
      </c>
      <c r="AR15" s="65">
        <f t="shared" si="16"/>
        <v>30.000000000001137</v>
      </c>
      <c r="AS15" s="58">
        <v>358</v>
      </c>
      <c r="AT15" s="65">
        <f t="shared" si="17"/>
        <v>40.000000000020464</v>
      </c>
      <c r="AU15" s="58">
        <v>276.27999999999997</v>
      </c>
      <c r="AV15" s="65">
        <f t="shared" si="18"/>
        <v>69.999999999993179</v>
      </c>
      <c r="AW15" s="58">
        <v>312.45999999999998</v>
      </c>
      <c r="AX15" s="65">
        <f t="shared" si="19"/>
        <v>19.99999999998181</v>
      </c>
      <c r="AY15" s="58">
        <v>357.47</v>
      </c>
      <c r="AZ15" s="65">
        <f t="shared" si="20"/>
        <v>40.000000000020464</v>
      </c>
      <c r="BA15" s="58">
        <v>378.78</v>
      </c>
      <c r="BB15" s="65">
        <f t="shared" si="21"/>
        <v>29.999999999972715</v>
      </c>
      <c r="BC15" s="58">
        <v>237.1</v>
      </c>
      <c r="BD15" s="65">
        <f t="shared" si="22"/>
        <v>19.99999999998181</v>
      </c>
      <c r="BE15" s="59">
        <v>36332</v>
      </c>
      <c r="BF15" s="67">
        <f t="shared" si="40"/>
        <v>35</v>
      </c>
      <c r="BG15" s="60">
        <v>229.8</v>
      </c>
      <c r="BH15" s="65">
        <f t="shared" si="23"/>
        <v>40.000000000020464</v>
      </c>
      <c r="BI15" s="60">
        <v>289.13</v>
      </c>
      <c r="BJ15" s="65">
        <f t="shared" si="41"/>
        <v>40.000000000020464</v>
      </c>
      <c r="BK15" s="60">
        <v>233.33</v>
      </c>
      <c r="BL15" s="65">
        <f t="shared" si="24"/>
        <v>20.000000000010232</v>
      </c>
      <c r="BM15" s="60">
        <v>219.43</v>
      </c>
      <c r="BN15" s="65">
        <f t="shared" si="25"/>
        <v>50.000000000011369</v>
      </c>
      <c r="BO15" s="60">
        <v>284.35000000000002</v>
      </c>
      <c r="BP15" s="65">
        <f t="shared" si="26"/>
        <v>30.000000000029559</v>
      </c>
      <c r="BQ15" s="60">
        <v>42324</v>
      </c>
      <c r="BR15" s="65">
        <f t="shared" si="27"/>
        <v>35</v>
      </c>
      <c r="BS15" s="60">
        <v>197.54</v>
      </c>
      <c r="BT15" s="65">
        <f t="shared" si="42"/>
        <v>39.999999999992042</v>
      </c>
      <c r="BU15" s="60">
        <v>35960</v>
      </c>
      <c r="BV15" s="65">
        <f t="shared" si="28"/>
        <v>65</v>
      </c>
      <c r="BW15" s="60">
        <v>228.98</v>
      </c>
      <c r="BX15" s="65">
        <f t="shared" si="29"/>
        <v>19.99999999998181</v>
      </c>
      <c r="BY15" s="60">
        <v>54957</v>
      </c>
      <c r="BZ15" s="67">
        <f t="shared" si="30"/>
        <v>51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55934.2</v>
      </c>
      <c r="CH15" s="67">
        <f t="shared" si="34"/>
        <v>37.299999999995634</v>
      </c>
      <c r="CI15" s="60">
        <v>916576</v>
      </c>
      <c r="CJ15" s="67">
        <f t="shared" si="35"/>
        <v>331</v>
      </c>
      <c r="CK15" s="60">
        <v>690.83</v>
      </c>
      <c r="CL15" s="64">
        <f t="shared" si="36"/>
        <v>700.00000000004547</v>
      </c>
      <c r="CM15" s="65">
        <f t="shared" si="37"/>
        <v>37.509999999999309</v>
      </c>
      <c r="CN15" s="62">
        <v>0</v>
      </c>
      <c r="CO15" s="62">
        <v>0</v>
      </c>
      <c r="CP15" s="68">
        <v>4459.6899999999996</v>
      </c>
      <c r="CQ15" s="67">
        <f t="shared" si="38"/>
        <v>28.509999999999309</v>
      </c>
      <c r="CR15" s="68">
        <v>12202</v>
      </c>
      <c r="CS15" s="67">
        <f t="shared" si="38"/>
        <v>9</v>
      </c>
      <c r="CT15" s="75">
        <v>5053</v>
      </c>
      <c r="CU15" s="67">
        <f t="shared" si="38"/>
        <v>11</v>
      </c>
      <c r="CV15" s="68">
        <v>12847</v>
      </c>
      <c r="CW15" s="67">
        <f t="shared" si="38"/>
        <v>23</v>
      </c>
    </row>
    <row r="16" spans="1:102" ht="25.5" customHeight="1" thickBot="1" x14ac:dyDescent="0.45">
      <c r="A16" s="63">
        <v>44268</v>
      </c>
      <c r="B16" s="44"/>
      <c r="C16" s="58">
        <v>2.0754000000000001</v>
      </c>
      <c r="D16" s="64">
        <f t="shared" si="0"/>
        <v>799.99999999991189</v>
      </c>
      <c r="E16" s="58">
        <v>2.9510000000000001</v>
      </c>
      <c r="F16" s="64">
        <f t="shared" si="1"/>
        <v>1600.0000000002678</v>
      </c>
      <c r="G16" s="58">
        <v>3.0407000000000002</v>
      </c>
      <c r="H16" s="64">
        <f t="shared" si="2"/>
        <v>2200.0000000002019</v>
      </c>
      <c r="I16" s="58">
        <v>1.4891000000000001</v>
      </c>
      <c r="J16" s="64">
        <f t="shared" si="3"/>
        <v>1600.0000000000459</v>
      </c>
      <c r="K16" s="58">
        <v>2.4186000000000001</v>
      </c>
      <c r="L16" s="64">
        <f t="shared" si="39"/>
        <v>2200.0000000002019</v>
      </c>
      <c r="M16" s="58">
        <v>1.357</v>
      </c>
      <c r="N16" s="64">
        <f t="shared" si="4"/>
        <v>699.99999999992292</v>
      </c>
      <c r="O16" s="58">
        <v>12821</v>
      </c>
      <c r="P16" s="67">
        <f t="shared" si="43"/>
        <v>0</v>
      </c>
      <c r="Q16" s="58">
        <v>474</v>
      </c>
      <c r="R16" s="67">
        <f t="shared" si="6"/>
        <v>7</v>
      </c>
      <c r="S16" s="58">
        <v>907738.2</v>
      </c>
      <c r="T16" s="67">
        <f t="shared" si="7"/>
        <v>353</v>
      </c>
      <c r="U16" s="58">
        <v>378980.4</v>
      </c>
      <c r="V16" s="67">
        <f t="shared" si="8"/>
        <v>278.10000000003492</v>
      </c>
      <c r="W16" s="58">
        <v>365.42</v>
      </c>
      <c r="X16" s="65">
        <f t="shared" si="9"/>
        <v>180.00000000000682</v>
      </c>
      <c r="Y16" s="58">
        <v>2.5722999999999998</v>
      </c>
      <c r="Z16" s="65">
        <f t="shared" si="10"/>
        <v>1199.9999999998679</v>
      </c>
      <c r="AA16" s="58">
        <v>360.94</v>
      </c>
      <c r="AB16" s="65">
        <f t="shared" si="11"/>
        <v>240.00000000000909</v>
      </c>
      <c r="AC16" s="58">
        <v>346.96</v>
      </c>
      <c r="AD16" s="65">
        <f t="shared" si="12"/>
        <v>310.00000000000227</v>
      </c>
      <c r="AE16" s="58">
        <v>535.59</v>
      </c>
      <c r="AF16" s="65">
        <f t="shared" si="13"/>
        <v>200.00000000004547</v>
      </c>
      <c r="AG16" s="58">
        <v>784</v>
      </c>
      <c r="AH16" s="67">
        <f t="shared" si="14"/>
        <v>29</v>
      </c>
      <c r="AI16" s="58">
        <v>538.44000000000005</v>
      </c>
      <c r="AJ16" s="65">
        <f t="shared" si="15"/>
        <v>240.00000000000909</v>
      </c>
      <c r="AK16" s="58">
        <v>182.92</v>
      </c>
      <c r="AL16" s="65">
        <f t="shared" si="15"/>
        <v>39.999999999992042</v>
      </c>
      <c r="AM16" s="58">
        <v>180.19</v>
      </c>
      <c r="AN16" s="65">
        <f t="shared" si="15"/>
        <v>20.000000000010232</v>
      </c>
      <c r="AO16" s="58">
        <v>171.83</v>
      </c>
      <c r="AP16" s="65">
        <f t="shared" si="15"/>
        <v>40.000000000020464</v>
      </c>
      <c r="AQ16" s="58">
        <v>230.12</v>
      </c>
      <c r="AR16" s="65">
        <f t="shared" si="16"/>
        <v>39.999999999992042</v>
      </c>
      <c r="AS16" s="58">
        <v>358.04</v>
      </c>
      <c r="AT16" s="65">
        <f t="shared" si="17"/>
        <v>40.000000000020464</v>
      </c>
      <c r="AU16" s="58">
        <v>276.36</v>
      </c>
      <c r="AV16" s="65">
        <f t="shared" si="18"/>
        <v>80.000000000040927</v>
      </c>
      <c r="AW16" s="58">
        <v>312.48</v>
      </c>
      <c r="AX16" s="65">
        <f t="shared" si="19"/>
        <v>20.000000000038654</v>
      </c>
      <c r="AY16" s="58">
        <v>357.49</v>
      </c>
      <c r="AZ16" s="65">
        <f t="shared" si="20"/>
        <v>19.99999999998181</v>
      </c>
      <c r="BA16" s="58">
        <v>378.8</v>
      </c>
      <c r="BB16" s="65">
        <f t="shared" si="21"/>
        <v>20.000000000038654</v>
      </c>
      <c r="BC16" s="58">
        <v>237.11</v>
      </c>
      <c r="BD16" s="65">
        <f t="shared" si="22"/>
        <v>10.000000000019327</v>
      </c>
      <c r="BE16" s="59">
        <v>36366</v>
      </c>
      <c r="BF16" s="67">
        <f t="shared" si="40"/>
        <v>34</v>
      </c>
      <c r="BG16" s="60">
        <v>229.84</v>
      </c>
      <c r="BH16" s="65">
        <f t="shared" si="23"/>
        <v>39.999999999992042</v>
      </c>
      <c r="BI16" s="60">
        <v>289.17</v>
      </c>
      <c r="BJ16" s="65">
        <f t="shared" si="41"/>
        <v>40.000000000020464</v>
      </c>
      <c r="BK16" s="60">
        <v>233.35</v>
      </c>
      <c r="BL16" s="65">
        <f t="shared" si="24"/>
        <v>19.99999999998181</v>
      </c>
      <c r="BM16" s="60">
        <v>219.48</v>
      </c>
      <c r="BN16" s="65">
        <f t="shared" si="25"/>
        <v>49.999999999982947</v>
      </c>
      <c r="BO16" s="60">
        <v>284.38</v>
      </c>
      <c r="BP16" s="65">
        <f t="shared" si="26"/>
        <v>29.999999999972715</v>
      </c>
      <c r="BQ16" s="60">
        <v>42359</v>
      </c>
      <c r="BR16" s="65">
        <f t="shared" si="27"/>
        <v>35</v>
      </c>
      <c r="BS16" s="60">
        <v>197.58</v>
      </c>
      <c r="BT16" s="65">
        <f t="shared" si="42"/>
        <v>40.000000000020464</v>
      </c>
      <c r="BU16" s="60">
        <v>36025</v>
      </c>
      <c r="BV16" s="65">
        <f t="shared" si="28"/>
        <v>65</v>
      </c>
      <c r="BW16" s="60">
        <v>229</v>
      </c>
      <c r="BX16" s="65">
        <f t="shared" si="29"/>
        <v>20.000000000010232</v>
      </c>
      <c r="BY16" s="60">
        <v>55013</v>
      </c>
      <c r="BZ16" s="67">
        <f t="shared" si="30"/>
        <v>56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55978.1</v>
      </c>
      <c r="CH16" s="67">
        <f t="shared" si="34"/>
        <v>43.900000000001455</v>
      </c>
      <c r="CI16" s="60">
        <v>916936</v>
      </c>
      <c r="CJ16" s="67">
        <f t="shared" si="35"/>
        <v>360</v>
      </c>
      <c r="CK16" s="60">
        <v>691.45</v>
      </c>
      <c r="CL16" s="64">
        <f t="shared" si="36"/>
        <v>620.00000000000455</v>
      </c>
      <c r="CM16" s="65">
        <f t="shared" si="37"/>
        <v>35.160000000000764</v>
      </c>
      <c r="CN16" s="62">
        <v>0</v>
      </c>
      <c r="CO16" s="62">
        <v>0</v>
      </c>
      <c r="CP16" s="68">
        <v>4483.8500000000004</v>
      </c>
      <c r="CQ16" s="67">
        <f t="shared" si="38"/>
        <v>24.160000000000764</v>
      </c>
      <c r="CR16" s="68">
        <v>12213</v>
      </c>
      <c r="CS16" s="67">
        <f t="shared" si="38"/>
        <v>11</v>
      </c>
      <c r="CT16" s="75">
        <v>5065</v>
      </c>
      <c r="CU16" s="67">
        <f t="shared" si="38"/>
        <v>12</v>
      </c>
      <c r="CV16" s="68">
        <v>12868</v>
      </c>
      <c r="CW16" s="67">
        <f t="shared" si="38"/>
        <v>21</v>
      </c>
    </row>
    <row r="17" spans="1:101" ht="25.5" customHeight="1" thickBot="1" x14ac:dyDescent="0.45">
      <c r="A17" s="63">
        <v>44269</v>
      </c>
      <c r="B17" s="44"/>
      <c r="C17" s="58">
        <v>2.0762999999999998</v>
      </c>
      <c r="D17" s="64">
        <f t="shared" si="0"/>
        <v>899.99999999967883</v>
      </c>
      <c r="E17" s="58">
        <v>2.9521000000000002</v>
      </c>
      <c r="F17" s="64">
        <f t="shared" si="1"/>
        <v>1100.000000000101</v>
      </c>
      <c r="G17" s="58">
        <v>3.0424000000000002</v>
      </c>
      <c r="H17" s="64">
        <f t="shared" si="2"/>
        <v>1700.0000000000348</v>
      </c>
      <c r="I17" s="58">
        <v>1.4904999999999999</v>
      </c>
      <c r="J17" s="64">
        <f t="shared" si="3"/>
        <v>1399.9999999998458</v>
      </c>
      <c r="K17" s="58">
        <v>2.4207999999999998</v>
      </c>
      <c r="L17" s="64">
        <f t="shared" si="39"/>
        <v>2199.9999999997576</v>
      </c>
      <c r="M17" s="58">
        <v>1.3576999999999999</v>
      </c>
      <c r="N17" s="64">
        <f t="shared" si="4"/>
        <v>699.99999999992292</v>
      </c>
      <c r="O17" s="58">
        <v>12875</v>
      </c>
      <c r="P17" s="67">
        <f t="shared" si="43"/>
        <v>54</v>
      </c>
      <c r="Q17" s="58">
        <v>479</v>
      </c>
      <c r="R17" s="67">
        <f t="shared" si="6"/>
        <v>5</v>
      </c>
      <c r="S17" s="58">
        <v>907827.8</v>
      </c>
      <c r="T17" s="67">
        <f t="shared" si="7"/>
        <v>89.600000000093132</v>
      </c>
      <c r="U17" s="58">
        <v>379048.4</v>
      </c>
      <c r="V17" s="67">
        <f t="shared" si="8"/>
        <v>68</v>
      </c>
      <c r="W17" s="58">
        <v>365.59</v>
      </c>
      <c r="X17" s="65">
        <f t="shared" si="9"/>
        <v>169.99999999995907</v>
      </c>
      <c r="Y17" s="58">
        <v>2.5731999999999999</v>
      </c>
      <c r="Z17" s="65">
        <f t="shared" si="10"/>
        <v>900.0000000001229</v>
      </c>
      <c r="AA17" s="58">
        <v>361.17</v>
      </c>
      <c r="AB17" s="65">
        <f t="shared" si="11"/>
        <v>230.00000000001819</v>
      </c>
      <c r="AC17" s="58">
        <v>347.17</v>
      </c>
      <c r="AD17" s="65">
        <f t="shared" si="12"/>
        <v>210.00000000003638</v>
      </c>
      <c r="AE17" s="58">
        <v>535.77</v>
      </c>
      <c r="AF17" s="65">
        <f t="shared" si="13"/>
        <v>179.99999999994998</v>
      </c>
      <c r="AG17" s="58">
        <v>814</v>
      </c>
      <c r="AH17" s="67">
        <f t="shared" si="14"/>
        <v>30</v>
      </c>
      <c r="AI17" s="58">
        <v>538.69000000000005</v>
      </c>
      <c r="AJ17" s="65">
        <f t="shared" si="15"/>
        <v>250</v>
      </c>
      <c r="AK17" s="58">
        <v>182.95</v>
      </c>
      <c r="AL17" s="65">
        <f t="shared" si="15"/>
        <v>30.000000000001137</v>
      </c>
      <c r="AM17" s="58">
        <v>180.19</v>
      </c>
      <c r="AN17" s="65">
        <f t="shared" si="15"/>
        <v>0</v>
      </c>
      <c r="AO17" s="58">
        <v>172.06</v>
      </c>
      <c r="AP17" s="65">
        <f t="shared" si="15"/>
        <v>229.99999999998977</v>
      </c>
      <c r="AQ17" s="58">
        <v>230.17</v>
      </c>
      <c r="AR17" s="65">
        <f t="shared" si="16"/>
        <v>49.999999999982947</v>
      </c>
      <c r="AS17" s="58">
        <v>358.08</v>
      </c>
      <c r="AT17" s="65">
        <f t="shared" si="17"/>
        <v>39.99999999996362</v>
      </c>
      <c r="AU17" s="58">
        <v>276.39999999999998</v>
      </c>
      <c r="AV17" s="65">
        <f t="shared" si="18"/>
        <v>39.99999999996362</v>
      </c>
      <c r="AW17" s="58">
        <v>312.5</v>
      </c>
      <c r="AX17" s="65">
        <f t="shared" si="19"/>
        <v>19.99999999998181</v>
      </c>
      <c r="AY17" s="58">
        <v>357.51</v>
      </c>
      <c r="AZ17" s="65">
        <f t="shared" si="20"/>
        <v>19.99999999998181</v>
      </c>
      <c r="BA17" s="58">
        <v>378.81</v>
      </c>
      <c r="BB17" s="65">
        <f t="shared" si="21"/>
        <v>9.9999999999909051</v>
      </c>
      <c r="BC17" s="58">
        <v>237.13</v>
      </c>
      <c r="BD17" s="65">
        <f t="shared" si="22"/>
        <v>19.99999999998181</v>
      </c>
      <c r="BE17" s="59">
        <v>36398</v>
      </c>
      <c r="BF17" s="67">
        <f t="shared" si="40"/>
        <v>32</v>
      </c>
      <c r="BG17" s="60">
        <v>229.89</v>
      </c>
      <c r="BH17" s="65">
        <f t="shared" si="23"/>
        <v>49.999999999982947</v>
      </c>
      <c r="BI17" s="60">
        <v>289.20999999999998</v>
      </c>
      <c r="BJ17" s="65">
        <f t="shared" si="41"/>
        <v>39.99999999996362</v>
      </c>
      <c r="BK17" s="60">
        <v>233.37</v>
      </c>
      <c r="BL17" s="65">
        <f t="shared" si="24"/>
        <v>20.000000000010232</v>
      </c>
      <c r="BM17" s="60">
        <v>219.52</v>
      </c>
      <c r="BN17" s="65">
        <f t="shared" si="25"/>
        <v>40.000000000020464</v>
      </c>
      <c r="BO17" s="60">
        <v>284.41000000000003</v>
      </c>
      <c r="BP17" s="65">
        <f t="shared" si="26"/>
        <v>30.000000000029559</v>
      </c>
      <c r="BQ17" s="60">
        <v>42391</v>
      </c>
      <c r="BR17" s="65">
        <f t="shared" si="27"/>
        <v>32</v>
      </c>
      <c r="BS17" s="60">
        <v>197.61</v>
      </c>
      <c r="BT17" s="65">
        <f t="shared" si="42"/>
        <v>30.000000000001137</v>
      </c>
      <c r="BU17" s="60">
        <v>36067</v>
      </c>
      <c r="BV17" s="65">
        <f t="shared" si="28"/>
        <v>42</v>
      </c>
      <c r="BW17" s="60">
        <v>229.03</v>
      </c>
      <c r="BX17" s="65">
        <f t="shared" si="29"/>
        <v>30.000000000001137</v>
      </c>
      <c r="BY17" s="60">
        <v>55071</v>
      </c>
      <c r="BZ17" s="67">
        <f t="shared" si="30"/>
        <v>58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56020.800000000003</v>
      </c>
      <c r="CH17" s="67">
        <f t="shared" si="34"/>
        <v>42.700000000004366</v>
      </c>
      <c r="CI17" s="60">
        <v>917271</v>
      </c>
      <c r="CJ17" s="67">
        <f t="shared" si="35"/>
        <v>335</v>
      </c>
      <c r="CK17" s="60">
        <v>691.91</v>
      </c>
      <c r="CL17" s="64">
        <f t="shared" si="36"/>
        <v>459.99999999992269</v>
      </c>
      <c r="CM17" s="65">
        <f t="shared" si="37"/>
        <v>30.099999999999454</v>
      </c>
      <c r="CN17" s="62">
        <v>0</v>
      </c>
      <c r="CO17" s="62">
        <v>0</v>
      </c>
      <c r="CP17" s="68">
        <v>4504.95</v>
      </c>
      <c r="CQ17" s="67">
        <f t="shared" si="38"/>
        <v>21.099999999999454</v>
      </c>
      <c r="CR17" s="68">
        <v>12222</v>
      </c>
      <c r="CS17" s="67">
        <f t="shared" si="38"/>
        <v>9</v>
      </c>
      <c r="CT17" s="75">
        <v>5079</v>
      </c>
      <c r="CU17" s="67">
        <f t="shared" si="38"/>
        <v>14</v>
      </c>
      <c r="CV17" s="68">
        <v>12890</v>
      </c>
      <c r="CW17" s="67">
        <f t="shared" si="38"/>
        <v>22</v>
      </c>
    </row>
    <row r="18" spans="1:101" ht="25.5" customHeight="1" thickBot="1" x14ac:dyDescent="0.45">
      <c r="A18" s="63">
        <v>44270</v>
      </c>
      <c r="B18" s="44"/>
      <c r="C18" s="58">
        <v>2.0773999999999999</v>
      </c>
      <c r="D18" s="64">
        <f t="shared" si="0"/>
        <v>1100.000000000101</v>
      </c>
      <c r="E18" s="58">
        <v>2.9538000000000002</v>
      </c>
      <c r="F18" s="64">
        <f t="shared" si="1"/>
        <v>1700.0000000000348</v>
      </c>
      <c r="G18" s="58">
        <v>3.0445000000000002</v>
      </c>
      <c r="H18" s="64">
        <f t="shared" si="2"/>
        <v>2099.9999999999909</v>
      </c>
      <c r="I18" s="58">
        <v>1.4921</v>
      </c>
      <c r="J18" s="64">
        <f t="shared" si="3"/>
        <v>1600.0000000000459</v>
      </c>
      <c r="K18" s="58">
        <v>2.4228999999999998</v>
      </c>
      <c r="L18" s="64">
        <f t="shared" si="39"/>
        <v>2099.9999999999909</v>
      </c>
      <c r="M18" s="58">
        <v>1.3585</v>
      </c>
      <c r="N18" s="64">
        <f t="shared" si="4"/>
        <v>800.00000000013392</v>
      </c>
      <c r="O18" s="58">
        <v>12894</v>
      </c>
      <c r="P18" s="67">
        <f t="shared" si="43"/>
        <v>19</v>
      </c>
      <c r="Q18" s="58">
        <v>484</v>
      </c>
      <c r="R18" s="67">
        <f t="shared" si="6"/>
        <v>5</v>
      </c>
      <c r="S18" s="58">
        <v>908216.2</v>
      </c>
      <c r="T18" s="67">
        <f t="shared" si="7"/>
        <v>388.39999999990687</v>
      </c>
      <c r="U18" s="58">
        <v>379280.1</v>
      </c>
      <c r="V18" s="67">
        <f t="shared" si="8"/>
        <v>231.69999999995343</v>
      </c>
      <c r="W18" s="58">
        <v>365.77</v>
      </c>
      <c r="X18" s="65">
        <f t="shared" si="9"/>
        <v>180.00000000000682</v>
      </c>
      <c r="Y18" s="58">
        <v>2.5747</v>
      </c>
      <c r="Z18" s="65">
        <f t="shared" si="10"/>
        <v>1500.0000000000568</v>
      </c>
      <c r="AA18" s="58">
        <v>361.38</v>
      </c>
      <c r="AB18" s="65">
        <f t="shared" si="11"/>
        <v>209.99999999997954</v>
      </c>
      <c r="AC18" s="58">
        <v>347.38</v>
      </c>
      <c r="AD18" s="65">
        <f t="shared" si="12"/>
        <v>209.99999999997954</v>
      </c>
      <c r="AE18" s="58">
        <v>536</v>
      </c>
      <c r="AF18" s="65">
        <f t="shared" si="13"/>
        <v>230.00000000001819</v>
      </c>
      <c r="AG18" s="58">
        <v>847</v>
      </c>
      <c r="AH18" s="67">
        <f t="shared" si="14"/>
        <v>33</v>
      </c>
      <c r="AI18" s="58">
        <v>538.94000000000005</v>
      </c>
      <c r="AJ18" s="65">
        <f t="shared" si="15"/>
        <v>250</v>
      </c>
      <c r="AK18" s="58">
        <v>183</v>
      </c>
      <c r="AL18" s="65">
        <f t="shared" si="15"/>
        <v>50.000000000011369</v>
      </c>
      <c r="AM18" s="58">
        <v>180.22</v>
      </c>
      <c r="AN18" s="65">
        <f t="shared" si="15"/>
        <v>30.000000000001137</v>
      </c>
      <c r="AO18" s="58">
        <v>172.36</v>
      </c>
      <c r="AP18" s="65">
        <f t="shared" si="15"/>
        <v>300.00000000001137</v>
      </c>
      <c r="AQ18" s="58">
        <v>230.29</v>
      </c>
      <c r="AR18" s="65">
        <f t="shared" si="16"/>
        <v>120.00000000000455</v>
      </c>
      <c r="AS18" s="58">
        <v>358.12</v>
      </c>
      <c r="AT18" s="65">
        <f t="shared" si="17"/>
        <v>40.000000000020464</v>
      </c>
      <c r="AU18" s="58">
        <v>276.42</v>
      </c>
      <c r="AV18" s="65">
        <f t="shared" si="18"/>
        <v>20.000000000038654</v>
      </c>
      <c r="AW18" s="58">
        <v>312.52</v>
      </c>
      <c r="AX18" s="65">
        <f t="shared" si="19"/>
        <v>19.99999999998181</v>
      </c>
      <c r="AY18" s="58">
        <v>357.54</v>
      </c>
      <c r="AZ18" s="65">
        <f t="shared" si="20"/>
        <v>30.000000000029559</v>
      </c>
      <c r="BA18" s="58">
        <v>378.84</v>
      </c>
      <c r="BB18" s="65">
        <f t="shared" si="21"/>
        <v>29.999999999972715</v>
      </c>
      <c r="BC18" s="58">
        <v>237.15</v>
      </c>
      <c r="BD18" s="65">
        <f t="shared" si="22"/>
        <v>20.000000000010232</v>
      </c>
      <c r="BE18" s="59">
        <v>36428</v>
      </c>
      <c r="BF18" s="67">
        <f t="shared" si="40"/>
        <v>30</v>
      </c>
      <c r="BG18" s="60">
        <v>229.93</v>
      </c>
      <c r="BH18" s="65">
        <f t="shared" si="23"/>
        <v>40.000000000020464</v>
      </c>
      <c r="BI18" s="60">
        <v>289.25</v>
      </c>
      <c r="BJ18" s="65">
        <f t="shared" si="41"/>
        <v>40.000000000020464</v>
      </c>
      <c r="BK18" s="60">
        <v>233.38</v>
      </c>
      <c r="BL18" s="65">
        <f t="shared" si="24"/>
        <v>9.9999999999909051</v>
      </c>
      <c r="BM18" s="60">
        <v>219.56</v>
      </c>
      <c r="BN18" s="65">
        <f t="shared" si="25"/>
        <v>39.999999999992042</v>
      </c>
      <c r="BO18" s="60">
        <v>284.44</v>
      </c>
      <c r="BP18" s="65">
        <f t="shared" si="26"/>
        <v>29.999999999972715</v>
      </c>
      <c r="BQ18" s="60">
        <v>42419</v>
      </c>
      <c r="BR18" s="65">
        <f t="shared" si="27"/>
        <v>28</v>
      </c>
      <c r="BS18" s="60">
        <v>197.66</v>
      </c>
      <c r="BT18" s="65">
        <f t="shared" si="42"/>
        <v>49.999999999982947</v>
      </c>
      <c r="BU18" s="60">
        <v>36101</v>
      </c>
      <c r="BV18" s="65">
        <f t="shared" si="28"/>
        <v>34</v>
      </c>
      <c r="BW18" s="60">
        <v>229.06</v>
      </c>
      <c r="BX18" s="65">
        <f t="shared" si="29"/>
        <v>30.000000000001137</v>
      </c>
      <c r="BY18" s="60">
        <v>55116</v>
      </c>
      <c r="BZ18" s="67">
        <f t="shared" si="30"/>
        <v>45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56053</v>
      </c>
      <c r="CH18" s="67">
        <f t="shared" si="34"/>
        <v>32.19999999999709</v>
      </c>
      <c r="CI18" s="60">
        <v>917690</v>
      </c>
      <c r="CJ18" s="67">
        <f t="shared" si="35"/>
        <v>419</v>
      </c>
      <c r="CK18" s="60">
        <v>692.51</v>
      </c>
      <c r="CL18" s="64">
        <f t="shared" si="36"/>
        <v>600.00000000002274</v>
      </c>
      <c r="CM18" s="65">
        <f t="shared" si="37"/>
        <v>38.600000000000364</v>
      </c>
      <c r="CN18" s="62">
        <v>0</v>
      </c>
      <c r="CO18" s="62">
        <v>0</v>
      </c>
      <c r="CP18" s="68">
        <v>4533.55</v>
      </c>
      <c r="CQ18" s="67">
        <f t="shared" si="38"/>
        <v>28.600000000000364</v>
      </c>
      <c r="CR18" s="68">
        <v>12232</v>
      </c>
      <c r="CS18" s="67">
        <f t="shared" si="38"/>
        <v>10</v>
      </c>
      <c r="CT18" s="75">
        <v>5091</v>
      </c>
      <c r="CU18" s="67">
        <f t="shared" si="38"/>
        <v>12</v>
      </c>
      <c r="CV18" s="68">
        <v>12906</v>
      </c>
      <c r="CW18" s="67">
        <f t="shared" si="38"/>
        <v>16</v>
      </c>
    </row>
    <row r="19" spans="1:101" ht="25.5" customHeight="1" thickBot="1" x14ac:dyDescent="0.45">
      <c r="A19" s="63">
        <v>44271</v>
      </c>
      <c r="B19" s="44"/>
      <c r="C19" s="58">
        <v>2.0785999999999998</v>
      </c>
      <c r="D19" s="64">
        <f t="shared" si="0"/>
        <v>1199.9999999998679</v>
      </c>
      <c r="E19" s="58">
        <v>2.956</v>
      </c>
      <c r="F19" s="64">
        <f t="shared" si="1"/>
        <v>2199.9999999997576</v>
      </c>
      <c r="G19" s="58">
        <v>3.0465</v>
      </c>
      <c r="H19" s="64">
        <f t="shared" si="2"/>
        <v>1999.9999999997797</v>
      </c>
      <c r="I19" s="58">
        <v>1.4934000000000001</v>
      </c>
      <c r="J19" s="64">
        <f t="shared" si="3"/>
        <v>1300.0000000000789</v>
      </c>
      <c r="K19" s="58">
        <v>2.4247000000000001</v>
      </c>
      <c r="L19" s="64">
        <f t="shared" si="39"/>
        <v>1800.0000000002458</v>
      </c>
      <c r="M19" s="58">
        <v>1.3594999999999999</v>
      </c>
      <c r="N19" s="64">
        <f t="shared" si="4"/>
        <v>999.99999999988984</v>
      </c>
      <c r="O19" s="58">
        <v>12934</v>
      </c>
      <c r="P19" s="67">
        <f t="shared" si="43"/>
        <v>40</v>
      </c>
      <c r="Q19" s="58">
        <v>489</v>
      </c>
      <c r="R19" s="67">
        <f t="shared" si="6"/>
        <v>5</v>
      </c>
      <c r="S19" s="58">
        <v>908683</v>
      </c>
      <c r="T19" s="67">
        <f t="shared" si="7"/>
        <v>466.80000000004657</v>
      </c>
      <c r="U19" s="58">
        <v>379583.5</v>
      </c>
      <c r="V19" s="67">
        <f t="shared" si="8"/>
        <v>303.40000000002328</v>
      </c>
      <c r="W19" s="58">
        <v>365.92</v>
      </c>
      <c r="X19" s="65">
        <f t="shared" si="9"/>
        <v>150.00000000003411</v>
      </c>
      <c r="Y19" s="58">
        <v>2.5767000000000002</v>
      </c>
      <c r="Z19" s="65">
        <f t="shared" si="10"/>
        <v>2000.0000000002237</v>
      </c>
      <c r="AA19" s="58">
        <v>361.74</v>
      </c>
      <c r="AB19" s="65">
        <f t="shared" si="11"/>
        <v>360.00000000001364</v>
      </c>
      <c r="AC19" s="58">
        <v>347.57</v>
      </c>
      <c r="AD19" s="65">
        <f t="shared" si="12"/>
        <v>189.99999999999773</v>
      </c>
      <c r="AE19" s="58">
        <v>536.23</v>
      </c>
      <c r="AF19" s="65">
        <f t="shared" si="13"/>
        <v>230.00000000001819</v>
      </c>
      <c r="AG19" s="58">
        <v>870</v>
      </c>
      <c r="AH19" s="67">
        <f t="shared" si="14"/>
        <v>23</v>
      </c>
      <c r="AI19" s="58">
        <v>539.13</v>
      </c>
      <c r="AJ19" s="65">
        <f t="shared" si="15"/>
        <v>189.99999999994088</v>
      </c>
      <c r="AK19" s="58">
        <v>183.12</v>
      </c>
      <c r="AL19" s="65">
        <f t="shared" si="15"/>
        <v>120.00000000000455</v>
      </c>
      <c r="AM19" s="58">
        <v>180.24</v>
      </c>
      <c r="AN19" s="65">
        <f t="shared" si="15"/>
        <v>20.000000000010232</v>
      </c>
      <c r="AO19" s="58">
        <v>172.65</v>
      </c>
      <c r="AP19" s="65">
        <f t="shared" si="15"/>
        <v>289.99999999999204</v>
      </c>
      <c r="AQ19" s="58">
        <v>230.42</v>
      </c>
      <c r="AR19" s="65">
        <f t="shared" si="16"/>
        <v>129.99999999999545</v>
      </c>
      <c r="AS19" s="58">
        <v>358.15</v>
      </c>
      <c r="AT19" s="65">
        <f t="shared" si="17"/>
        <v>29.999999999972715</v>
      </c>
      <c r="AU19" s="58">
        <v>276.43</v>
      </c>
      <c r="AV19" s="65">
        <f t="shared" si="18"/>
        <v>9.9999999999909051</v>
      </c>
      <c r="AW19" s="58">
        <v>312.55</v>
      </c>
      <c r="AX19" s="65">
        <f t="shared" si="19"/>
        <v>30.000000000029559</v>
      </c>
      <c r="AY19" s="58">
        <v>357.56</v>
      </c>
      <c r="AZ19" s="65">
        <f t="shared" si="20"/>
        <v>19.99999999998181</v>
      </c>
      <c r="BA19" s="58">
        <v>378.85</v>
      </c>
      <c r="BB19" s="65">
        <f t="shared" si="21"/>
        <v>10.000000000047748</v>
      </c>
      <c r="BC19" s="58">
        <v>237.16</v>
      </c>
      <c r="BD19" s="65">
        <f t="shared" si="22"/>
        <v>9.9999999999909051</v>
      </c>
      <c r="BE19" s="59">
        <v>36463</v>
      </c>
      <c r="BF19" s="67">
        <f t="shared" si="40"/>
        <v>35</v>
      </c>
      <c r="BG19" s="60">
        <v>229.97</v>
      </c>
      <c r="BH19" s="65">
        <f t="shared" si="23"/>
        <v>39.999999999992042</v>
      </c>
      <c r="BI19" s="60">
        <v>289.29000000000002</v>
      </c>
      <c r="BJ19" s="65">
        <f t="shared" si="41"/>
        <v>40.000000000020464</v>
      </c>
      <c r="BK19" s="60">
        <v>233.4</v>
      </c>
      <c r="BL19" s="65">
        <f t="shared" si="24"/>
        <v>20.000000000010232</v>
      </c>
      <c r="BM19" s="60">
        <v>219.6</v>
      </c>
      <c r="BN19" s="65">
        <f t="shared" si="25"/>
        <v>39.999999999992042</v>
      </c>
      <c r="BO19" s="60">
        <v>284.47000000000003</v>
      </c>
      <c r="BP19" s="65">
        <f t="shared" si="26"/>
        <v>30.000000000029559</v>
      </c>
      <c r="BQ19" s="60">
        <v>42446</v>
      </c>
      <c r="BR19" s="65">
        <f t="shared" si="27"/>
        <v>27</v>
      </c>
      <c r="BS19" s="60">
        <v>197.68</v>
      </c>
      <c r="BT19" s="65">
        <f t="shared" si="42"/>
        <v>20.000000000010232</v>
      </c>
      <c r="BU19" s="60">
        <v>36127</v>
      </c>
      <c r="BV19" s="65">
        <f t="shared" si="28"/>
        <v>26</v>
      </c>
      <c r="BW19" s="60">
        <v>229.08</v>
      </c>
      <c r="BX19" s="65">
        <f t="shared" si="29"/>
        <v>20.000000000010232</v>
      </c>
      <c r="BY19" s="60">
        <v>55169</v>
      </c>
      <c r="BZ19" s="67">
        <f t="shared" si="30"/>
        <v>53</v>
      </c>
      <c r="CA19" s="60">
        <v>28686.1</v>
      </c>
      <c r="CB19" s="67">
        <f t="shared" si="31"/>
        <v>69.69999999999709</v>
      </c>
      <c r="CC19" s="60">
        <v>11277.2</v>
      </c>
      <c r="CD19" s="67">
        <f t="shared" si="32"/>
        <v>21.600000000000364</v>
      </c>
      <c r="CE19" s="60">
        <v>5623</v>
      </c>
      <c r="CF19" s="67">
        <f t="shared" si="33"/>
        <v>0</v>
      </c>
      <c r="CG19" s="60">
        <v>56076.7</v>
      </c>
      <c r="CH19" s="67">
        <f t="shared" si="34"/>
        <v>23.69999999999709</v>
      </c>
      <c r="CI19" s="60">
        <v>917991</v>
      </c>
      <c r="CJ19" s="67">
        <f t="shared" si="35"/>
        <v>301</v>
      </c>
      <c r="CK19" s="60">
        <v>692.96</v>
      </c>
      <c r="CL19" s="64">
        <f t="shared" si="36"/>
        <v>450.00000000004547</v>
      </c>
      <c r="CM19" s="65">
        <f t="shared" si="37"/>
        <v>47.149999999999636</v>
      </c>
      <c r="CN19" s="62">
        <v>0</v>
      </c>
      <c r="CO19" s="62">
        <v>0</v>
      </c>
      <c r="CP19" s="68">
        <v>4566.7</v>
      </c>
      <c r="CQ19" s="67">
        <f t="shared" si="38"/>
        <v>33.149999999999636</v>
      </c>
      <c r="CR19" s="68">
        <v>12246</v>
      </c>
      <c r="CS19" s="67">
        <f t="shared" si="38"/>
        <v>14</v>
      </c>
      <c r="CT19" s="75">
        <v>5099</v>
      </c>
      <c r="CU19" s="67">
        <f t="shared" si="38"/>
        <v>8</v>
      </c>
      <c r="CV19" s="68">
        <v>12920</v>
      </c>
      <c r="CW19" s="67">
        <f t="shared" si="38"/>
        <v>14</v>
      </c>
    </row>
    <row r="20" spans="1:101" ht="25.5" customHeight="1" thickBot="1" x14ac:dyDescent="0.45">
      <c r="A20" s="63">
        <v>44272</v>
      </c>
      <c r="B20" s="44"/>
      <c r="C20" s="58">
        <v>2.08</v>
      </c>
      <c r="D20" s="64">
        <f t="shared" si="0"/>
        <v>1400.0000000002899</v>
      </c>
      <c r="E20" s="58">
        <v>2.9584999999999999</v>
      </c>
      <c r="F20" s="64">
        <f t="shared" si="1"/>
        <v>2499.9999999999468</v>
      </c>
      <c r="G20" s="58">
        <v>3.0489999999999999</v>
      </c>
      <c r="H20" s="64">
        <f t="shared" si="2"/>
        <v>2499.9999999999468</v>
      </c>
      <c r="I20" s="58">
        <v>1.4948999999999999</v>
      </c>
      <c r="J20" s="64">
        <f t="shared" si="3"/>
        <v>1499.9999999998347</v>
      </c>
      <c r="K20" s="58">
        <v>2.4266999999999999</v>
      </c>
      <c r="L20" s="64">
        <f t="shared" si="39"/>
        <v>1999.9999999997797</v>
      </c>
      <c r="M20" s="58">
        <v>1.3604000000000001</v>
      </c>
      <c r="N20" s="64">
        <f t="shared" si="4"/>
        <v>900.0000000001229</v>
      </c>
      <c r="O20" s="58"/>
      <c r="P20" s="67" t="str">
        <f t="shared" si="43"/>
        <v/>
      </c>
      <c r="Q20" s="58">
        <v>497</v>
      </c>
      <c r="R20" s="67">
        <f t="shared" si="6"/>
        <v>8</v>
      </c>
      <c r="S20" s="58">
        <v>909404.8</v>
      </c>
      <c r="T20" s="67">
        <f t="shared" si="7"/>
        <v>721.80000000004657</v>
      </c>
      <c r="U20" s="58">
        <v>379946.8</v>
      </c>
      <c r="V20" s="67">
        <f t="shared" si="8"/>
        <v>363.29999999998836</v>
      </c>
      <c r="W20" s="58">
        <v>366.14</v>
      </c>
      <c r="X20" s="65">
        <f t="shared" si="9"/>
        <v>219.99999999997044</v>
      </c>
      <c r="Y20" s="58">
        <v>2.5790000000000002</v>
      </c>
      <c r="Z20" s="65">
        <f t="shared" si="10"/>
        <v>2299.9999999999686</v>
      </c>
      <c r="AA20" s="58">
        <v>362.17</v>
      </c>
      <c r="AB20" s="65">
        <f t="shared" si="11"/>
        <v>430.00000000000682</v>
      </c>
      <c r="AC20" s="58">
        <v>347.78</v>
      </c>
      <c r="AD20" s="65">
        <f t="shared" si="12"/>
        <v>209.99999999997954</v>
      </c>
      <c r="AE20" s="58">
        <v>536.51</v>
      </c>
      <c r="AF20" s="65">
        <f t="shared" si="13"/>
        <v>279.99999999997272</v>
      </c>
      <c r="AG20" s="58">
        <v>898</v>
      </c>
      <c r="AH20" s="67">
        <f t="shared" si="14"/>
        <v>28</v>
      </c>
      <c r="AI20" s="58">
        <v>539.41</v>
      </c>
      <c r="AJ20" s="65">
        <f t="shared" si="15"/>
        <v>279.99999999997272</v>
      </c>
      <c r="AK20" s="58">
        <v>183.36</v>
      </c>
      <c r="AL20" s="65">
        <f t="shared" si="15"/>
        <v>240.00000000000909</v>
      </c>
      <c r="AM20" s="58">
        <v>180.26</v>
      </c>
      <c r="AN20" s="65">
        <f t="shared" si="15"/>
        <v>19.99999999998181</v>
      </c>
      <c r="AO20" s="58">
        <v>172.98</v>
      </c>
      <c r="AP20" s="65">
        <f t="shared" si="15"/>
        <v>329.99999999998408</v>
      </c>
      <c r="AQ20" s="58">
        <v>230.61</v>
      </c>
      <c r="AR20" s="65">
        <f t="shared" si="16"/>
        <v>190.00000000002615</v>
      </c>
      <c r="AS20" s="58">
        <v>358.2</v>
      </c>
      <c r="AT20" s="65">
        <f t="shared" si="17"/>
        <v>50.000000000011369</v>
      </c>
      <c r="AU20" s="58">
        <v>276.45999999999998</v>
      </c>
      <c r="AV20" s="65">
        <f t="shared" si="18"/>
        <v>29.999999999972715</v>
      </c>
      <c r="AW20" s="58">
        <v>312.58</v>
      </c>
      <c r="AX20" s="65">
        <f t="shared" si="19"/>
        <v>29.999999999972715</v>
      </c>
      <c r="AY20" s="58">
        <v>357.59</v>
      </c>
      <c r="AZ20" s="65">
        <f t="shared" si="20"/>
        <v>29.999999999972715</v>
      </c>
      <c r="BA20" s="58">
        <v>378.87</v>
      </c>
      <c r="BB20" s="65">
        <f t="shared" si="21"/>
        <v>19.99999999998181</v>
      </c>
      <c r="BC20" s="58">
        <v>237.18</v>
      </c>
      <c r="BD20" s="65">
        <f t="shared" si="22"/>
        <v>20.000000000010232</v>
      </c>
      <c r="BE20" s="59"/>
      <c r="BF20" s="67" t="str">
        <f t="shared" si="40"/>
        <v/>
      </c>
      <c r="BG20" s="60">
        <v>230.01</v>
      </c>
      <c r="BH20" s="65">
        <f t="shared" si="23"/>
        <v>39.999999999992042</v>
      </c>
      <c r="BI20" s="60">
        <v>289.32</v>
      </c>
      <c r="BJ20" s="65">
        <f t="shared" si="41"/>
        <v>29.999999999972715</v>
      </c>
      <c r="BK20" s="60">
        <v>233.43</v>
      </c>
      <c r="BL20" s="65">
        <f t="shared" si="24"/>
        <v>30.000000000001137</v>
      </c>
      <c r="BM20" s="60">
        <v>219.64</v>
      </c>
      <c r="BN20" s="65">
        <f t="shared" si="25"/>
        <v>39.999999999992042</v>
      </c>
      <c r="BO20" s="60">
        <v>284.5</v>
      </c>
      <c r="BP20" s="65">
        <f t="shared" si="26"/>
        <v>29.999999999972715</v>
      </c>
      <c r="BQ20" s="60">
        <v>42474</v>
      </c>
      <c r="BR20" s="65">
        <f t="shared" si="27"/>
        <v>28</v>
      </c>
      <c r="BS20" s="60">
        <v>197.73</v>
      </c>
      <c r="BT20" s="65">
        <f t="shared" si="42"/>
        <v>49.999999999982947</v>
      </c>
      <c r="BU20" s="60">
        <v>36165</v>
      </c>
      <c r="BV20" s="65">
        <f t="shared" si="28"/>
        <v>38</v>
      </c>
      <c r="BW20" s="60">
        <v>229.11</v>
      </c>
      <c r="BX20" s="65">
        <f t="shared" si="29"/>
        <v>30.000000000001137</v>
      </c>
      <c r="BY20" s="60">
        <v>55224</v>
      </c>
      <c r="BZ20" s="67">
        <f t="shared" si="30"/>
        <v>55</v>
      </c>
      <c r="CA20" s="60">
        <v>28706.799999999999</v>
      </c>
      <c r="CB20" s="67">
        <f t="shared" si="31"/>
        <v>20.700000000000728</v>
      </c>
      <c r="CC20" s="60">
        <v>11286.6</v>
      </c>
      <c r="CD20" s="67">
        <f t="shared" si="32"/>
        <v>9.3999999999996362</v>
      </c>
      <c r="CE20" s="60">
        <v>5677.4</v>
      </c>
      <c r="CF20" s="67">
        <f t="shared" si="33"/>
        <v>54.399999999999636</v>
      </c>
      <c r="CG20" s="60">
        <v>56110</v>
      </c>
      <c r="CH20" s="67">
        <f t="shared" si="34"/>
        <v>33.30000000000291</v>
      </c>
      <c r="CI20" s="60">
        <v>918296</v>
      </c>
      <c r="CJ20" s="67">
        <f t="shared" si="35"/>
        <v>305</v>
      </c>
      <c r="CK20" s="60">
        <v>693.64</v>
      </c>
      <c r="CL20" s="64">
        <f t="shared" si="36"/>
        <v>679.99999999994998</v>
      </c>
      <c r="CM20" s="65">
        <f t="shared" si="37"/>
        <v>63.400000000000546</v>
      </c>
      <c r="CN20" s="62">
        <v>0</v>
      </c>
      <c r="CO20" s="62">
        <v>0</v>
      </c>
      <c r="CP20" s="68">
        <v>4612.1000000000004</v>
      </c>
      <c r="CQ20" s="67">
        <f t="shared" si="38"/>
        <v>45.400000000000546</v>
      </c>
      <c r="CR20" s="68">
        <v>12264</v>
      </c>
      <c r="CS20" s="67">
        <f t="shared" si="38"/>
        <v>18</v>
      </c>
      <c r="CT20" s="75">
        <v>5112</v>
      </c>
      <c r="CU20" s="67">
        <f t="shared" si="38"/>
        <v>13</v>
      </c>
      <c r="CV20" s="68">
        <v>12941</v>
      </c>
      <c r="CW20" s="67">
        <f t="shared" si="38"/>
        <v>21</v>
      </c>
    </row>
    <row r="21" spans="1:101" ht="25.5" customHeight="1" thickBot="1" x14ac:dyDescent="0.45">
      <c r="A21" s="63">
        <v>44273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39"/>
        <v>0</v>
      </c>
      <c r="M21" s="58"/>
      <c r="N21" s="64" t="str">
        <f t="shared" si="4"/>
        <v/>
      </c>
      <c r="O21" s="58"/>
      <c r="P21" s="67">
        <f t="shared" si="43"/>
        <v>0</v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>
        <f t="shared" si="40"/>
        <v>0</v>
      </c>
      <c r="BG21" s="60"/>
      <c r="BH21" s="65" t="str">
        <f t="shared" si="23"/>
        <v/>
      </c>
      <c r="BI21" s="60"/>
      <c r="BJ21" s="65" t="str">
        <f t="shared" si="41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2"/>
        <v/>
      </c>
      <c r="BU21" s="60"/>
      <c r="BV21" s="65" t="str">
        <f t="shared" si="28"/>
        <v/>
      </c>
      <c r="BW21" s="60"/>
      <c r="BX21" s="65" t="str">
        <f t="shared" si="29"/>
        <v/>
      </c>
      <c r="BY21" s="60"/>
      <c r="BZ21" s="67" t="str">
        <f t="shared" si="30"/>
        <v/>
      </c>
      <c r="CA21" s="60"/>
      <c r="CB21" s="67" t="str">
        <f t="shared" si="31"/>
        <v/>
      </c>
      <c r="CC21" s="60"/>
      <c r="CD21" s="67" t="str">
        <f t="shared" si="32"/>
        <v/>
      </c>
      <c r="CE21" s="60"/>
      <c r="CF21" s="67" t="str">
        <f t="shared" si="33"/>
        <v/>
      </c>
      <c r="CG21" s="60"/>
      <c r="CH21" s="67" t="str">
        <f t="shared" si="34"/>
        <v/>
      </c>
      <c r="CI21" s="60"/>
      <c r="CJ21" s="67" t="str">
        <f t="shared" si="35"/>
        <v/>
      </c>
      <c r="CK21" s="60"/>
      <c r="CL21" s="64" t="str">
        <f t="shared" si="36"/>
        <v/>
      </c>
      <c r="CM21" s="65" t="e">
        <f t="shared" si="37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B22" sqref="B22:D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8">
        <v>79</v>
      </c>
      <c r="S11" s="78">
        <v>197</v>
      </c>
      <c r="T11">
        <f t="shared" si="1"/>
        <v>0</v>
      </c>
    </row>
    <row r="12" spans="1:20" x14ac:dyDescent="0.25">
      <c r="A12" s="73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8">
        <v>79</v>
      </c>
      <c r="S12" s="78">
        <v>197</v>
      </c>
      <c r="T12">
        <f t="shared" si="1"/>
        <v>0</v>
      </c>
    </row>
    <row r="13" spans="1:20" x14ac:dyDescent="0.25">
      <c r="A13" s="73">
        <v>44262</v>
      </c>
      <c r="B13" s="40">
        <v>0</v>
      </c>
      <c r="C13" s="40">
        <v>0</v>
      </c>
      <c r="D13" s="40">
        <v>0</v>
      </c>
      <c r="E13" s="41">
        <v>85</v>
      </c>
      <c r="F13" s="41">
        <v>4857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85</v>
      </c>
      <c r="M13" s="42">
        <v>1173</v>
      </c>
      <c r="N13" s="39">
        <v>75</v>
      </c>
      <c r="O13" s="39">
        <v>1</v>
      </c>
      <c r="P13" s="39">
        <v>1</v>
      </c>
      <c r="Q13" s="39">
        <v>3374</v>
      </c>
      <c r="R13" s="78">
        <v>79</v>
      </c>
      <c r="S13" s="78">
        <v>197</v>
      </c>
      <c r="T13">
        <f t="shared" si="1"/>
        <v>0</v>
      </c>
    </row>
    <row r="14" spans="1:20" x14ac:dyDescent="0.25">
      <c r="A14" s="73">
        <v>44263</v>
      </c>
      <c r="B14" s="40">
        <v>0</v>
      </c>
      <c r="C14" s="40">
        <v>0</v>
      </c>
      <c r="D14" s="40">
        <v>0</v>
      </c>
      <c r="E14" s="41">
        <v>85</v>
      </c>
      <c r="F14" s="41">
        <v>4857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85</v>
      </c>
      <c r="M14" s="42">
        <v>1173</v>
      </c>
      <c r="N14" s="39">
        <v>70</v>
      </c>
      <c r="O14" s="39">
        <v>1</v>
      </c>
      <c r="P14" s="39">
        <v>1</v>
      </c>
      <c r="Q14" s="39">
        <v>3378</v>
      </c>
      <c r="R14" s="78">
        <v>79</v>
      </c>
      <c r="S14" s="78">
        <v>197</v>
      </c>
      <c r="T14">
        <f t="shared" si="1"/>
        <v>0</v>
      </c>
    </row>
    <row r="15" spans="1:20" x14ac:dyDescent="0.25">
      <c r="A15" s="73">
        <v>44264</v>
      </c>
      <c r="B15" s="40">
        <v>0</v>
      </c>
      <c r="C15" s="40">
        <v>0</v>
      </c>
      <c r="D15" s="40">
        <v>0</v>
      </c>
      <c r="E15" s="41">
        <v>85</v>
      </c>
      <c r="F15" s="41">
        <v>4857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85</v>
      </c>
      <c r="M15" s="42">
        <v>1173</v>
      </c>
      <c r="N15" s="39">
        <v>65</v>
      </c>
      <c r="O15" s="39">
        <v>1</v>
      </c>
      <c r="P15" s="39">
        <v>1</v>
      </c>
      <c r="Q15" s="39">
        <v>3381</v>
      </c>
      <c r="R15" s="78">
        <v>79</v>
      </c>
      <c r="S15" s="78">
        <v>197</v>
      </c>
      <c r="T15">
        <f t="shared" si="1"/>
        <v>0</v>
      </c>
    </row>
    <row r="16" spans="1:20" x14ac:dyDescent="0.25">
      <c r="A16" s="73">
        <v>44265</v>
      </c>
      <c r="B16" s="40">
        <v>0</v>
      </c>
      <c r="C16" s="40">
        <v>0</v>
      </c>
      <c r="D16" s="40">
        <v>0</v>
      </c>
      <c r="E16" s="41">
        <v>85</v>
      </c>
      <c r="F16" s="41">
        <v>4857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85</v>
      </c>
      <c r="M16" s="42">
        <v>1173</v>
      </c>
      <c r="N16" s="39">
        <v>63</v>
      </c>
      <c r="O16" s="39">
        <v>1</v>
      </c>
      <c r="P16" s="39">
        <v>1</v>
      </c>
      <c r="Q16" s="39">
        <v>3385</v>
      </c>
      <c r="R16" s="78">
        <v>79</v>
      </c>
      <c r="S16" s="78">
        <v>197</v>
      </c>
      <c r="T16">
        <f t="shared" si="1"/>
        <v>0</v>
      </c>
    </row>
    <row r="17" spans="1:20" x14ac:dyDescent="0.25">
      <c r="A17" s="73">
        <v>44266</v>
      </c>
      <c r="B17" s="40">
        <v>0</v>
      </c>
      <c r="C17" s="40">
        <v>0</v>
      </c>
      <c r="D17" s="40">
        <v>0</v>
      </c>
      <c r="E17" s="41">
        <v>85</v>
      </c>
      <c r="F17" s="41">
        <v>4857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85</v>
      </c>
      <c r="M17" s="42">
        <v>1173</v>
      </c>
      <c r="N17" s="39">
        <v>60</v>
      </c>
      <c r="O17" s="39">
        <v>1</v>
      </c>
      <c r="P17" s="39">
        <v>1</v>
      </c>
      <c r="Q17" s="39">
        <v>3389</v>
      </c>
      <c r="R17" s="78">
        <v>79</v>
      </c>
      <c r="S17" s="78">
        <v>197</v>
      </c>
      <c r="T17">
        <f t="shared" si="1"/>
        <v>0</v>
      </c>
    </row>
    <row r="18" spans="1:20" x14ac:dyDescent="0.25">
      <c r="A18" s="73">
        <v>44267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85</v>
      </c>
      <c r="M18" s="42">
        <v>1173</v>
      </c>
      <c r="N18" s="39">
        <v>55</v>
      </c>
      <c r="O18" s="39">
        <v>1</v>
      </c>
      <c r="P18" s="39">
        <v>1</v>
      </c>
      <c r="Q18" s="39">
        <v>3393</v>
      </c>
      <c r="R18" s="78">
        <v>79</v>
      </c>
      <c r="S18" s="78">
        <v>197</v>
      </c>
      <c r="T18">
        <f t="shared" si="1"/>
        <v>0</v>
      </c>
    </row>
    <row r="19" spans="1:20" x14ac:dyDescent="0.25">
      <c r="A19" s="73">
        <v>44268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85</v>
      </c>
      <c r="M19" s="42">
        <v>1173</v>
      </c>
      <c r="N19" s="39">
        <v>50</v>
      </c>
      <c r="O19" s="39">
        <v>1</v>
      </c>
      <c r="P19" s="39">
        <v>1</v>
      </c>
      <c r="Q19" s="39">
        <v>3396</v>
      </c>
      <c r="R19" s="78">
        <v>79</v>
      </c>
      <c r="S19" s="78">
        <v>197</v>
      </c>
      <c r="T19">
        <f t="shared" si="1"/>
        <v>0</v>
      </c>
    </row>
    <row r="20" spans="1:20" x14ac:dyDescent="0.25">
      <c r="A20" s="73">
        <v>44269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85</v>
      </c>
      <c r="M20" s="42">
        <v>1173</v>
      </c>
      <c r="N20" s="39">
        <v>49</v>
      </c>
      <c r="O20" s="39">
        <v>1</v>
      </c>
      <c r="P20" s="39">
        <v>1</v>
      </c>
      <c r="Q20" s="39">
        <v>3400</v>
      </c>
      <c r="R20" s="78">
        <v>79</v>
      </c>
      <c r="S20" s="78">
        <v>197</v>
      </c>
      <c r="T20">
        <f t="shared" si="1"/>
        <v>0</v>
      </c>
    </row>
    <row r="21" spans="1:20" x14ac:dyDescent="0.25">
      <c r="A21" s="73">
        <v>44270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85</v>
      </c>
      <c r="M21" s="42">
        <v>1173</v>
      </c>
      <c r="N21" s="39">
        <v>45</v>
      </c>
      <c r="O21" s="39">
        <v>1</v>
      </c>
      <c r="P21" s="39">
        <v>1</v>
      </c>
      <c r="Q21" s="39">
        <v>3405</v>
      </c>
      <c r="R21" s="78">
        <v>79</v>
      </c>
      <c r="S21" s="78">
        <v>197</v>
      </c>
      <c r="T21">
        <f t="shared" si="1"/>
        <v>0</v>
      </c>
    </row>
    <row r="22" spans="1:20" x14ac:dyDescent="0.25">
      <c r="A22" s="73">
        <v>44271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85</v>
      </c>
      <c r="M22" s="42">
        <v>1173</v>
      </c>
      <c r="N22" s="39">
        <v>39</v>
      </c>
      <c r="O22" s="39">
        <v>1</v>
      </c>
      <c r="P22" s="39">
        <v>1</v>
      </c>
      <c r="Q22" s="39">
        <v>3410</v>
      </c>
      <c r="R22" s="78">
        <v>79</v>
      </c>
      <c r="S22" s="78">
        <v>197</v>
      </c>
      <c r="T22">
        <f t="shared" si="1"/>
        <v>0</v>
      </c>
    </row>
    <row r="23" spans="1:20" x14ac:dyDescent="0.25">
      <c r="A23" s="73">
        <v>44272</v>
      </c>
      <c r="B23" s="40">
        <v>0</v>
      </c>
      <c r="C23" s="40">
        <v>0</v>
      </c>
      <c r="D23" s="40">
        <v>0</v>
      </c>
      <c r="E23" s="41">
        <v>85</v>
      </c>
      <c r="F23" s="41">
        <v>4862</v>
      </c>
      <c r="G23" s="41">
        <v>85</v>
      </c>
      <c r="H23" s="41">
        <v>1375</v>
      </c>
      <c r="I23" s="41">
        <v>85</v>
      </c>
      <c r="J23" s="41">
        <v>273</v>
      </c>
      <c r="K23" s="42">
        <v>85</v>
      </c>
      <c r="L23" s="42">
        <v>85</v>
      </c>
      <c r="M23" s="42">
        <v>1175</v>
      </c>
      <c r="N23" s="39">
        <v>30</v>
      </c>
      <c r="O23" s="39">
        <v>1</v>
      </c>
      <c r="P23" s="39">
        <v>1</v>
      </c>
      <c r="Q23" s="39">
        <v>3414</v>
      </c>
      <c r="R23" s="78">
        <v>79</v>
      </c>
      <c r="S23" s="78">
        <v>197</v>
      </c>
      <c r="T23">
        <f t="shared" si="1"/>
        <v>0</v>
      </c>
    </row>
    <row r="24" spans="1:20" x14ac:dyDescent="0.25">
      <c r="A24" s="73">
        <v>44273</v>
      </c>
      <c r="B24" s="40">
        <v>0</v>
      </c>
      <c r="C24" s="40">
        <v>0</v>
      </c>
      <c r="D24" s="40">
        <v>0</v>
      </c>
      <c r="E24" s="41">
        <v>85</v>
      </c>
      <c r="F24" s="41">
        <v>4868</v>
      </c>
      <c r="G24" s="41">
        <v>70</v>
      </c>
      <c r="H24" s="41">
        <v>1376</v>
      </c>
      <c r="I24" s="41">
        <v>85</v>
      </c>
      <c r="J24" s="41">
        <v>273</v>
      </c>
      <c r="K24" s="42">
        <v>82</v>
      </c>
      <c r="L24" s="42">
        <v>85</v>
      </c>
      <c r="M24" s="42">
        <v>1178</v>
      </c>
      <c r="N24" s="39">
        <v>25</v>
      </c>
      <c r="O24" s="39">
        <v>1</v>
      </c>
      <c r="P24" s="39">
        <v>1</v>
      </c>
      <c r="Q24" s="39">
        <v>3418</v>
      </c>
      <c r="R24" s="78">
        <v>79</v>
      </c>
      <c r="S24" s="78">
        <v>197</v>
      </c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-197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2021-03-18T02:48:26Z</dcterms:modified>
</cp:coreProperties>
</file>