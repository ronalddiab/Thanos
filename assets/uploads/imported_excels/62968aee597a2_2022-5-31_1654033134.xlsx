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2022\"/>
    </mc:Choice>
  </mc:AlternateContent>
  <xr:revisionPtr revIDLastSave="0" documentId="13_ncr:1_{9C3BB76B-332C-4272-85AC-5A04B20F4772}" xr6:coauthVersionLast="47" xr6:coauthVersionMax="47" xr10:uidLastSave="{00000000-0000-0000-0000-000000000000}"/>
  <bookViews>
    <workbookView xWindow="2148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G34" i="1" l="1"/>
  <c r="J34" i="1"/>
  <c r="L34" i="1"/>
  <c r="Q34" i="1"/>
  <c r="S34" i="1"/>
  <c r="V34" i="1"/>
  <c r="X34" i="1"/>
  <c r="Z34" i="1"/>
  <c r="AB34" i="1"/>
  <c r="AD34" i="1"/>
  <c r="AI34" i="1"/>
  <c r="AK36" i="1"/>
  <c r="AO36" i="1"/>
  <c r="AR34" i="1"/>
  <c r="AV34" i="1"/>
  <c r="AZ34" i="1"/>
  <c r="BD34" i="1"/>
  <c r="E34" i="1"/>
  <c r="C34" i="1"/>
  <c r="D17" i="1"/>
  <c r="D18" i="1" s="1"/>
  <c r="Z22" i="1"/>
  <c r="AO4" i="1"/>
  <c r="AB4" i="1"/>
  <c r="AB5" i="1"/>
  <c r="BF4" i="1"/>
  <c r="BF5" i="1"/>
  <c r="BD4" i="1"/>
  <c r="BD5" i="1"/>
  <c r="BB4" i="1"/>
  <c r="BB5" i="1"/>
  <c r="AZ4" i="1"/>
  <c r="AZ5" i="1"/>
  <c r="AX4" i="1"/>
  <c r="AX5" i="1"/>
  <c r="AT4" i="1"/>
  <c r="AV4" i="1"/>
  <c r="AV5" i="1"/>
  <c r="AT5" i="1"/>
  <c r="AR6" i="1"/>
  <c r="AR4" i="1"/>
  <c r="AR10" i="1"/>
  <c r="AM4" i="1"/>
  <c r="AK4" i="1"/>
  <c r="AI4" i="1"/>
  <c r="AD4" i="1"/>
  <c r="AD5" i="1"/>
  <c r="Z4" i="1"/>
  <c r="X4" i="1"/>
  <c r="V4" i="1"/>
  <c r="S4" i="1"/>
  <c r="Q4" i="1"/>
  <c r="O4" i="1"/>
  <c r="L4" i="1"/>
  <c r="J4" i="1"/>
  <c r="G4" i="1"/>
  <c r="E4" i="1"/>
  <c r="C4" i="1"/>
  <c r="AE38" i="1" l="1"/>
  <c r="AG4" i="1"/>
  <c r="O5" i="1"/>
  <c r="C5" i="1"/>
  <c r="C33" i="1" l="1"/>
  <c r="AB20" i="1"/>
  <c r="AB30" i="1"/>
  <c r="E24" i="1"/>
  <c r="BF22" i="1"/>
  <c r="C15" i="1"/>
  <c r="AB14" i="1"/>
  <c r="AB19" i="1"/>
  <c r="AB17" i="1"/>
  <c r="AB16" i="1"/>
  <c r="AB15" i="1"/>
  <c r="AM10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3" i="1"/>
  <c r="Z24" i="1"/>
  <c r="Z25" i="1"/>
  <c r="Z26" i="1"/>
  <c r="Z27" i="1"/>
  <c r="Z28" i="1"/>
  <c r="Z29" i="1"/>
  <c r="Z30" i="1"/>
  <c r="Z31" i="1"/>
  <c r="Z32" i="1"/>
  <c r="Z33" i="1"/>
  <c r="Z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6" i="1" l="1"/>
  <c r="C38" i="1" s="1"/>
  <c r="C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O36" i="1"/>
  <c r="O38" i="1" s="1"/>
  <c r="O39" i="1" s="1"/>
  <c r="AI36" i="1"/>
  <c r="AI38" i="1" s="1"/>
  <c r="AI39" i="1" s="1"/>
  <c r="AM36" i="1"/>
  <c r="AM38" i="1" s="1"/>
  <c r="AM39" i="1" s="1"/>
  <c r="L36" i="1"/>
  <c r="L38" i="1" s="1"/>
  <c r="L39" i="1" s="1"/>
  <c r="J36" i="1"/>
  <c r="J38" i="1" s="1"/>
  <c r="J39" i="1" s="1"/>
  <c r="AO38" i="1"/>
  <c r="AO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S36" i="1"/>
  <c r="S38" i="1" s="1"/>
  <c r="S39" i="1" s="1"/>
  <c r="G36" i="1"/>
  <c r="G38" i="1" s="1"/>
  <c r="G39" i="1" s="1"/>
  <c r="E36" i="1"/>
  <c r="E38" i="1" s="1"/>
  <c r="E39" i="1" s="1"/>
  <c r="Q36" i="1"/>
  <c r="Q38" i="1" s="1"/>
  <c r="Q39" i="1" s="1"/>
  <c r="AB36" i="1" l="1"/>
  <c r="AB38" i="1" s="1"/>
  <c r="AB39" i="1" s="1"/>
  <c r="AK28" i="1"/>
  <c r="AK6" i="1"/>
  <c r="AK7" i="1"/>
  <c r="AK29" i="1" l="1"/>
  <c r="AK38" i="1" s="1"/>
  <c r="AK39" i="1" s="1"/>
  <c r="AZ17" i="1"/>
  <c r="AZ18" i="1"/>
  <c r="AZ36" i="1" l="1"/>
  <c r="AZ38" i="1" s="1"/>
  <c r="AZ39" i="1" s="1"/>
</calcChain>
</file>

<file path=xl/sharedStrings.xml><?xml version="1.0" encoding="utf-8"?>
<sst xmlns="http://schemas.openxmlformats.org/spreadsheetml/2006/main" count="67" uniqueCount="34">
  <si>
    <t>Date</t>
  </si>
  <si>
    <t>Bygone</t>
  </si>
  <si>
    <t>Engineer</t>
  </si>
  <si>
    <t>Mina</t>
  </si>
  <si>
    <t>Main</t>
  </si>
  <si>
    <t>Electric      Main</t>
  </si>
  <si>
    <t>Electric    Chilled</t>
  </si>
  <si>
    <t>Electric        Hot</t>
  </si>
  <si>
    <t>Chilled</t>
  </si>
  <si>
    <t>Heat</t>
  </si>
  <si>
    <t>Gas</t>
  </si>
  <si>
    <t xml:space="preserve">Water </t>
  </si>
  <si>
    <t>Electric</t>
  </si>
  <si>
    <t>Total</t>
  </si>
  <si>
    <t>Consumption</t>
  </si>
  <si>
    <t>Gas (Therm)</t>
  </si>
  <si>
    <t>Water (FT3), (THR), (MMBTU)</t>
  </si>
  <si>
    <t>Chilled (THR)</t>
  </si>
  <si>
    <t>Hot (MMBTU)</t>
  </si>
  <si>
    <t>Main (FT3)</t>
  </si>
  <si>
    <t>Electric (KWH)</t>
  </si>
  <si>
    <t>Meter 1</t>
  </si>
  <si>
    <t>Meter 2</t>
  </si>
  <si>
    <t>Meter 3</t>
  </si>
  <si>
    <t>Chilled BTU</t>
  </si>
  <si>
    <t>Heating BTU</t>
  </si>
  <si>
    <t>AHU 1</t>
  </si>
  <si>
    <t>AHU 2</t>
  </si>
  <si>
    <t>AHU 3</t>
  </si>
  <si>
    <t>AHU 4</t>
  </si>
  <si>
    <t>Anthropologie (KWH, BTU )</t>
  </si>
  <si>
    <t>Varience</t>
  </si>
  <si>
    <t>Varience %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</si>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</sst>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8" borderId="2" xfId="0" applyFill="1" applyBorder="1"/>
    <xf numFmtId="0" fontId="0" fillId="2" borderId="2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9"/>
  <sheetViews>
    <sheetView tabSelected="1" zoomScale="80" zoomScaleNormal="80" workbookViewId="0">
      <pane ySplit="1" topLeftCell="A23" activePane="bottomLeft" state="frozen"/>
      <selection activeCell="W1" sqref="W1"/>
      <selection pane="bottomLeft" activeCell="K46" sqref="K45:K46"/>
    </sheetView>
  </sheetViews>
  <sheetFormatPr defaultRowHeight="15" x14ac:dyDescent="0.25"/>
  <cols>
    <col min="1" max="1" width="12.42578125" bestFit="1" customWidth="1"/>
    <col min="2" max="3" width="15.7109375" customWidth="1"/>
    <col min="4" max="4" width="11.85546875" customWidth="1"/>
    <col min="5" max="5" width="13.85546875" bestFit="1" customWidth="1"/>
    <col min="6" max="6" width="11" customWidth="1"/>
    <col min="7" max="7" width="13.85546875" bestFit="1" customWidth="1"/>
    <col min="8" max="8" width="1.42578125" customWidth="1"/>
    <col min="9" max="9" width="10.140625" customWidth="1"/>
    <col min="10" max="10" width="13.85546875" bestFit="1" customWidth="1"/>
    <col min="11" max="11" width="10.28515625" customWidth="1"/>
    <col min="12" max="12" width="14.42578125" bestFit="1" customWidth="1"/>
    <col min="13" max="13" width="1.5703125" customWidth="1"/>
    <col min="14" max="14" width="11.42578125" bestFit="1" customWidth="1"/>
    <col min="15" max="15" width="14.42578125" bestFit="1" customWidth="1"/>
    <col min="16" max="16" width="14.28515625" bestFit="1" customWidth="1"/>
    <col min="17" max="17" width="13.85546875" bestFit="1" customWidth="1"/>
    <col min="18" max="18" width="15.28515625" bestFit="1" customWidth="1"/>
    <col min="19" max="19" width="14" customWidth="1"/>
    <col min="20" max="20" width="1.5703125" customWidth="1"/>
    <col min="21" max="21" width="10.7109375" customWidth="1"/>
    <col min="22" max="22" width="13.85546875" bestFit="1" customWidth="1"/>
    <col min="23" max="23" width="11.140625" customWidth="1"/>
    <col min="24" max="24" width="13.85546875" bestFit="1" customWidth="1"/>
    <col min="25" max="25" width="9.42578125" customWidth="1"/>
    <col min="26" max="26" width="13.85546875" bestFit="1" customWidth="1"/>
    <col min="27" max="27" width="12.42578125" bestFit="1" customWidth="1"/>
    <col min="28" max="28" width="13.85546875" bestFit="1" customWidth="1"/>
    <col min="30" max="30" width="13.85546875" bestFit="1" customWidth="1"/>
    <col min="31" max="31" width="1.5703125" customWidth="1"/>
    <col min="32" max="32" width="11.42578125" customWidth="1"/>
    <col min="33" max="33" width="13.85546875" bestFit="1" customWidth="1"/>
    <col min="35" max="35" width="13.85546875" bestFit="1" customWidth="1"/>
    <col min="36" max="36" width="13.42578125" bestFit="1" customWidth="1"/>
    <col min="37" max="37" width="13.85546875" bestFit="1" customWidth="1"/>
    <col min="38" max="38" width="9.140625" customWidth="1"/>
    <col min="39" max="39" width="13.85546875" bestFit="1" customWidth="1"/>
    <col min="40" max="40" width="9.140625" bestFit="1" customWidth="1"/>
    <col min="41" max="41" width="13.85546875" bestFit="1" customWidth="1"/>
    <col min="42" max="42" width="1.5703125" customWidth="1"/>
    <col min="44" max="44" width="13.85546875" bestFit="1" customWidth="1"/>
    <col min="46" max="46" width="13.85546875" bestFit="1" customWidth="1"/>
    <col min="48" max="48" width="13.85546875" bestFit="1" customWidth="1"/>
    <col min="50" max="50" width="13.85546875" bestFit="1" customWidth="1"/>
    <col min="51" max="51" width="10.85546875" bestFit="1" customWidth="1"/>
    <col min="52" max="52" width="13.85546875" bestFit="1" customWidth="1"/>
    <col min="54" max="54" width="13.85546875" bestFit="1" customWidth="1"/>
    <col min="56" max="56" width="13.85546875" bestFit="1" customWidth="1"/>
    <col min="58" max="58" width="13.85546875" bestFit="1" customWidth="1"/>
    <col min="59" max="59" width="1.5703125" customWidth="1"/>
    <col min="60" max="60" width="10.5703125" customWidth="1"/>
  </cols>
  <sheetData>
    <row r="1" spans="1:60" ht="15.75" customHeight="1" x14ac:dyDescent="0.25">
      <c r="A1" s="65" t="s">
        <v>0</v>
      </c>
      <c r="B1" s="77" t="s">
        <v>20</v>
      </c>
      <c r="C1" s="78"/>
      <c r="D1" s="78"/>
      <c r="E1" s="78"/>
      <c r="F1" s="78"/>
      <c r="G1" s="79"/>
      <c r="H1" s="1"/>
      <c r="I1" s="74" t="s">
        <v>15</v>
      </c>
      <c r="J1" s="75"/>
      <c r="K1" s="75"/>
      <c r="L1" s="76"/>
      <c r="M1" s="1"/>
      <c r="N1" s="80" t="s">
        <v>16</v>
      </c>
      <c r="O1" s="81"/>
      <c r="P1" s="81"/>
      <c r="Q1" s="81"/>
      <c r="R1" s="81"/>
      <c r="S1" s="82"/>
      <c r="T1" s="5"/>
      <c r="U1" s="58" t="s">
        <v>30</v>
      </c>
      <c r="V1" s="59"/>
      <c r="W1" s="59"/>
      <c r="X1" s="59"/>
      <c r="Y1" s="59"/>
      <c r="Z1" s="59"/>
      <c r="AA1" s="59"/>
      <c r="AB1" s="59"/>
      <c r="AC1" s="59"/>
      <c r="AD1" s="60"/>
      <c r="AE1" s="5"/>
      <c r="AF1" s="68" t="s">
        <v>1</v>
      </c>
      <c r="AG1" s="69"/>
      <c r="AH1" s="69"/>
      <c r="AI1" s="69"/>
      <c r="AJ1" s="69"/>
      <c r="AK1" s="69"/>
      <c r="AL1" s="69"/>
      <c r="AM1" s="69"/>
      <c r="AN1" s="70"/>
      <c r="AO1" s="6"/>
      <c r="AP1" s="5"/>
      <c r="AQ1" s="52" t="s">
        <v>26</v>
      </c>
      <c r="AR1" s="53"/>
      <c r="AS1" s="53"/>
      <c r="AT1" s="53"/>
      <c r="AU1" s="52" t="s">
        <v>27</v>
      </c>
      <c r="AV1" s="53"/>
      <c r="AW1" s="53"/>
      <c r="AX1" s="53"/>
      <c r="AY1" s="52" t="s">
        <v>28</v>
      </c>
      <c r="AZ1" s="53"/>
      <c r="BA1" s="53"/>
      <c r="BB1" s="53"/>
      <c r="BC1" s="52" t="s">
        <v>29</v>
      </c>
      <c r="BD1" s="53"/>
      <c r="BE1" s="53"/>
      <c r="BF1" s="53"/>
      <c r="BG1" s="5"/>
      <c r="BH1" s="65" t="s">
        <v>2</v>
      </c>
    </row>
    <row r="2" spans="1:60" ht="15" customHeight="1" x14ac:dyDescent="0.25">
      <c r="A2" s="66"/>
      <c r="B2" s="63" t="s">
        <v>21</v>
      </c>
      <c r="C2" s="63" t="s">
        <v>14</v>
      </c>
      <c r="D2" s="63" t="s">
        <v>22</v>
      </c>
      <c r="E2" s="63" t="s">
        <v>14</v>
      </c>
      <c r="F2" s="63" t="s">
        <v>23</v>
      </c>
      <c r="G2" s="63" t="s">
        <v>14</v>
      </c>
      <c r="H2" s="2"/>
      <c r="I2" s="73" t="s">
        <v>3</v>
      </c>
      <c r="J2" s="61" t="s">
        <v>14</v>
      </c>
      <c r="K2" s="73" t="s">
        <v>4</v>
      </c>
      <c r="L2" s="61" t="s">
        <v>14</v>
      </c>
      <c r="M2" s="3"/>
      <c r="N2" s="71" t="s">
        <v>19</v>
      </c>
      <c r="O2" s="63" t="s">
        <v>14</v>
      </c>
      <c r="P2" s="71" t="s">
        <v>17</v>
      </c>
      <c r="Q2" s="63" t="s">
        <v>14</v>
      </c>
      <c r="R2" s="71" t="s">
        <v>18</v>
      </c>
      <c r="S2" s="63" t="s">
        <v>14</v>
      </c>
      <c r="T2" s="3"/>
      <c r="U2" s="54" t="s">
        <v>5</v>
      </c>
      <c r="V2" s="56" t="s">
        <v>14</v>
      </c>
      <c r="W2" s="72" t="s">
        <v>6</v>
      </c>
      <c r="X2" s="56" t="s">
        <v>14</v>
      </c>
      <c r="Y2" s="72" t="s">
        <v>7</v>
      </c>
      <c r="Z2" s="56" t="s">
        <v>14</v>
      </c>
      <c r="AA2" s="54" t="s">
        <v>24</v>
      </c>
      <c r="AB2" s="56" t="s">
        <v>14</v>
      </c>
      <c r="AC2" s="54" t="s">
        <v>25</v>
      </c>
      <c r="AD2" s="56" t="s">
        <v>14</v>
      </c>
      <c r="AE2" s="3"/>
      <c r="AF2" s="56" t="s">
        <v>9</v>
      </c>
      <c r="AG2" s="56" t="s">
        <v>14</v>
      </c>
      <c r="AH2" s="56" t="s">
        <v>8</v>
      </c>
      <c r="AI2" s="56" t="s">
        <v>14</v>
      </c>
      <c r="AJ2" s="56" t="s">
        <v>10</v>
      </c>
      <c r="AK2" s="56" t="s">
        <v>14</v>
      </c>
      <c r="AL2" s="56" t="s">
        <v>11</v>
      </c>
      <c r="AM2" s="56" t="s">
        <v>14</v>
      </c>
      <c r="AN2" s="56" t="s">
        <v>12</v>
      </c>
      <c r="AO2" s="56" t="s">
        <v>14</v>
      </c>
      <c r="AP2" s="3"/>
      <c r="AQ2" s="54" t="s">
        <v>24</v>
      </c>
      <c r="AR2" s="56" t="s">
        <v>14</v>
      </c>
      <c r="AS2" s="54" t="s">
        <v>25</v>
      </c>
      <c r="AT2" s="56" t="s">
        <v>14</v>
      </c>
      <c r="AU2" s="54" t="s">
        <v>24</v>
      </c>
      <c r="AV2" s="56" t="s">
        <v>14</v>
      </c>
      <c r="AW2" s="54" t="s">
        <v>25</v>
      </c>
      <c r="AX2" s="56" t="s">
        <v>14</v>
      </c>
      <c r="AY2" s="54" t="s">
        <v>24</v>
      </c>
      <c r="AZ2" s="56" t="s">
        <v>14</v>
      </c>
      <c r="BA2" s="54" t="s">
        <v>25</v>
      </c>
      <c r="BB2" s="56" t="s">
        <v>14</v>
      </c>
      <c r="BC2" s="54" t="s">
        <v>24</v>
      </c>
      <c r="BD2" s="56" t="s">
        <v>14</v>
      </c>
      <c r="BE2" s="54" t="s">
        <v>25</v>
      </c>
      <c r="BF2" s="56" t="s">
        <v>14</v>
      </c>
      <c r="BG2" s="3"/>
      <c r="BH2" s="66"/>
    </row>
    <row r="3" spans="1:60" ht="15" customHeight="1" x14ac:dyDescent="0.25">
      <c r="A3" s="67"/>
      <c r="B3" s="64"/>
      <c r="C3" s="64"/>
      <c r="D3" s="64"/>
      <c r="E3" s="64"/>
      <c r="F3" s="64"/>
      <c r="G3" s="64"/>
      <c r="H3" s="2"/>
      <c r="I3" s="73"/>
      <c r="J3" s="62"/>
      <c r="K3" s="73"/>
      <c r="L3" s="62"/>
      <c r="M3" s="4"/>
      <c r="N3" s="64"/>
      <c r="O3" s="64"/>
      <c r="P3" s="64"/>
      <c r="Q3" s="64"/>
      <c r="R3" s="64"/>
      <c r="S3" s="64"/>
      <c r="T3" s="4"/>
      <c r="U3" s="55"/>
      <c r="V3" s="57"/>
      <c r="W3" s="55"/>
      <c r="X3" s="57"/>
      <c r="Y3" s="55"/>
      <c r="Z3" s="57"/>
      <c r="AA3" s="55"/>
      <c r="AB3" s="57"/>
      <c r="AC3" s="55"/>
      <c r="AD3" s="57"/>
      <c r="AE3" s="4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4"/>
      <c r="AQ3" s="55"/>
      <c r="AR3" s="57"/>
      <c r="AS3" s="55"/>
      <c r="AT3" s="57"/>
      <c r="AU3" s="55"/>
      <c r="AV3" s="57"/>
      <c r="AW3" s="55"/>
      <c r="AX3" s="57"/>
      <c r="AY3" s="55"/>
      <c r="AZ3" s="57"/>
      <c r="BA3" s="55"/>
      <c r="BB3" s="57"/>
      <c r="BC3" s="55"/>
      <c r="BD3" s="57"/>
      <c r="BE3" s="55"/>
      <c r="BF3" s="57"/>
      <c r="BG3" s="4"/>
      <c r="BH3" s="67"/>
    </row>
    <row r="4" spans="1:60" ht="24.75" customHeight="1" x14ac:dyDescent="0.25">
      <c r="A4" s="12">
        <v>44682</v>
      </c>
      <c r="B4" s="7">
        <v>77308</v>
      </c>
      <c r="C4" s="8">
        <f>B4-72694</f>
        <v>4614</v>
      </c>
      <c r="D4" s="7">
        <v>29785677</v>
      </c>
      <c r="E4" s="8">
        <f>D4-29776202</f>
        <v>9475</v>
      </c>
      <c r="F4" s="7">
        <v>8201191</v>
      </c>
      <c r="G4" s="8">
        <f>F4-8197381</f>
        <v>3810</v>
      </c>
      <c r="H4" s="13"/>
      <c r="I4" s="7">
        <v>82093</v>
      </c>
      <c r="J4" s="14">
        <f>I4-81968</f>
        <v>125</v>
      </c>
      <c r="K4" s="7">
        <v>20869</v>
      </c>
      <c r="L4" s="7">
        <f>K4-20862</f>
        <v>7</v>
      </c>
      <c r="M4" s="13"/>
      <c r="N4" s="7">
        <v>54812</v>
      </c>
      <c r="O4" s="14">
        <f>(N4-54747)*1000/7.48</f>
        <v>8689.8395721925135</v>
      </c>
      <c r="P4" s="14">
        <v>52338698</v>
      </c>
      <c r="Q4" s="14">
        <f>P4-52332082</f>
        <v>6616</v>
      </c>
      <c r="R4" s="14">
        <v>233676</v>
      </c>
      <c r="S4" s="14">
        <f>R4-233610</f>
        <v>66</v>
      </c>
      <c r="T4" s="15"/>
      <c r="U4" s="7">
        <v>6195</v>
      </c>
      <c r="V4" s="8">
        <f>U4-5800</f>
        <v>395</v>
      </c>
      <c r="W4" s="7">
        <v>240</v>
      </c>
      <c r="X4" s="8">
        <f>W4-219</f>
        <v>21</v>
      </c>
      <c r="Y4" s="7">
        <v>214</v>
      </c>
      <c r="Z4" s="8">
        <f>Y4-199</f>
        <v>15</v>
      </c>
      <c r="AA4" s="8">
        <v>805533</v>
      </c>
      <c r="AB4" s="8">
        <f>(AA4-805256)*10000</f>
        <v>2770000</v>
      </c>
      <c r="AC4" s="8">
        <v>362663</v>
      </c>
      <c r="AD4" s="8">
        <f>(AC4-362455)*10000</f>
        <v>2080000</v>
      </c>
      <c r="AE4" s="15"/>
      <c r="AF4" s="7">
        <v>67137</v>
      </c>
      <c r="AG4" s="7">
        <f>AF4-67137</f>
        <v>0</v>
      </c>
      <c r="AH4" s="14">
        <v>222383</v>
      </c>
      <c r="AI4" s="16">
        <f>AH4-222233</f>
        <v>150</v>
      </c>
      <c r="AJ4" s="16">
        <v>10950688</v>
      </c>
      <c r="AK4" s="16">
        <f>AJ4-10942898</f>
        <v>7790</v>
      </c>
      <c r="AL4" s="14">
        <v>28740</v>
      </c>
      <c r="AM4" s="14">
        <f>AL4-28735</f>
        <v>5</v>
      </c>
      <c r="AN4" s="14">
        <v>13130</v>
      </c>
      <c r="AO4" s="14">
        <f>AN4-12719</f>
        <v>411</v>
      </c>
      <c r="AP4" s="15"/>
      <c r="AQ4" s="22">
        <v>581258</v>
      </c>
      <c r="AR4" s="22">
        <f>(AQ4-581181)*10000</f>
        <v>770000</v>
      </c>
      <c r="AS4" s="22">
        <v>234978</v>
      </c>
      <c r="AT4" s="22">
        <f>(AS4-234978)*10000</f>
        <v>0</v>
      </c>
      <c r="AU4" s="22">
        <v>71254</v>
      </c>
      <c r="AV4" s="22">
        <f>(AU4-71229)*10000</f>
        <v>250000</v>
      </c>
      <c r="AW4" s="22">
        <v>269336</v>
      </c>
      <c r="AX4" s="22">
        <f>(AW4-269336)*10000</f>
        <v>0</v>
      </c>
      <c r="AY4" s="22">
        <v>455577</v>
      </c>
      <c r="AZ4" s="22">
        <f>(AY4-455371)*10000</f>
        <v>2060000</v>
      </c>
      <c r="BA4" s="22">
        <v>19319</v>
      </c>
      <c r="BB4" s="22">
        <f>(BA4-19319)*10000</f>
        <v>0</v>
      </c>
      <c r="BC4" s="22">
        <v>439354</v>
      </c>
      <c r="BD4" s="22">
        <f>(BC4-439169)*10000</f>
        <v>1850000</v>
      </c>
      <c r="BE4" s="22">
        <v>124015</v>
      </c>
      <c r="BF4" s="22">
        <f>(BE4-124015)*10000</f>
        <v>0</v>
      </c>
      <c r="BG4" s="15"/>
      <c r="BH4" s="7"/>
    </row>
    <row r="5" spans="1:60" ht="23.25" customHeight="1" x14ac:dyDescent="0.25">
      <c r="A5" s="12">
        <v>44683</v>
      </c>
      <c r="B5" s="7">
        <v>81996</v>
      </c>
      <c r="C5" s="7">
        <f>B5-B4</f>
        <v>4688</v>
      </c>
      <c r="D5" s="7">
        <v>29795849</v>
      </c>
      <c r="E5" s="7">
        <f>D5-D4</f>
        <v>10172</v>
      </c>
      <c r="F5" s="9">
        <v>8205308</v>
      </c>
      <c r="G5" s="9">
        <f>F5-F4</f>
        <v>4117</v>
      </c>
      <c r="H5" s="17"/>
      <c r="I5" s="7">
        <v>82198</v>
      </c>
      <c r="J5" s="14">
        <f>(I5-I4)*1.129</f>
        <v>118.545</v>
      </c>
      <c r="K5" s="7">
        <v>20878</v>
      </c>
      <c r="L5" s="14">
        <f>(K5-K4)*1.129</f>
        <v>10.161</v>
      </c>
      <c r="M5" s="13"/>
      <c r="N5" s="7">
        <v>54874</v>
      </c>
      <c r="O5" s="14">
        <f>(N5-N4)*1000/7.48</f>
        <v>8288.7700534759351</v>
      </c>
      <c r="P5" s="7">
        <v>52345521</v>
      </c>
      <c r="Q5" s="14">
        <f>P5-P4</f>
        <v>6823</v>
      </c>
      <c r="R5" s="7">
        <v>233746</v>
      </c>
      <c r="S5" s="14">
        <f>R5-R4</f>
        <v>70</v>
      </c>
      <c r="T5" s="13"/>
      <c r="U5" s="7">
        <v>6630</v>
      </c>
      <c r="V5" s="7">
        <f>U5-U4</f>
        <v>435</v>
      </c>
      <c r="W5" s="7">
        <v>257</v>
      </c>
      <c r="X5" s="7">
        <f>W5-W4</f>
        <v>17</v>
      </c>
      <c r="Y5" s="7">
        <v>230</v>
      </c>
      <c r="Z5" s="7">
        <f>(Y5-Y4)</f>
        <v>16</v>
      </c>
      <c r="AA5" s="8">
        <v>805878</v>
      </c>
      <c r="AB5" s="8">
        <f>(AA5-AA4)*10000</f>
        <v>3450000</v>
      </c>
      <c r="AC5" s="8">
        <v>362868</v>
      </c>
      <c r="AD5" s="8">
        <f>(AC5-AC4)*10000</f>
        <v>2050000</v>
      </c>
      <c r="AE5" s="13"/>
      <c r="AF5" s="7">
        <v>67138</v>
      </c>
      <c r="AG5" s="7">
        <f>AF5-AF4</f>
        <v>1</v>
      </c>
      <c r="AH5" s="7">
        <v>222558</v>
      </c>
      <c r="AI5" s="14">
        <f>AH5-AH4</f>
        <v>175</v>
      </c>
      <c r="AJ5" s="7">
        <v>10956857</v>
      </c>
      <c r="AK5" s="14">
        <f>AJ5-AJ4</f>
        <v>6169</v>
      </c>
      <c r="AL5" s="7">
        <v>28742</v>
      </c>
      <c r="AM5" s="14">
        <f>AL5-AL4</f>
        <v>2</v>
      </c>
      <c r="AN5" s="7">
        <v>13581</v>
      </c>
      <c r="AO5" s="14">
        <f>AN5-AN4</f>
        <v>451</v>
      </c>
      <c r="AP5" s="13"/>
      <c r="AQ5" s="22">
        <v>581274</v>
      </c>
      <c r="AR5" s="22">
        <f>(AQ5-AQ4)*10000</f>
        <v>160000</v>
      </c>
      <c r="AS5" s="22">
        <v>234978</v>
      </c>
      <c r="AT5" s="22">
        <f>(AS5-AS4)*10000</f>
        <v>0</v>
      </c>
      <c r="AU5" s="22">
        <v>71261</v>
      </c>
      <c r="AV5" s="22">
        <f>(AU5-AU4)*10000</f>
        <v>70000</v>
      </c>
      <c r="AW5" s="22">
        <v>269336</v>
      </c>
      <c r="AX5" s="22">
        <f>(AW5-AW4)*10000</f>
        <v>0</v>
      </c>
      <c r="AY5" s="22">
        <v>455801</v>
      </c>
      <c r="AZ5" s="22">
        <f>(AY5-AY4)*10000</f>
        <v>2240000</v>
      </c>
      <c r="BA5" s="22">
        <v>19320</v>
      </c>
      <c r="BB5" s="22">
        <f>(BA5-BA4)*10000</f>
        <v>10000</v>
      </c>
      <c r="BC5" s="22">
        <v>439576</v>
      </c>
      <c r="BD5" s="22">
        <f>(BC5-BC4)*10000</f>
        <v>2220000</v>
      </c>
      <c r="BE5" s="22">
        <v>124015</v>
      </c>
      <c r="BF5" s="22">
        <f>(BE5-BE4)*10000</f>
        <v>0</v>
      </c>
      <c r="BG5" s="13"/>
      <c r="BH5" s="7"/>
    </row>
    <row r="6" spans="1:60" ht="24" customHeight="1" x14ac:dyDescent="0.25">
      <c r="A6" s="12">
        <v>44684</v>
      </c>
      <c r="B6" s="10">
        <v>85867</v>
      </c>
      <c r="C6" s="7">
        <f t="shared" ref="C6:C34" si="0">B6-B5</f>
        <v>3871</v>
      </c>
      <c r="D6" s="7">
        <v>29804626</v>
      </c>
      <c r="E6" s="7">
        <f t="shared" ref="E6:E34" si="1">D6-D5</f>
        <v>8777</v>
      </c>
      <c r="F6" s="9">
        <v>8208894</v>
      </c>
      <c r="G6" s="9">
        <f t="shared" ref="G6:G34" si="2">F6-F5</f>
        <v>3586</v>
      </c>
      <c r="H6" s="17"/>
      <c r="I6" s="7">
        <v>82301</v>
      </c>
      <c r="J6" s="14">
        <f t="shared" ref="J6:J34" si="3">(I6-I5)*1.129</f>
        <v>116.28700000000001</v>
      </c>
      <c r="K6" s="7">
        <v>20882</v>
      </c>
      <c r="L6" s="14">
        <f t="shared" ref="L6:L34" si="4">(K6-K5)*1.129</f>
        <v>4.516</v>
      </c>
      <c r="M6" s="13"/>
      <c r="N6" s="7">
        <v>54915</v>
      </c>
      <c r="O6" s="14">
        <f t="shared" ref="O6:O34" si="5">(N6-N5)*1000/7.48</f>
        <v>5481.2834224598928</v>
      </c>
      <c r="P6" s="7">
        <v>52353108</v>
      </c>
      <c r="Q6" s="14">
        <f t="shared" ref="Q6:Q34" si="6">P6-P5</f>
        <v>7587</v>
      </c>
      <c r="R6" s="7">
        <v>233796</v>
      </c>
      <c r="S6" s="14">
        <f t="shared" ref="S6:S34" si="7">R6-R5</f>
        <v>50</v>
      </c>
      <c r="T6" s="13"/>
      <c r="U6" s="7">
        <v>7009</v>
      </c>
      <c r="V6" s="7">
        <f t="shared" ref="V6:V34" si="8">U6-U5</f>
        <v>379</v>
      </c>
      <c r="W6" s="7">
        <v>273</v>
      </c>
      <c r="X6" s="7">
        <f t="shared" ref="X6:X34" si="9">W6-W5</f>
        <v>16</v>
      </c>
      <c r="Y6" s="7">
        <v>244</v>
      </c>
      <c r="Z6" s="7">
        <f t="shared" ref="Z6:Z34" si="10">(Y6-Y5)</f>
        <v>14</v>
      </c>
      <c r="AA6" s="8">
        <v>806169</v>
      </c>
      <c r="AB6" s="8">
        <f t="shared" ref="AB6:AB34" si="11">(AA6-AA5)*10000</f>
        <v>2910000</v>
      </c>
      <c r="AC6" s="8">
        <v>363022</v>
      </c>
      <c r="AD6" s="8">
        <f t="shared" ref="AD6:AD34" si="12">(AC6-AC5)*10000</f>
        <v>1540000</v>
      </c>
      <c r="AE6" s="13"/>
      <c r="AF6" s="7">
        <v>67138</v>
      </c>
      <c r="AG6" s="7">
        <f t="shared" ref="AG6:AG33" si="13">AF6-AF5</f>
        <v>0</v>
      </c>
      <c r="AH6" s="7">
        <v>222694</v>
      </c>
      <c r="AI6" s="14">
        <f t="shared" ref="AI6:AI34" si="14">AH6-AH5</f>
        <v>136</v>
      </c>
      <c r="AJ6" s="7">
        <v>10961863</v>
      </c>
      <c r="AK6" s="14">
        <f t="shared" ref="AK6:AK33" si="15">AJ6-AJ5</f>
        <v>5006</v>
      </c>
      <c r="AL6" s="7">
        <v>28743</v>
      </c>
      <c r="AM6" s="14">
        <f t="shared" ref="AM6:AM33" si="16">AL6-AL5</f>
        <v>1</v>
      </c>
      <c r="AN6" s="7">
        <v>14248</v>
      </c>
      <c r="AO6" s="14">
        <f t="shared" ref="AO6:AO33" si="17">AN6-AN5</f>
        <v>667</v>
      </c>
      <c r="AP6" s="13"/>
      <c r="AQ6" s="22">
        <v>581411</v>
      </c>
      <c r="AR6" s="22">
        <f>(AQ6-AQ5)*10000</f>
        <v>1370000</v>
      </c>
      <c r="AS6" s="22">
        <v>234978</v>
      </c>
      <c r="AT6" s="22">
        <f t="shared" ref="AT6:AT33" si="18">(AS6-AS5)*10000</f>
        <v>0</v>
      </c>
      <c r="AU6" s="22">
        <v>71280</v>
      </c>
      <c r="AV6" s="22">
        <f t="shared" ref="AV6:AV34" si="19">(AU6-AU5)*10000</f>
        <v>190000</v>
      </c>
      <c r="AW6" s="22">
        <v>269336</v>
      </c>
      <c r="AX6" s="22">
        <f t="shared" ref="AX6:AX33" si="20">(AW6-AW5)*10000</f>
        <v>0</v>
      </c>
      <c r="AY6" s="22">
        <v>455982</v>
      </c>
      <c r="AZ6" s="22">
        <f t="shared" ref="AZ6:AZ34" si="21">(AY6-AY5)*10000</f>
        <v>1810000</v>
      </c>
      <c r="BA6" s="22">
        <v>19320</v>
      </c>
      <c r="BB6" s="22">
        <f t="shared" ref="BB6:BB33" si="22">(BA6-BA5)*10000</f>
        <v>0</v>
      </c>
      <c r="BC6" s="22">
        <v>439791</v>
      </c>
      <c r="BD6" s="22">
        <f t="shared" ref="BD6:BD34" si="23">(BC6-BC5)*10000</f>
        <v>2150000</v>
      </c>
      <c r="BE6" s="22">
        <v>124015</v>
      </c>
      <c r="BF6" s="22">
        <f t="shared" ref="BF6:BF33" si="24">(BE6-BE5)*10000</f>
        <v>0</v>
      </c>
      <c r="BG6" s="13"/>
      <c r="BH6" s="7"/>
    </row>
    <row r="7" spans="1:60" ht="24" customHeight="1" x14ac:dyDescent="0.25">
      <c r="A7" s="12">
        <v>44685</v>
      </c>
      <c r="B7" s="7">
        <v>90130</v>
      </c>
      <c r="C7" s="7">
        <f t="shared" si="0"/>
        <v>4263</v>
      </c>
      <c r="D7" s="7">
        <v>29813920</v>
      </c>
      <c r="E7" s="7">
        <f t="shared" si="1"/>
        <v>9294</v>
      </c>
      <c r="F7" s="7">
        <v>8212504</v>
      </c>
      <c r="G7" s="9">
        <f t="shared" si="2"/>
        <v>3610</v>
      </c>
      <c r="H7" s="13"/>
      <c r="I7" s="7">
        <v>82403</v>
      </c>
      <c r="J7" s="14">
        <f t="shared" si="3"/>
        <v>115.158</v>
      </c>
      <c r="K7" s="7">
        <v>20888</v>
      </c>
      <c r="L7" s="14">
        <f t="shared" si="4"/>
        <v>6.774</v>
      </c>
      <c r="M7" s="13"/>
      <c r="N7" s="11">
        <v>54960</v>
      </c>
      <c r="O7" s="14">
        <f t="shared" si="5"/>
        <v>6016.0427807486631</v>
      </c>
      <c r="P7" s="11">
        <v>52360660</v>
      </c>
      <c r="Q7" s="14">
        <f t="shared" si="6"/>
        <v>7552</v>
      </c>
      <c r="R7" s="14">
        <v>233851</v>
      </c>
      <c r="S7" s="14">
        <f t="shared" si="7"/>
        <v>55</v>
      </c>
      <c r="T7" s="15"/>
      <c r="U7" s="14">
        <v>7393</v>
      </c>
      <c r="V7" s="7">
        <f t="shared" si="8"/>
        <v>384</v>
      </c>
      <c r="W7" s="14">
        <v>289</v>
      </c>
      <c r="X7" s="7">
        <f t="shared" si="9"/>
        <v>16</v>
      </c>
      <c r="Y7" s="14">
        <v>258</v>
      </c>
      <c r="Z7" s="7">
        <f t="shared" si="10"/>
        <v>14</v>
      </c>
      <c r="AA7" s="8">
        <v>806474</v>
      </c>
      <c r="AB7" s="8">
        <f t="shared" si="11"/>
        <v>3050000</v>
      </c>
      <c r="AC7" s="24">
        <v>363193</v>
      </c>
      <c r="AD7" s="8">
        <f t="shared" si="12"/>
        <v>1710000</v>
      </c>
      <c r="AE7" s="15"/>
      <c r="AF7" s="11">
        <v>67138</v>
      </c>
      <c r="AG7" s="7">
        <f t="shared" si="13"/>
        <v>0</v>
      </c>
      <c r="AH7" s="11">
        <v>222856</v>
      </c>
      <c r="AI7" s="14">
        <f t="shared" si="14"/>
        <v>162</v>
      </c>
      <c r="AJ7" s="11">
        <v>10966752</v>
      </c>
      <c r="AK7" s="14">
        <f t="shared" si="15"/>
        <v>4889</v>
      </c>
      <c r="AL7" s="11">
        <v>28745</v>
      </c>
      <c r="AM7" s="14">
        <f t="shared" si="16"/>
        <v>2</v>
      </c>
      <c r="AN7" s="14">
        <v>15021</v>
      </c>
      <c r="AO7" s="14">
        <f t="shared" si="17"/>
        <v>773</v>
      </c>
      <c r="AP7" s="15"/>
      <c r="AQ7" s="22">
        <v>581453</v>
      </c>
      <c r="AR7" s="22">
        <f t="shared" ref="AR7:AR34" si="25">(AQ7-AQ6)*10000</f>
        <v>420000</v>
      </c>
      <c r="AS7" s="22">
        <v>234978</v>
      </c>
      <c r="AT7" s="22">
        <f t="shared" si="18"/>
        <v>0</v>
      </c>
      <c r="AU7" s="22">
        <v>71352</v>
      </c>
      <c r="AV7" s="22">
        <f t="shared" si="19"/>
        <v>720000</v>
      </c>
      <c r="AW7" s="22">
        <v>269336</v>
      </c>
      <c r="AX7" s="22">
        <f t="shared" si="20"/>
        <v>0</v>
      </c>
      <c r="AY7" s="22">
        <v>456012</v>
      </c>
      <c r="AZ7" s="22">
        <f t="shared" si="21"/>
        <v>300000</v>
      </c>
      <c r="BA7" s="22">
        <v>19320</v>
      </c>
      <c r="BB7" s="22">
        <f t="shared" si="22"/>
        <v>0</v>
      </c>
      <c r="BC7" s="22">
        <v>440038</v>
      </c>
      <c r="BD7" s="22">
        <f t="shared" si="23"/>
        <v>2470000</v>
      </c>
      <c r="BE7" s="22">
        <v>124015</v>
      </c>
      <c r="BF7" s="22">
        <f t="shared" si="24"/>
        <v>0</v>
      </c>
      <c r="BG7" s="15"/>
      <c r="BH7" s="7"/>
    </row>
    <row r="8" spans="1:60" ht="24" customHeight="1" x14ac:dyDescent="0.25">
      <c r="A8" s="12">
        <v>44686</v>
      </c>
      <c r="B8" s="7">
        <v>94613</v>
      </c>
      <c r="C8" s="7">
        <f t="shared" si="0"/>
        <v>4483</v>
      </c>
      <c r="D8" s="7">
        <v>29823707</v>
      </c>
      <c r="E8" s="7">
        <f t="shared" si="1"/>
        <v>9787</v>
      </c>
      <c r="F8" s="7">
        <v>8216348</v>
      </c>
      <c r="G8" s="9">
        <f t="shared" si="2"/>
        <v>3844</v>
      </c>
      <c r="H8" s="13"/>
      <c r="I8" s="7">
        <v>82495</v>
      </c>
      <c r="J8" s="14">
        <f t="shared" si="3"/>
        <v>103.86799999999999</v>
      </c>
      <c r="K8" s="14">
        <v>20896</v>
      </c>
      <c r="L8" s="14">
        <f t="shared" si="4"/>
        <v>9.032</v>
      </c>
      <c r="M8" s="15"/>
      <c r="N8" s="11">
        <v>55011</v>
      </c>
      <c r="O8" s="14">
        <f t="shared" si="5"/>
        <v>6818.181818181818</v>
      </c>
      <c r="P8" s="11">
        <v>52368453</v>
      </c>
      <c r="Q8" s="14">
        <f t="shared" si="6"/>
        <v>7793</v>
      </c>
      <c r="R8" s="14">
        <v>233910</v>
      </c>
      <c r="S8" s="14">
        <f t="shared" si="7"/>
        <v>59</v>
      </c>
      <c r="T8" s="15"/>
      <c r="U8" s="14">
        <v>7802</v>
      </c>
      <c r="V8" s="7">
        <f t="shared" si="8"/>
        <v>409</v>
      </c>
      <c r="W8" s="14">
        <v>305</v>
      </c>
      <c r="X8" s="7">
        <f t="shared" si="9"/>
        <v>16</v>
      </c>
      <c r="Y8" s="14">
        <v>274</v>
      </c>
      <c r="Z8" s="7">
        <f t="shared" si="10"/>
        <v>16</v>
      </c>
      <c r="AA8" s="25">
        <v>806797</v>
      </c>
      <c r="AB8" s="8">
        <f t="shared" si="11"/>
        <v>3230000</v>
      </c>
      <c r="AC8" s="25">
        <v>363371</v>
      </c>
      <c r="AD8" s="8">
        <f t="shared" si="12"/>
        <v>1780000</v>
      </c>
      <c r="AE8" s="15"/>
      <c r="AF8" s="11">
        <v>67138</v>
      </c>
      <c r="AG8" s="7">
        <f t="shared" si="13"/>
        <v>0</v>
      </c>
      <c r="AH8" s="11">
        <v>223023</v>
      </c>
      <c r="AI8" s="14">
        <f t="shared" si="14"/>
        <v>167</v>
      </c>
      <c r="AJ8" s="11">
        <v>10971731</v>
      </c>
      <c r="AK8" s="14">
        <f t="shared" si="15"/>
        <v>4979</v>
      </c>
      <c r="AL8" s="11">
        <v>28748</v>
      </c>
      <c r="AM8" s="14">
        <f t="shared" si="16"/>
        <v>3</v>
      </c>
      <c r="AN8" s="14">
        <v>15808</v>
      </c>
      <c r="AO8" s="14">
        <f t="shared" si="17"/>
        <v>787</v>
      </c>
      <c r="AP8" s="15"/>
      <c r="AQ8" s="22">
        <v>581507</v>
      </c>
      <c r="AR8" s="22">
        <f t="shared" si="25"/>
        <v>540000</v>
      </c>
      <c r="AS8" s="22">
        <v>234978</v>
      </c>
      <c r="AT8" s="22">
        <f t="shared" si="18"/>
        <v>0</v>
      </c>
      <c r="AU8" s="22">
        <v>71355</v>
      </c>
      <c r="AV8" s="22">
        <f t="shared" si="19"/>
        <v>30000</v>
      </c>
      <c r="AW8" s="22">
        <v>269336</v>
      </c>
      <c r="AX8" s="22">
        <f t="shared" si="20"/>
        <v>0</v>
      </c>
      <c r="AY8" s="22">
        <v>456054</v>
      </c>
      <c r="AZ8" s="22">
        <f t="shared" si="21"/>
        <v>420000</v>
      </c>
      <c r="BA8" s="22">
        <v>19320</v>
      </c>
      <c r="BB8" s="22">
        <f t="shared" si="22"/>
        <v>0</v>
      </c>
      <c r="BC8" s="22">
        <v>440313</v>
      </c>
      <c r="BD8" s="22">
        <f t="shared" si="23"/>
        <v>2750000</v>
      </c>
      <c r="BE8" s="22">
        <v>124015</v>
      </c>
      <c r="BF8" s="22">
        <f t="shared" si="24"/>
        <v>0</v>
      </c>
      <c r="BG8" s="15"/>
      <c r="BH8" s="7"/>
    </row>
    <row r="9" spans="1:60" ht="22.5" customHeight="1" x14ac:dyDescent="0.25">
      <c r="A9" s="12">
        <v>44687</v>
      </c>
      <c r="B9" s="11">
        <v>98377</v>
      </c>
      <c r="C9" s="7">
        <f t="shared" si="0"/>
        <v>3764</v>
      </c>
      <c r="D9" s="7">
        <v>29831585</v>
      </c>
      <c r="E9" s="7">
        <f t="shared" si="1"/>
        <v>7878</v>
      </c>
      <c r="F9" s="7">
        <v>8219424</v>
      </c>
      <c r="G9" s="9">
        <f t="shared" si="2"/>
        <v>3076</v>
      </c>
      <c r="H9" s="13"/>
      <c r="I9" s="7">
        <v>82600</v>
      </c>
      <c r="J9" s="14">
        <f t="shared" si="3"/>
        <v>118.545</v>
      </c>
      <c r="K9" s="14">
        <v>20902</v>
      </c>
      <c r="L9" s="14">
        <f t="shared" si="4"/>
        <v>6.774</v>
      </c>
      <c r="M9" s="15"/>
      <c r="N9" s="11">
        <v>55059</v>
      </c>
      <c r="O9" s="14">
        <f t="shared" si="5"/>
        <v>6417.1122994652405</v>
      </c>
      <c r="P9" s="11">
        <v>52374900</v>
      </c>
      <c r="Q9" s="14">
        <f t="shared" si="6"/>
        <v>6447</v>
      </c>
      <c r="R9" s="14">
        <v>233961</v>
      </c>
      <c r="S9" s="14">
        <f t="shared" si="7"/>
        <v>51</v>
      </c>
      <c r="T9" s="15"/>
      <c r="U9" s="14">
        <v>8134</v>
      </c>
      <c r="V9" s="7">
        <f t="shared" si="8"/>
        <v>332</v>
      </c>
      <c r="W9" s="14">
        <v>320</v>
      </c>
      <c r="X9" s="7">
        <f t="shared" si="9"/>
        <v>15</v>
      </c>
      <c r="Y9" s="14">
        <v>286</v>
      </c>
      <c r="Z9" s="7">
        <f t="shared" si="10"/>
        <v>12</v>
      </c>
      <c r="AA9" s="25">
        <v>807068</v>
      </c>
      <c r="AB9" s="8">
        <f t="shared" si="11"/>
        <v>2710000</v>
      </c>
      <c r="AC9" s="25">
        <v>363526</v>
      </c>
      <c r="AD9" s="8">
        <f t="shared" si="12"/>
        <v>1550000</v>
      </c>
      <c r="AE9" s="15"/>
      <c r="AF9" s="11">
        <v>67138</v>
      </c>
      <c r="AG9" s="7">
        <f t="shared" si="13"/>
        <v>0</v>
      </c>
      <c r="AH9" s="11">
        <v>223185</v>
      </c>
      <c r="AI9" s="14">
        <f t="shared" si="14"/>
        <v>162</v>
      </c>
      <c r="AJ9" s="11">
        <v>10976852</v>
      </c>
      <c r="AK9" s="14">
        <f t="shared" si="15"/>
        <v>5121</v>
      </c>
      <c r="AL9" s="11">
        <v>28750</v>
      </c>
      <c r="AM9" s="14">
        <f t="shared" si="16"/>
        <v>2</v>
      </c>
      <c r="AN9" s="14">
        <v>16617</v>
      </c>
      <c r="AO9" s="14">
        <f t="shared" si="17"/>
        <v>809</v>
      </c>
      <c r="AP9" s="15"/>
      <c r="AQ9" s="22">
        <v>581618</v>
      </c>
      <c r="AR9" s="22">
        <f t="shared" si="25"/>
        <v>1110000</v>
      </c>
      <c r="AS9" s="22">
        <v>234978</v>
      </c>
      <c r="AT9" s="22">
        <f t="shared" si="18"/>
        <v>0</v>
      </c>
      <c r="AU9" s="22">
        <v>71410</v>
      </c>
      <c r="AV9" s="22">
        <f t="shared" si="19"/>
        <v>550000</v>
      </c>
      <c r="AW9" s="22">
        <v>269336</v>
      </c>
      <c r="AX9" s="22">
        <f t="shared" si="20"/>
        <v>0</v>
      </c>
      <c r="AY9" s="22">
        <v>456078</v>
      </c>
      <c r="AZ9" s="22">
        <f t="shared" si="21"/>
        <v>240000</v>
      </c>
      <c r="BA9" s="22">
        <v>19320</v>
      </c>
      <c r="BB9" s="22">
        <f t="shared" si="22"/>
        <v>0</v>
      </c>
      <c r="BC9" s="22">
        <v>440524</v>
      </c>
      <c r="BD9" s="22">
        <f t="shared" si="23"/>
        <v>2110000</v>
      </c>
      <c r="BE9" s="22">
        <v>124015</v>
      </c>
      <c r="BF9" s="22">
        <f t="shared" si="24"/>
        <v>0</v>
      </c>
      <c r="BG9" s="15"/>
      <c r="BH9" s="7"/>
    </row>
    <row r="10" spans="1:60" ht="22.5" customHeight="1" x14ac:dyDescent="0.25">
      <c r="A10" s="12">
        <v>44688</v>
      </c>
      <c r="B10" s="11">
        <v>104382</v>
      </c>
      <c r="C10" s="7">
        <f t="shared" si="0"/>
        <v>6005</v>
      </c>
      <c r="D10" s="7">
        <v>29843965</v>
      </c>
      <c r="E10" s="7">
        <f t="shared" si="1"/>
        <v>12380</v>
      </c>
      <c r="F10" s="11">
        <v>8226385</v>
      </c>
      <c r="G10" s="9">
        <f t="shared" si="2"/>
        <v>6961</v>
      </c>
      <c r="H10" s="18"/>
      <c r="I10" s="7">
        <v>82733</v>
      </c>
      <c r="J10" s="14">
        <f t="shared" si="3"/>
        <v>150.15700000000001</v>
      </c>
      <c r="K10" s="14">
        <v>20911</v>
      </c>
      <c r="L10" s="14">
        <f t="shared" si="4"/>
        <v>10.161</v>
      </c>
      <c r="M10" s="15"/>
      <c r="N10" s="7">
        <v>55124</v>
      </c>
      <c r="O10" s="14">
        <f t="shared" si="5"/>
        <v>8689.8395721925135</v>
      </c>
      <c r="P10" s="7">
        <v>52382340</v>
      </c>
      <c r="Q10" s="14">
        <f t="shared" si="6"/>
        <v>7440</v>
      </c>
      <c r="R10" s="14">
        <v>234044</v>
      </c>
      <c r="S10" s="14">
        <f t="shared" si="7"/>
        <v>83</v>
      </c>
      <c r="T10" s="15"/>
      <c r="U10" s="14">
        <v>8644</v>
      </c>
      <c r="V10" s="7">
        <f t="shared" si="8"/>
        <v>510</v>
      </c>
      <c r="W10" s="14">
        <v>344</v>
      </c>
      <c r="X10" s="7">
        <f t="shared" si="9"/>
        <v>24</v>
      </c>
      <c r="Y10" s="14">
        <v>305</v>
      </c>
      <c r="Z10" s="7">
        <f t="shared" si="10"/>
        <v>19</v>
      </c>
      <c r="AA10" s="25"/>
      <c r="AB10" s="8">
        <f t="shared" si="11"/>
        <v>-8070680000</v>
      </c>
      <c r="AC10" s="25"/>
      <c r="AD10" s="8">
        <f t="shared" si="12"/>
        <v>-3635260000</v>
      </c>
      <c r="AE10" s="15"/>
      <c r="AF10" s="7">
        <v>67138</v>
      </c>
      <c r="AG10" s="7">
        <f t="shared" si="13"/>
        <v>0</v>
      </c>
      <c r="AH10" s="7">
        <v>223382</v>
      </c>
      <c r="AI10" s="14">
        <f t="shared" si="14"/>
        <v>197</v>
      </c>
      <c r="AJ10" s="7">
        <v>10983462</v>
      </c>
      <c r="AK10" s="14">
        <f t="shared" si="15"/>
        <v>6610</v>
      </c>
      <c r="AL10" s="7">
        <v>28751</v>
      </c>
      <c r="AM10" s="14">
        <f t="shared" si="16"/>
        <v>1</v>
      </c>
      <c r="AN10" s="14">
        <v>17585</v>
      </c>
      <c r="AO10" s="14">
        <f t="shared" si="17"/>
        <v>968</v>
      </c>
      <c r="AP10" s="15"/>
      <c r="AQ10" s="22">
        <v>581652</v>
      </c>
      <c r="AR10" s="22">
        <f>(AQ10-AQ9)*10000</f>
        <v>340000</v>
      </c>
      <c r="AS10" s="22">
        <v>234978</v>
      </c>
      <c r="AT10" s="22">
        <f t="shared" si="18"/>
        <v>0</v>
      </c>
      <c r="AU10" s="22">
        <v>71425</v>
      </c>
      <c r="AV10" s="22">
        <f t="shared" si="19"/>
        <v>150000</v>
      </c>
      <c r="AW10" s="22">
        <v>269336</v>
      </c>
      <c r="AX10" s="22">
        <f t="shared" si="20"/>
        <v>0</v>
      </c>
      <c r="AY10" s="22">
        <v>456088</v>
      </c>
      <c r="AZ10" s="22">
        <f t="shared" si="21"/>
        <v>100000</v>
      </c>
      <c r="BA10" s="22">
        <v>19320</v>
      </c>
      <c r="BB10" s="22">
        <f t="shared" si="22"/>
        <v>0</v>
      </c>
      <c r="BC10" s="22">
        <v>440837</v>
      </c>
      <c r="BD10" s="22">
        <f t="shared" si="23"/>
        <v>3130000</v>
      </c>
      <c r="BE10" s="22">
        <v>124015</v>
      </c>
      <c r="BF10" s="22">
        <f t="shared" si="24"/>
        <v>0</v>
      </c>
      <c r="BG10" s="15"/>
      <c r="BH10" s="7"/>
    </row>
    <row r="11" spans="1:60" ht="23.25" customHeight="1" x14ac:dyDescent="0.25">
      <c r="A11" s="12">
        <v>44689</v>
      </c>
      <c r="B11" s="11">
        <v>107990</v>
      </c>
      <c r="C11" s="7">
        <f t="shared" si="0"/>
        <v>3608</v>
      </c>
      <c r="D11" s="7">
        <v>29850633</v>
      </c>
      <c r="E11" s="7">
        <f t="shared" si="1"/>
        <v>6668</v>
      </c>
      <c r="F11" s="7">
        <v>8226947</v>
      </c>
      <c r="G11" s="9">
        <f t="shared" si="2"/>
        <v>562</v>
      </c>
      <c r="H11" s="13"/>
      <c r="I11" s="7">
        <v>82842</v>
      </c>
      <c r="J11" s="14">
        <f t="shared" si="3"/>
        <v>123.06100000000001</v>
      </c>
      <c r="K11" s="7">
        <v>20915</v>
      </c>
      <c r="L11" s="14">
        <f t="shared" si="4"/>
        <v>4.516</v>
      </c>
      <c r="M11" s="13"/>
      <c r="N11" s="7">
        <v>55170</v>
      </c>
      <c r="O11" s="14">
        <f t="shared" si="5"/>
        <v>6149.7326203208549</v>
      </c>
      <c r="P11" s="7">
        <v>52386548</v>
      </c>
      <c r="Q11" s="14">
        <f t="shared" si="6"/>
        <v>4208</v>
      </c>
      <c r="R11" s="7">
        <v>234111</v>
      </c>
      <c r="S11" s="14">
        <f t="shared" si="7"/>
        <v>67</v>
      </c>
      <c r="T11" s="13"/>
      <c r="U11" s="7">
        <v>8755</v>
      </c>
      <c r="V11" s="7">
        <f t="shared" si="8"/>
        <v>111</v>
      </c>
      <c r="W11" s="7">
        <v>359</v>
      </c>
      <c r="X11" s="7">
        <f t="shared" si="9"/>
        <v>15</v>
      </c>
      <c r="Y11" s="7">
        <v>317</v>
      </c>
      <c r="Z11" s="7">
        <f t="shared" si="10"/>
        <v>12</v>
      </c>
      <c r="AA11" s="8">
        <v>807130</v>
      </c>
      <c r="AB11" s="8">
        <f t="shared" si="11"/>
        <v>8071300000</v>
      </c>
      <c r="AC11" s="8">
        <v>363912</v>
      </c>
      <c r="AD11" s="8">
        <f t="shared" si="12"/>
        <v>3639120000</v>
      </c>
      <c r="AE11" s="13"/>
      <c r="AF11" s="7">
        <v>67138</v>
      </c>
      <c r="AG11" s="7">
        <f t="shared" si="13"/>
        <v>0</v>
      </c>
      <c r="AH11" s="7"/>
      <c r="AI11" s="14">
        <f t="shared" si="14"/>
        <v>-223382</v>
      </c>
      <c r="AJ11" s="7"/>
      <c r="AK11" s="14">
        <f t="shared" si="15"/>
        <v>-10983462</v>
      </c>
      <c r="AL11" s="7"/>
      <c r="AM11" s="14">
        <f t="shared" si="16"/>
        <v>-28751</v>
      </c>
      <c r="AN11" s="7"/>
      <c r="AO11" s="14">
        <f t="shared" si="17"/>
        <v>-17585</v>
      </c>
      <c r="AP11" s="13"/>
      <c r="AQ11" s="22">
        <v>581681</v>
      </c>
      <c r="AR11" s="22">
        <f t="shared" si="25"/>
        <v>290000</v>
      </c>
      <c r="AS11" s="22">
        <v>234978</v>
      </c>
      <c r="AT11" s="22">
        <f t="shared" si="18"/>
        <v>0</v>
      </c>
      <c r="AU11" s="22">
        <v>71429</v>
      </c>
      <c r="AV11" s="22">
        <f t="shared" si="19"/>
        <v>40000</v>
      </c>
      <c r="AW11" s="22">
        <v>269336</v>
      </c>
      <c r="AX11" s="22">
        <f t="shared" si="20"/>
        <v>0</v>
      </c>
      <c r="AY11" s="22">
        <v>456093</v>
      </c>
      <c r="AZ11" s="22">
        <f t="shared" si="21"/>
        <v>50000</v>
      </c>
      <c r="BA11" s="22">
        <v>19320</v>
      </c>
      <c r="BB11" s="22">
        <f t="shared" si="22"/>
        <v>0</v>
      </c>
      <c r="BC11" s="22">
        <v>441016</v>
      </c>
      <c r="BD11" s="22">
        <f t="shared" si="23"/>
        <v>1790000</v>
      </c>
      <c r="BE11" s="22">
        <v>124015</v>
      </c>
      <c r="BF11" s="22">
        <f t="shared" si="24"/>
        <v>0</v>
      </c>
      <c r="BG11" s="13"/>
      <c r="BH11" s="7"/>
    </row>
    <row r="12" spans="1:60" ht="21.75" customHeight="1" x14ac:dyDescent="0.25">
      <c r="A12" s="12">
        <v>44690</v>
      </c>
      <c r="B12" s="7">
        <v>112793</v>
      </c>
      <c r="C12" s="7">
        <f t="shared" si="0"/>
        <v>4803</v>
      </c>
      <c r="D12" s="7">
        <v>29860474</v>
      </c>
      <c r="E12" s="7">
        <f t="shared" si="1"/>
        <v>9841</v>
      </c>
      <c r="F12" s="7">
        <v>8231044</v>
      </c>
      <c r="G12" s="9">
        <f t="shared" si="2"/>
        <v>4097</v>
      </c>
      <c r="H12" s="13"/>
      <c r="I12" s="7">
        <v>82960</v>
      </c>
      <c r="J12" s="14">
        <f t="shared" si="3"/>
        <v>133.22200000000001</v>
      </c>
      <c r="K12" s="7">
        <v>20922</v>
      </c>
      <c r="L12" s="14">
        <f t="shared" si="4"/>
        <v>7.9030000000000005</v>
      </c>
      <c r="M12" s="13"/>
      <c r="N12" s="7">
        <v>55221</v>
      </c>
      <c r="O12" s="14">
        <f t="shared" si="5"/>
        <v>6818.181818181818</v>
      </c>
      <c r="P12" s="7">
        <v>52391850</v>
      </c>
      <c r="Q12" s="14">
        <f t="shared" si="6"/>
        <v>5302</v>
      </c>
      <c r="R12" s="7">
        <v>234194</v>
      </c>
      <c r="S12" s="14">
        <f t="shared" si="7"/>
        <v>83</v>
      </c>
      <c r="T12" s="13"/>
      <c r="U12" s="7">
        <v>9327</v>
      </c>
      <c r="V12" s="7">
        <f t="shared" si="8"/>
        <v>572</v>
      </c>
      <c r="W12" s="7">
        <v>373</v>
      </c>
      <c r="X12" s="7">
        <f t="shared" si="9"/>
        <v>14</v>
      </c>
      <c r="Y12" s="7">
        <v>334</v>
      </c>
      <c r="Z12" s="7">
        <f t="shared" si="10"/>
        <v>17</v>
      </c>
      <c r="AA12" s="8">
        <v>807969</v>
      </c>
      <c r="AB12" s="8">
        <f t="shared" si="11"/>
        <v>8390000</v>
      </c>
      <c r="AC12" s="8">
        <v>364197</v>
      </c>
      <c r="AD12" s="8">
        <f t="shared" si="12"/>
        <v>2850000</v>
      </c>
      <c r="AE12" s="13"/>
      <c r="AF12" s="7">
        <v>67138</v>
      </c>
      <c r="AG12" s="7">
        <f t="shared" si="13"/>
        <v>0</v>
      </c>
      <c r="AH12" s="7">
        <v>223694</v>
      </c>
      <c r="AI12" s="14">
        <f t="shared" si="14"/>
        <v>223694</v>
      </c>
      <c r="AJ12" s="7">
        <v>10996703</v>
      </c>
      <c r="AK12" s="14">
        <f t="shared" si="15"/>
        <v>10996703</v>
      </c>
      <c r="AL12" s="7">
        <v>28761</v>
      </c>
      <c r="AM12" s="14">
        <f t="shared" si="16"/>
        <v>28761</v>
      </c>
      <c r="AN12" s="7">
        <v>19711</v>
      </c>
      <c r="AO12" s="14">
        <f t="shared" si="17"/>
        <v>19711</v>
      </c>
      <c r="AP12" s="13"/>
      <c r="AQ12" s="22">
        <v>581710</v>
      </c>
      <c r="AR12" s="22">
        <f t="shared" si="25"/>
        <v>290000</v>
      </c>
      <c r="AS12" s="22">
        <v>234978</v>
      </c>
      <c r="AT12" s="22">
        <f t="shared" si="18"/>
        <v>0</v>
      </c>
      <c r="AU12" s="22">
        <v>71429</v>
      </c>
      <c r="AV12" s="22">
        <f t="shared" si="19"/>
        <v>0</v>
      </c>
      <c r="AW12" s="22">
        <v>269521</v>
      </c>
      <c r="AX12" s="22">
        <f t="shared" si="20"/>
        <v>1850000</v>
      </c>
      <c r="AY12" s="22">
        <v>456177</v>
      </c>
      <c r="AZ12" s="22">
        <f t="shared" si="21"/>
        <v>840000</v>
      </c>
      <c r="BA12" s="22">
        <v>19320</v>
      </c>
      <c r="BB12" s="22">
        <f t="shared" si="22"/>
        <v>0</v>
      </c>
      <c r="BC12" s="22">
        <v>441211</v>
      </c>
      <c r="BD12" s="22">
        <f t="shared" si="23"/>
        <v>1950000</v>
      </c>
      <c r="BE12" s="22">
        <v>124015</v>
      </c>
      <c r="BF12" s="22">
        <f t="shared" si="24"/>
        <v>0</v>
      </c>
      <c r="BG12" s="13"/>
      <c r="BH12" s="7"/>
    </row>
    <row r="13" spans="1:60" ht="21.75" customHeight="1" x14ac:dyDescent="0.25">
      <c r="A13" s="12">
        <v>44691</v>
      </c>
      <c r="B13" s="7">
        <v>116849</v>
      </c>
      <c r="C13" s="7">
        <f t="shared" si="0"/>
        <v>4056</v>
      </c>
      <c r="D13" s="7">
        <v>29868760</v>
      </c>
      <c r="E13" s="7">
        <f t="shared" si="1"/>
        <v>8286</v>
      </c>
      <c r="F13" s="7">
        <v>8234334</v>
      </c>
      <c r="G13" s="9">
        <f t="shared" si="2"/>
        <v>3290</v>
      </c>
      <c r="H13" s="13"/>
      <c r="I13" s="7">
        <v>83055</v>
      </c>
      <c r="J13" s="14">
        <f t="shared" si="3"/>
        <v>107.255</v>
      </c>
      <c r="K13" s="7">
        <v>20927</v>
      </c>
      <c r="L13" s="14">
        <f t="shared" si="4"/>
        <v>5.6449999999999996</v>
      </c>
      <c r="M13" s="13"/>
      <c r="N13" s="7">
        <v>55263</v>
      </c>
      <c r="O13" s="14">
        <f t="shared" si="5"/>
        <v>5614.9732620320856</v>
      </c>
      <c r="P13" s="7">
        <v>52397599</v>
      </c>
      <c r="Q13" s="14">
        <f t="shared" si="6"/>
        <v>5749</v>
      </c>
      <c r="R13" s="7">
        <v>234249</v>
      </c>
      <c r="S13" s="14">
        <f t="shared" si="7"/>
        <v>55</v>
      </c>
      <c r="T13" s="13"/>
      <c r="U13" s="7">
        <v>9671</v>
      </c>
      <c r="V13" s="7">
        <f t="shared" si="8"/>
        <v>344</v>
      </c>
      <c r="W13" s="7">
        <v>383</v>
      </c>
      <c r="X13" s="7">
        <f t="shared" si="9"/>
        <v>10</v>
      </c>
      <c r="Y13" s="7">
        <v>334</v>
      </c>
      <c r="Z13" s="7">
        <f t="shared" si="10"/>
        <v>0</v>
      </c>
      <c r="AA13" s="8">
        <v>808213</v>
      </c>
      <c r="AB13" s="8">
        <f t="shared" si="11"/>
        <v>2440000</v>
      </c>
      <c r="AC13" s="8">
        <v>364365</v>
      </c>
      <c r="AD13" s="8">
        <f t="shared" ref="AD13:AD29" si="26">(AC13-AC12)*10000</f>
        <v>1680000</v>
      </c>
      <c r="AE13" s="13"/>
      <c r="AF13" s="7">
        <v>67138</v>
      </c>
      <c r="AG13" s="7">
        <f t="shared" si="13"/>
        <v>0</v>
      </c>
      <c r="AH13" s="7">
        <v>223833</v>
      </c>
      <c r="AI13" s="14">
        <f t="shared" si="14"/>
        <v>139</v>
      </c>
      <c r="AJ13" s="7">
        <v>11002069</v>
      </c>
      <c r="AK13" s="14">
        <f t="shared" si="15"/>
        <v>5366</v>
      </c>
      <c r="AL13" s="7">
        <v>28763</v>
      </c>
      <c r="AM13" s="14">
        <f t="shared" si="16"/>
        <v>2</v>
      </c>
      <c r="AN13" s="7">
        <v>19771</v>
      </c>
      <c r="AO13" s="14">
        <f t="shared" si="17"/>
        <v>60</v>
      </c>
      <c r="AP13" s="13"/>
      <c r="AQ13" s="22">
        <v>581789</v>
      </c>
      <c r="AR13" s="22">
        <f t="shared" si="25"/>
        <v>790000</v>
      </c>
      <c r="AS13" s="22">
        <v>234978</v>
      </c>
      <c r="AT13" s="22">
        <f t="shared" si="18"/>
        <v>0</v>
      </c>
      <c r="AU13" s="22">
        <v>71430</v>
      </c>
      <c r="AV13" s="22">
        <f t="shared" si="19"/>
        <v>10000</v>
      </c>
      <c r="AW13" s="22">
        <v>269527</v>
      </c>
      <c r="AX13" s="22">
        <f t="shared" si="20"/>
        <v>60000</v>
      </c>
      <c r="AY13" s="22">
        <v>456232</v>
      </c>
      <c r="AZ13" s="22">
        <f t="shared" si="21"/>
        <v>550000</v>
      </c>
      <c r="BA13" s="22">
        <v>19320</v>
      </c>
      <c r="BB13" s="22">
        <f t="shared" si="22"/>
        <v>0</v>
      </c>
      <c r="BC13" s="22">
        <v>441382</v>
      </c>
      <c r="BD13" s="22">
        <f t="shared" si="23"/>
        <v>1710000</v>
      </c>
      <c r="BE13" s="22">
        <v>124015</v>
      </c>
      <c r="BF13" s="22">
        <f t="shared" si="24"/>
        <v>0</v>
      </c>
      <c r="BG13" s="13"/>
      <c r="BH13" s="7"/>
    </row>
    <row r="14" spans="1:60" ht="22.5" customHeight="1" x14ac:dyDescent="0.25">
      <c r="A14" s="12">
        <v>44692</v>
      </c>
      <c r="B14" s="7">
        <v>120904</v>
      </c>
      <c r="C14" s="7">
        <f t="shared" si="0"/>
        <v>4055</v>
      </c>
      <c r="D14" s="7">
        <v>29877304</v>
      </c>
      <c r="E14" s="7">
        <f t="shared" si="1"/>
        <v>8544</v>
      </c>
      <c r="F14" s="7">
        <v>8237595</v>
      </c>
      <c r="G14" s="9">
        <f t="shared" si="2"/>
        <v>3261</v>
      </c>
      <c r="H14" s="13"/>
      <c r="I14" s="7">
        <v>83152</v>
      </c>
      <c r="J14" s="14">
        <f t="shared" si="3"/>
        <v>109.51300000000001</v>
      </c>
      <c r="K14" s="7">
        <v>20932</v>
      </c>
      <c r="L14" s="14">
        <f t="shared" si="4"/>
        <v>5.6449999999999996</v>
      </c>
      <c r="M14" s="13"/>
      <c r="N14" s="7">
        <v>55306</v>
      </c>
      <c r="O14" s="14">
        <f t="shared" si="5"/>
        <v>5748.6631016042775</v>
      </c>
      <c r="P14" s="7">
        <v>52404147</v>
      </c>
      <c r="Q14" s="14">
        <f t="shared" si="6"/>
        <v>6548</v>
      </c>
      <c r="R14" s="14">
        <v>234301</v>
      </c>
      <c r="S14" s="14">
        <f t="shared" si="7"/>
        <v>52</v>
      </c>
      <c r="T14" s="15"/>
      <c r="U14" s="7">
        <v>10017</v>
      </c>
      <c r="V14" s="7">
        <f t="shared" si="8"/>
        <v>346</v>
      </c>
      <c r="W14" s="7">
        <v>399</v>
      </c>
      <c r="X14" s="7">
        <f t="shared" si="9"/>
        <v>16</v>
      </c>
      <c r="Y14" s="7">
        <v>337</v>
      </c>
      <c r="Z14" s="7">
        <f t="shared" si="10"/>
        <v>3</v>
      </c>
      <c r="AA14" s="25">
        <v>808471</v>
      </c>
      <c r="AB14" s="8">
        <f t="shared" si="11"/>
        <v>2580000</v>
      </c>
      <c r="AC14" s="8">
        <v>364529</v>
      </c>
      <c r="AD14" s="8">
        <f t="shared" si="26"/>
        <v>1640000</v>
      </c>
      <c r="AE14" s="15"/>
      <c r="AF14" s="7">
        <v>67138</v>
      </c>
      <c r="AG14" s="7">
        <f t="shared" si="13"/>
        <v>0</v>
      </c>
      <c r="AH14" s="7">
        <v>223986</v>
      </c>
      <c r="AI14" s="14">
        <f t="shared" si="14"/>
        <v>153</v>
      </c>
      <c r="AJ14" s="7">
        <v>11007305</v>
      </c>
      <c r="AK14" s="14">
        <f t="shared" si="15"/>
        <v>5236</v>
      </c>
      <c r="AL14" s="7">
        <v>28766</v>
      </c>
      <c r="AM14" s="14">
        <f t="shared" si="16"/>
        <v>3</v>
      </c>
      <c r="AN14" s="14">
        <v>20571</v>
      </c>
      <c r="AO14" s="14">
        <f t="shared" si="17"/>
        <v>800</v>
      </c>
      <c r="AP14" s="15"/>
      <c r="AQ14" s="22">
        <v>581844</v>
      </c>
      <c r="AR14" s="22">
        <f t="shared" si="25"/>
        <v>550000</v>
      </c>
      <c r="AS14" s="22">
        <v>234978</v>
      </c>
      <c r="AT14" s="22">
        <f t="shared" si="18"/>
        <v>0</v>
      </c>
      <c r="AU14" s="22">
        <v>71430</v>
      </c>
      <c r="AV14" s="22">
        <f t="shared" si="19"/>
        <v>0</v>
      </c>
      <c r="AW14" s="22">
        <v>269527</v>
      </c>
      <c r="AX14" s="22">
        <f t="shared" si="20"/>
        <v>0</v>
      </c>
      <c r="AY14" s="22">
        <v>456325</v>
      </c>
      <c r="AZ14" s="22">
        <f t="shared" si="21"/>
        <v>930000</v>
      </c>
      <c r="BA14" s="22">
        <v>19320</v>
      </c>
      <c r="BB14" s="22">
        <f t="shared" si="22"/>
        <v>0</v>
      </c>
      <c r="BC14" s="22">
        <v>441554</v>
      </c>
      <c r="BD14" s="22">
        <f t="shared" si="23"/>
        <v>1720000</v>
      </c>
      <c r="BE14" s="22">
        <v>124015</v>
      </c>
      <c r="BF14" s="22">
        <f t="shared" si="24"/>
        <v>0</v>
      </c>
      <c r="BG14" s="15"/>
      <c r="BH14" s="7"/>
    </row>
    <row r="15" spans="1:60" ht="22.5" customHeight="1" x14ac:dyDescent="0.25">
      <c r="A15" s="12">
        <v>44693</v>
      </c>
      <c r="B15" s="7">
        <v>125367</v>
      </c>
      <c r="C15" s="7">
        <f t="shared" si="0"/>
        <v>4463</v>
      </c>
      <c r="D15" s="7">
        <v>29886901</v>
      </c>
      <c r="E15" s="7">
        <f t="shared" si="1"/>
        <v>9597</v>
      </c>
      <c r="F15" s="7">
        <v>8241857</v>
      </c>
      <c r="G15" s="9">
        <f t="shared" si="2"/>
        <v>4262</v>
      </c>
      <c r="H15" s="13"/>
      <c r="I15" s="7">
        <v>83252</v>
      </c>
      <c r="J15" s="14">
        <f t="shared" si="3"/>
        <v>112.9</v>
      </c>
      <c r="K15" s="7">
        <v>20938</v>
      </c>
      <c r="L15" s="14">
        <f t="shared" si="4"/>
        <v>6.774</v>
      </c>
      <c r="M15" s="13"/>
      <c r="N15" s="7">
        <v>55355</v>
      </c>
      <c r="O15" s="14">
        <f t="shared" si="5"/>
        <v>6550.8021390374324</v>
      </c>
      <c r="P15" s="14">
        <v>52412987</v>
      </c>
      <c r="Q15" s="14">
        <f t="shared" si="6"/>
        <v>8840</v>
      </c>
      <c r="R15" s="7">
        <v>234359</v>
      </c>
      <c r="S15" s="14">
        <f t="shared" si="7"/>
        <v>58</v>
      </c>
      <c r="T15" s="13"/>
      <c r="U15" s="7">
        <v>10405</v>
      </c>
      <c r="V15" s="7">
        <f t="shared" si="8"/>
        <v>388</v>
      </c>
      <c r="W15" s="7">
        <v>419</v>
      </c>
      <c r="X15" s="7">
        <f t="shared" si="9"/>
        <v>20</v>
      </c>
      <c r="Y15" s="7">
        <v>342</v>
      </c>
      <c r="Z15" s="7">
        <f t="shared" si="10"/>
        <v>5</v>
      </c>
      <c r="AA15" s="8">
        <v>808769</v>
      </c>
      <c r="AB15" s="8">
        <f t="shared" si="11"/>
        <v>2980000</v>
      </c>
      <c r="AC15" s="8">
        <v>364701</v>
      </c>
      <c r="AD15" s="8">
        <f t="shared" si="26"/>
        <v>1720000</v>
      </c>
      <c r="AE15" s="13"/>
      <c r="AF15" s="7">
        <v>67138</v>
      </c>
      <c r="AG15" s="7">
        <f t="shared" si="13"/>
        <v>0</v>
      </c>
      <c r="AH15" s="14">
        <v>224154</v>
      </c>
      <c r="AI15" s="14">
        <f t="shared" si="14"/>
        <v>168</v>
      </c>
      <c r="AJ15" s="14">
        <v>11013142</v>
      </c>
      <c r="AK15" s="14">
        <f t="shared" si="15"/>
        <v>5837</v>
      </c>
      <c r="AL15" s="14">
        <v>28768</v>
      </c>
      <c r="AM15" s="14">
        <f t="shared" si="16"/>
        <v>2</v>
      </c>
      <c r="AN15" s="7">
        <v>21427</v>
      </c>
      <c r="AO15" s="14">
        <f t="shared" si="17"/>
        <v>856</v>
      </c>
      <c r="AP15" s="13"/>
      <c r="AQ15" s="22">
        <v>581876</v>
      </c>
      <c r="AR15" s="22">
        <f t="shared" si="25"/>
        <v>320000</v>
      </c>
      <c r="AS15" s="22">
        <v>234978</v>
      </c>
      <c r="AT15" s="22">
        <f t="shared" si="18"/>
        <v>0</v>
      </c>
      <c r="AU15" s="22">
        <v>71463</v>
      </c>
      <c r="AV15" s="22">
        <f t="shared" si="19"/>
        <v>330000</v>
      </c>
      <c r="AW15" s="22">
        <v>269527</v>
      </c>
      <c r="AX15" s="22">
        <f t="shared" si="20"/>
        <v>0</v>
      </c>
      <c r="AY15" s="22">
        <v>456409</v>
      </c>
      <c r="AZ15" s="22">
        <f t="shared" si="21"/>
        <v>840000</v>
      </c>
      <c r="BA15" s="22">
        <v>19320</v>
      </c>
      <c r="BB15" s="22">
        <f t="shared" si="22"/>
        <v>0</v>
      </c>
      <c r="BC15" s="22">
        <v>441777</v>
      </c>
      <c r="BD15" s="22">
        <f t="shared" si="23"/>
        <v>2230000</v>
      </c>
      <c r="BE15" s="22">
        <v>124015</v>
      </c>
      <c r="BF15" s="22">
        <f t="shared" si="24"/>
        <v>0</v>
      </c>
      <c r="BG15" s="13"/>
      <c r="BH15" s="7"/>
    </row>
    <row r="16" spans="1:60" ht="21" customHeight="1" x14ac:dyDescent="0.25">
      <c r="A16" s="12">
        <v>44694</v>
      </c>
      <c r="B16" s="7">
        <v>129361</v>
      </c>
      <c r="C16" s="7">
        <f t="shared" si="0"/>
        <v>3994</v>
      </c>
      <c r="D16" s="7">
        <v>29895394</v>
      </c>
      <c r="E16" s="7">
        <f t="shared" si="1"/>
        <v>8493</v>
      </c>
      <c r="F16" s="7">
        <v>8244553</v>
      </c>
      <c r="G16" s="9">
        <f t="shared" si="2"/>
        <v>2696</v>
      </c>
      <c r="H16" s="13"/>
      <c r="I16" s="7">
        <v>83359</v>
      </c>
      <c r="J16" s="14">
        <f t="shared" si="3"/>
        <v>120.803</v>
      </c>
      <c r="K16" s="7">
        <v>20943</v>
      </c>
      <c r="L16" s="14">
        <f t="shared" si="4"/>
        <v>5.6449999999999996</v>
      </c>
      <c r="M16" s="13"/>
      <c r="N16" s="7">
        <v>55403</v>
      </c>
      <c r="O16" s="14">
        <f t="shared" si="5"/>
        <v>6417.1122994652405</v>
      </c>
      <c r="P16" s="7">
        <v>52420193</v>
      </c>
      <c r="Q16" s="14">
        <f t="shared" si="6"/>
        <v>7206</v>
      </c>
      <c r="R16" s="14">
        <v>234415</v>
      </c>
      <c r="S16" s="14">
        <f t="shared" si="7"/>
        <v>56</v>
      </c>
      <c r="T16" s="15"/>
      <c r="U16" s="7">
        <v>10753</v>
      </c>
      <c r="V16" s="7">
        <f t="shared" si="8"/>
        <v>348</v>
      </c>
      <c r="W16" s="7">
        <v>433</v>
      </c>
      <c r="X16" s="7">
        <f t="shared" si="9"/>
        <v>14</v>
      </c>
      <c r="Y16" s="7">
        <v>344</v>
      </c>
      <c r="Z16" s="7">
        <f t="shared" si="10"/>
        <v>2</v>
      </c>
      <c r="AA16" s="8">
        <v>809043</v>
      </c>
      <c r="AB16" s="8">
        <f t="shared" si="11"/>
        <v>2740000</v>
      </c>
      <c r="AC16" s="8">
        <v>364836</v>
      </c>
      <c r="AD16" s="8">
        <f t="shared" si="26"/>
        <v>1350000</v>
      </c>
      <c r="AE16" s="15"/>
      <c r="AF16" s="7">
        <v>67138</v>
      </c>
      <c r="AG16" s="7">
        <f t="shared" si="13"/>
        <v>0</v>
      </c>
      <c r="AH16" s="7">
        <v>224333</v>
      </c>
      <c r="AI16" s="14">
        <f t="shared" si="14"/>
        <v>179</v>
      </c>
      <c r="AJ16" s="7">
        <v>11018977</v>
      </c>
      <c r="AK16" s="14">
        <f t="shared" si="15"/>
        <v>5835</v>
      </c>
      <c r="AL16" s="7">
        <v>28770</v>
      </c>
      <c r="AM16" s="14">
        <f t="shared" si="16"/>
        <v>2</v>
      </c>
      <c r="AN16" s="14">
        <v>22194</v>
      </c>
      <c r="AO16" s="14">
        <f t="shared" si="17"/>
        <v>767</v>
      </c>
      <c r="AP16" s="15"/>
      <c r="AQ16" s="22">
        <v>582026</v>
      </c>
      <c r="AR16" s="22">
        <f t="shared" si="25"/>
        <v>1500000</v>
      </c>
      <c r="AS16" s="22">
        <v>234978</v>
      </c>
      <c r="AT16" s="22">
        <f t="shared" si="18"/>
        <v>0</v>
      </c>
      <c r="AU16" s="22">
        <v>71487</v>
      </c>
      <c r="AV16" s="22">
        <f t="shared" si="19"/>
        <v>240000</v>
      </c>
      <c r="AW16" s="22">
        <v>269527</v>
      </c>
      <c r="AX16" s="22">
        <f t="shared" si="20"/>
        <v>0</v>
      </c>
      <c r="AY16" s="22">
        <v>456540</v>
      </c>
      <c r="AZ16" s="22">
        <f t="shared" si="21"/>
        <v>1310000</v>
      </c>
      <c r="BA16" s="22">
        <v>19320</v>
      </c>
      <c r="BB16" s="22">
        <f t="shared" si="22"/>
        <v>0</v>
      </c>
      <c r="BC16" s="22">
        <v>442038</v>
      </c>
      <c r="BD16" s="22">
        <f t="shared" si="23"/>
        <v>2610000</v>
      </c>
      <c r="BE16" s="22">
        <v>124015</v>
      </c>
      <c r="BF16" s="22">
        <f t="shared" si="24"/>
        <v>0</v>
      </c>
      <c r="BG16" s="15"/>
      <c r="BH16" s="7"/>
    </row>
    <row r="17" spans="1:60" ht="19.5" customHeight="1" x14ac:dyDescent="0.25">
      <c r="A17" s="12">
        <v>44695</v>
      </c>
      <c r="B17" s="7">
        <v>133963</v>
      </c>
      <c r="C17" s="7">
        <f t="shared" si="0"/>
        <v>4602</v>
      </c>
      <c r="D17" s="7">
        <f>D16+8500</f>
        <v>29903894</v>
      </c>
      <c r="E17" s="7">
        <f t="shared" si="1"/>
        <v>8500</v>
      </c>
      <c r="F17" s="7">
        <v>8248243</v>
      </c>
      <c r="G17" s="9">
        <f t="shared" si="2"/>
        <v>3690</v>
      </c>
      <c r="H17" s="13"/>
      <c r="I17" s="7">
        <v>83488</v>
      </c>
      <c r="J17" s="14">
        <f t="shared" si="3"/>
        <v>145.64099999999999</v>
      </c>
      <c r="K17" s="7">
        <v>20950</v>
      </c>
      <c r="L17" s="14">
        <f t="shared" si="4"/>
        <v>7.9030000000000005</v>
      </c>
      <c r="M17" s="13"/>
      <c r="N17" s="7">
        <v>55455</v>
      </c>
      <c r="O17" s="14">
        <f t="shared" si="5"/>
        <v>6951.8716577540099</v>
      </c>
      <c r="P17" s="14">
        <v>52430150</v>
      </c>
      <c r="Q17" s="14">
        <f t="shared" si="6"/>
        <v>9957</v>
      </c>
      <c r="R17" s="7">
        <v>234460</v>
      </c>
      <c r="S17" s="14">
        <f t="shared" si="7"/>
        <v>45</v>
      </c>
      <c r="T17" s="13"/>
      <c r="U17" s="7">
        <v>11140</v>
      </c>
      <c r="V17" s="7">
        <f t="shared" si="8"/>
        <v>387</v>
      </c>
      <c r="W17" s="7">
        <v>451</v>
      </c>
      <c r="X17" s="7">
        <f t="shared" si="9"/>
        <v>18</v>
      </c>
      <c r="Y17" s="7">
        <v>346</v>
      </c>
      <c r="Z17" s="7">
        <f t="shared" si="10"/>
        <v>2</v>
      </c>
      <c r="AA17" s="8">
        <v>809356</v>
      </c>
      <c r="AB17" s="8">
        <f t="shared" si="11"/>
        <v>3130000</v>
      </c>
      <c r="AC17" s="8">
        <v>364980</v>
      </c>
      <c r="AD17" s="8">
        <f t="shared" si="26"/>
        <v>1440000</v>
      </c>
      <c r="AE17" s="13"/>
      <c r="AF17" s="7">
        <v>67138</v>
      </c>
      <c r="AG17" s="7">
        <f t="shared" si="13"/>
        <v>0</v>
      </c>
      <c r="AH17" s="14">
        <v>224524</v>
      </c>
      <c r="AI17" s="14">
        <f t="shared" si="14"/>
        <v>191</v>
      </c>
      <c r="AJ17" s="14">
        <v>11024834</v>
      </c>
      <c r="AK17" s="14">
        <f t="shared" si="15"/>
        <v>5857</v>
      </c>
      <c r="AL17" s="14">
        <v>28772</v>
      </c>
      <c r="AM17" s="14">
        <f t="shared" si="16"/>
        <v>2</v>
      </c>
      <c r="AN17" s="7">
        <v>23038</v>
      </c>
      <c r="AO17" s="14">
        <f t="shared" si="17"/>
        <v>844</v>
      </c>
      <c r="AP17" s="13"/>
      <c r="AQ17" s="22">
        <v>582279</v>
      </c>
      <c r="AR17" s="22">
        <f t="shared" si="25"/>
        <v>2530000</v>
      </c>
      <c r="AS17" s="22">
        <v>234978</v>
      </c>
      <c r="AT17" s="22">
        <f t="shared" si="18"/>
        <v>0</v>
      </c>
      <c r="AU17" s="22">
        <v>71526</v>
      </c>
      <c r="AV17" s="22">
        <f t="shared" si="19"/>
        <v>390000</v>
      </c>
      <c r="AW17" s="22">
        <v>269527</v>
      </c>
      <c r="AX17" s="22">
        <f t="shared" si="20"/>
        <v>0</v>
      </c>
      <c r="AY17" s="22">
        <v>456669</v>
      </c>
      <c r="AZ17" s="22">
        <f t="shared" si="21"/>
        <v>1290000</v>
      </c>
      <c r="BA17" s="22">
        <v>19320</v>
      </c>
      <c r="BB17" s="22">
        <f t="shared" si="22"/>
        <v>0</v>
      </c>
      <c r="BC17" s="22">
        <v>456702</v>
      </c>
      <c r="BD17" s="22">
        <f t="shared" si="23"/>
        <v>146640000</v>
      </c>
      <c r="BE17" s="22">
        <v>124015</v>
      </c>
      <c r="BF17" s="22">
        <f t="shared" si="24"/>
        <v>0</v>
      </c>
      <c r="BG17" s="13"/>
      <c r="BH17" s="7"/>
    </row>
    <row r="18" spans="1:60" ht="19.5" customHeight="1" x14ac:dyDescent="0.25">
      <c r="A18" s="12">
        <v>44696</v>
      </c>
      <c r="B18" s="7">
        <v>138422</v>
      </c>
      <c r="C18" s="7">
        <f t="shared" si="0"/>
        <v>4459</v>
      </c>
      <c r="D18" s="7">
        <f>D17+8955</f>
        <v>29912849</v>
      </c>
      <c r="E18" s="7">
        <f t="shared" si="1"/>
        <v>8955</v>
      </c>
      <c r="F18" s="7">
        <v>8251793</v>
      </c>
      <c r="G18" s="9">
        <f t="shared" si="2"/>
        <v>3550</v>
      </c>
      <c r="H18" s="13"/>
      <c r="I18" s="7">
        <v>83615</v>
      </c>
      <c r="J18" s="14">
        <f t="shared" si="3"/>
        <v>143.38300000000001</v>
      </c>
      <c r="K18" s="7">
        <v>20956</v>
      </c>
      <c r="L18" s="14">
        <f t="shared" si="4"/>
        <v>6.774</v>
      </c>
      <c r="M18" s="13"/>
      <c r="N18" s="7">
        <v>55510</v>
      </c>
      <c r="O18" s="14">
        <f t="shared" si="5"/>
        <v>7352.9411764705874</v>
      </c>
      <c r="P18" s="7">
        <v>52440902</v>
      </c>
      <c r="Q18" s="14">
        <f t="shared" si="6"/>
        <v>10752</v>
      </c>
      <c r="R18" s="7">
        <v>234524</v>
      </c>
      <c r="S18" s="14">
        <f t="shared" si="7"/>
        <v>64</v>
      </c>
      <c r="T18" s="13"/>
      <c r="U18" s="7">
        <v>11506</v>
      </c>
      <c r="V18" s="7">
        <f t="shared" si="8"/>
        <v>366</v>
      </c>
      <c r="W18" s="7">
        <v>468</v>
      </c>
      <c r="X18" s="7">
        <f t="shared" si="9"/>
        <v>17</v>
      </c>
      <c r="Y18" s="7">
        <v>350</v>
      </c>
      <c r="Z18" s="7">
        <f t="shared" si="10"/>
        <v>4</v>
      </c>
      <c r="AA18" s="8">
        <v>809656</v>
      </c>
      <c r="AB18" s="8">
        <f t="shared" si="11"/>
        <v>3000000</v>
      </c>
      <c r="AC18" s="8">
        <v>365114</v>
      </c>
      <c r="AD18" s="8">
        <f t="shared" si="26"/>
        <v>1340000</v>
      </c>
      <c r="AE18" s="13"/>
      <c r="AF18" s="7">
        <v>67138</v>
      </c>
      <c r="AG18" s="7">
        <f t="shared" si="13"/>
        <v>0</v>
      </c>
      <c r="AH18" s="7">
        <v>224703</v>
      </c>
      <c r="AI18" s="14">
        <f t="shared" si="14"/>
        <v>179</v>
      </c>
      <c r="AJ18" s="7">
        <v>11032211</v>
      </c>
      <c r="AK18" s="14">
        <f t="shared" si="15"/>
        <v>7377</v>
      </c>
      <c r="AL18" s="7">
        <v>28776</v>
      </c>
      <c r="AM18" s="14">
        <f t="shared" si="16"/>
        <v>4</v>
      </c>
      <c r="AN18" s="7">
        <v>23878</v>
      </c>
      <c r="AO18" s="14">
        <f t="shared" si="17"/>
        <v>840</v>
      </c>
      <c r="AP18" s="13"/>
      <c r="AQ18" s="22">
        <v>582490</v>
      </c>
      <c r="AR18" s="22">
        <f t="shared" si="25"/>
        <v>2110000</v>
      </c>
      <c r="AS18" s="22">
        <v>234978</v>
      </c>
      <c r="AT18" s="22">
        <f t="shared" si="18"/>
        <v>0</v>
      </c>
      <c r="AU18" s="22">
        <v>71626</v>
      </c>
      <c r="AV18" s="22">
        <f t="shared" si="19"/>
        <v>1000000</v>
      </c>
      <c r="AW18" s="22">
        <v>269527</v>
      </c>
      <c r="AX18" s="22">
        <f t="shared" si="20"/>
        <v>0</v>
      </c>
      <c r="AY18" s="22">
        <v>456799</v>
      </c>
      <c r="AZ18" s="22">
        <f t="shared" si="21"/>
        <v>1300000</v>
      </c>
      <c r="BA18" s="22">
        <v>19320</v>
      </c>
      <c r="BB18" s="22">
        <f t="shared" si="22"/>
        <v>0</v>
      </c>
      <c r="BC18" s="22">
        <v>456837</v>
      </c>
      <c r="BD18" s="22">
        <f t="shared" si="23"/>
        <v>1350000</v>
      </c>
      <c r="BE18" s="22">
        <v>124015</v>
      </c>
      <c r="BF18" s="22">
        <f t="shared" si="24"/>
        <v>0</v>
      </c>
      <c r="BG18" s="13"/>
      <c r="BH18" s="7"/>
    </row>
    <row r="19" spans="1:60" ht="24" customHeight="1" x14ac:dyDescent="0.25">
      <c r="A19" s="12">
        <v>44697</v>
      </c>
      <c r="B19" s="7">
        <v>143457</v>
      </c>
      <c r="C19" s="7">
        <f t="shared" si="0"/>
        <v>5035</v>
      </c>
      <c r="D19" s="7">
        <v>29924769</v>
      </c>
      <c r="E19" s="7">
        <f t="shared" si="1"/>
        <v>11920</v>
      </c>
      <c r="F19" s="7">
        <v>8256052</v>
      </c>
      <c r="G19" s="9">
        <f t="shared" si="2"/>
        <v>4259</v>
      </c>
      <c r="H19" s="13"/>
      <c r="I19" s="7">
        <v>83726</v>
      </c>
      <c r="J19" s="14">
        <f t="shared" si="3"/>
        <v>125.319</v>
      </c>
      <c r="K19" s="7">
        <v>20964</v>
      </c>
      <c r="L19" s="14">
        <f t="shared" si="4"/>
        <v>9.032</v>
      </c>
      <c r="M19" s="13"/>
      <c r="N19" s="7">
        <v>55573</v>
      </c>
      <c r="O19" s="14">
        <f t="shared" si="5"/>
        <v>8422.4598930481279</v>
      </c>
      <c r="P19" s="7">
        <v>52452869</v>
      </c>
      <c r="Q19" s="14">
        <f t="shared" si="6"/>
        <v>11967</v>
      </c>
      <c r="R19" s="7">
        <v>234585</v>
      </c>
      <c r="S19" s="14">
        <f t="shared" si="7"/>
        <v>61</v>
      </c>
      <c r="T19" s="13"/>
      <c r="U19" s="7">
        <v>11935</v>
      </c>
      <c r="V19" s="7">
        <f t="shared" si="8"/>
        <v>429</v>
      </c>
      <c r="W19" s="14">
        <v>488</v>
      </c>
      <c r="X19" s="7">
        <f t="shared" si="9"/>
        <v>20</v>
      </c>
      <c r="Y19" s="14">
        <v>352</v>
      </c>
      <c r="Z19" s="7">
        <f t="shared" si="10"/>
        <v>2</v>
      </c>
      <c r="AA19" s="8">
        <v>810008</v>
      </c>
      <c r="AB19" s="8">
        <f t="shared" si="11"/>
        <v>3520000</v>
      </c>
      <c r="AC19" s="8">
        <v>365265</v>
      </c>
      <c r="AD19" s="8">
        <f t="shared" si="26"/>
        <v>1510000</v>
      </c>
      <c r="AE19" s="13"/>
      <c r="AF19" s="7">
        <v>67138</v>
      </c>
      <c r="AG19" s="7">
        <f t="shared" si="13"/>
        <v>0</v>
      </c>
      <c r="AH19" s="7">
        <v>224857</v>
      </c>
      <c r="AI19" s="14">
        <f t="shared" si="14"/>
        <v>154</v>
      </c>
      <c r="AJ19" s="7">
        <v>11037783</v>
      </c>
      <c r="AK19" s="14">
        <f t="shared" si="15"/>
        <v>5572</v>
      </c>
      <c r="AL19" s="7">
        <v>28778</v>
      </c>
      <c r="AM19" s="14">
        <f t="shared" si="16"/>
        <v>2</v>
      </c>
      <c r="AN19" s="7">
        <v>24648</v>
      </c>
      <c r="AO19" s="14">
        <f t="shared" si="17"/>
        <v>770</v>
      </c>
      <c r="AP19" s="13"/>
      <c r="AQ19" s="22">
        <v>582720</v>
      </c>
      <c r="AR19" s="22">
        <f t="shared" si="25"/>
        <v>2300000</v>
      </c>
      <c r="AS19" s="22">
        <v>234978</v>
      </c>
      <c r="AT19" s="22">
        <f t="shared" si="18"/>
        <v>0</v>
      </c>
      <c r="AU19" s="22">
        <v>71725</v>
      </c>
      <c r="AV19" s="22">
        <f t="shared" si="19"/>
        <v>990000</v>
      </c>
      <c r="AW19" s="22">
        <v>269527</v>
      </c>
      <c r="AX19" s="22">
        <f t="shared" si="20"/>
        <v>0</v>
      </c>
      <c r="AY19" s="22">
        <v>457015</v>
      </c>
      <c r="AZ19" s="22">
        <f t="shared" si="21"/>
        <v>2160000</v>
      </c>
      <c r="BA19" s="22">
        <v>19320</v>
      </c>
      <c r="BB19" s="22">
        <f t="shared" si="22"/>
        <v>0</v>
      </c>
      <c r="BC19" s="22">
        <v>443177</v>
      </c>
      <c r="BD19" s="22">
        <f t="shared" si="23"/>
        <v>-136600000</v>
      </c>
      <c r="BE19" s="22">
        <v>124015</v>
      </c>
      <c r="BF19" s="22">
        <f t="shared" si="24"/>
        <v>0</v>
      </c>
      <c r="BG19" s="13"/>
      <c r="BH19" s="7"/>
    </row>
    <row r="20" spans="1:60" ht="20.25" customHeight="1" x14ac:dyDescent="0.25">
      <c r="A20" s="12">
        <v>44698</v>
      </c>
      <c r="B20" s="7">
        <v>147869</v>
      </c>
      <c r="C20" s="7">
        <f t="shared" si="0"/>
        <v>4412</v>
      </c>
      <c r="D20" s="7">
        <v>29934431</v>
      </c>
      <c r="E20" s="7">
        <f t="shared" si="1"/>
        <v>9662</v>
      </c>
      <c r="F20" s="7">
        <v>8259733</v>
      </c>
      <c r="G20" s="9">
        <f t="shared" si="2"/>
        <v>3681</v>
      </c>
      <c r="H20" s="13"/>
      <c r="I20" s="7">
        <v>83834</v>
      </c>
      <c r="J20" s="14">
        <f t="shared" si="3"/>
        <v>121.932</v>
      </c>
      <c r="K20" s="7">
        <v>20970</v>
      </c>
      <c r="L20" s="14">
        <f t="shared" si="4"/>
        <v>6.774</v>
      </c>
      <c r="M20" s="13"/>
      <c r="N20" s="7">
        <v>55621</v>
      </c>
      <c r="O20" s="14">
        <f t="shared" si="5"/>
        <v>6417.1122994652405</v>
      </c>
      <c r="P20" s="7">
        <v>52463307</v>
      </c>
      <c r="Q20" s="14">
        <f t="shared" si="6"/>
        <v>10438</v>
      </c>
      <c r="R20" s="7">
        <v>234639</v>
      </c>
      <c r="S20" s="14">
        <f t="shared" si="7"/>
        <v>54</v>
      </c>
      <c r="T20" s="13"/>
      <c r="U20" s="7">
        <v>12328</v>
      </c>
      <c r="V20" s="7">
        <f t="shared" si="8"/>
        <v>393</v>
      </c>
      <c r="W20" s="7">
        <v>506</v>
      </c>
      <c r="X20" s="7">
        <f t="shared" si="9"/>
        <v>18</v>
      </c>
      <c r="Y20" s="7">
        <v>356</v>
      </c>
      <c r="Z20" s="7">
        <f t="shared" si="10"/>
        <v>4</v>
      </c>
      <c r="AA20" s="8">
        <v>810327</v>
      </c>
      <c r="AB20" s="8">
        <f t="shared" si="11"/>
        <v>3190000</v>
      </c>
      <c r="AC20" s="8">
        <v>365397</v>
      </c>
      <c r="AD20" s="8">
        <f t="shared" si="26"/>
        <v>1320000</v>
      </c>
      <c r="AE20" s="13"/>
      <c r="AF20" s="7">
        <v>67138</v>
      </c>
      <c r="AG20" s="7">
        <f t="shared" si="13"/>
        <v>0</v>
      </c>
      <c r="AH20" s="7">
        <v>225023</v>
      </c>
      <c r="AI20" s="14">
        <f t="shared" si="14"/>
        <v>166</v>
      </c>
      <c r="AJ20" s="7">
        <v>11043246</v>
      </c>
      <c r="AK20" s="14">
        <f t="shared" si="15"/>
        <v>5463</v>
      </c>
      <c r="AL20" s="7">
        <v>28779</v>
      </c>
      <c r="AM20" s="14">
        <f t="shared" si="16"/>
        <v>1</v>
      </c>
      <c r="AN20" s="7">
        <v>25437</v>
      </c>
      <c r="AO20" s="14">
        <f t="shared" si="17"/>
        <v>789</v>
      </c>
      <c r="AP20" s="13"/>
      <c r="AQ20" s="22">
        <v>582879</v>
      </c>
      <c r="AR20" s="22">
        <f t="shared" si="25"/>
        <v>1590000</v>
      </c>
      <c r="AS20" s="22">
        <v>234978</v>
      </c>
      <c r="AT20" s="22">
        <f t="shared" si="18"/>
        <v>0</v>
      </c>
      <c r="AU20" s="22">
        <v>71769</v>
      </c>
      <c r="AV20" s="22">
        <f t="shared" si="19"/>
        <v>440000</v>
      </c>
      <c r="AW20" s="22">
        <v>269527</v>
      </c>
      <c r="AX20" s="22">
        <f t="shared" si="20"/>
        <v>0</v>
      </c>
      <c r="AY20" s="22">
        <v>457171</v>
      </c>
      <c r="AZ20" s="22">
        <f t="shared" si="21"/>
        <v>1560000</v>
      </c>
      <c r="BA20" s="22">
        <v>19320</v>
      </c>
      <c r="BB20" s="22">
        <f t="shared" si="22"/>
        <v>0</v>
      </c>
      <c r="BC20" s="22">
        <v>443426</v>
      </c>
      <c r="BD20" s="22">
        <f t="shared" si="23"/>
        <v>2490000</v>
      </c>
      <c r="BE20" s="22">
        <v>124015</v>
      </c>
      <c r="BF20" s="22">
        <f t="shared" si="24"/>
        <v>0</v>
      </c>
      <c r="BG20" s="13"/>
      <c r="BH20" s="7"/>
    </row>
    <row r="21" spans="1:60" ht="21" customHeight="1" x14ac:dyDescent="0.25">
      <c r="A21" s="12">
        <v>44699</v>
      </c>
      <c r="B21" s="7">
        <v>152407</v>
      </c>
      <c r="C21" s="7">
        <f t="shared" si="0"/>
        <v>4538</v>
      </c>
      <c r="D21" s="7">
        <v>29944428</v>
      </c>
      <c r="E21" s="7">
        <f t="shared" si="1"/>
        <v>9997</v>
      </c>
      <c r="F21" s="7">
        <v>8263436</v>
      </c>
      <c r="G21" s="9">
        <f t="shared" si="2"/>
        <v>3703</v>
      </c>
      <c r="H21" s="13"/>
      <c r="I21" s="7">
        <v>83937</v>
      </c>
      <c r="J21" s="14">
        <f t="shared" si="3"/>
        <v>116.28700000000001</v>
      </c>
      <c r="K21" s="7">
        <v>20978</v>
      </c>
      <c r="L21" s="14">
        <f t="shared" si="4"/>
        <v>9.032</v>
      </c>
      <c r="M21" s="13"/>
      <c r="N21" s="7">
        <v>55676</v>
      </c>
      <c r="O21" s="14">
        <f t="shared" si="5"/>
        <v>7352.9411764705874</v>
      </c>
      <c r="P21" s="7">
        <v>52472943</v>
      </c>
      <c r="Q21" s="14">
        <f t="shared" si="6"/>
        <v>9636</v>
      </c>
      <c r="R21" s="7">
        <v>234703</v>
      </c>
      <c r="S21" s="14">
        <f t="shared" si="7"/>
        <v>64</v>
      </c>
      <c r="T21" s="13"/>
      <c r="U21" s="7">
        <v>12734</v>
      </c>
      <c r="V21" s="7">
        <f t="shared" si="8"/>
        <v>406</v>
      </c>
      <c r="W21" s="7">
        <v>525</v>
      </c>
      <c r="X21" s="7">
        <f t="shared" si="9"/>
        <v>19</v>
      </c>
      <c r="Y21" s="7">
        <v>358</v>
      </c>
      <c r="Z21" s="7">
        <f t="shared" si="10"/>
        <v>2</v>
      </c>
      <c r="AA21" s="8">
        <v>810643</v>
      </c>
      <c r="AB21" s="8">
        <f t="shared" si="11"/>
        <v>3160000</v>
      </c>
      <c r="AC21" s="8">
        <v>365553</v>
      </c>
      <c r="AD21" s="8">
        <f t="shared" si="26"/>
        <v>1560000</v>
      </c>
      <c r="AE21" s="13"/>
      <c r="AF21" s="7">
        <v>67138</v>
      </c>
      <c r="AG21" s="7">
        <f t="shared" si="13"/>
        <v>0</v>
      </c>
      <c r="AH21" s="7">
        <v>225184</v>
      </c>
      <c r="AI21" s="14">
        <f t="shared" si="14"/>
        <v>161</v>
      </c>
      <c r="AJ21" s="7">
        <v>11048259</v>
      </c>
      <c r="AK21" s="14">
        <f t="shared" si="15"/>
        <v>5013</v>
      </c>
      <c r="AL21" s="7">
        <v>28780</v>
      </c>
      <c r="AM21" s="14">
        <f t="shared" si="16"/>
        <v>1</v>
      </c>
      <c r="AN21" s="7">
        <v>26224</v>
      </c>
      <c r="AO21" s="14">
        <f t="shared" si="17"/>
        <v>787</v>
      </c>
      <c r="AP21" s="13"/>
      <c r="AQ21" s="22">
        <v>583092</v>
      </c>
      <c r="AR21" s="22">
        <f t="shared" si="25"/>
        <v>2130000</v>
      </c>
      <c r="AS21" s="22">
        <v>234978</v>
      </c>
      <c r="AT21" s="22">
        <f t="shared" si="18"/>
        <v>0</v>
      </c>
      <c r="AU21" s="22">
        <v>71787</v>
      </c>
      <c r="AV21" s="22">
        <f t="shared" si="19"/>
        <v>180000</v>
      </c>
      <c r="AW21" s="22">
        <v>269527</v>
      </c>
      <c r="AX21" s="22">
        <f t="shared" si="20"/>
        <v>0</v>
      </c>
      <c r="AY21" s="22">
        <v>457359</v>
      </c>
      <c r="AZ21" s="22">
        <f t="shared" si="21"/>
        <v>1880000</v>
      </c>
      <c r="BA21" s="22">
        <v>19320</v>
      </c>
      <c r="BB21" s="22">
        <f t="shared" si="22"/>
        <v>0</v>
      </c>
      <c r="BC21" s="22">
        <v>443645</v>
      </c>
      <c r="BD21" s="22">
        <f t="shared" si="23"/>
        <v>2190000</v>
      </c>
      <c r="BE21" s="22">
        <v>124015</v>
      </c>
      <c r="BF21" s="22">
        <f t="shared" si="24"/>
        <v>0</v>
      </c>
      <c r="BG21" s="13"/>
      <c r="BH21" s="7"/>
    </row>
    <row r="22" spans="1:60" ht="18.75" customHeight="1" x14ac:dyDescent="0.25">
      <c r="A22" s="12">
        <v>44700</v>
      </c>
      <c r="B22" s="7">
        <v>156427</v>
      </c>
      <c r="C22" s="7">
        <f t="shared" si="0"/>
        <v>4020</v>
      </c>
      <c r="D22" s="7">
        <v>29953066</v>
      </c>
      <c r="E22" s="7">
        <f t="shared" si="1"/>
        <v>8638</v>
      </c>
      <c r="F22" s="7">
        <v>8266733</v>
      </c>
      <c r="G22" s="9">
        <f t="shared" si="2"/>
        <v>3297</v>
      </c>
      <c r="H22" s="13"/>
      <c r="I22" s="7">
        <v>84039</v>
      </c>
      <c r="J22" s="14">
        <f t="shared" si="3"/>
        <v>115.158</v>
      </c>
      <c r="K22" s="7">
        <v>20984</v>
      </c>
      <c r="L22" s="14">
        <f t="shared" si="4"/>
        <v>6.774</v>
      </c>
      <c r="M22" s="13"/>
      <c r="N22" s="7">
        <v>55724</v>
      </c>
      <c r="O22" s="14">
        <f t="shared" si="5"/>
        <v>6417.1122994652405</v>
      </c>
      <c r="P22" s="14">
        <v>52480456</v>
      </c>
      <c r="Q22" s="14">
        <f t="shared" si="6"/>
        <v>7513</v>
      </c>
      <c r="R22" s="7">
        <v>234766</v>
      </c>
      <c r="S22" s="14">
        <f t="shared" si="7"/>
        <v>63</v>
      </c>
      <c r="T22" s="13"/>
      <c r="U22" s="7">
        <v>13083</v>
      </c>
      <c r="V22" s="7">
        <f t="shared" si="8"/>
        <v>349</v>
      </c>
      <c r="W22" s="7">
        <v>542</v>
      </c>
      <c r="X22" s="7">
        <f t="shared" si="9"/>
        <v>17</v>
      </c>
      <c r="Y22" s="7">
        <v>361</v>
      </c>
      <c r="Z22" s="7">
        <f t="shared" si="10"/>
        <v>3</v>
      </c>
      <c r="AA22" s="8">
        <v>810914</v>
      </c>
      <c r="AB22" s="8">
        <f t="shared" si="11"/>
        <v>2710000</v>
      </c>
      <c r="AC22" s="8">
        <v>365697</v>
      </c>
      <c r="AD22" s="8">
        <f t="shared" si="26"/>
        <v>1440000</v>
      </c>
      <c r="AE22" s="13"/>
      <c r="AF22" s="7">
        <v>67138</v>
      </c>
      <c r="AG22" s="7">
        <f t="shared" si="13"/>
        <v>0</v>
      </c>
      <c r="AH22" s="14">
        <v>225354</v>
      </c>
      <c r="AI22" s="14">
        <f t="shared" si="14"/>
        <v>170</v>
      </c>
      <c r="AJ22" s="14">
        <v>11054011</v>
      </c>
      <c r="AK22" s="14">
        <f t="shared" si="15"/>
        <v>5752</v>
      </c>
      <c r="AL22" s="14">
        <v>28783</v>
      </c>
      <c r="AM22" s="14">
        <f t="shared" si="16"/>
        <v>3</v>
      </c>
      <c r="AN22" s="7">
        <v>27028</v>
      </c>
      <c r="AO22" s="14">
        <f t="shared" si="17"/>
        <v>804</v>
      </c>
      <c r="AP22" s="13"/>
      <c r="AQ22" s="22">
        <v>583114</v>
      </c>
      <c r="AR22" s="22">
        <f t="shared" si="25"/>
        <v>220000</v>
      </c>
      <c r="AS22" s="22">
        <v>234978</v>
      </c>
      <c r="AT22" s="22">
        <f t="shared" si="18"/>
        <v>0</v>
      </c>
      <c r="AU22" s="22">
        <v>71905</v>
      </c>
      <c r="AV22" s="22">
        <f t="shared" si="19"/>
        <v>1180000</v>
      </c>
      <c r="AW22" s="22">
        <v>269527</v>
      </c>
      <c r="AX22" s="22">
        <f t="shared" si="20"/>
        <v>0</v>
      </c>
      <c r="AY22" s="22">
        <v>457435</v>
      </c>
      <c r="AZ22" s="22">
        <f t="shared" si="21"/>
        <v>760000</v>
      </c>
      <c r="BA22" s="22">
        <v>19320</v>
      </c>
      <c r="BB22" s="22">
        <f t="shared" si="22"/>
        <v>0</v>
      </c>
      <c r="BC22" s="22">
        <v>443839</v>
      </c>
      <c r="BD22" s="22">
        <f t="shared" si="23"/>
        <v>1940000</v>
      </c>
      <c r="BE22" s="22">
        <v>124015</v>
      </c>
      <c r="BF22" s="22">
        <f t="shared" si="24"/>
        <v>0</v>
      </c>
      <c r="BG22" s="13"/>
      <c r="BH22" s="7"/>
    </row>
    <row r="23" spans="1:60" ht="21" customHeight="1" x14ac:dyDescent="0.25">
      <c r="A23" s="12">
        <v>44701</v>
      </c>
      <c r="B23" s="7">
        <v>160334</v>
      </c>
      <c r="C23" s="7">
        <f t="shared" si="0"/>
        <v>3907</v>
      </c>
      <c r="D23" s="7">
        <v>29961513</v>
      </c>
      <c r="E23" s="7">
        <f t="shared" si="1"/>
        <v>8447</v>
      </c>
      <c r="F23" s="7">
        <v>8270054</v>
      </c>
      <c r="G23" s="9">
        <f t="shared" si="2"/>
        <v>3321</v>
      </c>
      <c r="H23" s="13"/>
      <c r="I23" s="7">
        <v>84143</v>
      </c>
      <c r="J23" s="14">
        <f t="shared" si="3"/>
        <v>117.416</v>
      </c>
      <c r="K23" s="7">
        <v>20989</v>
      </c>
      <c r="L23" s="14">
        <f t="shared" si="4"/>
        <v>5.6449999999999996</v>
      </c>
      <c r="M23" s="13"/>
      <c r="N23" s="7">
        <v>55767</v>
      </c>
      <c r="O23" s="14">
        <f t="shared" si="5"/>
        <v>5748.6631016042775</v>
      </c>
      <c r="P23" s="14">
        <v>52489481</v>
      </c>
      <c r="Q23" s="14">
        <f t="shared" si="6"/>
        <v>9025</v>
      </c>
      <c r="R23" s="7">
        <v>234816</v>
      </c>
      <c r="S23" s="14">
        <f t="shared" si="7"/>
        <v>50</v>
      </c>
      <c r="T23" s="13"/>
      <c r="U23" s="7">
        <v>13413</v>
      </c>
      <c r="V23" s="7">
        <f t="shared" si="8"/>
        <v>330</v>
      </c>
      <c r="W23" s="7">
        <v>557</v>
      </c>
      <c r="X23" s="7">
        <f t="shared" si="9"/>
        <v>15</v>
      </c>
      <c r="Y23" s="7">
        <v>363</v>
      </c>
      <c r="Z23" s="7">
        <f t="shared" si="10"/>
        <v>2</v>
      </c>
      <c r="AA23" s="8">
        <v>811165</v>
      </c>
      <c r="AB23" s="8">
        <f t="shared" si="11"/>
        <v>2510000</v>
      </c>
      <c r="AC23" s="8">
        <v>365786</v>
      </c>
      <c r="AD23" s="8">
        <f t="shared" si="26"/>
        <v>890000</v>
      </c>
      <c r="AE23" s="13"/>
      <c r="AF23" s="7">
        <v>67138</v>
      </c>
      <c r="AG23" s="7">
        <f t="shared" si="13"/>
        <v>0</v>
      </c>
      <c r="AH23" s="14">
        <v>225518</v>
      </c>
      <c r="AI23" s="14">
        <f t="shared" si="14"/>
        <v>164</v>
      </c>
      <c r="AJ23" s="14">
        <v>11059217</v>
      </c>
      <c r="AK23" s="14">
        <f t="shared" si="15"/>
        <v>5206</v>
      </c>
      <c r="AL23" s="14">
        <v>28784</v>
      </c>
      <c r="AM23" s="14">
        <f t="shared" si="16"/>
        <v>1</v>
      </c>
      <c r="AN23" s="7">
        <v>27761</v>
      </c>
      <c r="AO23" s="14">
        <f t="shared" si="17"/>
        <v>733</v>
      </c>
      <c r="AP23" s="13"/>
      <c r="AQ23" s="22">
        <v>583354</v>
      </c>
      <c r="AR23" s="22">
        <f t="shared" si="25"/>
        <v>2400000</v>
      </c>
      <c r="AS23" s="22">
        <v>234978</v>
      </c>
      <c r="AT23" s="22">
        <f t="shared" si="18"/>
        <v>0</v>
      </c>
      <c r="AU23" s="22">
        <v>71989</v>
      </c>
      <c r="AV23" s="22">
        <f t="shared" si="19"/>
        <v>840000</v>
      </c>
      <c r="AW23" s="22">
        <v>269527</v>
      </c>
      <c r="AX23" s="22">
        <f t="shared" si="20"/>
        <v>0</v>
      </c>
      <c r="AY23" s="22">
        <v>457604</v>
      </c>
      <c r="AZ23" s="22">
        <f t="shared" si="21"/>
        <v>1690000</v>
      </c>
      <c r="BA23" s="22">
        <v>19320</v>
      </c>
      <c r="BB23" s="22">
        <f t="shared" si="22"/>
        <v>0</v>
      </c>
      <c r="BC23" s="22">
        <v>444092</v>
      </c>
      <c r="BD23" s="22">
        <f t="shared" si="23"/>
        <v>2530000</v>
      </c>
      <c r="BE23" s="22">
        <v>124015</v>
      </c>
      <c r="BF23" s="22">
        <f t="shared" si="24"/>
        <v>0</v>
      </c>
      <c r="BG23" s="13"/>
      <c r="BH23" s="7"/>
    </row>
    <row r="24" spans="1:60" ht="22.5" customHeight="1" x14ac:dyDescent="0.25">
      <c r="A24" s="12">
        <v>44702</v>
      </c>
      <c r="B24" s="7">
        <v>164373</v>
      </c>
      <c r="C24" s="7">
        <f t="shared" si="0"/>
        <v>4039</v>
      </c>
      <c r="D24" s="7">
        <v>29970512</v>
      </c>
      <c r="E24" s="7">
        <f t="shared" si="1"/>
        <v>8999</v>
      </c>
      <c r="F24" s="7">
        <v>8273245</v>
      </c>
      <c r="G24" s="9">
        <f t="shared" si="2"/>
        <v>3191</v>
      </c>
      <c r="H24" s="13"/>
      <c r="I24" s="7">
        <v>84264</v>
      </c>
      <c r="J24" s="14">
        <f t="shared" si="3"/>
        <v>136.60900000000001</v>
      </c>
      <c r="K24" s="7">
        <v>20995</v>
      </c>
      <c r="L24" s="14">
        <f t="shared" si="4"/>
        <v>6.774</v>
      </c>
      <c r="M24" s="13"/>
      <c r="N24" s="7">
        <v>55817</v>
      </c>
      <c r="O24" s="14">
        <f t="shared" si="5"/>
        <v>6684.4919786096252</v>
      </c>
      <c r="P24" s="14">
        <v>52501339</v>
      </c>
      <c r="Q24" s="14">
        <f t="shared" si="6"/>
        <v>11858</v>
      </c>
      <c r="R24" s="7">
        <v>234863</v>
      </c>
      <c r="S24" s="14">
        <f t="shared" si="7"/>
        <v>47</v>
      </c>
      <c r="T24" s="13"/>
      <c r="U24" s="7">
        <v>13771</v>
      </c>
      <c r="V24" s="7">
        <f t="shared" si="8"/>
        <v>358</v>
      </c>
      <c r="W24" s="7">
        <v>574</v>
      </c>
      <c r="X24" s="7">
        <f t="shared" si="9"/>
        <v>17</v>
      </c>
      <c r="Y24" s="7">
        <v>365</v>
      </c>
      <c r="Z24" s="7">
        <f t="shared" si="10"/>
        <v>2</v>
      </c>
      <c r="AA24" s="8">
        <v>811465</v>
      </c>
      <c r="AB24" s="8">
        <f t="shared" si="11"/>
        <v>3000000</v>
      </c>
      <c r="AC24" s="8">
        <v>365862</v>
      </c>
      <c r="AD24" s="8">
        <f t="shared" si="26"/>
        <v>760000</v>
      </c>
      <c r="AE24" s="13"/>
      <c r="AF24" s="7">
        <v>67138</v>
      </c>
      <c r="AG24" s="7">
        <f t="shared" si="13"/>
        <v>0</v>
      </c>
      <c r="AH24" s="14">
        <v>225725</v>
      </c>
      <c r="AI24" s="14">
        <f t="shared" si="14"/>
        <v>207</v>
      </c>
      <c r="AJ24" s="14">
        <v>11066907</v>
      </c>
      <c r="AK24" s="14">
        <f t="shared" si="15"/>
        <v>7690</v>
      </c>
      <c r="AL24" s="14">
        <v>28789</v>
      </c>
      <c r="AM24" s="14">
        <f t="shared" si="16"/>
        <v>5</v>
      </c>
      <c r="AN24" s="7">
        <v>28646</v>
      </c>
      <c r="AO24" s="14">
        <f t="shared" si="17"/>
        <v>885</v>
      </c>
      <c r="AP24" s="13"/>
      <c r="AQ24" s="22">
        <v>583639</v>
      </c>
      <c r="AR24" s="22">
        <f t="shared" si="25"/>
        <v>2850000</v>
      </c>
      <c r="AS24" s="22">
        <v>234978</v>
      </c>
      <c r="AT24" s="22">
        <f t="shared" si="18"/>
        <v>0</v>
      </c>
      <c r="AU24" s="22">
        <v>72325</v>
      </c>
      <c r="AV24" s="22">
        <f t="shared" si="19"/>
        <v>3360000</v>
      </c>
      <c r="AW24" s="22">
        <v>269527</v>
      </c>
      <c r="AX24" s="22">
        <f t="shared" si="20"/>
        <v>0</v>
      </c>
      <c r="AY24" s="22">
        <v>457844</v>
      </c>
      <c r="AZ24" s="22">
        <f t="shared" si="21"/>
        <v>2400000</v>
      </c>
      <c r="BA24" s="22">
        <v>19320</v>
      </c>
      <c r="BB24" s="22">
        <f t="shared" si="22"/>
        <v>0</v>
      </c>
      <c r="BC24" s="22">
        <v>444398</v>
      </c>
      <c r="BD24" s="22">
        <f t="shared" si="23"/>
        <v>3060000</v>
      </c>
      <c r="BE24" s="22">
        <v>124015</v>
      </c>
      <c r="BF24" s="22">
        <f t="shared" si="24"/>
        <v>0</v>
      </c>
      <c r="BG24" s="13"/>
      <c r="BH24" s="7"/>
    </row>
    <row r="25" spans="1:60" ht="22.5" customHeight="1" x14ac:dyDescent="0.25">
      <c r="A25" s="12">
        <v>44703</v>
      </c>
      <c r="B25" s="7">
        <v>169192</v>
      </c>
      <c r="C25" s="7">
        <f t="shared" si="0"/>
        <v>4819</v>
      </c>
      <c r="D25" s="7">
        <v>29980725</v>
      </c>
      <c r="E25" s="7">
        <f t="shared" si="1"/>
        <v>10213</v>
      </c>
      <c r="F25" s="7">
        <v>8277277</v>
      </c>
      <c r="G25" s="9">
        <f t="shared" si="2"/>
        <v>4032</v>
      </c>
      <c r="H25" s="13"/>
      <c r="I25" s="7">
        <v>84415</v>
      </c>
      <c r="J25" s="14">
        <f t="shared" si="3"/>
        <v>170.47900000000001</v>
      </c>
      <c r="K25" s="7">
        <v>21002</v>
      </c>
      <c r="L25" s="14">
        <f t="shared" si="4"/>
        <v>7.9030000000000005</v>
      </c>
      <c r="M25" s="13"/>
      <c r="N25" s="7">
        <v>55882</v>
      </c>
      <c r="O25" s="14">
        <f t="shared" si="5"/>
        <v>8689.8395721925135</v>
      </c>
      <c r="P25" s="7">
        <v>52517429</v>
      </c>
      <c r="Q25" s="14">
        <f t="shared" si="6"/>
        <v>16090</v>
      </c>
      <c r="R25" s="7">
        <v>234908</v>
      </c>
      <c r="S25" s="14">
        <f t="shared" si="7"/>
        <v>45</v>
      </c>
      <c r="T25" s="13"/>
      <c r="U25" s="7">
        <v>14183</v>
      </c>
      <c r="V25" s="7">
        <f t="shared" si="8"/>
        <v>412</v>
      </c>
      <c r="W25" s="7">
        <v>592</v>
      </c>
      <c r="X25" s="7">
        <f t="shared" si="9"/>
        <v>18</v>
      </c>
      <c r="Y25" s="7">
        <v>369</v>
      </c>
      <c r="Z25" s="7">
        <f t="shared" si="10"/>
        <v>4</v>
      </c>
      <c r="AA25" s="8">
        <v>811828</v>
      </c>
      <c r="AB25" s="8">
        <f t="shared" si="11"/>
        <v>3630000</v>
      </c>
      <c r="AC25" s="8">
        <v>365921</v>
      </c>
      <c r="AD25" s="8">
        <f t="shared" si="26"/>
        <v>590000</v>
      </c>
      <c r="AE25" s="13"/>
      <c r="AF25" s="7">
        <v>67138</v>
      </c>
      <c r="AG25" s="7">
        <f t="shared" si="13"/>
        <v>0</v>
      </c>
      <c r="AH25" s="7">
        <v>225909</v>
      </c>
      <c r="AI25" s="14">
        <f t="shared" si="14"/>
        <v>184</v>
      </c>
      <c r="AJ25" s="7">
        <v>11073571</v>
      </c>
      <c r="AK25" s="14">
        <f t="shared" si="15"/>
        <v>6664</v>
      </c>
      <c r="AL25" s="7">
        <v>28793</v>
      </c>
      <c r="AM25" s="14">
        <f t="shared" si="16"/>
        <v>4</v>
      </c>
      <c r="AN25" s="7">
        <v>29534</v>
      </c>
      <c r="AO25" s="14">
        <f t="shared" si="17"/>
        <v>888</v>
      </c>
      <c r="AP25" s="13"/>
      <c r="AQ25" s="22">
        <v>584103</v>
      </c>
      <c r="AR25" s="22">
        <f t="shared" si="25"/>
        <v>4640000</v>
      </c>
      <c r="AS25" s="22">
        <v>234978</v>
      </c>
      <c r="AT25" s="22">
        <f t="shared" si="18"/>
        <v>0</v>
      </c>
      <c r="AU25" s="22">
        <v>72872</v>
      </c>
      <c r="AV25" s="22">
        <f t="shared" si="19"/>
        <v>5470000</v>
      </c>
      <c r="AW25" s="22">
        <v>269527</v>
      </c>
      <c r="AX25" s="22">
        <f t="shared" si="20"/>
        <v>0</v>
      </c>
      <c r="AY25" s="22">
        <v>458184</v>
      </c>
      <c r="AZ25" s="22">
        <f t="shared" si="21"/>
        <v>3400000</v>
      </c>
      <c r="BA25" s="22">
        <v>19320</v>
      </c>
      <c r="BB25" s="22">
        <f t="shared" si="22"/>
        <v>0</v>
      </c>
      <c r="BC25" s="22">
        <v>444780</v>
      </c>
      <c r="BD25" s="22">
        <f t="shared" si="23"/>
        <v>3820000</v>
      </c>
      <c r="BE25" s="22">
        <v>124015</v>
      </c>
      <c r="BF25" s="22">
        <f t="shared" si="24"/>
        <v>0</v>
      </c>
      <c r="BG25" s="13"/>
      <c r="BH25" s="7"/>
    </row>
    <row r="26" spans="1:60" ht="22.5" customHeight="1" x14ac:dyDescent="0.25">
      <c r="A26" s="12">
        <v>44704</v>
      </c>
      <c r="B26" s="7">
        <v>173462</v>
      </c>
      <c r="C26" s="7">
        <f t="shared" si="0"/>
        <v>4270</v>
      </c>
      <c r="D26" s="7">
        <v>29989919</v>
      </c>
      <c r="E26" s="7">
        <f t="shared" si="1"/>
        <v>9194</v>
      </c>
      <c r="F26" s="7">
        <v>8280923</v>
      </c>
      <c r="G26" s="9">
        <f t="shared" si="2"/>
        <v>3646</v>
      </c>
      <c r="H26" s="13"/>
      <c r="I26" s="7">
        <v>84524</v>
      </c>
      <c r="J26" s="14">
        <f t="shared" si="3"/>
        <v>123.06100000000001</v>
      </c>
      <c r="K26" s="7">
        <v>21008</v>
      </c>
      <c r="L26" s="14">
        <f t="shared" si="4"/>
        <v>6.774</v>
      </c>
      <c r="M26" s="13"/>
      <c r="N26" s="7">
        <v>55931</v>
      </c>
      <c r="O26" s="14">
        <f t="shared" si="5"/>
        <v>6550.8021390374324</v>
      </c>
      <c r="P26" s="14">
        <v>52531414</v>
      </c>
      <c r="Q26" s="14">
        <f t="shared" si="6"/>
        <v>13985</v>
      </c>
      <c r="R26" s="7">
        <v>234954</v>
      </c>
      <c r="S26" s="14">
        <f t="shared" si="7"/>
        <v>46</v>
      </c>
      <c r="T26" s="13"/>
      <c r="U26" s="7">
        <v>14556</v>
      </c>
      <c r="V26" s="7">
        <f t="shared" si="8"/>
        <v>373</v>
      </c>
      <c r="W26" s="7">
        <v>609</v>
      </c>
      <c r="X26" s="7">
        <f t="shared" si="9"/>
        <v>17</v>
      </c>
      <c r="Y26" s="7">
        <v>371</v>
      </c>
      <c r="Z26" s="7">
        <f t="shared" si="10"/>
        <v>2</v>
      </c>
      <c r="AA26" s="8">
        <v>812150</v>
      </c>
      <c r="AB26" s="8">
        <f t="shared" si="11"/>
        <v>3220000</v>
      </c>
      <c r="AC26" s="8">
        <v>365971</v>
      </c>
      <c r="AD26" s="8">
        <f t="shared" si="26"/>
        <v>500000</v>
      </c>
      <c r="AE26" s="13"/>
      <c r="AF26" s="7">
        <v>67138</v>
      </c>
      <c r="AG26" s="7">
        <f t="shared" si="13"/>
        <v>0</v>
      </c>
      <c r="AH26" s="14">
        <v>226081</v>
      </c>
      <c r="AI26" s="14">
        <f t="shared" si="14"/>
        <v>172</v>
      </c>
      <c r="AJ26" s="14">
        <v>11079049</v>
      </c>
      <c r="AK26" s="14">
        <f t="shared" si="15"/>
        <v>5478</v>
      </c>
      <c r="AL26" s="14">
        <v>28795</v>
      </c>
      <c r="AM26" s="14">
        <f t="shared" si="16"/>
        <v>2</v>
      </c>
      <c r="AN26" s="7">
        <v>30429</v>
      </c>
      <c r="AO26" s="14">
        <f t="shared" si="17"/>
        <v>895</v>
      </c>
      <c r="AP26" s="13"/>
      <c r="AQ26" s="22">
        <v>584430</v>
      </c>
      <c r="AR26" s="22">
        <f t="shared" si="25"/>
        <v>3270000</v>
      </c>
      <c r="AS26" s="22">
        <v>234978</v>
      </c>
      <c r="AT26" s="22">
        <f t="shared" si="18"/>
        <v>0</v>
      </c>
      <c r="AU26" s="22">
        <v>73234</v>
      </c>
      <c r="AV26" s="22">
        <f t="shared" si="19"/>
        <v>3620000</v>
      </c>
      <c r="AW26" s="22">
        <v>269527</v>
      </c>
      <c r="AX26" s="22">
        <f t="shared" si="20"/>
        <v>0</v>
      </c>
      <c r="AY26" s="22">
        <v>458463</v>
      </c>
      <c r="AZ26" s="22">
        <f t="shared" si="21"/>
        <v>2790000</v>
      </c>
      <c r="BA26" s="22">
        <v>19320</v>
      </c>
      <c r="BB26" s="22">
        <f t="shared" si="22"/>
        <v>0</v>
      </c>
      <c r="BC26" s="22">
        <v>445126</v>
      </c>
      <c r="BD26" s="22">
        <f t="shared" si="23"/>
        <v>3460000</v>
      </c>
      <c r="BE26" s="22">
        <v>124015</v>
      </c>
      <c r="BF26" s="22">
        <f t="shared" si="24"/>
        <v>0</v>
      </c>
      <c r="BG26" s="13"/>
      <c r="BH26" s="7"/>
    </row>
    <row r="27" spans="1:60" ht="21" customHeight="1" x14ac:dyDescent="0.25">
      <c r="A27" s="12">
        <v>44705</v>
      </c>
      <c r="B27" s="7">
        <v>177466</v>
      </c>
      <c r="C27" s="7">
        <f t="shared" si="0"/>
        <v>4004</v>
      </c>
      <c r="D27" s="7">
        <v>29999160</v>
      </c>
      <c r="E27" s="7">
        <f t="shared" si="1"/>
        <v>9241</v>
      </c>
      <c r="F27" s="7">
        <v>8284453</v>
      </c>
      <c r="G27" s="9">
        <f t="shared" si="2"/>
        <v>3530</v>
      </c>
      <c r="H27" s="13"/>
      <c r="I27" s="7">
        <v>84622</v>
      </c>
      <c r="J27" s="14">
        <f t="shared" si="3"/>
        <v>110.642</v>
      </c>
      <c r="K27" s="7">
        <v>21013</v>
      </c>
      <c r="L27" s="14">
        <f t="shared" si="4"/>
        <v>5.6449999999999996</v>
      </c>
      <c r="M27" s="13"/>
      <c r="N27" s="7">
        <v>55971</v>
      </c>
      <c r="O27" s="14">
        <f t="shared" si="5"/>
        <v>5347.5935828877</v>
      </c>
      <c r="P27" s="7">
        <v>52540285</v>
      </c>
      <c r="Q27" s="14">
        <f t="shared" si="6"/>
        <v>8871</v>
      </c>
      <c r="R27" s="7">
        <v>235065</v>
      </c>
      <c r="S27" s="14">
        <f t="shared" si="7"/>
        <v>111</v>
      </c>
      <c r="T27" s="13"/>
      <c r="U27" s="7">
        <v>14924</v>
      </c>
      <c r="V27" s="7">
        <f t="shared" si="8"/>
        <v>368</v>
      </c>
      <c r="W27" s="7">
        <v>626</v>
      </c>
      <c r="X27" s="7">
        <f t="shared" si="9"/>
        <v>17</v>
      </c>
      <c r="Y27" s="7">
        <v>374</v>
      </c>
      <c r="Z27" s="7">
        <f t="shared" si="10"/>
        <v>3</v>
      </c>
      <c r="AA27" s="8">
        <v>812434</v>
      </c>
      <c r="AB27" s="8">
        <f t="shared" si="11"/>
        <v>2840000</v>
      </c>
      <c r="AC27" s="8">
        <v>366026</v>
      </c>
      <c r="AD27" s="8">
        <f t="shared" si="26"/>
        <v>550000</v>
      </c>
      <c r="AE27" s="13"/>
      <c r="AF27" s="7">
        <v>67138</v>
      </c>
      <c r="AG27" s="7">
        <f t="shared" si="13"/>
        <v>0</v>
      </c>
      <c r="AH27" s="7">
        <v>226236</v>
      </c>
      <c r="AI27" s="14">
        <f t="shared" si="14"/>
        <v>155</v>
      </c>
      <c r="AJ27" s="7">
        <v>11084751</v>
      </c>
      <c r="AK27" s="14">
        <f t="shared" si="15"/>
        <v>5702</v>
      </c>
      <c r="AL27" s="7">
        <v>28796</v>
      </c>
      <c r="AM27" s="14">
        <f t="shared" si="16"/>
        <v>1</v>
      </c>
      <c r="AN27" s="7">
        <v>31070</v>
      </c>
      <c r="AO27" s="14">
        <f t="shared" si="17"/>
        <v>641</v>
      </c>
      <c r="AP27" s="13"/>
      <c r="AQ27" s="22">
        <v>584436</v>
      </c>
      <c r="AR27" s="22">
        <f t="shared" si="25"/>
        <v>60000</v>
      </c>
      <c r="AS27" s="22">
        <v>234978</v>
      </c>
      <c r="AT27" s="22">
        <f t="shared" si="18"/>
        <v>0</v>
      </c>
      <c r="AU27" s="22">
        <v>73286</v>
      </c>
      <c r="AV27" s="22">
        <f t="shared" si="19"/>
        <v>520000</v>
      </c>
      <c r="AW27" s="22"/>
      <c r="AX27" s="22">
        <f t="shared" si="20"/>
        <v>-2695270000</v>
      </c>
      <c r="AY27" s="22">
        <v>458565</v>
      </c>
      <c r="AZ27" s="22">
        <f t="shared" si="21"/>
        <v>1020000</v>
      </c>
      <c r="BA27" s="22">
        <v>19320</v>
      </c>
      <c r="BB27" s="22">
        <f t="shared" si="22"/>
        <v>0</v>
      </c>
      <c r="BC27" s="22">
        <v>445392</v>
      </c>
      <c r="BD27" s="22">
        <f t="shared" si="23"/>
        <v>2660000</v>
      </c>
      <c r="BE27" s="22">
        <v>124015</v>
      </c>
      <c r="BF27" s="22">
        <f t="shared" si="24"/>
        <v>0</v>
      </c>
      <c r="BG27" s="13"/>
      <c r="BH27" s="7"/>
    </row>
    <row r="28" spans="1:60" ht="22.5" customHeight="1" x14ac:dyDescent="0.25">
      <c r="A28" s="12">
        <v>44706</v>
      </c>
      <c r="B28" s="7">
        <v>181761</v>
      </c>
      <c r="C28" s="7">
        <f t="shared" si="0"/>
        <v>4295</v>
      </c>
      <c r="D28" s="7">
        <v>30008965</v>
      </c>
      <c r="E28" s="7">
        <f t="shared" si="1"/>
        <v>9805</v>
      </c>
      <c r="F28" s="7">
        <v>8288337</v>
      </c>
      <c r="G28" s="9">
        <f t="shared" si="2"/>
        <v>3884</v>
      </c>
      <c r="H28" s="13"/>
      <c r="I28" s="7">
        <v>84728</v>
      </c>
      <c r="J28" s="14">
        <f t="shared" si="3"/>
        <v>119.67400000000001</v>
      </c>
      <c r="K28" s="7">
        <v>21020</v>
      </c>
      <c r="L28" s="14">
        <f t="shared" si="4"/>
        <v>7.9030000000000005</v>
      </c>
      <c r="M28" s="13"/>
      <c r="N28" s="7">
        <v>56023</v>
      </c>
      <c r="O28" s="14">
        <f t="shared" si="5"/>
        <v>6951.8716577540099</v>
      </c>
      <c r="P28" s="7">
        <v>52548496</v>
      </c>
      <c r="Q28" s="14">
        <f t="shared" si="6"/>
        <v>8211</v>
      </c>
      <c r="R28" s="7">
        <v>235075</v>
      </c>
      <c r="S28" s="14">
        <f t="shared" si="7"/>
        <v>10</v>
      </c>
      <c r="T28" s="13"/>
      <c r="U28" s="7">
        <v>15323</v>
      </c>
      <c r="V28" s="7">
        <f t="shared" si="8"/>
        <v>399</v>
      </c>
      <c r="W28" s="7">
        <v>646</v>
      </c>
      <c r="X28" s="7">
        <f t="shared" si="9"/>
        <v>20</v>
      </c>
      <c r="Y28" s="7">
        <v>377</v>
      </c>
      <c r="Z28" s="7">
        <f t="shared" si="10"/>
        <v>3</v>
      </c>
      <c r="AA28" s="8">
        <v>812775</v>
      </c>
      <c r="AB28" s="8">
        <f t="shared" si="11"/>
        <v>3410000</v>
      </c>
      <c r="AC28" s="8">
        <v>366210</v>
      </c>
      <c r="AD28" s="8">
        <f t="shared" si="26"/>
        <v>1840000</v>
      </c>
      <c r="AE28" s="13"/>
      <c r="AF28" s="7">
        <v>67138</v>
      </c>
      <c r="AG28" s="7">
        <f t="shared" si="13"/>
        <v>0</v>
      </c>
      <c r="AH28" s="7">
        <v>226389</v>
      </c>
      <c r="AI28" s="14">
        <f t="shared" si="14"/>
        <v>153</v>
      </c>
      <c r="AJ28" s="14">
        <v>11090225</v>
      </c>
      <c r="AK28" s="14">
        <f t="shared" si="15"/>
        <v>5474</v>
      </c>
      <c r="AL28" s="7">
        <v>28797</v>
      </c>
      <c r="AM28" s="14">
        <f t="shared" si="16"/>
        <v>1</v>
      </c>
      <c r="AN28" s="7">
        <v>31766</v>
      </c>
      <c r="AO28" s="14">
        <f t="shared" si="17"/>
        <v>696</v>
      </c>
      <c r="AP28" s="13"/>
      <c r="AQ28" s="22">
        <v>584514</v>
      </c>
      <c r="AR28" s="22">
        <f t="shared" si="25"/>
        <v>780000</v>
      </c>
      <c r="AS28" s="22">
        <v>234978</v>
      </c>
      <c r="AT28" s="22">
        <f t="shared" si="18"/>
        <v>0</v>
      </c>
      <c r="AU28" s="22">
        <v>73342</v>
      </c>
      <c r="AV28" s="22">
        <f t="shared" si="19"/>
        <v>560000</v>
      </c>
      <c r="AW28" s="22">
        <v>269527</v>
      </c>
      <c r="AX28" s="22">
        <f t="shared" si="20"/>
        <v>2695270000</v>
      </c>
      <c r="AY28" s="22">
        <v>458596</v>
      </c>
      <c r="AZ28" s="22">
        <f t="shared" si="21"/>
        <v>310000</v>
      </c>
      <c r="BA28" s="22">
        <v>19320</v>
      </c>
      <c r="BB28" s="22">
        <f t="shared" si="22"/>
        <v>0</v>
      </c>
      <c r="BC28" s="22">
        <v>44579</v>
      </c>
      <c r="BD28" s="22">
        <f t="shared" si="23"/>
        <v>-4008130000</v>
      </c>
      <c r="BE28" s="22">
        <v>124015</v>
      </c>
      <c r="BF28" s="22">
        <f t="shared" si="24"/>
        <v>0</v>
      </c>
      <c r="BG28" s="13"/>
      <c r="BH28" s="7"/>
    </row>
    <row r="29" spans="1:60" ht="21" customHeight="1" x14ac:dyDescent="0.25">
      <c r="A29" s="12">
        <v>44707</v>
      </c>
      <c r="B29" s="7">
        <v>186009</v>
      </c>
      <c r="C29" s="7">
        <f t="shared" si="0"/>
        <v>4248</v>
      </c>
      <c r="D29" s="7">
        <v>30018411</v>
      </c>
      <c r="E29" s="7">
        <f t="shared" si="1"/>
        <v>9446</v>
      </c>
      <c r="F29" s="7">
        <v>8291760</v>
      </c>
      <c r="G29" s="9">
        <f t="shared" si="2"/>
        <v>3423</v>
      </c>
      <c r="H29" s="13"/>
      <c r="I29" s="7">
        <v>84831</v>
      </c>
      <c r="J29" s="14">
        <f t="shared" si="3"/>
        <v>116.28700000000001</v>
      </c>
      <c r="K29" s="7">
        <v>21027</v>
      </c>
      <c r="L29" s="14">
        <f t="shared" si="4"/>
        <v>7.9030000000000005</v>
      </c>
      <c r="M29" s="13"/>
      <c r="N29" s="7">
        <v>56100</v>
      </c>
      <c r="O29" s="14">
        <f t="shared" si="5"/>
        <v>10294.117647058823</v>
      </c>
      <c r="P29" s="14">
        <v>52556423</v>
      </c>
      <c r="Q29" s="14">
        <f t="shared" si="6"/>
        <v>7927</v>
      </c>
      <c r="R29" s="7">
        <v>235140</v>
      </c>
      <c r="S29" s="14">
        <f t="shared" si="7"/>
        <v>65</v>
      </c>
      <c r="T29" s="13"/>
      <c r="U29" s="7">
        <v>15707</v>
      </c>
      <c r="V29" s="7">
        <f t="shared" si="8"/>
        <v>384</v>
      </c>
      <c r="W29" s="7">
        <v>664</v>
      </c>
      <c r="X29" s="7">
        <f t="shared" si="9"/>
        <v>18</v>
      </c>
      <c r="Y29" s="7">
        <v>380</v>
      </c>
      <c r="Z29" s="7">
        <f t="shared" si="10"/>
        <v>3</v>
      </c>
      <c r="AA29" s="8">
        <v>813076</v>
      </c>
      <c r="AB29" s="8">
        <f t="shared" si="11"/>
        <v>3010000</v>
      </c>
      <c r="AC29" s="8">
        <v>366339</v>
      </c>
      <c r="AD29" s="8">
        <f t="shared" si="26"/>
        <v>1290000</v>
      </c>
      <c r="AE29" s="13"/>
      <c r="AF29" s="7">
        <v>67138</v>
      </c>
      <c r="AG29" s="7">
        <f t="shared" si="13"/>
        <v>0</v>
      </c>
      <c r="AH29" s="14">
        <v>226537</v>
      </c>
      <c r="AI29" s="14">
        <f t="shared" si="14"/>
        <v>148</v>
      </c>
      <c r="AJ29" s="14">
        <v>11095644</v>
      </c>
      <c r="AK29" s="14">
        <f t="shared" si="15"/>
        <v>5419</v>
      </c>
      <c r="AL29" s="14">
        <v>28798</v>
      </c>
      <c r="AM29" s="14">
        <f t="shared" si="16"/>
        <v>1</v>
      </c>
      <c r="AN29" s="7">
        <v>32514</v>
      </c>
      <c r="AO29" s="14">
        <f t="shared" si="17"/>
        <v>748</v>
      </c>
      <c r="AP29" s="13"/>
      <c r="AQ29" s="22">
        <v>584563</v>
      </c>
      <c r="AR29" s="22">
        <f t="shared" si="25"/>
        <v>490000</v>
      </c>
      <c r="AS29" s="22">
        <v>234978</v>
      </c>
      <c r="AT29" s="22">
        <f t="shared" si="18"/>
        <v>0</v>
      </c>
      <c r="AU29" s="22">
        <v>73456</v>
      </c>
      <c r="AV29" s="22">
        <f t="shared" si="19"/>
        <v>1140000</v>
      </c>
      <c r="AW29" s="22">
        <v>269527</v>
      </c>
      <c r="AX29" s="22">
        <f t="shared" si="20"/>
        <v>0</v>
      </c>
      <c r="AY29" s="22">
        <v>458690</v>
      </c>
      <c r="AZ29" s="22">
        <f t="shared" si="21"/>
        <v>940000</v>
      </c>
      <c r="BA29" s="22">
        <v>19320</v>
      </c>
      <c r="BB29" s="22">
        <f t="shared" si="22"/>
        <v>0</v>
      </c>
      <c r="BC29" s="22">
        <v>445890</v>
      </c>
      <c r="BD29" s="22">
        <f t="shared" si="23"/>
        <v>4013110000</v>
      </c>
      <c r="BE29" s="22">
        <v>124015</v>
      </c>
      <c r="BF29" s="22">
        <f t="shared" si="24"/>
        <v>0</v>
      </c>
      <c r="BG29" s="13"/>
      <c r="BH29" s="7"/>
    </row>
    <row r="30" spans="1:60" ht="22.5" customHeight="1" x14ac:dyDescent="0.25">
      <c r="A30" s="12">
        <v>44708</v>
      </c>
      <c r="B30" s="7">
        <v>190045</v>
      </c>
      <c r="C30" s="7">
        <f t="shared" si="0"/>
        <v>4036</v>
      </c>
      <c r="D30" s="7">
        <v>30027158</v>
      </c>
      <c r="E30" s="7">
        <f t="shared" si="1"/>
        <v>8747</v>
      </c>
      <c r="F30" s="7">
        <v>8295005</v>
      </c>
      <c r="G30" s="9">
        <f t="shared" si="2"/>
        <v>3245</v>
      </c>
      <c r="H30" s="13"/>
      <c r="I30" s="7">
        <v>84947</v>
      </c>
      <c r="J30" s="14">
        <f t="shared" si="3"/>
        <v>130.964</v>
      </c>
      <c r="K30" s="7">
        <v>21033</v>
      </c>
      <c r="L30" s="14">
        <f t="shared" si="4"/>
        <v>6.774</v>
      </c>
      <c r="M30" s="13"/>
      <c r="N30" s="7">
        <v>56137</v>
      </c>
      <c r="O30" s="14">
        <f t="shared" si="5"/>
        <v>4946.5240641711225</v>
      </c>
      <c r="P30" s="14">
        <v>52564081</v>
      </c>
      <c r="Q30" s="14">
        <f t="shared" si="6"/>
        <v>7658</v>
      </c>
      <c r="R30" s="7">
        <v>235191</v>
      </c>
      <c r="S30" s="14">
        <f t="shared" si="7"/>
        <v>51</v>
      </c>
      <c r="T30" s="13"/>
      <c r="U30" s="7">
        <v>16061</v>
      </c>
      <c r="V30" s="7">
        <f t="shared" si="8"/>
        <v>354</v>
      </c>
      <c r="W30" s="7">
        <v>680</v>
      </c>
      <c r="X30" s="7">
        <f t="shared" si="9"/>
        <v>16</v>
      </c>
      <c r="Y30" s="7">
        <v>381</v>
      </c>
      <c r="Z30" s="7">
        <f t="shared" si="10"/>
        <v>1</v>
      </c>
      <c r="AA30" s="8">
        <v>813360</v>
      </c>
      <c r="AB30" s="8">
        <f t="shared" si="11"/>
        <v>2840000</v>
      </c>
      <c r="AC30" s="8">
        <v>366452</v>
      </c>
      <c r="AD30" s="8">
        <f t="shared" si="12"/>
        <v>1130000</v>
      </c>
      <c r="AE30" s="13"/>
      <c r="AF30" s="7">
        <v>67138</v>
      </c>
      <c r="AG30" s="7">
        <f t="shared" si="13"/>
        <v>0</v>
      </c>
      <c r="AH30" s="14">
        <v>226699</v>
      </c>
      <c r="AI30" s="14">
        <f t="shared" si="14"/>
        <v>162</v>
      </c>
      <c r="AJ30" s="14">
        <v>11101809</v>
      </c>
      <c r="AK30" s="14">
        <f t="shared" si="15"/>
        <v>6165</v>
      </c>
      <c r="AL30" s="14">
        <v>28800</v>
      </c>
      <c r="AM30" s="14">
        <f t="shared" si="16"/>
        <v>2</v>
      </c>
      <c r="AN30" s="7">
        <v>33284</v>
      </c>
      <c r="AO30" s="14">
        <f t="shared" si="17"/>
        <v>770</v>
      </c>
      <c r="AP30" s="13"/>
      <c r="AQ30" s="22">
        <v>584597</v>
      </c>
      <c r="AR30" s="22">
        <f t="shared" si="25"/>
        <v>340000</v>
      </c>
      <c r="AS30" s="22">
        <v>234978</v>
      </c>
      <c r="AT30" s="22">
        <f t="shared" si="18"/>
        <v>0</v>
      </c>
      <c r="AU30" s="22">
        <v>73588</v>
      </c>
      <c r="AV30" s="22">
        <f t="shared" si="19"/>
        <v>1320000</v>
      </c>
      <c r="AW30" s="22">
        <v>269527</v>
      </c>
      <c r="AX30" s="22">
        <f t="shared" si="20"/>
        <v>0</v>
      </c>
      <c r="AY30" s="22">
        <v>458749</v>
      </c>
      <c r="AZ30" s="22">
        <f t="shared" si="21"/>
        <v>590000</v>
      </c>
      <c r="BA30" s="22">
        <v>19320</v>
      </c>
      <c r="BB30" s="22">
        <f t="shared" si="22"/>
        <v>0</v>
      </c>
      <c r="BC30" s="22">
        <v>446139</v>
      </c>
      <c r="BD30" s="22">
        <f t="shared" si="23"/>
        <v>2490000</v>
      </c>
      <c r="BE30" s="22">
        <v>124015</v>
      </c>
      <c r="BF30" s="22">
        <f t="shared" si="24"/>
        <v>0</v>
      </c>
      <c r="BG30" s="13"/>
      <c r="BH30" s="7"/>
    </row>
    <row r="31" spans="1:60" ht="23.25" customHeight="1" x14ac:dyDescent="0.25">
      <c r="A31" s="12">
        <v>44709</v>
      </c>
      <c r="B31" s="7">
        <v>194191</v>
      </c>
      <c r="C31" s="7">
        <f t="shared" si="0"/>
        <v>4146</v>
      </c>
      <c r="D31" s="7">
        <v>30036145</v>
      </c>
      <c r="E31" s="7">
        <f t="shared" si="1"/>
        <v>8987</v>
      </c>
      <c r="F31" s="7">
        <v>8298745</v>
      </c>
      <c r="G31" s="9">
        <f t="shared" si="2"/>
        <v>3740</v>
      </c>
      <c r="H31" s="13"/>
      <c r="I31" s="7">
        <v>85060</v>
      </c>
      <c r="J31" s="14">
        <f t="shared" si="3"/>
        <v>127.577</v>
      </c>
      <c r="K31" s="7">
        <v>21038</v>
      </c>
      <c r="L31" s="14">
        <f t="shared" si="4"/>
        <v>5.6449999999999996</v>
      </c>
      <c r="M31" s="13"/>
      <c r="N31" s="7">
        <v>56183</v>
      </c>
      <c r="O31" s="14">
        <f t="shared" si="5"/>
        <v>6149.7326203208549</v>
      </c>
      <c r="P31" s="14">
        <v>52575088</v>
      </c>
      <c r="Q31" s="14">
        <f t="shared" si="6"/>
        <v>11007</v>
      </c>
      <c r="R31" s="7">
        <v>235249</v>
      </c>
      <c r="S31" s="14">
        <f t="shared" si="7"/>
        <v>58</v>
      </c>
      <c r="T31" s="13"/>
      <c r="U31" s="7">
        <v>16448</v>
      </c>
      <c r="V31" s="7">
        <f t="shared" si="8"/>
        <v>387</v>
      </c>
      <c r="W31" s="7">
        <v>699</v>
      </c>
      <c r="X31" s="7">
        <f t="shared" si="9"/>
        <v>19</v>
      </c>
      <c r="Y31" s="7">
        <v>384</v>
      </c>
      <c r="Z31" s="7">
        <f t="shared" si="10"/>
        <v>3</v>
      </c>
      <c r="AA31" s="8">
        <v>813707</v>
      </c>
      <c r="AB31" s="8">
        <f t="shared" si="11"/>
        <v>3470000</v>
      </c>
      <c r="AC31" s="8">
        <v>366550</v>
      </c>
      <c r="AD31" s="8">
        <f t="shared" si="12"/>
        <v>980000</v>
      </c>
      <c r="AE31" s="13"/>
      <c r="AF31" s="7">
        <v>67138</v>
      </c>
      <c r="AG31" s="7">
        <f t="shared" si="13"/>
        <v>0</v>
      </c>
      <c r="AH31" s="14">
        <v>226897</v>
      </c>
      <c r="AI31" s="14">
        <f t="shared" si="14"/>
        <v>198</v>
      </c>
      <c r="AJ31" s="14">
        <v>11110048</v>
      </c>
      <c r="AK31" s="14">
        <f t="shared" si="15"/>
        <v>8239</v>
      </c>
      <c r="AL31" s="14">
        <v>28803</v>
      </c>
      <c r="AM31" s="14">
        <f t="shared" si="16"/>
        <v>3</v>
      </c>
      <c r="AN31" s="7">
        <v>34194</v>
      </c>
      <c r="AO31" s="14">
        <f t="shared" si="17"/>
        <v>910</v>
      </c>
      <c r="AP31" s="13"/>
      <c r="AQ31" s="22">
        <v>584831</v>
      </c>
      <c r="AR31" s="22">
        <f t="shared" si="25"/>
        <v>2340000</v>
      </c>
      <c r="AS31" s="22">
        <v>234978</v>
      </c>
      <c r="AT31" s="22">
        <f t="shared" si="18"/>
        <v>0</v>
      </c>
      <c r="AU31" s="22">
        <v>73915</v>
      </c>
      <c r="AV31" s="22">
        <f t="shared" si="19"/>
        <v>3270000</v>
      </c>
      <c r="AW31" s="22">
        <v>269527</v>
      </c>
      <c r="AX31" s="22">
        <f t="shared" si="20"/>
        <v>0</v>
      </c>
      <c r="AY31" s="22">
        <v>458969</v>
      </c>
      <c r="AZ31" s="22">
        <f t="shared" si="21"/>
        <v>2200000</v>
      </c>
      <c r="BA31" s="22">
        <v>19321</v>
      </c>
      <c r="BB31" s="22">
        <f t="shared" si="22"/>
        <v>10000</v>
      </c>
      <c r="BC31" s="22">
        <v>446481</v>
      </c>
      <c r="BD31" s="22">
        <f t="shared" si="23"/>
        <v>3420000</v>
      </c>
      <c r="BE31" s="22">
        <v>124015</v>
      </c>
      <c r="BF31" s="22">
        <f t="shared" si="24"/>
        <v>0</v>
      </c>
      <c r="BG31" s="13"/>
      <c r="BH31" s="7"/>
    </row>
    <row r="32" spans="1:60" ht="23.25" customHeight="1" x14ac:dyDescent="0.25">
      <c r="A32" s="12">
        <v>44710</v>
      </c>
      <c r="B32" s="7">
        <v>198574</v>
      </c>
      <c r="C32" s="7">
        <f t="shared" si="0"/>
        <v>4383</v>
      </c>
      <c r="D32" s="7">
        <v>30045253</v>
      </c>
      <c r="E32" s="7">
        <f t="shared" si="1"/>
        <v>9108</v>
      </c>
      <c r="F32" s="7">
        <v>8302292</v>
      </c>
      <c r="G32" s="9">
        <f t="shared" si="2"/>
        <v>3547</v>
      </c>
      <c r="H32" s="13"/>
      <c r="I32" s="7">
        <v>85174</v>
      </c>
      <c r="J32" s="14">
        <f t="shared" si="3"/>
        <v>128.70599999999999</v>
      </c>
      <c r="K32" s="7">
        <v>21045</v>
      </c>
      <c r="L32" s="14">
        <f t="shared" si="4"/>
        <v>7.9030000000000005</v>
      </c>
      <c r="M32" s="13"/>
      <c r="N32" s="7">
        <v>56235</v>
      </c>
      <c r="O32" s="14">
        <f t="shared" si="5"/>
        <v>6951.8716577540099</v>
      </c>
      <c r="P32" s="7">
        <v>52584970</v>
      </c>
      <c r="Q32" s="14">
        <f t="shared" si="6"/>
        <v>9882</v>
      </c>
      <c r="R32" s="7">
        <v>235304</v>
      </c>
      <c r="S32" s="14">
        <f t="shared" si="7"/>
        <v>55</v>
      </c>
      <c r="T32" s="13"/>
      <c r="U32" s="7">
        <v>16815</v>
      </c>
      <c r="V32" s="7">
        <f t="shared" si="8"/>
        <v>367</v>
      </c>
      <c r="W32" s="7">
        <v>716</v>
      </c>
      <c r="X32" s="7">
        <f t="shared" si="9"/>
        <v>17</v>
      </c>
      <c r="Y32" s="7">
        <v>386</v>
      </c>
      <c r="Z32" s="7">
        <f t="shared" si="10"/>
        <v>2</v>
      </c>
      <c r="AA32" s="8">
        <v>814012</v>
      </c>
      <c r="AB32" s="8">
        <f t="shared" si="11"/>
        <v>3050000</v>
      </c>
      <c r="AC32" s="8">
        <v>366648</v>
      </c>
      <c r="AD32" s="8">
        <f t="shared" si="12"/>
        <v>980000</v>
      </c>
      <c r="AE32" s="13"/>
      <c r="AF32" s="7">
        <v>67138</v>
      </c>
      <c r="AG32" s="7">
        <f t="shared" si="13"/>
        <v>0</v>
      </c>
      <c r="AH32" s="7">
        <v>227092</v>
      </c>
      <c r="AI32" s="14">
        <f t="shared" si="14"/>
        <v>195</v>
      </c>
      <c r="AJ32" s="7">
        <v>11117726</v>
      </c>
      <c r="AK32" s="14">
        <f t="shared" si="15"/>
        <v>7678</v>
      </c>
      <c r="AL32" s="7">
        <v>28807</v>
      </c>
      <c r="AM32" s="14">
        <f t="shared" si="16"/>
        <v>4</v>
      </c>
      <c r="AN32" s="7">
        <v>35093</v>
      </c>
      <c r="AO32" s="14">
        <f t="shared" si="17"/>
        <v>899</v>
      </c>
      <c r="AP32" s="13"/>
      <c r="AQ32" s="22">
        <v>585121</v>
      </c>
      <c r="AR32" s="22">
        <f t="shared" si="25"/>
        <v>2900000</v>
      </c>
      <c r="AS32" s="22">
        <v>234978</v>
      </c>
      <c r="AT32" s="22">
        <f t="shared" si="18"/>
        <v>0</v>
      </c>
      <c r="AU32" s="22">
        <v>73933</v>
      </c>
      <c r="AV32" s="22">
        <f t="shared" si="19"/>
        <v>180000</v>
      </c>
      <c r="AW32" s="22">
        <v>269527</v>
      </c>
      <c r="AX32" s="22">
        <f t="shared" si="20"/>
        <v>0</v>
      </c>
      <c r="AY32" s="22">
        <v>459147</v>
      </c>
      <c r="AZ32" s="22">
        <f t="shared" si="21"/>
        <v>1780000</v>
      </c>
      <c r="BA32" s="22">
        <v>19321</v>
      </c>
      <c r="BB32" s="22">
        <f t="shared" si="22"/>
        <v>0</v>
      </c>
      <c r="BC32" s="22">
        <v>446785</v>
      </c>
      <c r="BD32" s="22">
        <f t="shared" si="23"/>
        <v>3040000</v>
      </c>
      <c r="BE32" s="22">
        <v>124015</v>
      </c>
      <c r="BF32" s="22">
        <f t="shared" si="24"/>
        <v>0</v>
      </c>
      <c r="BG32" s="13"/>
      <c r="BH32" s="7"/>
    </row>
    <row r="33" spans="1:60" ht="21.75" customHeight="1" x14ac:dyDescent="0.25">
      <c r="A33" s="12">
        <v>44711</v>
      </c>
      <c r="B33" s="19">
        <v>203665</v>
      </c>
      <c r="C33" s="7">
        <f t="shared" si="0"/>
        <v>5091</v>
      </c>
      <c r="D33" s="7">
        <v>30055998</v>
      </c>
      <c r="E33" s="7">
        <f t="shared" si="1"/>
        <v>10745</v>
      </c>
      <c r="F33" s="19">
        <v>8306566</v>
      </c>
      <c r="G33" s="9">
        <f t="shared" si="2"/>
        <v>4274</v>
      </c>
      <c r="H33" s="13"/>
      <c r="I33" s="7">
        <v>85288</v>
      </c>
      <c r="J33" s="14">
        <f t="shared" si="3"/>
        <v>128.70599999999999</v>
      </c>
      <c r="K33" s="7">
        <v>21052</v>
      </c>
      <c r="L33" s="14">
        <f t="shared" si="4"/>
        <v>7.9030000000000005</v>
      </c>
      <c r="M33" s="13"/>
      <c r="N33" s="7">
        <v>56301</v>
      </c>
      <c r="O33" s="14">
        <f t="shared" si="5"/>
        <v>8823.5294117647045</v>
      </c>
      <c r="P33" s="7">
        <v>52597331</v>
      </c>
      <c r="Q33" s="14">
        <f t="shared" si="6"/>
        <v>12361</v>
      </c>
      <c r="R33" s="7">
        <v>235363</v>
      </c>
      <c r="S33" s="14">
        <f t="shared" si="7"/>
        <v>59</v>
      </c>
      <c r="T33" s="13"/>
      <c r="U33" s="7">
        <v>17250</v>
      </c>
      <c r="V33" s="7">
        <f t="shared" si="8"/>
        <v>435</v>
      </c>
      <c r="W33" s="7">
        <v>736</v>
      </c>
      <c r="X33" s="7">
        <f t="shared" si="9"/>
        <v>20</v>
      </c>
      <c r="Y33" s="7">
        <v>388</v>
      </c>
      <c r="Z33" s="7">
        <f t="shared" si="10"/>
        <v>2</v>
      </c>
      <c r="AA33" s="8">
        <v>814364</v>
      </c>
      <c r="AB33" s="8">
        <f t="shared" si="11"/>
        <v>3520000</v>
      </c>
      <c r="AC33" s="8">
        <v>366746</v>
      </c>
      <c r="AD33" s="8">
        <f t="shared" si="12"/>
        <v>980000</v>
      </c>
      <c r="AE33" s="13"/>
      <c r="AF33" s="7">
        <v>67138</v>
      </c>
      <c r="AG33" s="7">
        <f t="shared" si="13"/>
        <v>0</v>
      </c>
      <c r="AH33" s="7">
        <v>227243</v>
      </c>
      <c r="AI33" s="14">
        <f t="shared" si="14"/>
        <v>151</v>
      </c>
      <c r="AJ33" s="7"/>
      <c r="AK33" s="14">
        <f t="shared" si="15"/>
        <v>-11117726</v>
      </c>
      <c r="AL33" s="7">
        <v>28818</v>
      </c>
      <c r="AM33" s="14">
        <f t="shared" si="16"/>
        <v>11</v>
      </c>
      <c r="AN33" s="7"/>
      <c r="AO33" s="14">
        <f t="shared" si="17"/>
        <v>-35093</v>
      </c>
      <c r="AP33" s="13"/>
      <c r="AQ33" s="22">
        <v>585372</v>
      </c>
      <c r="AR33" s="22">
        <f t="shared" si="25"/>
        <v>2510000</v>
      </c>
      <c r="AS33" s="22">
        <v>234978</v>
      </c>
      <c r="AT33" s="22">
        <f t="shared" si="18"/>
        <v>0</v>
      </c>
      <c r="AU33" s="22">
        <v>74079</v>
      </c>
      <c r="AV33" s="22">
        <f t="shared" si="19"/>
        <v>1460000</v>
      </c>
      <c r="AW33" s="22">
        <v>269527</v>
      </c>
      <c r="AX33" s="22">
        <f t="shared" si="20"/>
        <v>0</v>
      </c>
      <c r="AY33" s="22">
        <v>459322</v>
      </c>
      <c r="AZ33" s="22">
        <f t="shared" si="21"/>
        <v>1750000</v>
      </c>
      <c r="BA33" s="22">
        <v>19321</v>
      </c>
      <c r="BB33" s="22">
        <f t="shared" si="22"/>
        <v>0</v>
      </c>
      <c r="BC33" s="22">
        <v>447097</v>
      </c>
      <c r="BD33" s="22">
        <f t="shared" si="23"/>
        <v>3120000</v>
      </c>
      <c r="BE33" s="22">
        <v>124015</v>
      </c>
      <c r="BF33" s="22">
        <f t="shared" si="24"/>
        <v>0</v>
      </c>
      <c r="BG33" s="13"/>
      <c r="BH33" s="7"/>
    </row>
    <row r="34" spans="1:60" ht="21" customHeight="1" x14ac:dyDescent="0.25">
      <c r="A34" s="12">
        <v>44712</v>
      </c>
      <c r="B34" s="27">
        <v>207808</v>
      </c>
      <c r="C34" s="7">
        <f t="shared" si="0"/>
        <v>4143</v>
      </c>
      <c r="D34" s="27">
        <v>30064566</v>
      </c>
      <c r="E34" s="7">
        <f t="shared" si="1"/>
        <v>8568</v>
      </c>
      <c r="F34" s="27">
        <v>8309829</v>
      </c>
      <c r="G34" s="9">
        <f t="shared" si="2"/>
        <v>3263</v>
      </c>
      <c r="H34" s="13"/>
      <c r="I34" s="27">
        <v>85383</v>
      </c>
      <c r="J34" s="14">
        <f t="shared" si="3"/>
        <v>107.255</v>
      </c>
      <c r="K34" s="27">
        <v>21058</v>
      </c>
      <c r="L34" s="14">
        <f t="shared" si="4"/>
        <v>6.774</v>
      </c>
      <c r="M34" s="13"/>
      <c r="N34" s="7">
        <v>56348</v>
      </c>
      <c r="O34" s="14">
        <f>(N34-N33)*1000/7.48</f>
        <v>6283.4224598930477</v>
      </c>
      <c r="P34" s="7">
        <v>52609561</v>
      </c>
      <c r="Q34" s="14">
        <f t="shared" si="6"/>
        <v>12230</v>
      </c>
      <c r="R34" s="7">
        <v>235408</v>
      </c>
      <c r="S34" s="14">
        <f t="shared" si="7"/>
        <v>45</v>
      </c>
      <c r="T34" s="13"/>
      <c r="U34" s="7">
        <v>17686</v>
      </c>
      <c r="V34" s="7">
        <f t="shared" si="8"/>
        <v>436</v>
      </c>
      <c r="W34" s="7">
        <v>751</v>
      </c>
      <c r="X34" s="7">
        <f t="shared" si="9"/>
        <v>15</v>
      </c>
      <c r="Y34" s="7">
        <v>391</v>
      </c>
      <c r="Z34" s="7">
        <f t="shared" si="10"/>
        <v>3</v>
      </c>
      <c r="AA34" s="8">
        <v>814661</v>
      </c>
      <c r="AB34" s="8">
        <f t="shared" si="11"/>
        <v>2970000</v>
      </c>
      <c r="AC34" s="8">
        <v>366797</v>
      </c>
      <c r="AD34" s="8">
        <f t="shared" si="12"/>
        <v>510000</v>
      </c>
      <c r="AE34" s="13"/>
      <c r="AF34" s="7">
        <v>67138</v>
      </c>
      <c r="AG34" s="7">
        <v>0</v>
      </c>
      <c r="AH34" s="7">
        <v>227394</v>
      </c>
      <c r="AI34" s="14">
        <f t="shared" si="14"/>
        <v>151</v>
      </c>
      <c r="AJ34" s="7"/>
      <c r="AK34" s="14">
        <v>0</v>
      </c>
      <c r="AL34" s="7">
        <v>28812</v>
      </c>
      <c r="AM34" s="14">
        <v>0</v>
      </c>
      <c r="AN34" s="7"/>
      <c r="AO34" s="14">
        <v>0</v>
      </c>
      <c r="AP34" s="13"/>
      <c r="AQ34" s="22">
        <v>585481</v>
      </c>
      <c r="AR34" s="22">
        <f t="shared" si="25"/>
        <v>1090000</v>
      </c>
      <c r="AS34" s="22">
        <v>234978</v>
      </c>
      <c r="AT34" s="22">
        <v>0</v>
      </c>
      <c r="AU34" s="22">
        <v>74276</v>
      </c>
      <c r="AV34" s="22">
        <f t="shared" si="19"/>
        <v>1970000</v>
      </c>
      <c r="AW34" s="22">
        <v>269527</v>
      </c>
      <c r="AX34" s="22">
        <v>0</v>
      </c>
      <c r="AY34" s="22">
        <v>459519</v>
      </c>
      <c r="AZ34" s="22">
        <f t="shared" si="21"/>
        <v>1970000</v>
      </c>
      <c r="BA34" s="22">
        <v>19321</v>
      </c>
      <c r="BB34" s="22">
        <v>0</v>
      </c>
      <c r="BC34" s="22">
        <v>447382</v>
      </c>
      <c r="BD34" s="22">
        <f t="shared" si="23"/>
        <v>2850000</v>
      </c>
      <c r="BE34" s="22">
        <v>124015</v>
      </c>
      <c r="BF34" s="22">
        <v>0</v>
      </c>
      <c r="BG34" s="13"/>
      <c r="BH34" s="7"/>
    </row>
    <row r="35" spans="1:60" ht="19.5" customHeight="1" x14ac:dyDescent="0.25">
      <c r="A35" s="86"/>
      <c r="B35" s="87"/>
      <c r="C35" s="87"/>
      <c r="D35" s="87"/>
      <c r="E35" s="87"/>
      <c r="F35" s="87"/>
      <c r="G35" s="88"/>
      <c r="H35" s="31"/>
      <c r="I35" s="89"/>
      <c r="J35" s="90"/>
      <c r="K35" s="90"/>
      <c r="L35" s="91"/>
      <c r="M35" s="26"/>
      <c r="N35" s="92"/>
      <c r="O35" s="93"/>
      <c r="P35" s="93"/>
      <c r="Q35" s="93"/>
      <c r="R35" s="93"/>
      <c r="S35" s="94"/>
      <c r="T35" s="21"/>
      <c r="U35" s="89"/>
      <c r="V35" s="90"/>
      <c r="W35" s="90"/>
      <c r="X35" s="90"/>
      <c r="Y35" s="90"/>
      <c r="Z35" s="90"/>
      <c r="AA35" s="90"/>
      <c r="AB35" s="90"/>
      <c r="AC35" s="90"/>
      <c r="AD35" s="91"/>
      <c r="AE35" s="21"/>
      <c r="AF35" s="89"/>
      <c r="AG35" s="90"/>
      <c r="AH35" s="90"/>
      <c r="AI35" s="90"/>
      <c r="AJ35" s="90"/>
      <c r="AK35" s="90"/>
      <c r="AL35" s="90"/>
      <c r="AM35" s="90"/>
      <c r="AN35" s="90"/>
      <c r="AO35" s="91"/>
      <c r="AP35" s="21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5"/>
      <c r="BG35" s="21"/>
      <c r="BH35" s="20"/>
    </row>
    <row r="36" spans="1:60" ht="15.75" x14ac:dyDescent="0.25">
      <c r="A36" s="28" t="s">
        <v>13</v>
      </c>
      <c r="B36" s="29"/>
      <c r="C36" s="30">
        <f>SUM(C4:C34)</f>
        <v>135114</v>
      </c>
      <c r="D36" s="29"/>
      <c r="E36" s="30">
        <f t="shared" ref="E36:G36" si="27">SUM(E4:E34)</f>
        <v>288364</v>
      </c>
      <c r="F36" s="29"/>
      <c r="G36" s="30">
        <f t="shared" si="27"/>
        <v>112448</v>
      </c>
      <c r="H36" s="38"/>
      <c r="I36" s="29"/>
      <c r="J36" s="16">
        <f>SUM(J4:J34)</f>
        <v>3839.41</v>
      </c>
      <c r="K36" s="29"/>
      <c r="L36" s="30">
        <f>SUM(L4:L34)</f>
        <v>220.381</v>
      </c>
      <c r="M36" s="39"/>
      <c r="N36" s="29"/>
      <c r="O36" s="44">
        <f>SUM(O4:O34)</f>
        <v>214037.43315508019</v>
      </c>
      <c r="P36" s="29"/>
      <c r="Q36" s="40">
        <f t="shared" ref="Q36" si="28">SUM(Q4:Q35)</f>
        <v>277479</v>
      </c>
      <c r="R36" s="29"/>
      <c r="S36" s="41">
        <f>SUM(S4:S35)</f>
        <v>1798</v>
      </c>
      <c r="T36" s="38"/>
      <c r="U36" s="29"/>
      <c r="V36" s="45">
        <f>SUM(V4:V34)</f>
        <v>11886</v>
      </c>
      <c r="W36" s="29"/>
      <c r="X36" s="45">
        <f>SUM(X4:X34)</f>
        <v>532</v>
      </c>
      <c r="Y36" s="29"/>
      <c r="Z36" s="45">
        <f>SUM(Z4:Z34)</f>
        <v>192</v>
      </c>
      <c r="AA36" s="29"/>
      <c r="AB36" s="45">
        <f>SUM(AB4:AB34)</f>
        <v>94050000</v>
      </c>
      <c r="AC36" s="29"/>
      <c r="AD36" s="45">
        <f>SUM(AD4:AD34)</f>
        <v>43420000</v>
      </c>
      <c r="AE36" s="38"/>
      <c r="AF36" s="29"/>
      <c r="AG36" s="30">
        <f>SUM(AG4:AG34)</f>
        <v>1</v>
      </c>
      <c r="AH36" s="29"/>
      <c r="AI36" s="16">
        <f>SUM(AI4:AI34)</f>
        <v>5161</v>
      </c>
      <c r="AJ36" s="29"/>
      <c r="AK36" s="16">
        <f>SUM(AK4:AK32)</f>
        <v>174828</v>
      </c>
      <c r="AL36" s="29"/>
      <c r="AM36" s="16">
        <f>SUM(AM4:AM34)</f>
        <v>83</v>
      </c>
      <c r="AN36" s="29"/>
      <c r="AO36" s="16">
        <f>SUM(AO4:AO32)</f>
        <v>22374</v>
      </c>
      <c r="AP36" s="38"/>
      <c r="AQ36" s="48"/>
      <c r="AR36" s="22">
        <f>SUM(AR4:AR34)</f>
        <v>43000000</v>
      </c>
      <c r="AS36" s="48"/>
      <c r="AT36" s="22">
        <f t="shared" ref="AT36:BB36" si="29">SUM(AT4:AT34)</f>
        <v>0</v>
      </c>
      <c r="AU36" s="48"/>
      <c r="AV36" s="22">
        <f t="shared" si="29"/>
        <v>30470000</v>
      </c>
      <c r="AW36" s="48"/>
      <c r="AX36" s="22">
        <f t="shared" si="29"/>
        <v>1910000</v>
      </c>
      <c r="AY36" s="48"/>
      <c r="AZ36" s="22">
        <f t="shared" si="29"/>
        <v>41480000</v>
      </c>
      <c r="BA36" s="48"/>
      <c r="BB36" s="22">
        <f t="shared" si="29"/>
        <v>20000</v>
      </c>
      <c r="BC36" s="48"/>
      <c r="BD36" s="22">
        <f>SUM(BD4:BD34)</f>
        <v>82130000</v>
      </c>
      <c r="BE36" s="48"/>
      <c r="BF36" s="22">
        <f>SUM(BF4:BF34)</f>
        <v>0</v>
      </c>
      <c r="BG36" s="21"/>
      <c r="BH36" s="7"/>
    </row>
    <row r="37" spans="1:60" x14ac:dyDescent="0.25">
      <c r="A37" s="22" t="s">
        <v>33</v>
      </c>
      <c r="B37" s="34"/>
      <c r="C37" s="32">
        <v>130550</v>
      </c>
      <c r="D37" s="34"/>
      <c r="E37" s="32">
        <v>278622</v>
      </c>
      <c r="F37" s="34"/>
      <c r="G37" s="32">
        <v>108848</v>
      </c>
      <c r="H37" s="33"/>
      <c r="I37" s="34"/>
      <c r="J37" s="32">
        <v>3482</v>
      </c>
      <c r="K37" s="34"/>
      <c r="L37" s="32">
        <v>212.607</v>
      </c>
      <c r="M37" s="33"/>
      <c r="N37" s="34"/>
      <c r="O37" s="32">
        <v>179679</v>
      </c>
      <c r="P37" s="34"/>
      <c r="Q37" s="32">
        <v>172277</v>
      </c>
      <c r="R37" s="34"/>
      <c r="S37" s="32">
        <v>2020</v>
      </c>
      <c r="T37" s="33"/>
      <c r="U37" s="34"/>
      <c r="V37" s="43">
        <v>11928</v>
      </c>
      <c r="W37" s="34"/>
      <c r="X37" s="43">
        <v>574</v>
      </c>
      <c r="Y37" s="34"/>
      <c r="Z37" s="43">
        <v>421</v>
      </c>
      <c r="AA37" s="47"/>
      <c r="AB37" s="43">
        <v>8035930000</v>
      </c>
      <c r="AC37" s="47"/>
      <c r="AD37" s="43">
        <v>3610670000</v>
      </c>
      <c r="AE37" s="33">
        <v>12241</v>
      </c>
      <c r="AF37" s="34"/>
      <c r="AG37" s="43">
        <v>0</v>
      </c>
      <c r="AH37" s="34"/>
      <c r="AI37" s="43">
        <v>4657</v>
      </c>
      <c r="AJ37" s="34"/>
      <c r="AK37" s="43">
        <v>178679</v>
      </c>
      <c r="AL37" s="34"/>
      <c r="AM37" s="43">
        <v>87</v>
      </c>
      <c r="AN37" s="34"/>
      <c r="AO37" s="43">
        <v>22219</v>
      </c>
      <c r="AP37" s="42"/>
      <c r="AQ37" s="50"/>
      <c r="AR37" s="49">
        <v>5811810000</v>
      </c>
      <c r="AS37" s="50"/>
      <c r="AT37" s="49">
        <v>2349780000</v>
      </c>
      <c r="AU37" s="50"/>
      <c r="AV37" s="49">
        <v>712290000</v>
      </c>
      <c r="AW37" s="50"/>
      <c r="AX37" s="49">
        <v>2693360000</v>
      </c>
      <c r="AY37" s="50"/>
      <c r="AZ37" s="49">
        <v>4553710000</v>
      </c>
      <c r="BA37" s="50"/>
      <c r="BB37" s="49">
        <v>193190000</v>
      </c>
      <c r="BC37" s="50"/>
      <c r="BD37" s="49">
        <v>4391690000</v>
      </c>
      <c r="BE37" s="50"/>
      <c r="BF37" s="49">
        <v>1240150000</v>
      </c>
      <c r="BG37" s="51"/>
      <c r="BH37" s="49"/>
    </row>
    <row r="38" spans="1:60" ht="15.75" x14ac:dyDescent="0.25">
      <c r="A38" s="22" t="s">
        <v>31</v>
      </c>
      <c r="B38" s="23"/>
      <c r="C38" s="7">
        <f>C36-C37</f>
        <v>4564</v>
      </c>
      <c r="D38" s="23"/>
      <c r="E38" s="7">
        <f>E36-E37</f>
        <v>9742</v>
      </c>
      <c r="F38" s="23"/>
      <c r="G38" s="7">
        <f>G36-G37</f>
        <v>3600</v>
      </c>
      <c r="H38" s="13"/>
      <c r="I38" s="23"/>
      <c r="J38" s="14">
        <f>J36-J37</f>
        <v>357.40999999999985</v>
      </c>
      <c r="K38" s="23"/>
      <c r="L38" s="7">
        <f>L36-L37</f>
        <v>7.7740000000000009</v>
      </c>
      <c r="M38" s="13"/>
      <c r="N38" s="23"/>
      <c r="O38" s="7">
        <f>O36-O37</f>
        <v>34358.433155080187</v>
      </c>
      <c r="P38" s="23"/>
      <c r="Q38" s="7">
        <f>Q36-Q37</f>
        <v>105202</v>
      </c>
      <c r="R38" s="23"/>
      <c r="S38" s="14">
        <f>S36-S37</f>
        <v>-222</v>
      </c>
      <c r="T38" s="13"/>
      <c r="U38" s="23"/>
      <c r="V38" s="8">
        <f>V36-V37</f>
        <v>-42</v>
      </c>
      <c r="W38" s="23"/>
      <c r="X38" s="8">
        <f>X36-X37</f>
        <v>-42</v>
      </c>
      <c r="Y38" s="23"/>
      <c r="Z38" s="8">
        <f>Z36-Z37</f>
        <v>-229</v>
      </c>
      <c r="AA38" s="23"/>
      <c r="AB38" s="8">
        <f>AB36-AB37</f>
        <v>-7941880000</v>
      </c>
      <c r="AC38" s="23"/>
      <c r="AD38" s="8">
        <f>AD36-AD37</f>
        <v>-3567250000</v>
      </c>
      <c r="AE38" s="13">
        <f t="shared" ref="AE38" si="30">AE36-AE37</f>
        <v>-12241</v>
      </c>
      <c r="AF38" s="23"/>
      <c r="AG38" s="7">
        <f>AG36-AG37</f>
        <v>1</v>
      </c>
      <c r="AH38" s="23"/>
      <c r="AI38" s="7">
        <f t="shared" ref="AI38:BF38" si="31">AI36-AI37</f>
        <v>504</v>
      </c>
      <c r="AJ38" s="23"/>
      <c r="AK38" s="7">
        <f t="shared" si="31"/>
        <v>-3851</v>
      </c>
      <c r="AL38" s="23"/>
      <c r="AM38" s="7">
        <f t="shared" si="31"/>
        <v>-4</v>
      </c>
      <c r="AN38" s="23"/>
      <c r="AO38" s="7">
        <f t="shared" si="31"/>
        <v>155</v>
      </c>
      <c r="AP38" s="13"/>
      <c r="AQ38" s="23"/>
      <c r="AR38" s="7">
        <f t="shared" si="31"/>
        <v>-5768810000</v>
      </c>
      <c r="AS38" s="23"/>
      <c r="AT38" s="7">
        <f t="shared" si="31"/>
        <v>-2349780000</v>
      </c>
      <c r="AU38" s="23"/>
      <c r="AV38" s="7">
        <f t="shared" si="31"/>
        <v>-681820000</v>
      </c>
      <c r="AW38" s="23"/>
      <c r="AX38" s="7">
        <f t="shared" si="31"/>
        <v>-2691450000</v>
      </c>
      <c r="AY38" s="23"/>
      <c r="AZ38" s="7">
        <f t="shared" si="31"/>
        <v>-4512230000</v>
      </c>
      <c r="BA38" s="23"/>
      <c r="BB38" s="7">
        <f t="shared" si="31"/>
        <v>-193170000</v>
      </c>
      <c r="BC38" s="23"/>
      <c r="BD38" s="7">
        <f t="shared" si="31"/>
        <v>-4309560000</v>
      </c>
      <c r="BE38" s="23"/>
      <c r="BF38" s="7">
        <f t="shared" si="31"/>
        <v>-1240150000</v>
      </c>
      <c r="BG38" s="51"/>
      <c r="BH38" s="49"/>
    </row>
    <row r="39" spans="1:60" x14ac:dyDescent="0.25">
      <c r="A39" s="22" t="s">
        <v>32</v>
      </c>
      <c r="B39" s="37"/>
      <c r="C39" s="35">
        <f>C38/C37</f>
        <v>3.4959785522788202E-2</v>
      </c>
      <c r="D39" s="37"/>
      <c r="E39" s="35">
        <f>E38/E37</f>
        <v>3.4964934570852264E-2</v>
      </c>
      <c r="F39" s="37"/>
      <c r="G39" s="35">
        <f>G38/G37</f>
        <v>3.3073643980596798E-2</v>
      </c>
      <c r="H39" s="36"/>
      <c r="I39" s="37"/>
      <c r="J39" s="35">
        <f>J38/J37</f>
        <v>0.10264503159103959</v>
      </c>
      <c r="K39" s="37"/>
      <c r="L39" s="35">
        <f>L38/L37</f>
        <v>3.6565117799508016E-2</v>
      </c>
      <c r="M39" s="36"/>
      <c r="N39" s="37"/>
      <c r="O39" s="35">
        <f>O38/O37</f>
        <v>0.19122119532655563</v>
      </c>
      <c r="P39" s="37"/>
      <c r="Q39" s="35">
        <f>Q38/Q37</f>
        <v>0.61065609454541236</v>
      </c>
      <c r="R39" s="37"/>
      <c r="S39" s="35">
        <f>S38/S37</f>
        <v>-0.1099009900990099</v>
      </c>
      <c r="T39" s="36"/>
      <c r="U39" s="37"/>
      <c r="V39" s="46">
        <f>V38/V37</f>
        <v>-3.5211267605633804E-3</v>
      </c>
      <c r="W39" s="37"/>
      <c r="X39" s="46">
        <f>X38/X37</f>
        <v>-7.3170731707317069E-2</v>
      </c>
      <c r="Y39" s="37"/>
      <c r="Z39" s="46">
        <f>Z38/Z37</f>
        <v>-0.5439429928741093</v>
      </c>
      <c r="AA39" s="37"/>
      <c r="AB39" s="46">
        <f>AB38/AB37</f>
        <v>-0.98829631417894381</v>
      </c>
      <c r="AC39" s="37"/>
      <c r="AD39" s="46">
        <f>AD38/AD37</f>
        <v>-0.98797453104271504</v>
      </c>
      <c r="AE39" s="36"/>
      <c r="AF39" s="37"/>
      <c r="AG39" s="35" t="e">
        <f>AG38/AG37</f>
        <v>#DIV/0!</v>
      </c>
      <c r="AH39" s="37"/>
      <c r="AI39" s="35">
        <f t="shared" ref="AI39:BF39" si="32">AI38/AI37</f>
        <v>0.10822417865578698</v>
      </c>
      <c r="AJ39" s="37"/>
      <c r="AK39" s="35">
        <f t="shared" si="32"/>
        <v>-2.1552616703697694E-2</v>
      </c>
      <c r="AL39" s="37"/>
      <c r="AM39" s="35">
        <f t="shared" si="32"/>
        <v>-4.5977011494252873E-2</v>
      </c>
      <c r="AN39" s="37"/>
      <c r="AO39" s="35">
        <f t="shared" si="32"/>
        <v>6.9760115216706423E-3</v>
      </c>
      <c r="AP39" s="36"/>
      <c r="AQ39" s="37"/>
      <c r="AR39" s="35">
        <f t="shared" si="32"/>
        <v>-0.9926012722370483</v>
      </c>
      <c r="AS39" s="37"/>
      <c r="AT39" s="35">
        <f t="shared" si="32"/>
        <v>-1</v>
      </c>
      <c r="AU39" s="37"/>
      <c r="AV39" s="35">
        <f t="shared" si="32"/>
        <v>-0.95722247960802487</v>
      </c>
      <c r="AW39" s="37"/>
      <c r="AX39" s="35">
        <f t="shared" si="32"/>
        <v>-0.99929084860545936</v>
      </c>
      <c r="AY39" s="37"/>
      <c r="AZ39" s="35">
        <f t="shared" si="32"/>
        <v>-0.99089094386774734</v>
      </c>
      <c r="BA39" s="37"/>
      <c r="BB39" s="35">
        <f t="shared" si="32"/>
        <v>-0.99989647497282463</v>
      </c>
      <c r="BC39" s="37"/>
      <c r="BD39" s="35">
        <f t="shared" si="32"/>
        <v>-0.98129877108812325</v>
      </c>
      <c r="BE39" s="37"/>
      <c r="BF39" s="35">
        <f t="shared" si="32"/>
        <v>-1</v>
      </c>
      <c r="BG39" s="51"/>
      <c r="BH39" s="49"/>
    </row>
  </sheetData>
  <mergeCells count="6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BH1:BH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</mergeCells>
  <pageMargins left="0" right="0" top="0" bottom="0" header="0" footer="0"/>
  <pageSetup paperSize="5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Four Seasons Hotel Baltimore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>Robin Baugus</cp:lastModifiedBy>
  <cp:revision/>
  <dcterms:created xsi:type="dcterms:W3CDTF">2014-07-01T13:26:04Z</dcterms:created>
  <dcterms:modified xsi:type="dcterms:W3CDTF">2022-05-31T21:34:37Z</dcterms:modified>
  <cp:category/>
  <cp:contentStatus/>
</cp:coreProperties>
</file>