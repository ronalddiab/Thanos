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530"/>
  <workbookPr/>
  <mc:AlternateContent xmlns:mc="http://schemas.openxmlformats.org/markup-compatibility/2006">
    <mc:Choice Requires="x15">
      <x15ac:absPath xmlns:x15ac="http://schemas.microsoft.com/office/spreadsheetml/2010/11/ac" url="C:\Users\Joe El Khoury\Downloads\"/>
    </mc:Choice>
  </mc:AlternateContent>
  <xr:revisionPtr revIDLastSave="0" documentId="8_{64A199AB-25FF-4B31-89D1-956422F267C7}" xr6:coauthVersionLast="46" xr6:coauthVersionMax="46" xr10:uidLastSave="{00000000-0000-0000-0000-000000000000}"/>
  <bookViews>
    <workbookView xWindow="-120" yWindow="-120" windowWidth="20730" windowHeight="11160" tabRatio="193" xr2:uid="{00000000-000D-0000-FFFF-FFFF00000000}"/>
  </bookViews>
  <sheets>
    <sheet name="Sheet1" sheetId="1" r:id="rId1"/>
    <sheet name="Sheet2" sheetId="4" r:id="rId2"/>
    <sheet name="Sheet5" sheetId="7" r:id="rId3"/>
    <sheet name="Sheet4" sheetId="6" r:id="rId4"/>
    <sheet name="Sheet3" sheetId="5" r:id="rId5"/>
  </sheets>
  <calcPr calcId="191028"/>
</workbook>
</file>

<file path=xl/calcChain.xml><?xml version="1.0" encoding="utf-8"?>
<calcChain xmlns="http://schemas.openxmlformats.org/spreadsheetml/2006/main">
  <c r="N3" i="1" l="1"/>
  <c r="N4" i="1"/>
  <c r="N5" i="1"/>
  <c r="N6" i="1"/>
  <c r="N7" i="1"/>
  <c r="N8" i="1"/>
  <c r="N9" i="1"/>
  <c r="N10" i="1"/>
  <c r="N11" i="1"/>
  <c r="N12" i="1"/>
  <c r="N13" i="1"/>
  <c r="N2" i="1"/>
  <c r="J3" i="1"/>
  <c r="J4" i="1"/>
  <c r="J5" i="1"/>
  <c r="J6" i="1"/>
  <c r="J7" i="1"/>
  <c r="J8" i="1"/>
  <c r="J9" i="1"/>
  <c r="J10" i="1"/>
  <c r="J11" i="1"/>
  <c r="J12" i="1"/>
  <c r="J13" i="1"/>
  <c r="J2" i="1"/>
  <c r="F3" i="1"/>
  <c r="F4" i="1"/>
  <c r="F5" i="1"/>
  <c r="F6" i="1"/>
  <c r="F7" i="1"/>
  <c r="F8" i="1"/>
  <c r="F9" i="1"/>
  <c r="F10" i="1"/>
  <c r="F11" i="1"/>
  <c r="F12" i="1"/>
  <c r="F13" i="1"/>
  <c r="F2" i="1"/>
  <c r="T79" i="7"/>
  <c r="S79" i="7"/>
  <c r="R79" i="7"/>
  <c r="U52" i="7"/>
  <c r="T52" i="7"/>
  <c r="R52" i="7"/>
  <c r="U25" i="7"/>
  <c r="T25" i="7"/>
  <c r="S25" i="7"/>
  <c r="R25" i="7"/>
  <c r="E9" i="7"/>
  <c r="F9" i="7"/>
  <c r="G9" i="7"/>
  <c r="H9" i="7"/>
  <c r="I9" i="7"/>
  <c r="J9" i="7"/>
  <c r="K9" i="7"/>
  <c r="L9" i="7"/>
  <c r="M9" i="7"/>
  <c r="N9" i="7"/>
  <c r="O9" i="7"/>
  <c r="D9" i="7"/>
  <c r="D4" i="7"/>
  <c r="D9" i="5"/>
  <c r="D26" i="5"/>
</calcChain>
</file>

<file path=xl/sharedStrings.xml><?xml version="1.0" encoding="utf-8"?>
<sst xmlns="http://schemas.openxmlformats.org/spreadsheetml/2006/main" count="4504" uniqueCount="1766">
  <si>
    <t>Site Name</t>
  </si>
  <si>
    <t>Month</t>
  </si>
  <si>
    <t>Year</t>
  </si>
  <si>
    <t>Purchased Electricity Kwh</t>
  </si>
  <si>
    <t>Purchased Electricity Tariff ($/Kwh)</t>
  </si>
  <si>
    <t xml:space="preserve">Electricity Total Budgeted </t>
  </si>
  <si>
    <t xml:space="preserve">Electricity Total Budgeted Cost ($) </t>
  </si>
  <si>
    <t>Natural Gas Hot-Water Boilers (m3) m3</t>
  </si>
  <si>
    <t>Natural Gas Hot-Water Boilers (m3) $/m3</t>
  </si>
  <si>
    <t xml:space="preserve">Natural Gas Total Budgeted </t>
  </si>
  <si>
    <t xml:space="preserve">Natural Gas Total Budgeted Cost ($) </t>
  </si>
  <si>
    <t>Water Utility Supply (m3) m3</t>
  </si>
  <si>
    <t>Water Utility Supply (m3) $/m3</t>
  </si>
  <si>
    <t>Water Total Budgeted</t>
  </si>
  <si>
    <t>Water Total Budgeted Cost ($)</t>
  </si>
  <si>
    <t xml:space="preserve">Room Nights </t>
  </si>
  <si>
    <t>Forex</t>
  </si>
  <si>
    <t>Cairo at Nile Plaza</t>
  </si>
  <si>
    <t>Saturday</t>
  </si>
  <si>
    <t>1 USD =</t>
  </si>
  <si>
    <t>17.9113 EGP</t>
  </si>
  <si>
    <t>Friday</t>
  </si>
  <si>
    <t>30/11/2018</t>
  </si>
  <si>
    <t>17.9105 EGP</t>
  </si>
  <si>
    <t>Thursday</t>
  </si>
  <si>
    <t>29/11/2018</t>
  </si>
  <si>
    <t>17.9089 EGP</t>
  </si>
  <si>
    <t>Wednesday</t>
  </si>
  <si>
    <t>28/11/2018</t>
  </si>
  <si>
    <t>17.9098 EGP</t>
  </si>
  <si>
    <t>Tuesday</t>
  </si>
  <si>
    <t>27/11/2018</t>
  </si>
  <si>
    <t>17.9373 EGP</t>
  </si>
  <si>
    <t>Monday</t>
  </si>
  <si>
    <t>26/11/2018</t>
  </si>
  <si>
    <t>17.9497 EGP</t>
  </si>
  <si>
    <t>Sunday</t>
  </si>
  <si>
    <t>25/11/2018</t>
  </si>
  <si>
    <t>17.9021 EGP</t>
  </si>
  <si>
    <t>24/11/2018</t>
  </si>
  <si>
    <t>17.892 EGP</t>
  </si>
  <si>
    <t>23/11/2018</t>
  </si>
  <si>
    <t>22/11/2018</t>
  </si>
  <si>
    <t>17.8903 EGP</t>
  </si>
  <si>
    <t>21/11/2018</t>
  </si>
  <si>
    <t>17.9609 EGP</t>
  </si>
  <si>
    <t>20/11/2018</t>
  </si>
  <si>
    <t>17.9133 EGP</t>
  </si>
  <si>
    <t>19/11/2018</t>
  </si>
  <si>
    <t>17.9124 EGP</t>
  </si>
  <si>
    <t>18/11/2018</t>
  </si>
  <si>
    <t>17.7825 EGP</t>
  </si>
  <si>
    <t>17/11/2018</t>
  </si>
  <si>
    <t>17.7679 EGP</t>
  </si>
  <si>
    <t>16/11/2018</t>
  </si>
  <si>
    <t>17.9069 EGP</t>
  </si>
  <si>
    <t>15/11/2018</t>
  </si>
  <si>
    <t>17.9099 EGP</t>
  </si>
  <si>
    <t>14/11/2018</t>
  </si>
  <si>
    <t>17.9148 EGP</t>
  </si>
  <si>
    <t>13/11/2018</t>
  </si>
  <si>
    <t>17.9127 EGP</t>
  </si>
  <si>
    <t>17.9114 EGP</t>
  </si>
  <si>
    <t>17.8591 EGP</t>
  </si>
  <si>
    <t>17.8373 EGP</t>
  </si>
  <si>
    <t>17.837 EGP</t>
  </si>
  <si>
    <t>17.9034 EGP</t>
  </si>
  <si>
    <t>17.9075 EGP</t>
  </si>
  <si>
    <t>17.926 EGP</t>
  </si>
  <si>
    <t>17.9092 EGP</t>
  </si>
  <si>
    <t>17.891 EGP</t>
  </si>
  <si>
    <t>31/10/2018</t>
  </si>
  <si>
    <t>17.9103 EGP</t>
  </si>
  <si>
    <t>30/10/2018</t>
  </si>
  <si>
    <t>17.9028 EGP</t>
  </si>
  <si>
    <t>29/10/2018</t>
  </si>
  <si>
    <t>17.9147 EGP</t>
  </si>
  <si>
    <t>28/10/2018</t>
  </si>
  <si>
    <t>17.916 EGP</t>
  </si>
  <si>
    <t>27/10/2018</t>
  </si>
  <si>
    <t>17.8755 EGP</t>
  </si>
  <si>
    <t>26/10/2018</t>
  </si>
  <si>
    <t>17.875 EGP</t>
  </si>
  <si>
    <t>25/10/2018</t>
  </si>
  <si>
    <t>17.9097 EGP</t>
  </si>
  <si>
    <t>24/10/2018</t>
  </si>
  <si>
    <t>17.909 EGP</t>
  </si>
  <si>
    <t>23/10/2018</t>
  </si>
  <si>
    <t>17.9135 EGP</t>
  </si>
  <si>
    <t>22/10/2018</t>
  </si>
  <si>
    <t>21/10/2018</t>
  </si>
  <si>
    <t>17.9188 EGP</t>
  </si>
  <si>
    <t>20/10/2018</t>
  </si>
  <si>
    <t>17.8914 EGP</t>
  </si>
  <si>
    <t>19/10/2018</t>
  </si>
  <si>
    <t>18/10/2018</t>
  </si>
  <si>
    <t>17.9091 EGP</t>
  </si>
  <si>
    <t>17/10/2018</t>
  </si>
  <si>
    <t>17.9035 EGP</t>
  </si>
  <si>
    <t>16/10/2018</t>
  </si>
  <si>
    <t>15/10/2018</t>
  </si>
  <si>
    <t>14/10/2018</t>
  </si>
  <si>
    <t>17.9434 EGP</t>
  </si>
  <si>
    <t>13/10/2018</t>
  </si>
  <si>
    <t>17.906 EGP</t>
  </si>
  <si>
    <t>17.9087 EGP</t>
  </si>
  <si>
    <t>17.908 EGP</t>
  </si>
  <si>
    <t>17.9063 EGP</t>
  </si>
  <si>
    <t>17.8832 EGP</t>
  </si>
  <si>
    <t>17.8705 EGP</t>
  </si>
  <si>
    <t>17.889 EGP</t>
  </si>
  <si>
    <t>17.9076 EGP</t>
  </si>
  <si>
    <t>17.9079 EGP</t>
  </si>
  <si>
    <t>17.9137 EGP</t>
  </si>
  <si>
    <t>30/09/2018</t>
  </si>
  <si>
    <t>17.838 EGP</t>
  </si>
  <si>
    <t>29/09/2018</t>
  </si>
  <si>
    <t>17.8125 EGP</t>
  </si>
  <si>
    <t>28/09/2018</t>
  </si>
  <si>
    <t>27/09/2018</t>
  </si>
  <si>
    <t>17.9187 EGP</t>
  </si>
  <si>
    <t>26/09/2018</t>
  </si>
  <si>
    <t>17.9084 EGP</t>
  </si>
  <si>
    <t>25/09/2018</t>
  </si>
  <si>
    <t>17.9176 EGP</t>
  </si>
  <si>
    <t>24/09/2018</t>
  </si>
  <si>
    <t>17.9141 EGP</t>
  </si>
  <si>
    <t>23/09/2018</t>
  </si>
  <si>
    <t>17.9206 EGP</t>
  </si>
  <si>
    <t>22/09/2018</t>
  </si>
  <si>
    <t>17.888 EGP</t>
  </si>
  <si>
    <t>21/09/2018</t>
  </si>
  <si>
    <t>20/09/2018</t>
  </si>
  <si>
    <t>19/09/2018</t>
  </si>
  <si>
    <t>17.8996 EGP</t>
  </si>
  <si>
    <t>18/09/2018</t>
  </si>
  <si>
    <t>17.9072 EGP</t>
  </si>
  <si>
    <t>17/09/2018</t>
  </si>
  <si>
    <t>17.9197 EGP</t>
  </si>
  <si>
    <t>16/09/2018</t>
  </si>
  <si>
    <t>15/09/2018</t>
  </si>
  <si>
    <t>17.9014 EGP</t>
  </si>
  <si>
    <t>14/09/2018</t>
  </si>
  <si>
    <t>13/09/2018</t>
  </si>
  <si>
    <t>17.9083 EGP</t>
  </si>
  <si>
    <t>17.8363 EGP</t>
  </si>
  <si>
    <t>17.8411 EGP</t>
  </si>
  <si>
    <t>17.8875 EGP</t>
  </si>
  <si>
    <t>17.8683 EGP</t>
  </si>
  <si>
    <t>17.8681 EGP</t>
  </si>
  <si>
    <t>17.89 EGP</t>
  </si>
  <si>
    <t>17.9116 EGP</t>
  </si>
  <si>
    <t>17.9419 EGP</t>
  </si>
  <si>
    <t>17.8299 EGP</t>
  </si>
  <si>
    <t>17.7975 EGP</t>
  </si>
  <si>
    <t>31/08/2018</t>
  </si>
  <si>
    <t>30/08/2018</t>
  </si>
  <si>
    <t>17.8315 EGP</t>
  </si>
  <si>
    <t>29/08/2018</t>
  </si>
  <si>
    <t>17.8889 EGP</t>
  </si>
  <si>
    <t>28/08/2018</t>
  </si>
  <si>
    <t>17.8983 EGP</t>
  </si>
  <si>
    <t>27/08/2018</t>
  </si>
  <si>
    <t>17.8974 EGP</t>
  </si>
  <si>
    <t>26/08/2018</t>
  </si>
  <si>
    <t>17.8635 EGP</t>
  </si>
  <si>
    <t>25/08/2018</t>
  </si>
  <si>
    <t>17.8546 EGP</t>
  </si>
  <si>
    <t>24/08/2018</t>
  </si>
  <si>
    <t>23/08/2018</t>
  </si>
  <si>
    <t>17.8636 EGP</t>
  </si>
  <si>
    <t>22/08/2018</t>
  </si>
  <si>
    <t>17.867 EGP</t>
  </si>
  <si>
    <t>21/08/2018</t>
  </si>
  <si>
    <t>17.8739 EGP</t>
  </si>
  <si>
    <t>20/08/2018</t>
  </si>
  <si>
    <t>19/08/2018</t>
  </si>
  <si>
    <t>17.8985 EGP</t>
  </si>
  <si>
    <t>18/08/2018</t>
  </si>
  <si>
    <t>17.879 EGP</t>
  </si>
  <si>
    <t>17/08/2018</t>
  </si>
  <si>
    <t>16/08/2018</t>
  </si>
  <si>
    <t>17.9 EGP</t>
  </si>
  <si>
    <t>15/08/2018</t>
  </si>
  <si>
    <t>17.895 EGP</t>
  </si>
  <si>
    <t>14/08/2018</t>
  </si>
  <si>
    <t>13/08/2018</t>
  </si>
  <si>
    <t>17.8788 EGP</t>
  </si>
  <si>
    <t>17.841 EGP</t>
  </si>
  <si>
    <t>17.8703 EGP</t>
  </si>
  <si>
    <t>17.8698 EGP</t>
  </si>
  <si>
    <t>17.8775 EGP</t>
  </si>
  <si>
    <t>17.8771 EGP</t>
  </si>
  <si>
    <t>17.8795 EGP</t>
  </si>
  <si>
    <t>17.8545 EGP</t>
  </si>
  <si>
    <t>17.8735 EGP</t>
  </si>
  <si>
    <t>17.8791 EGP</t>
  </si>
  <si>
    <t>31/07/2018</t>
  </si>
  <si>
    <t>17.8695 EGP</t>
  </si>
  <si>
    <t>30/07/2018</t>
  </si>
  <si>
    <t>17.8991 EGP</t>
  </si>
  <si>
    <t>29/07/2018</t>
  </si>
  <si>
    <t>17.8258 EGP</t>
  </si>
  <si>
    <t>28/07/2018</t>
  </si>
  <si>
    <t>17.806 EGP</t>
  </si>
  <si>
    <t>27/07/2018</t>
  </si>
  <si>
    <t>26/07/2018</t>
  </si>
  <si>
    <t>17.9001 EGP</t>
  </si>
  <si>
    <t>25/07/2018</t>
  </si>
  <si>
    <t>24/07/2018</t>
  </si>
  <si>
    <t>17.9023 EGP</t>
  </si>
  <si>
    <t>23/07/2018</t>
  </si>
  <si>
    <t>22/07/2018</t>
  </si>
  <si>
    <t>17.8812 EGP</t>
  </si>
  <si>
    <t>21/07/2018</t>
  </si>
  <si>
    <t>20/07/2018</t>
  </si>
  <si>
    <t>17.885 EGP</t>
  </si>
  <si>
    <t>19/07/2018</t>
  </si>
  <si>
    <t>17.8986 EGP</t>
  </si>
  <si>
    <t>18/07/2018</t>
  </si>
  <si>
    <t>17.9015 EGP</t>
  </si>
  <si>
    <t>17/07/2018</t>
  </si>
  <si>
    <t>17.8948 EGP</t>
  </si>
  <si>
    <t>16/07/2018</t>
  </si>
  <si>
    <t>17.8987 EGP</t>
  </si>
  <si>
    <t>15/07/2018</t>
  </si>
  <si>
    <t>17.8933 EGP</t>
  </si>
  <si>
    <t>14/07/2018</t>
  </si>
  <si>
    <t>17.8662 EGP</t>
  </si>
  <si>
    <t>13/07/2018</t>
  </si>
  <si>
    <t>17.8668 EGP</t>
  </si>
  <si>
    <t>17.8938 EGP</t>
  </si>
  <si>
    <t>17.9007 EGP</t>
  </si>
  <si>
    <t>17.915 EGP</t>
  </si>
  <si>
    <t>17.8734 EGP</t>
  </si>
  <si>
    <t>17.869 EGP</t>
  </si>
  <si>
    <t>17.8893 EGP</t>
  </si>
  <si>
    <t>17.8905 EGP</t>
  </si>
  <si>
    <t>17.9065 EGP</t>
  </si>
  <si>
    <t>30/06/2018</t>
  </si>
  <si>
    <t>17.8622 EGP</t>
  </si>
  <si>
    <t>29/06/2018</t>
  </si>
  <si>
    <t>17.8629 EGP</t>
  </si>
  <si>
    <t>28/06/2018</t>
  </si>
  <si>
    <t>17.8884 EGP</t>
  </si>
  <si>
    <t>27/06/2018</t>
  </si>
  <si>
    <t>17.8918 EGP</t>
  </si>
  <si>
    <t>26/06/2018</t>
  </si>
  <si>
    <t>17.8923 EGP</t>
  </si>
  <si>
    <t>25/06/2018</t>
  </si>
  <si>
    <t>17.8949 EGP</t>
  </si>
  <si>
    <t>24/06/2018</t>
  </si>
  <si>
    <t>17.8479 EGP</t>
  </si>
  <si>
    <t>23/06/2018</t>
  </si>
  <si>
    <t>17.8507 EGP</t>
  </si>
  <si>
    <t>22/06/2018</t>
  </si>
  <si>
    <t>21/06/2018</t>
  </si>
  <si>
    <t>17.8689 EGP</t>
  </si>
  <si>
    <t>20/06/2018</t>
  </si>
  <si>
    <t>17.8874 EGP</t>
  </si>
  <si>
    <t>19/06/2018</t>
  </si>
  <si>
    <t>17.8797 EGP</t>
  </si>
  <si>
    <t>18/06/2018</t>
  </si>
  <si>
    <t>17.8476 EGP</t>
  </si>
  <si>
    <t>17/06/2018</t>
  </si>
  <si>
    <t>17.8675 EGP</t>
  </si>
  <si>
    <t>16/06/2018</t>
  </si>
  <si>
    <t>17.8294 EGP</t>
  </si>
  <si>
    <t>15/06/2018</t>
  </si>
  <si>
    <t>14/06/2018</t>
  </si>
  <si>
    <t>17.849 EGP</t>
  </si>
  <si>
    <t>13/06/2018</t>
  </si>
  <si>
    <t>17.8831 EGP</t>
  </si>
  <si>
    <t>17.8639 EGP</t>
  </si>
  <si>
    <t>17.8307 EGP</t>
  </si>
  <si>
    <t>17.7955 EGP</t>
  </si>
  <si>
    <t>17.8493 EGP</t>
  </si>
  <si>
    <t>17.8318 EGP</t>
  </si>
  <si>
    <t>17.847 EGP</t>
  </si>
  <si>
    <t>17.8663 EGP</t>
  </si>
  <si>
    <t>17.8943 EGP</t>
  </si>
  <si>
    <t>17.8865 EGP</t>
  </si>
  <si>
    <t>17.8864 EGP</t>
  </si>
  <si>
    <t>31/05/2018</t>
  </si>
  <si>
    <t>17.8941 EGP</t>
  </si>
  <si>
    <t>30/05/2018</t>
  </si>
  <si>
    <t>17.9216 EGP</t>
  </si>
  <si>
    <t>29/05/2018</t>
  </si>
  <si>
    <t>17.9171 EGP</t>
  </si>
  <si>
    <t>28/05/2018</t>
  </si>
  <si>
    <t>27/05/2018</t>
  </si>
  <si>
    <t>17.8625 EGP</t>
  </si>
  <si>
    <t>26/05/2018</t>
  </si>
  <si>
    <t>25/05/2018</t>
  </si>
  <si>
    <t>24/05/2018</t>
  </si>
  <si>
    <t>17.9192 EGP</t>
  </si>
  <si>
    <t>23/05/2018</t>
  </si>
  <si>
    <t>22/05/2018</t>
  </si>
  <si>
    <t>21/05/2018</t>
  </si>
  <si>
    <t>20/05/2018</t>
  </si>
  <si>
    <t>17.8336 EGP</t>
  </si>
  <si>
    <t>19/05/2018</t>
  </si>
  <si>
    <t>17.7763 EGP</t>
  </si>
  <si>
    <t>18/05/2018</t>
  </si>
  <si>
    <t>17.7769 EGP</t>
  </si>
  <si>
    <t>17/05/2018</t>
  </si>
  <si>
    <t>17.81 EGP</t>
  </si>
  <si>
    <t>16/05/2018</t>
  </si>
  <si>
    <t>17.8793 EGP</t>
  </si>
  <si>
    <t>15/05/2018</t>
  </si>
  <si>
    <t>17.827 EGP</t>
  </si>
  <si>
    <t>14/05/2018</t>
  </si>
  <si>
    <t>13/05/2018</t>
  </si>
  <si>
    <t>17.6946 EGP</t>
  </si>
  <si>
    <t>17.6725 EGP</t>
  </si>
  <si>
    <t>17.673 EGP</t>
  </si>
  <si>
    <t>17.697 EGP</t>
  </si>
  <si>
    <t>17.774 EGP</t>
  </si>
  <si>
    <t>17.7125 EGP</t>
  </si>
  <si>
    <t>17.71 EGP</t>
  </si>
  <si>
    <t>17.6349 EGP</t>
  </si>
  <si>
    <t>17.6099 EGP</t>
  </si>
  <si>
    <t>17.6101 EGP</t>
  </si>
  <si>
    <t>17.6295 EGP</t>
  </si>
  <si>
    <t>17.6444 EGP</t>
  </si>
  <si>
    <t>17.7875 EGP</t>
  </si>
  <si>
    <t>30/04/2018</t>
  </si>
  <si>
    <t>17.6563 EGP</t>
  </si>
  <si>
    <t>29/04/2018</t>
  </si>
  <si>
    <t>17.7098 EGP</t>
  </si>
  <si>
    <t>28/04/2018</t>
  </si>
  <si>
    <t>17.672 EGP</t>
  </si>
  <si>
    <t>27/04/2018</t>
  </si>
  <si>
    <t>26/04/2018</t>
  </si>
  <si>
    <t>17.696 EGP</t>
  </si>
  <si>
    <t>25/04/2018</t>
  </si>
  <si>
    <t>17.704 EGP</t>
  </si>
  <si>
    <t>24/04/2018</t>
  </si>
  <si>
    <t>17.7041 EGP</t>
  </si>
  <si>
    <t>23/04/2018</t>
  </si>
  <si>
    <t>17.6853 EGP</t>
  </si>
  <si>
    <t>22/04/2018</t>
  </si>
  <si>
    <t>17.7226 EGP</t>
  </si>
  <si>
    <t>21/04/2018</t>
  </si>
  <si>
    <t>17.6774 EGP</t>
  </si>
  <si>
    <t>20/04/2018</t>
  </si>
  <si>
    <t>17.678 EGP</t>
  </si>
  <si>
    <t>19/04/2018</t>
  </si>
  <si>
    <t>17.6816 EGP</t>
  </si>
  <si>
    <t>18/04/2018</t>
  </si>
  <si>
    <t>17.6969 EGP</t>
  </si>
  <si>
    <t>17/04/2018</t>
  </si>
  <si>
    <t>16/04/2018</t>
  </si>
  <si>
    <t>17.701 EGP</t>
  </si>
  <si>
    <t>15/04/2018</t>
  </si>
  <si>
    <t>17.6141 EGP</t>
  </si>
  <si>
    <t>14/04/2018</t>
  </si>
  <si>
    <t>17.588 EGP</t>
  </si>
  <si>
    <t>13/04/2018</t>
  </si>
  <si>
    <t>17.6072 EGP</t>
  </si>
  <si>
    <t>17.649 EGP</t>
  </si>
  <si>
    <t>17.6789 EGP</t>
  </si>
  <si>
    <t>17.6841 EGP</t>
  </si>
  <si>
    <t>17.6913 EGP</t>
  </si>
  <si>
    <t>17.6591 EGP</t>
  </si>
  <si>
    <t>17.6586 EGP</t>
  </si>
  <si>
    <t>17.6855 EGP</t>
  </si>
  <si>
    <t>17.6901 EGP</t>
  </si>
  <si>
    <t>17.6005 EGP</t>
  </si>
  <si>
    <t>17.6943 EGP</t>
  </si>
  <si>
    <t>17.6091 EGP</t>
  </si>
  <si>
    <t>31/03/2018</t>
  </si>
  <si>
    <t>17.6495 EGP</t>
  </si>
  <si>
    <t>30/03/2018</t>
  </si>
  <si>
    <t>29/03/2018</t>
  </si>
  <si>
    <t>17.6269 EGP</t>
  </si>
  <si>
    <t>28/03/2018</t>
  </si>
  <si>
    <t>17.6485 EGP</t>
  </si>
  <si>
    <t>27/03/2018</t>
  </si>
  <si>
    <t>17.6384 EGP</t>
  </si>
  <si>
    <t>26/03/2018</t>
  </si>
  <si>
    <t>17.6525 EGP</t>
  </si>
  <si>
    <t>25/03/2018</t>
  </si>
  <si>
    <t>17.608 EGP</t>
  </si>
  <si>
    <t>24/03/2018</t>
  </si>
  <si>
    <t>17.619 EGP</t>
  </si>
  <si>
    <t>23/03/2018</t>
  </si>
  <si>
    <t>17.6191 EGP</t>
  </si>
  <si>
    <t>22/03/2018</t>
  </si>
  <si>
    <t>17.624 EGP</t>
  </si>
  <si>
    <t>21/03/2018</t>
  </si>
  <si>
    <t>17.63 EGP</t>
  </si>
  <si>
    <t>20/03/2018</t>
  </si>
  <si>
    <t>17.6296 EGP</t>
  </si>
  <si>
    <t>19/03/2018</t>
  </si>
  <si>
    <t>17.6287 EGP</t>
  </si>
  <si>
    <t>18/03/2018</t>
  </si>
  <si>
    <t>17.596 EGP</t>
  </si>
  <si>
    <t>17/03/2018</t>
  </si>
  <si>
    <t>17.574 EGP</t>
  </si>
  <si>
    <t>16/03/2018</t>
  </si>
  <si>
    <t>15/03/2018</t>
  </si>
  <si>
    <t>17.6136 EGP</t>
  </si>
  <si>
    <t>14/03/2018</t>
  </si>
  <si>
    <t>17.6301 EGP</t>
  </si>
  <si>
    <t>13/03/2018</t>
  </si>
  <si>
    <t>17.6335 EGP</t>
  </si>
  <si>
    <t>17.6292 EGP</t>
  </si>
  <si>
    <t>17.6149 EGP</t>
  </si>
  <si>
    <t>17.613 EGP</t>
  </si>
  <si>
    <t>17.6286 EGP</t>
  </si>
  <si>
    <t>17.6361 EGP</t>
  </si>
  <si>
    <t>17.6184 EGP</t>
  </si>
  <si>
    <t>17.6475 EGP</t>
  </si>
  <si>
    <t>17.6407 EGP</t>
  </si>
  <si>
    <t>17.641 EGP</t>
  </si>
  <si>
    <t>17.6417 EGP</t>
  </si>
  <si>
    <t>28/02/2018</t>
  </si>
  <si>
    <t>17.661 EGP</t>
  </si>
  <si>
    <t>27/02/2018</t>
  </si>
  <si>
    <t>17.6405 EGP</t>
  </si>
  <si>
    <t>26/02/2018</t>
  </si>
  <si>
    <t>17.657 EGP</t>
  </si>
  <si>
    <t>25/02/2018</t>
  </si>
  <si>
    <t>17.7023 EGP</t>
  </si>
  <si>
    <t>24/02/2018</t>
  </si>
  <si>
    <t>17.6881 EGP</t>
  </si>
  <si>
    <t>23/02/2018</t>
  </si>
  <si>
    <t>17.6885 EGP</t>
  </si>
  <si>
    <t>22/02/2018</t>
  </si>
  <si>
    <t>17.6956 EGP</t>
  </si>
  <si>
    <t>21/02/2018</t>
  </si>
  <si>
    <t>17.699 EGP</t>
  </si>
  <si>
    <t>20/02/2018</t>
  </si>
  <si>
    <t>19/02/2018</t>
  </si>
  <si>
    <t>17.6457 EGP</t>
  </si>
  <si>
    <t>18/02/2018</t>
  </si>
  <si>
    <t>17/02/2018</t>
  </si>
  <si>
    <t>17.648 EGP</t>
  </si>
  <si>
    <t>16/02/2018</t>
  </si>
  <si>
    <t>17.6479 EGP</t>
  </si>
  <si>
    <t>15/02/2018</t>
  </si>
  <si>
    <t>17.6501 EGP</t>
  </si>
  <si>
    <t>14/02/2018</t>
  </si>
  <si>
    <t>17.7075 EGP</t>
  </si>
  <si>
    <t>13/02/2018</t>
  </si>
  <si>
    <t>17.7091 EGP</t>
  </si>
  <si>
    <t>17.712 EGP</t>
  </si>
  <si>
    <t>17.666 EGP</t>
  </si>
  <si>
    <t>17.6705 EGP</t>
  </si>
  <si>
    <t>17.6679 EGP</t>
  </si>
  <si>
    <t>17.6512 EGP</t>
  </si>
  <si>
    <t>17.6702 EGP</t>
  </si>
  <si>
    <t>17.6627 EGP</t>
  </si>
  <si>
    <t>17.643 EGP</t>
  </si>
  <si>
    <t>17.6429 EGP</t>
  </si>
  <si>
    <t>17.6433 EGP</t>
  </si>
  <si>
    <t>31/01/2018</t>
  </si>
  <si>
    <t>17.6809 EGP</t>
  </si>
  <si>
    <t>30/01/2018</t>
  </si>
  <si>
    <t>17.6428 EGP</t>
  </si>
  <si>
    <t>29/01/2018</t>
  </si>
  <si>
    <t>17.6802 EGP</t>
  </si>
  <si>
    <t>28/01/2018</t>
  </si>
  <si>
    <t>17.686 EGP</t>
  </si>
  <si>
    <t>27/01/2018</t>
  </si>
  <si>
    <t>17.6815 EGP</t>
  </si>
  <si>
    <t>26/01/2018</t>
  </si>
  <si>
    <t>25/01/2018</t>
  </si>
  <si>
    <t>17.6875 EGP</t>
  </si>
  <si>
    <t>24/01/2018</t>
  </si>
  <si>
    <t>17.6931 EGP</t>
  </si>
  <si>
    <t>23/01/2018</t>
  </si>
  <si>
    <t>17.7215 EGP</t>
  </si>
  <si>
    <t>22/01/2018</t>
  </si>
  <si>
    <t>17.7089 EGP</t>
  </si>
  <si>
    <t>21/01/2018</t>
  </si>
  <si>
    <t>17.6755 EGP</t>
  </si>
  <si>
    <t>20/01/2018</t>
  </si>
  <si>
    <t>17.7165 EGP</t>
  </si>
  <si>
    <t>19/01/2018</t>
  </si>
  <si>
    <t>18/01/2018</t>
  </si>
  <si>
    <t>17/01/2018</t>
  </si>
  <si>
    <t>17.7181 EGP</t>
  </si>
  <si>
    <t>16/01/2018</t>
  </si>
  <si>
    <t>17.7325 EGP</t>
  </si>
  <si>
    <t>15/01/2018</t>
  </si>
  <si>
    <t>17.7342 EGP</t>
  </si>
  <si>
    <t>14/01/2018</t>
  </si>
  <si>
    <t>17.6958 EGP</t>
  </si>
  <si>
    <t>13/01/2018</t>
  </si>
  <si>
    <t>17.6862 EGP</t>
  </si>
  <si>
    <t>17.7026 EGP</t>
  </si>
  <si>
    <t>17.7115 EGP</t>
  </si>
  <si>
    <t>17.6721 EGP</t>
  </si>
  <si>
    <t>17.6573 EGP</t>
  </si>
  <si>
    <t>17.7035 EGP</t>
  </si>
  <si>
    <t>17.7105 EGP</t>
  </si>
  <si>
    <t>17.7099 EGP</t>
  </si>
  <si>
    <t>17.7154 EGP</t>
  </si>
  <si>
    <t>17.7378 EGP</t>
  </si>
  <si>
    <t>17.7585 EGP</t>
  </si>
  <si>
    <t>31/12/2017</t>
  </si>
  <si>
    <t>17.7718 EGP</t>
  </si>
  <si>
    <t>30/12/2017</t>
  </si>
  <si>
    <t>17.7784 EGP</t>
  </si>
  <si>
    <t>29/12/2017</t>
  </si>
  <si>
    <t>17.7693 EGP</t>
  </si>
  <si>
    <t>28/12/2017</t>
  </si>
  <si>
    <t>17.7707 EGP</t>
  </si>
  <si>
    <t>27/12/2017</t>
  </si>
  <si>
    <t>17.84 EGP</t>
  </si>
  <si>
    <t>26/12/2017</t>
  </si>
  <si>
    <t>17.8259 EGP</t>
  </si>
  <si>
    <t>25/12/2017</t>
  </si>
  <si>
    <t>17.845 EGP</t>
  </si>
  <si>
    <t>24/12/2017</t>
  </si>
  <si>
    <t>17.8692 EGP</t>
  </si>
  <si>
    <t>23/12/2017</t>
  </si>
  <si>
    <t>17.863 EGP</t>
  </si>
  <si>
    <t>22/12/2017</t>
  </si>
  <si>
    <t>17.859 EGP</t>
  </si>
  <si>
    <t>21/12/2017</t>
  </si>
  <si>
    <t>17.862 EGP</t>
  </si>
  <si>
    <t>20/12/2017</t>
  </si>
  <si>
    <t>17.8727 EGP</t>
  </si>
  <si>
    <t>19/12/2017</t>
  </si>
  <si>
    <t>17.857 EGP</t>
  </si>
  <si>
    <t>18/12/2017</t>
  </si>
  <si>
    <t>17.825 EGP</t>
  </si>
  <si>
    <t>17/12/2017</t>
  </si>
  <si>
    <t>17.8823 EGP</t>
  </si>
  <si>
    <t>16/12/2017</t>
  </si>
  <si>
    <t>17.8719 EGP</t>
  </si>
  <si>
    <t>15/12/2017</t>
  </si>
  <si>
    <t>14/12/2017</t>
  </si>
  <si>
    <t>17.8643 EGP</t>
  </si>
  <si>
    <t>13/12/2017</t>
  </si>
  <si>
    <t>17.8737 EGP</t>
  </si>
  <si>
    <t>17.8512 EGP</t>
  </si>
  <si>
    <t>17.8244 EGP</t>
  </si>
  <si>
    <t>17.7953 EGP</t>
  </si>
  <si>
    <t>17.7989 EGP</t>
  </si>
  <si>
    <t>17.8 EGP</t>
  </si>
  <si>
    <t>17.8012 EGP</t>
  </si>
  <si>
    <t>17.7895 EGP</t>
  </si>
  <si>
    <t>17.7656 EGP</t>
  </si>
  <si>
    <t>17.7208 EGP</t>
  </si>
  <si>
    <t>17.6726 EGP</t>
  </si>
  <si>
    <t>30/11/2017</t>
  </si>
  <si>
    <t>17.6882 EGP</t>
  </si>
  <si>
    <t>29/11/2017</t>
  </si>
  <si>
    <t>28/11/2017</t>
  </si>
  <si>
    <t>17.7653 EGP</t>
  </si>
  <si>
    <t>27/11/2017</t>
  </si>
  <si>
    <t>17.7336 EGP</t>
  </si>
  <si>
    <t>26/11/2017</t>
  </si>
  <si>
    <t>17.6944 EGP</t>
  </si>
  <si>
    <t>25/11/2017</t>
  </si>
  <si>
    <t>24/11/2017</t>
  </si>
  <si>
    <t>17.6883 EGP</t>
  </si>
  <si>
    <t>23/11/2017</t>
  </si>
  <si>
    <t>17.6925 EGP</t>
  </si>
  <si>
    <t>22/11/2017</t>
  </si>
  <si>
    <t>21/11/2017</t>
  </si>
  <si>
    <t>17.6549 EGP</t>
  </si>
  <si>
    <t>20/11/2017</t>
  </si>
  <si>
    <t>17.6491 EGP</t>
  </si>
  <si>
    <t>19/11/2017</t>
  </si>
  <si>
    <t>17.7243 EGP</t>
  </si>
  <si>
    <t>18/11/2017</t>
  </si>
  <si>
    <t>17.645 EGP</t>
  </si>
  <si>
    <t>17/11/2017</t>
  </si>
  <si>
    <t>16/11/2017</t>
  </si>
  <si>
    <t>17.6353 EGP</t>
  </si>
  <si>
    <t>15/11/2017</t>
  </si>
  <si>
    <t>17.6615 EGP</t>
  </si>
  <si>
    <t>14/11/2017</t>
  </si>
  <si>
    <t>17.6579 EGP</t>
  </si>
  <si>
    <t>13/11/2017</t>
  </si>
  <si>
    <t>17.6325 EGP</t>
  </si>
  <si>
    <t>17.5487 EGP</t>
  </si>
  <si>
    <t>17.6369 EGP</t>
  </si>
  <si>
    <t>17.6451 EGP</t>
  </si>
  <si>
    <t>17.6456 EGP</t>
  </si>
  <si>
    <t>17.6418 EGP</t>
  </si>
  <si>
    <t>17.6466 EGP</t>
  </si>
  <si>
    <t>17.6352 EGP</t>
  </si>
  <si>
    <t>17.6532 EGP</t>
  </si>
  <si>
    <t>17.6497 EGP</t>
  </si>
  <si>
    <t>31/10/2017</t>
  </si>
  <si>
    <t>17.6535 EGP</t>
  </si>
  <si>
    <t>30/10/2017</t>
  </si>
  <si>
    <t>29/10/2017</t>
  </si>
  <si>
    <t>17.6604 EGP</t>
  </si>
  <si>
    <t>28/10/2017</t>
  </si>
  <si>
    <t>17.6552 EGP</t>
  </si>
  <si>
    <t>27/10/2017</t>
  </si>
  <si>
    <t>26/10/2017</t>
  </si>
  <si>
    <t>17.6648 EGP</t>
  </si>
  <si>
    <t>25/10/2017</t>
  </si>
  <si>
    <t>17.6496 EGP</t>
  </si>
  <si>
    <t>24/10/2017</t>
  </si>
  <si>
    <t>23/10/2017</t>
  </si>
  <si>
    <t>17.6437 EGP</t>
  </si>
  <si>
    <t>22/10/2017</t>
  </si>
  <si>
    <t>21/10/2017</t>
  </si>
  <si>
    <t>20/10/2017</t>
  </si>
  <si>
    <t>17.6476 EGP</t>
  </si>
  <si>
    <t>19/10/2017</t>
  </si>
  <si>
    <t>17.636 EGP</t>
  </si>
  <si>
    <t>18/10/2017</t>
  </si>
  <si>
    <t>17/10/2017</t>
  </si>
  <si>
    <t>17.6468 EGP</t>
  </si>
  <si>
    <t>16/10/2017</t>
  </si>
  <si>
    <t>17.6299 EGP</t>
  </si>
  <si>
    <t>15/10/2017</t>
  </si>
  <si>
    <t>17.6414 EGP</t>
  </si>
  <si>
    <t>14/10/2017</t>
  </si>
  <si>
    <t>17.6268 EGP</t>
  </si>
  <si>
    <t>13/10/2017</t>
  </si>
  <si>
    <t>17.6276 EGP</t>
  </si>
  <si>
    <t>17.6199 EGP</t>
  </si>
  <si>
    <t>17.617 EGP</t>
  </si>
  <si>
    <t>17.6123 EGP</t>
  </si>
  <si>
    <t>17.6134 EGP</t>
  </si>
  <si>
    <t>17.6692 EGP</t>
  </si>
  <si>
    <t>17.6791 EGP</t>
  </si>
  <si>
    <t>17.6835 EGP</t>
  </si>
  <si>
    <t>17.6715 EGP</t>
  </si>
  <si>
    <t>17.6315 EGP</t>
  </si>
  <si>
    <t>17.6363 EGP</t>
  </si>
  <si>
    <t>17.6448 EGP</t>
  </si>
  <si>
    <t>30/09/2017</t>
  </si>
  <si>
    <t>17.6381 EGP</t>
  </si>
  <si>
    <t>29/09/2017</t>
  </si>
  <si>
    <t>28/09/2017</t>
  </si>
  <si>
    <t>17.6392 EGP</t>
  </si>
  <si>
    <t>27/09/2017</t>
  </si>
  <si>
    <t>26/09/2017</t>
  </si>
  <si>
    <t>25/09/2017</t>
  </si>
  <si>
    <t>17.674 EGP</t>
  </si>
  <si>
    <t>24/09/2017</t>
  </si>
  <si>
    <t>17.7016 EGP</t>
  </si>
  <si>
    <t>23/09/2017</t>
  </si>
  <si>
    <t>17.626 EGP</t>
  </si>
  <si>
    <t>22/09/2017</t>
  </si>
  <si>
    <t>21/09/2017</t>
  </si>
  <si>
    <t>17.6388 EGP</t>
  </si>
  <si>
    <t>20/09/2017</t>
  </si>
  <si>
    <t>17.6394 EGP</t>
  </si>
  <si>
    <t>19/09/2017</t>
  </si>
  <si>
    <t>17.6329 EGP</t>
  </si>
  <si>
    <t>18/09/2017</t>
  </si>
  <si>
    <t>17.6758 EGP</t>
  </si>
  <si>
    <t>17/09/2017</t>
  </si>
  <si>
    <t>17.647 EGP</t>
  </si>
  <si>
    <t>16/09/2017</t>
  </si>
  <si>
    <t>17.6379 EGP</t>
  </si>
  <si>
    <t>15/09/2017</t>
  </si>
  <si>
    <t>17.6439 EGP</t>
  </si>
  <si>
    <t>14/09/2017</t>
  </si>
  <si>
    <t>13/09/2017</t>
  </si>
  <si>
    <t>17.6311 EGP</t>
  </si>
  <si>
    <t>17.6371 EGP</t>
  </si>
  <si>
    <t>17.6626 EGP</t>
  </si>
  <si>
    <t>17.6367 EGP</t>
  </si>
  <si>
    <t>17.6422 EGP</t>
  </si>
  <si>
    <t>17.642 EGP</t>
  </si>
  <si>
    <t>17.6364 EGP</t>
  </si>
  <si>
    <t>17.6338 EGP</t>
  </si>
  <si>
    <t>17.6324 EGP</t>
  </si>
  <si>
    <t>17.6173 EGP</t>
  </si>
  <si>
    <t>31/08/2017</t>
  </si>
  <si>
    <t>17.6386 EGP</t>
  </si>
  <si>
    <t>30/08/2017</t>
  </si>
  <si>
    <t>17.638 EGP</t>
  </si>
  <si>
    <t>29/08/2017</t>
  </si>
  <si>
    <t>17.663 EGP</t>
  </si>
  <si>
    <t>28/08/2017</t>
  </si>
  <si>
    <t>27/08/2017</t>
  </si>
  <si>
    <t>17.6559 EGP</t>
  </si>
  <si>
    <t>26/08/2017</t>
  </si>
  <si>
    <t>17.6961 EGP</t>
  </si>
  <si>
    <t>25/08/2017</t>
  </si>
  <si>
    <t>24/08/2017</t>
  </si>
  <si>
    <t>17.6994 EGP</t>
  </si>
  <si>
    <t>23/08/2017</t>
  </si>
  <si>
    <t>22/08/2017</t>
  </si>
  <si>
    <t>17.7588 EGP</t>
  </si>
  <si>
    <t>21/08/2017</t>
  </si>
  <si>
    <t>17.7374 EGP</t>
  </si>
  <si>
    <t>20/08/2017</t>
  </si>
  <si>
    <t>17.7833 EGP</t>
  </si>
  <si>
    <t>19/08/2017</t>
  </si>
  <si>
    <t>17.7716 EGP</t>
  </si>
  <si>
    <t>18/08/2017</t>
  </si>
  <si>
    <t>17.7699 EGP</t>
  </si>
  <si>
    <t>17/08/2017</t>
  </si>
  <si>
    <t>17.7379 EGP</t>
  </si>
  <si>
    <t>16/08/2017</t>
  </si>
  <si>
    <t>17.7815 EGP</t>
  </si>
  <si>
    <t>15/08/2017</t>
  </si>
  <si>
    <t>17.7511 EGP</t>
  </si>
  <si>
    <t>14/08/2017</t>
  </si>
  <si>
    <t>17.7465 EGP</t>
  </si>
  <si>
    <t>13/08/2017</t>
  </si>
  <si>
    <t>17.7738 EGP</t>
  </si>
  <si>
    <t>17.7748 EGP</t>
  </si>
  <si>
    <t>17.7715 EGP</t>
  </si>
  <si>
    <t>17.7744 EGP</t>
  </si>
  <si>
    <t>17.8004 EGP</t>
  </si>
  <si>
    <t>17.7606 EGP</t>
  </si>
  <si>
    <t>17.7731 EGP</t>
  </si>
  <si>
    <t>17.754 EGP</t>
  </si>
  <si>
    <t>17.7698 EGP</t>
  </si>
  <si>
    <t>17.7724 EGP</t>
  </si>
  <si>
    <t>17.8496 EGP</t>
  </si>
  <si>
    <t>31/07/2017</t>
  </si>
  <si>
    <t>17.9019 EGP</t>
  </si>
  <si>
    <t>30/07/2017</t>
  </si>
  <si>
    <t>17.8609 EGP</t>
  </si>
  <si>
    <t>29/07/2017</t>
  </si>
  <si>
    <t>17.8711 EGP</t>
  </si>
  <si>
    <t>28/07/2017</t>
  </si>
  <si>
    <t>17.8805 EGP</t>
  </si>
  <si>
    <t>27/07/2017</t>
  </si>
  <si>
    <t>17.8772 EGP</t>
  </si>
  <si>
    <t>26/07/2017</t>
  </si>
  <si>
    <t>17.9128 EGP</t>
  </si>
  <si>
    <t>25/07/2017</t>
  </si>
  <si>
    <t>17.9181 EGP</t>
  </si>
  <si>
    <t>24/07/2017</t>
  </si>
  <si>
    <t>17.8848 EGP</t>
  </si>
  <si>
    <t>23/07/2017</t>
  </si>
  <si>
    <t>17.861 EGP</t>
  </si>
  <si>
    <t>22/07/2017</t>
  </si>
  <si>
    <t>17.8642 EGP</t>
  </si>
  <si>
    <t>21/07/2017</t>
  </si>
  <si>
    <t>20/07/2017</t>
  </si>
  <si>
    <t>17.8715 EGP</t>
  </si>
  <si>
    <t>19/07/2017</t>
  </si>
  <si>
    <t>17.9411 EGP</t>
  </si>
  <si>
    <t>18/07/2017</t>
  </si>
  <si>
    <t>17.9501 EGP</t>
  </si>
  <si>
    <t>17/07/2017</t>
  </si>
  <si>
    <t>17.9471 EGP</t>
  </si>
  <si>
    <t>16/07/2017</t>
  </si>
  <si>
    <t>17.9629 EGP</t>
  </si>
  <si>
    <t>15/07/2017</t>
  </si>
  <si>
    <t>17.963 EGP</t>
  </si>
  <si>
    <t>14/07/2017</t>
  </si>
  <si>
    <t>13/07/2017</t>
  </si>
  <si>
    <t>17.9681 EGP</t>
  </si>
  <si>
    <t>17.9431 EGP</t>
  </si>
  <si>
    <t>17.9018 EGP</t>
  </si>
  <si>
    <t>17.8779 EGP</t>
  </si>
  <si>
    <t>17.8594 EGP</t>
  </si>
  <si>
    <t>17.8633 EGP</t>
  </si>
  <si>
    <t>17.881 EGP</t>
  </si>
  <si>
    <t>17.8461 EGP</t>
  </si>
  <si>
    <t>17.9577 EGP</t>
  </si>
  <si>
    <t>18.1248 EGP</t>
  </si>
  <si>
    <t>18.1208 EGP</t>
  </si>
  <si>
    <t>30/06/2017</t>
  </si>
  <si>
    <t>18.125 EGP</t>
  </si>
  <si>
    <t>29/06/2017</t>
  </si>
  <si>
    <t>18.1235 EGP</t>
  </si>
  <si>
    <t>28/06/2017</t>
  </si>
  <si>
    <t>18.1169 EGP</t>
  </si>
  <si>
    <t>27/06/2017</t>
  </si>
  <si>
    <t>18.1386 EGP</t>
  </si>
  <si>
    <t>26/06/2017</t>
  </si>
  <si>
    <t>18.1418 EGP</t>
  </si>
  <si>
    <t>25/06/2017</t>
  </si>
  <si>
    <t>18.1315 EGP</t>
  </si>
  <si>
    <t>24/06/2017</t>
  </si>
  <si>
    <t>18.1435 EGP</t>
  </si>
  <si>
    <t>23/06/2017</t>
  </si>
  <si>
    <t>18.1379 EGP</t>
  </si>
  <si>
    <t>22/06/2017</t>
  </si>
  <si>
    <t>18.1406 EGP</t>
  </si>
  <si>
    <t>21/06/2017</t>
  </si>
  <si>
    <t>18.1427 EGP</t>
  </si>
  <si>
    <t>20/06/2017</t>
  </si>
  <si>
    <t>18.1438 EGP</t>
  </si>
  <si>
    <t>19/06/2017</t>
  </si>
  <si>
    <t>18.0018 EGP</t>
  </si>
  <si>
    <t>18/06/2017</t>
  </si>
  <si>
    <t>18.1286 EGP</t>
  </si>
  <si>
    <t>17/06/2017</t>
  </si>
  <si>
    <t>18.154 EGP</t>
  </si>
  <si>
    <t>16/06/2017</t>
  </si>
  <si>
    <t>18.143 EGP</t>
  </si>
  <si>
    <t>15/06/2017</t>
  </si>
  <si>
    <t>18.1419 EGP</t>
  </si>
  <si>
    <t>14/06/2017</t>
  </si>
  <si>
    <t>17.9961 EGP</t>
  </si>
  <si>
    <t>13/06/2017</t>
  </si>
  <si>
    <t>18.1355 EGP</t>
  </si>
  <si>
    <t>18.1017 EGP</t>
  </si>
  <si>
    <t>18.1191 EGP</t>
  </si>
  <si>
    <t>18.1445 EGP</t>
  </si>
  <si>
    <t>18.1377 EGP</t>
  </si>
  <si>
    <t>18.1341 EGP</t>
  </si>
  <si>
    <t>18.1242 EGP</t>
  </si>
  <si>
    <t>18.1252 EGP</t>
  </si>
  <si>
    <t>18.0078 EGP</t>
  </si>
  <si>
    <t>17.9946 EGP</t>
  </si>
  <si>
    <t>17.9953 EGP</t>
  </si>
  <si>
    <t>17.9958 EGP</t>
  </si>
  <si>
    <t>31/05/2017</t>
  </si>
  <si>
    <t>18.1021 EGP</t>
  </si>
  <si>
    <t>30/05/2017</t>
  </si>
  <si>
    <t>18.0055 EGP</t>
  </si>
  <si>
    <t>29/05/2017</t>
  </si>
  <si>
    <t>18.1138 EGP</t>
  </si>
  <si>
    <t>28/05/2017</t>
  </si>
  <si>
    <t>27/05/2017</t>
  </si>
  <si>
    <t>18.1095 EGP</t>
  </si>
  <si>
    <t>26/05/2017</t>
  </si>
  <si>
    <t>18.1098 EGP</t>
  </si>
  <si>
    <t>25/05/2017</t>
  </si>
  <si>
    <t>18.101 EGP</t>
  </si>
  <si>
    <t>24/05/2017</t>
  </si>
  <si>
    <t>18.1201 EGP</t>
  </si>
  <si>
    <t>23/05/2017</t>
  </si>
  <si>
    <t>18.0515 EGP</t>
  </si>
  <si>
    <t>22/05/2017</t>
  </si>
  <si>
    <t>18.0689 EGP</t>
  </si>
  <si>
    <t>21/05/2017</t>
  </si>
  <si>
    <t>18.0554 EGP</t>
  </si>
  <si>
    <t>20/05/2017</t>
  </si>
  <si>
    <t>18.053 EGP</t>
  </si>
  <si>
    <t>19/05/2017</t>
  </si>
  <si>
    <t>18.0491 EGP</t>
  </si>
  <si>
    <t>18/05/2017</t>
  </si>
  <si>
    <t>18.1033 EGP</t>
  </si>
  <si>
    <t>17/05/2017</t>
  </si>
  <si>
    <t>18.1072 EGP</t>
  </si>
  <si>
    <t>16/05/2017</t>
  </si>
  <si>
    <t>18.1107 EGP</t>
  </si>
  <si>
    <t>15/05/2017</t>
  </si>
  <si>
    <t>18.1109 EGP</t>
  </si>
  <si>
    <t>14/05/2017</t>
  </si>
  <si>
    <t>18.0631 EGP</t>
  </si>
  <si>
    <t>13/05/2017</t>
  </si>
  <si>
    <t>18.0451 EGP</t>
  </si>
  <si>
    <t>18.0489 EGP</t>
  </si>
  <si>
    <t>18.1116 EGP</t>
  </si>
  <si>
    <t>18.0964 EGP</t>
  </si>
  <si>
    <t>18.0847 EGP</t>
  </si>
  <si>
    <t>18.0797 EGP</t>
  </si>
  <si>
    <t>18.1263 EGP</t>
  </si>
  <si>
    <t>18.1092 EGP</t>
  </si>
  <si>
    <t>18.1118 EGP</t>
  </si>
  <si>
    <t>18.1132 EGP</t>
  </si>
  <si>
    <t>30/04/2017</t>
  </si>
  <si>
    <t>18.0482 EGP</t>
  </si>
  <si>
    <t>29/04/2017</t>
  </si>
  <si>
    <t>18.0509 EGP</t>
  </si>
  <si>
    <t>28/04/2017</t>
  </si>
  <si>
    <t>18.0551 EGP</t>
  </si>
  <si>
    <t>27/04/2017</t>
  </si>
  <si>
    <t>18.0466 EGP</t>
  </si>
  <si>
    <t>26/04/2017</t>
  </si>
  <si>
    <t>17.9966 EGP</t>
  </si>
  <si>
    <t>25/04/2017</t>
  </si>
  <si>
    <t>17.9995 EGP</t>
  </si>
  <si>
    <t>24/04/2017</t>
  </si>
  <si>
    <t>18.1842 EGP</t>
  </si>
  <si>
    <t>23/04/2017</t>
  </si>
  <si>
    <t>17.8397 EGP</t>
  </si>
  <si>
    <t>22/04/2017</t>
  </si>
  <si>
    <t>18.0925 EGP</t>
  </si>
  <si>
    <t>21/04/2017</t>
  </si>
  <si>
    <t>20/04/2017</t>
  </si>
  <si>
    <t>18.0933 EGP</t>
  </si>
  <si>
    <t>19/04/2017</t>
  </si>
  <si>
    <t>18.1576 EGP</t>
  </si>
  <si>
    <t>18/04/2017</t>
  </si>
  <si>
    <t>18.1545 EGP</t>
  </si>
  <si>
    <t>17/04/2017</t>
  </si>
  <si>
    <t>18.1213 EGP</t>
  </si>
  <si>
    <t>16/04/2017</t>
  </si>
  <si>
    <t>18.1829 EGP</t>
  </si>
  <si>
    <t>15/04/2017</t>
  </si>
  <si>
    <t>18.17 EGP</t>
  </si>
  <si>
    <t>14/04/2017</t>
  </si>
  <si>
    <t>18.1647 EGP</t>
  </si>
  <si>
    <t>13/04/2017</t>
  </si>
  <si>
    <t>18.163 EGP</t>
  </si>
  <si>
    <t>18.1597 EGP</t>
  </si>
  <si>
    <t>18.051 EGP</t>
  </si>
  <si>
    <t>17.9973 EGP</t>
  </si>
  <si>
    <t>18.0149 EGP</t>
  </si>
  <si>
    <t>17.9937 EGP</t>
  </si>
  <si>
    <t>17.9932 EGP</t>
  </si>
  <si>
    <t>18.0529 EGP</t>
  </si>
  <si>
    <t>17.9925 EGP</t>
  </si>
  <si>
    <t>18.0683 EGP</t>
  </si>
  <si>
    <t>18.1347 EGP</t>
  </si>
  <si>
    <t>18.0233 EGP</t>
  </si>
  <si>
    <t>18.0418 EGP</t>
  </si>
  <si>
    <t>31/03/2017</t>
  </si>
  <si>
    <t>30/03/2017</t>
  </si>
  <si>
    <t>18.2317 EGP</t>
  </si>
  <si>
    <t>29/03/2017</t>
  </si>
  <si>
    <t>18.2411 EGP</t>
  </si>
  <si>
    <t>28/03/2017</t>
  </si>
  <si>
    <t>18.1818 EGP</t>
  </si>
  <si>
    <t>27/03/2017</t>
  </si>
  <si>
    <t>18.1804 EGP</t>
  </si>
  <si>
    <t>26/03/2017</t>
  </si>
  <si>
    <t>17.9683 EGP</t>
  </si>
  <si>
    <t>25/03/2017</t>
  </si>
  <si>
    <t>18.0431 EGP</t>
  </si>
  <si>
    <t>24/03/2017</t>
  </si>
  <si>
    <t>18.0503 EGP</t>
  </si>
  <si>
    <t>23/03/2017</t>
  </si>
  <si>
    <t>18.119 EGP</t>
  </si>
  <si>
    <t>22/03/2017</t>
  </si>
  <si>
    <t>18.0028 EGP</t>
  </si>
  <si>
    <t>21/03/2017</t>
  </si>
  <si>
    <t>18.1495 EGP</t>
  </si>
  <si>
    <t>20/03/2017</t>
  </si>
  <si>
    <t>18.1993 EGP</t>
  </si>
  <si>
    <t>19/03/2017</t>
  </si>
  <si>
    <t>18.0535 EGP</t>
  </si>
  <si>
    <t>18/03/2017</t>
  </si>
  <si>
    <t>18.0406 EGP</t>
  </si>
  <si>
    <t>17/03/2017</t>
  </si>
  <si>
    <t>18.0603 EGP</t>
  </si>
  <si>
    <t>16/03/2017</t>
  </si>
  <si>
    <t>18.1558 EGP</t>
  </si>
  <si>
    <t>15/03/2017</t>
  </si>
  <si>
    <t>18.0966 EGP</t>
  </si>
  <si>
    <t>14/03/2017</t>
  </si>
  <si>
    <t>18.0445 EGP</t>
  </si>
  <si>
    <t>13/03/2017</t>
  </si>
  <si>
    <t>17.7065 EGP</t>
  </si>
  <si>
    <t>17.5187 EGP</t>
  </si>
  <si>
    <t>17.5432 EGP</t>
  </si>
  <si>
    <t>17.5388 EGP</t>
  </si>
  <si>
    <t>17.5523 EGP</t>
  </si>
  <si>
    <t>17.6998 EGP</t>
  </si>
  <si>
    <t>17.4961 EGP</t>
  </si>
  <si>
    <t>16.8453 EGP</t>
  </si>
  <si>
    <t>16.1485 EGP</t>
  </si>
  <si>
    <t>16.1449 EGP</t>
  </si>
  <si>
    <t>16.1471 EGP</t>
  </si>
  <si>
    <t>16.1985 EGP</t>
  </si>
  <si>
    <t>16.2063 EGP</t>
  </si>
  <si>
    <t>28/02/2017</t>
  </si>
  <si>
    <t>15.7986 EGP</t>
  </si>
  <si>
    <t>27/02/2017</t>
  </si>
  <si>
    <t>16 EGP</t>
  </si>
  <si>
    <t>26/02/2017</t>
  </si>
  <si>
    <t>15.8171 EGP</t>
  </si>
  <si>
    <t>25/02/2017</t>
  </si>
  <si>
    <t>15.8077 EGP</t>
  </si>
  <si>
    <t>24/02/2017</t>
  </si>
  <si>
    <t>15.8146 EGP</t>
  </si>
  <si>
    <t>23/02/2017</t>
  </si>
  <si>
    <t>15.9488 EGP</t>
  </si>
  <si>
    <t>22/02/2017</t>
  </si>
  <si>
    <t>15.8044 EGP</t>
  </si>
  <si>
    <t>21/02/2017</t>
  </si>
  <si>
    <t>15.7481 EGP</t>
  </si>
  <si>
    <t>20/02/2017</t>
  </si>
  <si>
    <t>15.7982 EGP</t>
  </si>
  <si>
    <t>19/02/2017</t>
  </si>
  <si>
    <t>15.978 EGP</t>
  </si>
  <si>
    <t>18/02/2017</t>
  </si>
  <si>
    <t>15.9882 EGP</t>
  </si>
  <si>
    <t>17/02/2017</t>
  </si>
  <si>
    <t>15.9901 EGP</t>
  </si>
  <si>
    <t>16/02/2017</t>
  </si>
  <si>
    <t>16.0388 EGP</t>
  </si>
  <si>
    <t>15/02/2017</t>
  </si>
  <si>
    <t>16.4887 EGP</t>
  </si>
  <si>
    <t>14/02/2017</t>
  </si>
  <si>
    <t>16.5032 EGP</t>
  </si>
  <si>
    <t>13/02/2017</t>
  </si>
  <si>
    <t>16.9988 EGP</t>
  </si>
  <si>
    <t>17.7634 EGP</t>
  </si>
  <si>
    <t>17.7275 EGP</t>
  </si>
  <si>
    <t>17.8958 EGP</t>
  </si>
  <si>
    <t>18.0058 EGP</t>
  </si>
  <si>
    <t>18.3177 EGP</t>
  </si>
  <si>
    <t>18.4503 EGP</t>
  </si>
  <si>
    <t>18.5619 EGP</t>
  </si>
  <si>
    <t>18.7367 EGP</t>
  </si>
  <si>
    <t>18.7357 EGP</t>
  </si>
  <si>
    <t>18.3772 EGP</t>
  </si>
  <si>
    <t>18.843 EGP</t>
  </si>
  <si>
    <t>31/01/2017</t>
  </si>
  <si>
    <t>18.7231 EGP</t>
  </si>
  <si>
    <t>30/01/2017</t>
  </si>
  <si>
    <t>18.8999 EGP</t>
  </si>
  <si>
    <t>29/01/2017</t>
  </si>
  <si>
    <t>18.691 EGP</t>
  </si>
  <si>
    <t>28/01/2017</t>
  </si>
  <si>
    <t>18.725 EGP</t>
  </si>
  <si>
    <t>27/01/2017</t>
  </si>
  <si>
    <t>18.7214 EGP</t>
  </si>
  <si>
    <t>26/01/2017</t>
  </si>
  <si>
    <t>18.7193 EGP</t>
  </si>
  <si>
    <t>25/01/2017</t>
  </si>
  <si>
    <t>18.9007 EGP</t>
  </si>
  <si>
    <t>24/01/2017</t>
  </si>
  <si>
    <t>18.9787 EGP</t>
  </si>
  <si>
    <t>23/01/2017</t>
  </si>
  <si>
    <t>19.0056 EGP</t>
  </si>
  <si>
    <t>22/01/2017</t>
  </si>
  <si>
    <t>18.7676 EGP</t>
  </si>
  <si>
    <t>21/01/2017</t>
  </si>
  <si>
    <t>18.8411 EGP</t>
  </si>
  <si>
    <t>20/01/2017</t>
  </si>
  <si>
    <t>18.8422 EGP</t>
  </si>
  <si>
    <t>19/01/2017</t>
  </si>
  <si>
    <t>18.8991 EGP</t>
  </si>
  <si>
    <t>18/01/2017</t>
  </si>
  <si>
    <t>18.8981 EGP</t>
  </si>
  <si>
    <t>17/01/2017</t>
  </si>
  <si>
    <t>18.7069 EGP</t>
  </si>
  <si>
    <t>16/01/2017</t>
  </si>
  <si>
    <t>18.9122 EGP</t>
  </si>
  <si>
    <t>15/01/2017</t>
  </si>
  <si>
    <t>18.9438 EGP</t>
  </si>
  <si>
    <t>14/01/2017</t>
  </si>
  <si>
    <t>18.9201 EGP</t>
  </si>
  <si>
    <t>13/01/2017</t>
  </si>
  <si>
    <t>18.9087 EGP</t>
  </si>
  <si>
    <t>18.9134 EGP</t>
  </si>
  <si>
    <t>18.7044 EGP</t>
  </si>
  <si>
    <t>18.7145 EGP</t>
  </si>
  <si>
    <t>18.3663 EGP</t>
  </si>
  <si>
    <t>17.9917 EGP</t>
  </si>
  <si>
    <t>17.984 EGP</t>
  </si>
  <si>
    <t>17.9864 EGP</t>
  </si>
  <si>
    <t>18.0869 EGP</t>
  </si>
  <si>
    <t>18.2198 EGP</t>
  </si>
  <si>
    <t>18.2199 EGP</t>
  </si>
  <si>
    <t>18.1034 EGP</t>
  </si>
  <si>
    <t>18.1134 EGP</t>
  </si>
  <si>
    <t>31/12/2016</t>
  </si>
  <si>
    <t>18.1238 EGP</t>
  </si>
  <si>
    <t>30/12/2016</t>
  </si>
  <si>
    <t>18.1056 EGP</t>
  </si>
  <si>
    <t>29/12/2016</t>
  </si>
  <si>
    <t>18.1479 EGP</t>
  </si>
  <si>
    <t>28/12/2016</t>
  </si>
  <si>
    <t>18.8009 EGP</t>
  </si>
  <si>
    <t>27/12/2016</t>
  </si>
  <si>
    <t>19.0744 EGP</t>
  </si>
  <si>
    <t>26/12/2016</t>
  </si>
  <si>
    <t>18.9249 EGP</t>
  </si>
  <si>
    <t>25/12/2016</t>
  </si>
  <si>
    <t>18.9262 EGP</t>
  </si>
  <si>
    <t>24/12/2016</t>
  </si>
  <si>
    <t>18.9241 EGP</t>
  </si>
  <si>
    <t>23/12/2016</t>
  </si>
  <si>
    <t>18.9322 EGP</t>
  </si>
  <si>
    <t>22/12/2016</t>
  </si>
  <si>
    <t>19.005 EGP</t>
  </si>
  <si>
    <t>21/12/2016</t>
  </si>
  <si>
    <t>19.0246 EGP</t>
  </si>
  <si>
    <t>20/12/2016</t>
  </si>
  <si>
    <t>19.64 EGP</t>
  </si>
  <si>
    <t>19/12/2016</t>
  </si>
  <si>
    <t>19.2283 EGP</t>
  </si>
  <si>
    <t>18/12/2016</t>
  </si>
  <si>
    <t>18.278 EGP</t>
  </si>
  <si>
    <t>17/12/2016</t>
  </si>
  <si>
    <t>18.261 EGP</t>
  </si>
  <si>
    <t>16/12/2016</t>
  </si>
  <si>
    <t>18.3297 EGP</t>
  </si>
  <si>
    <t>15/12/2016</t>
  </si>
  <si>
    <t>18.4024 EGP</t>
  </si>
  <si>
    <t>14/12/2016</t>
  </si>
  <si>
    <t>18.4608 EGP</t>
  </si>
  <si>
    <t>13/12/2016</t>
  </si>
  <si>
    <t>18.3327 EGP</t>
  </si>
  <si>
    <t>18.1532 EGP</t>
  </si>
  <si>
    <t>18.0787 EGP</t>
  </si>
  <si>
    <t>18.0843 EGP</t>
  </si>
  <si>
    <t>18.1192 EGP</t>
  </si>
  <si>
    <t>17.911 EGP</t>
  </si>
  <si>
    <t>17.9445 EGP</t>
  </si>
  <si>
    <t>17.8087 EGP</t>
  </si>
  <si>
    <t>17.8185 EGP</t>
  </si>
  <si>
    <t>17.8241 EGP</t>
  </si>
  <si>
    <t>30/11/2016</t>
  </si>
  <si>
    <t>17.8459 EGP</t>
  </si>
  <si>
    <t>29/11/2016</t>
  </si>
  <si>
    <t>28/11/2016</t>
  </si>
  <si>
    <t>17.7001 EGP</t>
  </si>
  <si>
    <t>27/11/2016</t>
  </si>
  <si>
    <t>17.5755 EGP</t>
  </si>
  <si>
    <t>26/11/2016</t>
  </si>
  <si>
    <t>17.5936 EGP</t>
  </si>
  <si>
    <t>25/11/2016</t>
  </si>
  <si>
    <t>17.5822 EGP</t>
  </si>
  <si>
    <t>24/11/2016</t>
  </si>
  <si>
    <t>17.5456 EGP</t>
  </si>
  <si>
    <t>23/11/2016</t>
  </si>
  <si>
    <t>17.4792 EGP</t>
  </si>
  <si>
    <t>22/11/2016</t>
  </si>
  <si>
    <t>17.4402 EGP</t>
  </si>
  <si>
    <t>21/11/2016</t>
  </si>
  <si>
    <t>16.2437 EGP</t>
  </si>
  <si>
    <t>20/11/2016</t>
  </si>
  <si>
    <t>16.0573 EGP</t>
  </si>
  <si>
    <t>19/11/2016</t>
  </si>
  <si>
    <t>16.0169 EGP</t>
  </si>
  <si>
    <t>18/11/2016</t>
  </si>
  <si>
    <t>15.9738 EGP</t>
  </si>
  <si>
    <t>17/11/2016</t>
  </si>
  <si>
    <t>15.8205 EGP</t>
  </si>
  <si>
    <t>16/11/2016</t>
  </si>
  <si>
    <t>15.5485 EGP</t>
  </si>
  <si>
    <t>15/11/2016</t>
  </si>
  <si>
    <t>15.4697 EGP</t>
  </si>
  <si>
    <t>14/11/2016</t>
  </si>
  <si>
    <t>15.4894 EGP</t>
  </si>
  <si>
    <t>13/11/2016</t>
  </si>
  <si>
    <t>16.3958 EGP</t>
  </si>
  <si>
    <t>16.4578 EGP</t>
  </si>
  <si>
    <t>16.4997 EGP</t>
  </si>
  <si>
    <t>16.616 EGP</t>
  </si>
  <si>
    <t>17.1541 EGP</t>
  </si>
  <si>
    <t>17.7854 EGP</t>
  </si>
  <si>
    <t>15.4806 EGP</t>
  </si>
  <si>
    <t>15.4157 EGP</t>
  </si>
  <si>
    <t>15.4748 EGP</t>
  </si>
  <si>
    <t>8.8748 EGP</t>
  </si>
  <si>
    <t>8.8796 EGP</t>
  </si>
  <si>
    <t>8.8758 EGP</t>
  </si>
  <si>
    <t>8.877 EGP</t>
  </si>
  <si>
    <t>31/10/2016</t>
  </si>
  <si>
    <t>8.8792 EGP</t>
  </si>
  <si>
    <t>30/10/2016</t>
  </si>
  <si>
    <t>8.869 EGP</t>
  </si>
  <si>
    <t>29/10/2016</t>
  </si>
  <si>
    <t>8.8799 EGP</t>
  </si>
  <si>
    <t>28/10/2016</t>
  </si>
  <si>
    <t>27/10/2016</t>
  </si>
  <si>
    <t>26/10/2016</t>
  </si>
  <si>
    <t>8.8744 EGP</t>
  </si>
  <si>
    <t>25/10/2016</t>
  </si>
  <si>
    <t>8.8773 EGP</t>
  </si>
  <si>
    <t>24/10/2016</t>
  </si>
  <si>
    <t>8.8706 EGP</t>
  </si>
  <si>
    <t>23/10/2016</t>
  </si>
  <si>
    <t>8.8787 EGP</t>
  </si>
  <si>
    <t>22/10/2016</t>
  </si>
  <si>
    <t>8.868 EGP</t>
  </si>
  <si>
    <t>21/10/2016</t>
  </si>
  <si>
    <t>8.8669 EGP</t>
  </si>
  <si>
    <t>20/10/2016</t>
  </si>
  <si>
    <t>8.8737 EGP</t>
  </si>
  <si>
    <t>19/10/2016</t>
  </si>
  <si>
    <t>8.874 EGP</t>
  </si>
  <si>
    <t>18/10/2016</t>
  </si>
  <si>
    <t>8.8769 EGP</t>
  </si>
  <si>
    <t>17/10/2016</t>
  </si>
  <si>
    <t>8.8783 EGP</t>
  </si>
  <si>
    <t>16/10/2016</t>
  </si>
  <si>
    <t>8.888 EGP</t>
  </si>
  <si>
    <t>15/10/2016</t>
  </si>
  <si>
    <t>14/10/2016</t>
  </si>
  <si>
    <t>8.8726 EGP</t>
  </si>
  <si>
    <t>13/10/2016</t>
  </si>
  <si>
    <t>8.878 EGP</t>
  </si>
  <si>
    <t>8.8781 EGP</t>
  </si>
  <si>
    <t>8.8093 EGP</t>
  </si>
  <si>
    <t>8.8774 EGP</t>
  </si>
  <si>
    <t>8.8759 EGP</t>
  </si>
  <si>
    <t>8.8734 EGP</t>
  </si>
  <si>
    <t>8.8775 EGP</t>
  </si>
  <si>
    <t>8.8738 EGP</t>
  </si>
  <si>
    <t>8.8709 EGP</t>
  </si>
  <si>
    <t>8.8752 EGP</t>
  </si>
  <si>
    <t>8.8808 EGP</t>
  </si>
  <si>
    <t>8.8755 EGP</t>
  </si>
  <si>
    <t>30/09/2016</t>
  </si>
  <si>
    <t>8.8754 EGP</t>
  </si>
  <si>
    <t>29/09/2016</t>
  </si>
  <si>
    <t>8.8729 EGP</t>
  </si>
  <si>
    <t>28/09/2016</t>
  </si>
  <si>
    <t>8.8736 EGP</t>
  </si>
  <si>
    <t>27/09/2016</t>
  </si>
  <si>
    <t>8.8786 EGP</t>
  </si>
  <si>
    <t>26/09/2016</t>
  </si>
  <si>
    <t>25/09/2016</t>
  </si>
  <si>
    <t>8.8722 EGP</t>
  </si>
  <si>
    <t>24/09/2016</t>
  </si>
  <si>
    <t>23/09/2016</t>
  </si>
  <si>
    <t>8.8749 EGP</t>
  </si>
  <si>
    <t>22/09/2016</t>
  </si>
  <si>
    <t>8.8723 EGP</t>
  </si>
  <si>
    <t>21/09/2016</t>
  </si>
  <si>
    <t>8.879 EGP</t>
  </si>
  <si>
    <t>20/09/2016</t>
  </si>
  <si>
    <t>8.8779 EGP</t>
  </si>
  <si>
    <t>19/09/2016</t>
  </si>
  <si>
    <t>8.8756 EGP</t>
  </si>
  <si>
    <t>18/09/2016</t>
  </si>
  <si>
    <t>8.8692 EGP</t>
  </si>
  <si>
    <t>17/09/2016</t>
  </si>
  <si>
    <t>16/09/2016</t>
  </si>
  <si>
    <t>15/09/2016</t>
  </si>
  <si>
    <t>8.8733 EGP</t>
  </si>
  <si>
    <t>14/09/2016</t>
  </si>
  <si>
    <t>8.8768 EGP</t>
  </si>
  <si>
    <t>13/09/2016</t>
  </si>
  <si>
    <t>8.8766 EGP</t>
  </si>
  <si>
    <t>8.8743 EGP</t>
  </si>
  <si>
    <t>8.8697 EGP</t>
  </si>
  <si>
    <t>8.8721 EGP</t>
  </si>
  <si>
    <t>8.872 EGP</t>
  </si>
  <si>
    <t>8.8662 EGP</t>
  </si>
  <si>
    <t>8.8772 EGP</t>
  </si>
  <si>
    <t>8.8842 EGP</t>
  </si>
  <si>
    <t>8.8829 EGP</t>
  </si>
  <si>
    <t>8.875 EGP</t>
  </si>
  <si>
    <t>31/08/2016</t>
  </si>
  <si>
    <t>8.8526 EGP</t>
  </si>
  <si>
    <t>30/08/2016</t>
  </si>
  <si>
    <t>8.8578 EGP</t>
  </si>
  <si>
    <t>29/08/2016</t>
  </si>
  <si>
    <t>8.8915 EGP</t>
  </si>
  <si>
    <t>28/08/2016</t>
  </si>
  <si>
    <t>8.8899 EGP</t>
  </si>
  <si>
    <t>27/08/2016</t>
  </si>
  <si>
    <t>8.8777 EGP</t>
  </si>
  <si>
    <t>26/08/2016</t>
  </si>
  <si>
    <t>25/08/2016</t>
  </si>
  <si>
    <t>8.8745 EGP</t>
  </si>
  <si>
    <t>24/08/2016</t>
  </si>
  <si>
    <t>8.8762 EGP</t>
  </si>
  <si>
    <t>23/08/2016</t>
  </si>
  <si>
    <t>8.8795 EGP</t>
  </si>
  <si>
    <t>22/08/2016</t>
  </si>
  <si>
    <t>8.881 EGP</t>
  </si>
  <si>
    <t>21/08/2016</t>
  </si>
  <si>
    <t>8.8873 EGP</t>
  </si>
  <si>
    <t>20/08/2016</t>
  </si>
  <si>
    <t>19/08/2016</t>
  </si>
  <si>
    <t>18/08/2016</t>
  </si>
  <si>
    <t>8.8809 EGP</t>
  </si>
  <si>
    <t>17/08/2016</t>
  </si>
  <si>
    <t>16/08/2016</t>
  </si>
  <si>
    <t>15/08/2016</t>
  </si>
  <si>
    <t>8.8776 EGP</t>
  </si>
  <si>
    <t>14/08/2016</t>
  </si>
  <si>
    <t>8.8836 EGP</t>
  </si>
  <si>
    <t>13/08/2016</t>
  </si>
  <si>
    <t>8.8742 EGP</t>
  </si>
  <si>
    <t>8.8672 EGP</t>
  </si>
  <si>
    <t>8.8823 EGP</t>
  </si>
  <si>
    <t>8.8685 EGP</t>
  </si>
  <si>
    <t>8.8785 EGP</t>
  </si>
  <si>
    <t>8.8804 EGP</t>
  </si>
  <si>
    <t>8.861 EGP</t>
  </si>
  <si>
    <t>31/07/2016</t>
  </si>
  <si>
    <t>8.8907 EGP</t>
  </si>
  <si>
    <t>30/07/2016</t>
  </si>
  <si>
    <t>29/07/2016</t>
  </si>
  <si>
    <t>8.8815 EGP</t>
  </si>
  <si>
    <t>28/07/2016</t>
  </si>
  <si>
    <t>8.8761 EGP</t>
  </si>
  <si>
    <t>27/07/2016</t>
  </si>
  <si>
    <t>8.8789 EGP</t>
  </si>
  <si>
    <t>26/07/2016</t>
  </si>
  <si>
    <t>8.8746 EGP</t>
  </si>
  <si>
    <t>25/07/2016</t>
  </si>
  <si>
    <t>8.9116 EGP</t>
  </si>
  <si>
    <t>24/07/2016</t>
  </si>
  <si>
    <t>8.8929 EGP</t>
  </si>
  <si>
    <t>23/07/2016</t>
  </si>
  <si>
    <t>8.8999 EGP</t>
  </si>
  <si>
    <t>22/07/2016</t>
  </si>
  <si>
    <t>8.8996 EGP</t>
  </si>
  <si>
    <t>21/07/2016</t>
  </si>
  <si>
    <t>20/07/2016</t>
  </si>
  <si>
    <t>19/07/2016</t>
  </si>
  <si>
    <t>18/07/2016</t>
  </si>
  <si>
    <t>17/07/2016</t>
  </si>
  <si>
    <t>8.883 EGP</t>
  </si>
  <si>
    <t>16/07/2016</t>
  </si>
  <si>
    <t>8.8811 EGP</t>
  </si>
  <si>
    <t>15/07/2016</t>
  </si>
  <si>
    <t>14/07/2016</t>
  </si>
  <si>
    <t>13/07/2016</t>
  </si>
  <si>
    <t>8.8941 EGP</t>
  </si>
  <si>
    <t>8.856 EGP</t>
  </si>
  <si>
    <t>8.8798 EGP</t>
  </si>
  <si>
    <t>8.8841 EGP</t>
  </si>
  <si>
    <t>8.8763 EGP</t>
  </si>
  <si>
    <t>8.891 EGP</t>
  </si>
  <si>
    <t>8.8972 EGP</t>
  </si>
  <si>
    <t>8.901 EGP</t>
  </si>
  <si>
    <t>8.8764 EGP</t>
  </si>
  <si>
    <t>8.8771 EGP</t>
  </si>
  <si>
    <t>8.8822 EGP</t>
  </si>
  <si>
    <t>30/06/2016</t>
  </si>
  <si>
    <t>8.8622 EGP</t>
  </si>
  <si>
    <t>29/06/2016</t>
  </si>
  <si>
    <t>28/06/2016</t>
  </si>
  <si>
    <t>8.8148 EGP</t>
  </si>
  <si>
    <t>27/06/2016</t>
  </si>
  <si>
    <t>8.8716 EGP</t>
  </si>
  <si>
    <t>26/06/2016</t>
  </si>
  <si>
    <t>8.8715 EGP</t>
  </si>
  <si>
    <t>25/06/2016</t>
  </si>
  <si>
    <t>24/06/2016</t>
  </si>
  <si>
    <t>8.8615 EGP</t>
  </si>
  <si>
    <t>23/06/2016</t>
  </si>
  <si>
    <t>8.9312 EGP</t>
  </si>
  <si>
    <t>22/06/2016</t>
  </si>
  <si>
    <t>21/06/2016</t>
  </si>
  <si>
    <t>20/06/2016</t>
  </si>
  <si>
    <t>8.886 EGP</t>
  </si>
  <si>
    <t>19/06/2016</t>
  </si>
  <si>
    <t>8.8493 EGP</t>
  </si>
  <si>
    <t>18/06/2016</t>
  </si>
  <si>
    <t>17/06/2016</t>
  </si>
  <si>
    <t>16/06/2016</t>
  </si>
  <si>
    <t>15/06/2016</t>
  </si>
  <si>
    <t>14/06/2016</t>
  </si>
  <si>
    <t>13/06/2016</t>
  </si>
  <si>
    <t>8.8828 EGP</t>
  </si>
  <si>
    <t>8.8654 EGP</t>
  </si>
  <si>
    <t>8.8655 EGP</t>
  </si>
  <si>
    <t>8.876 EGP</t>
  </si>
  <si>
    <t>8.8886 EGP</t>
  </si>
  <si>
    <t>8.8782 EGP</t>
  </si>
  <si>
    <t>8.8802 EGP</t>
  </si>
  <si>
    <t>8.8778 EGP</t>
  </si>
  <si>
    <t>31/05/2016</t>
  </si>
  <si>
    <t>8.8659 EGP</t>
  </si>
  <si>
    <t>30/05/2016</t>
  </si>
  <si>
    <t>29/05/2016</t>
  </si>
  <si>
    <t>28/05/2016</t>
  </si>
  <si>
    <t>8.8712 EGP</t>
  </si>
  <si>
    <t>27/05/2016</t>
  </si>
  <si>
    <t>26/05/2016</t>
  </si>
  <si>
    <t>25/05/2016</t>
  </si>
  <si>
    <t>8.8805 EGP</t>
  </si>
  <si>
    <t>24/05/2016</t>
  </si>
  <si>
    <t>23/05/2016</t>
  </si>
  <si>
    <t>22/05/2016</t>
  </si>
  <si>
    <t>21/05/2016</t>
  </si>
  <si>
    <t>20/05/2016</t>
  </si>
  <si>
    <t>19/05/2016</t>
  </si>
  <si>
    <t>8.8416 EGP</t>
  </si>
  <si>
    <t>18/05/2016</t>
  </si>
  <si>
    <t>8.8404 EGP</t>
  </si>
  <si>
    <t>17/05/2016</t>
  </si>
  <si>
    <t>8.8664 EGP</t>
  </si>
  <si>
    <t>16/05/2016</t>
  </si>
  <si>
    <t>8.8624 EGP</t>
  </si>
  <si>
    <t>15/05/2016</t>
  </si>
  <si>
    <t>8.8847 EGP</t>
  </si>
  <si>
    <t>14/05/2016</t>
  </si>
  <si>
    <t>8.8784 EGP</t>
  </si>
  <si>
    <t>13/05/2016</t>
  </si>
  <si>
    <t>8.8687 EGP</t>
  </si>
  <si>
    <t>8.8601 EGP</t>
  </si>
  <si>
    <t>8.8848 EGP</t>
  </si>
  <si>
    <t>8.8657 EGP</t>
  </si>
  <si>
    <t>8.8812 EGP</t>
  </si>
  <si>
    <t>30/04/2016</t>
  </si>
  <si>
    <t>29/04/2016</t>
  </si>
  <si>
    <t>28/04/2016</t>
  </si>
  <si>
    <t>8.88 EGP</t>
  </si>
  <si>
    <t>27/04/2016</t>
  </si>
  <si>
    <t>26/04/2016</t>
  </si>
  <si>
    <t>25/04/2016</t>
  </si>
  <si>
    <t>24/04/2016</t>
  </si>
  <si>
    <t>23/04/2016</t>
  </si>
  <si>
    <t>8.8824 EGP</t>
  </si>
  <si>
    <t>22/04/2016</t>
  </si>
  <si>
    <t>8.8825 EGP</t>
  </si>
  <si>
    <t>21/04/2016</t>
  </si>
  <si>
    <t>8.8806 EGP</t>
  </si>
  <si>
    <t>20/04/2016</t>
  </si>
  <si>
    <t>19/04/2016</t>
  </si>
  <si>
    <t>8.8816 EGP</t>
  </si>
  <si>
    <t>18/04/2016</t>
  </si>
  <si>
    <t>8.8711 EGP</t>
  </si>
  <si>
    <t>17/04/2016</t>
  </si>
  <si>
    <t>8.8819 EGP</t>
  </si>
  <si>
    <t>16/04/2016</t>
  </si>
  <si>
    <t>8.8813 EGP</t>
  </si>
  <si>
    <t>15/04/2016</t>
  </si>
  <si>
    <t>14/04/2016</t>
  </si>
  <si>
    <t>13/04/2016</t>
  </si>
  <si>
    <t>8.8606 EGP</t>
  </si>
  <si>
    <t>8.8575 EGP</t>
  </si>
  <si>
    <t>31/03/2016</t>
  </si>
  <si>
    <t>30/03/2016</t>
  </si>
  <si>
    <t>29/03/2016</t>
  </si>
  <si>
    <t>28/03/2016</t>
  </si>
  <si>
    <t>8.8751 EGP</t>
  </si>
  <si>
    <t>27/03/2016</t>
  </si>
  <si>
    <t>26/03/2016</t>
  </si>
  <si>
    <t>8.8568 EGP</t>
  </si>
  <si>
    <t>25/03/2016</t>
  </si>
  <si>
    <t>8.8565 EGP</t>
  </si>
  <si>
    <t>24/03/2016</t>
  </si>
  <si>
    <t>8.8855 EGP</t>
  </si>
  <si>
    <t>23/03/2016</t>
  </si>
  <si>
    <t>22/03/2016</t>
  </si>
  <si>
    <t>21/03/2016</t>
  </si>
  <si>
    <t>8.8831 EGP</t>
  </si>
  <si>
    <t>20/03/2016</t>
  </si>
  <si>
    <t>19/03/2016</t>
  </si>
  <si>
    <t>18/03/2016</t>
  </si>
  <si>
    <t>17/03/2016</t>
  </si>
  <si>
    <t>8.8894 EGP</t>
  </si>
  <si>
    <t>16/03/2016</t>
  </si>
  <si>
    <t>8.9058 EGP</t>
  </si>
  <si>
    <t>15/03/2016</t>
  </si>
  <si>
    <t>8.9444 EGP</t>
  </si>
  <si>
    <t>14/03/2016</t>
  </si>
  <si>
    <t>7.8055 EGP</t>
  </si>
  <si>
    <t>13/03/2016</t>
  </si>
  <si>
    <t>7.8143 EGP</t>
  </si>
  <si>
    <t>7.8028 EGP</t>
  </si>
  <si>
    <t>7.8027 EGP</t>
  </si>
  <si>
    <t>7.8275 EGP</t>
  </si>
  <si>
    <t>7.8317 EGP</t>
  </si>
  <si>
    <t>7.831 EGP</t>
  </si>
  <si>
    <t>7.8278 EGP</t>
  </si>
  <si>
    <t>7.8309 EGP</t>
  </si>
  <si>
    <t>7.8339 EGP</t>
  </si>
  <si>
    <t>7.834 EGP</t>
  </si>
  <si>
    <t>7.828 EGP</t>
  </si>
  <si>
    <t>7.829 EGP</t>
  </si>
  <si>
    <t>29/02/2016</t>
  </si>
  <si>
    <t>7.8428 EGP</t>
  </si>
  <si>
    <t>28/02/2016</t>
  </si>
  <si>
    <t>7.859 EGP</t>
  </si>
  <si>
    <t>27/02/2016</t>
  </si>
  <si>
    <t>7.8687 EGP</t>
  </si>
  <si>
    <t>26/02/2016</t>
  </si>
  <si>
    <t>7.8355 EGP</t>
  </si>
  <si>
    <t>25/02/2016</t>
  </si>
  <si>
    <t>7.8276 EGP</t>
  </si>
  <si>
    <t>24/02/2016</t>
  </si>
  <si>
    <t>7.8255 EGP</t>
  </si>
  <si>
    <t>23/02/2016</t>
  </si>
  <si>
    <t>7.8331 EGP</t>
  </si>
  <si>
    <t>22/02/2016</t>
  </si>
  <si>
    <t>7.8225 EGP</t>
  </si>
  <si>
    <t>21/02/2016</t>
  </si>
  <si>
    <t>7.8389 EGP</t>
  </si>
  <si>
    <t>20/02/2016</t>
  </si>
  <si>
    <t>7.8287 EGP</t>
  </si>
  <si>
    <t>19/02/2016</t>
  </si>
  <si>
    <t>7.8288 EGP</t>
  </si>
  <si>
    <t>18/02/2016</t>
  </si>
  <si>
    <t>7.8294 EGP</t>
  </si>
  <si>
    <t>17/02/2016</t>
  </si>
  <si>
    <t>7.8261 EGP</t>
  </si>
  <si>
    <t>16/02/2016</t>
  </si>
  <si>
    <t>7.8328 EGP</t>
  </si>
  <si>
    <t>15/02/2016</t>
  </si>
  <si>
    <t>7.8308 EGP</t>
  </si>
  <si>
    <t>14/02/2016</t>
  </si>
  <si>
    <t>7.8402 EGP</t>
  </si>
  <si>
    <t>13/02/2016</t>
  </si>
  <si>
    <t>7.83 EGP</t>
  </si>
  <si>
    <t>7.8301 EGP</t>
  </si>
  <si>
    <t>7.8303 EGP</t>
  </si>
  <si>
    <t>7.8314 EGP</t>
  </si>
  <si>
    <t>7.8267 EGP</t>
  </si>
  <si>
    <t>7.8327 EGP</t>
  </si>
  <si>
    <t>7.8318 EGP</t>
  </si>
  <si>
    <t>7.8281 EGP</t>
  </si>
  <si>
    <t>7.8299 EGP</t>
  </si>
  <si>
    <t>7.8397 EGP</t>
  </si>
  <si>
    <t>31/01/2016</t>
  </si>
  <si>
    <t>7.853 EGP</t>
  </si>
  <si>
    <t>Detail</t>
  </si>
  <si>
    <t>Description</t>
  </si>
  <si>
    <t>Total</t>
  </si>
  <si>
    <t>Plant Room Reading</t>
  </si>
  <si>
    <t xml:space="preserve"> 10,327,554.32 </t>
  </si>
  <si>
    <t>Price per KW</t>
  </si>
  <si>
    <t xml:space="preserve">      12,968,269 </t>
  </si>
  <si>
    <t>Hotel Reading</t>
  </si>
  <si>
    <t xml:space="preserve">      12,714,880 </t>
  </si>
  <si>
    <r>
      <t xml:space="preserve">Hotel Charge of Plant Room </t>
    </r>
    <r>
      <rPr>
        <sz val="10"/>
        <color indexed="10"/>
        <rFont val="Arial"/>
        <family val="2"/>
      </rPr>
      <t>73.62%</t>
    </r>
  </si>
  <si>
    <t xml:space="preserve">      506,973.09 </t>
  </si>
  <si>
    <t xml:space="preserve">      504,509.76 </t>
  </si>
  <si>
    <t xml:space="preserve">      475,606.55 </t>
  </si>
  <si>
    <t xml:space="preserve">     521,917.21 </t>
  </si>
  <si>
    <t xml:space="preserve">      635,156.55 </t>
  </si>
  <si>
    <t xml:space="preserve">      878,634.09 </t>
  </si>
  <si>
    <t xml:space="preserve">      784,921.02 </t>
  </si>
  <si>
    <t xml:space="preserve">      799,372.11 </t>
  </si>
  <si>
    <t xml:space="preserve">      511,292.89 </t>
  </si>
  <si>
    <t xml:space="preserve">      618,479.03 </t>
  </si>
  <si>
    <t xml:space="preserve">      731,126.64 </t>
  </si>
  <si>
    <t xml:space="preserve">        7,603,145 </t>
  </si>
  <si>
    <t>Total Hotel Charges</t>
  </si>
  <si>
    <t xml:space="preserve">   1,736,304.82 </t>
  </si>
  <si>
    <t xml:space="preserve">   1,608,751.18 </t>
  </si>
  <si>
    <t xml:space="preserve">   1,665,510.76 </t>
  </si>
  <si>
    <t xml:space="preserve">   1,768,643.67 </t>
  </si>
  <si>
    <t xml:space="preserve">   1,915,526.81 </t>
  </si>
  <si>
    <t xml:space="preserve">   1,969,332.51 </t>
  </si>
  <si>
    <t xml:space="preserve">   2,590,670.17 </t>
  </si>
  <si>
    <t xml:space="preserve">   2,641,036.67 </t>
  </si>
  <si>
    <t xml:space="preserve">   2,877,302.57 </t>
  </si>
  <si>
    <t xml:space="preserve">   2,341,274.61 </t>
  </si>
  <si>
    <t xml:space="preserve">   2,218,537.48 </t>
  </si>
  <si>
    <t xml:space="preserve">   2,101,646.72 </t>
  </si>
  <si>
    <t xml:space="preserve">      25,434,538 </t>
  </si>
  <si>
    <t xml:space="preserve">                    -   </t>
  </si>
  <si>
    <t>Plaza Suites Reading</t>
  </si>
  <si>
    <t xml:space="preserve">      175,009.63 </t>
  </si>
  <si>
    <t xml:space="preserve">      155,995.37 </t>
  </si>
  <si>
    <t xml:space="preserve">      169,741.37 </t>
  </si>
  <si>
    <t xml:space="preserve">     177,298.47 </t>
  </si>
  <si>
    <t xml:space="preserve">      179,720.94 </t>
  </si>
  <si>
    <t xml:space="preserve">      186,318.28 </t>
  </si>
  <si>
    <t xml:space="preserve">      188,752.06 </t>
  </si>
  <si>
    <t xml:space="preserve">      176,624.43 </t>
  </si>
  <si>
    <t xml:space="preserve">      239,884.40 </t>
  </si>
  <si>
    <t xml:space="preserve">      219,552.03 </t>
  </si>
  <si>
    <t xml:space="preserve">      184,538.22 </t>
  </si>
  <si>
    <t xml:space="preserve">      160,000.00 </t>
  </si>
  <si>
    <t xml:space="preserve">        2,213,435 </t>
  </si>
  <si>
    <r>
      <t xml:space="preserve">Plaza Suites Charge of Plant Room </t>
    </r>
    <r>
      <rPr>
        <sz val="11"/>
        <color indexed="10"/>
        <rFont val="Times New Roman"/>
        <family val="1"/>
      </rPr>
      <t>11.67%</t>
    </r>
  </si>
  <si>
    <t xml:space="preserve">        1,205,226 </t>
  </si>
  <si>
    <t>Total Plaza Suit Charges</t>
  </si>
  <si>
    <t xml:space="preserve">          295,467 </t>
  </si>
  <si>
    <t xml:space="preserve">          273,016 </t>
  </si>
  <si>
    <t xml:space="preserve">          283,619 </t>
  </si>
  <si>
    <t xml:space="preserve">          300,856 </t>
  </si>
  <si>
    <t xml:space="preserve">          324,427 </t>
  </si>
  <si>
    <t xml:space="preserve">          332,060 </t>
  </si>
  <si>
    <t xml:space="preserve">          436,461 </t>
  </si>
  <si>
    <t xml:space="preserve">          400,559 </t>
  </si>
  <si>
    <t xml:space="preserve">          487,777 </t>
  </si>
  <si>
    <t xml:space="preserve">          399,964 </t>
  </si>
  <si>
    <t xml:space="preserve">          375,983 </t>
  </si>
  <si>
    <t xml:space="preserve">          367,093 </t>
  </si>
  <si>
    <t xml:space="preserve">        4,277,282 </t>
  </si>
  <si>
    <t>Residence Reading</t>
  </si>
  <si>
    <t xml:space="preserve">          279,502 </t>
  </si>
  <si>
    <t xml:space="preserve">          288,795 </t>
  </si>
  <si>
    <t xml:space="preserve">          302,381 </t>
  </si>
  <si>
    <t xml:space="preserve">          295,145 </t>
  </si>
  <si>
    <t xml:space="preserve">          343,107 </t>
  </si>
  <si>
    <t xml:space="preserve">          345,909 </t>
  </si>
  <si>
    <t xml:space="preserve">          401,986 </t>
  </si>
  <si>
    <t xml:space="preserve">          295,010 </t>
  </si>
  <si>
    <t xml:space="preserve">          400,908 </t>
  </si>
  <si>
    <t xml:space="preserve">          338,236 </t>
  </si>
  <si>
    <t xml:space="preserve">          378,517 </t>
  </si>
  <si>
    <t xml:space="preserve">          190,322 </t>
  </si>
  <si>
    <t xml:space="preserve">        3,859,818 </t>
  </si>
  <si>
    <r>
      <t xml:space="preserve">Residence charge of Plant Room </t>
    </r>
    <r>
      <rPr>
        <sz val="11"/>
        <color indexed="10"/>
        <rFont val="Times New Roman"/>
        <family val="1"/>
      </rPr>
      <t>11.39%</t>
    </r>
  </si>
  <si>
    <t xml:space="preserve">            78,436 </t>
  </si>
  <si>
    <t xml:space="preserve">            78,054 </t>
  </si>
  <si>
    <t xml:space="preserve">            73,583 </t>
  </si>
  <si>
    <t xml:space="preserve">            80,748 </t>
  </si>
  <si>
    <t xml:space="preserve">            98,267 </t>
  </si>
  <si>
    <t xml:space="preserve">          135,936 </t>
  </si>
  <si>
    <t xml:space="preserve">          121,438 </t>
  </si>
  <si>
    <t xml:space="preserve">          123,674 </t>
  </si>
  <si>
    <t xml:space="preserve">            79,104 </t>
  </si>
  <si>
    <t xml:space="preserve">            95,687 </t>
  </si>
  <si>
    <t xml:space="preserve">          113,115 </t>
  </si>
  <si>
    <t xml:space="preserve">        1,176,308 </t>
  </si>
  <si>
    <t>Total Residence Charges</t>
  </si>
  <si>
    <t xml:space="preserve">          414,134 </t>
  </si>
  <si>
    <t xml:space="preserve">          424,445 </t>
  </si>
  <si>
    <t xml:space="preserve">          434,990 </t>
  </si>
  <si>
    <t xml:space="preserve">          434,908 </t>
  </si>
  <si>
    <t xml:space="preserve">          510,670 </t>
  </si>
  <si>
    <t xml:space="preserve">          513,912 </t>
  </si>
  <si>
    <t xml:space="preserve">          715,733 </t>
  </si>
  <si>
    <t xml:space="preserve">          554,105 </t>
  </si>
  <si>
    <t xml:space="preserve">          697,982 </t>
  </si>
  <si>
    <t xml:space="preserve">          555,292 </t>
  </si>
  <si>
    <t xml:space="preserve">          630,952 </t>
  </si>
  <si>
    <t xml:space="preserve">          403,738 </t>
  </si>
  <si>
    <t xml:space="preserve">        6,290,859 </t>
  </si>
  <si>
    <t>Gas</t>
  </si>
  <si>
    <t xml:space="preserve">   1,394,968.76 </t>
  </si>
  <si>
    <t>Price per M3</t>
  </si>
  <si>
    <t xml:space="preserve">             3.00 </t>
  </si>
  <si>
    <t xml:space="preserve">              36.00 </t>
  </si>
  <si>
    <t>Total Charges</t>
  </si>
  <si>
    <t xml:space="preserve">        376,500 </t>
  </si>
  <si>
    <t xml:space="preserve">        390,000 </t>
  </si>
  <si>
    <t xml:space="preserve">        387,673 </t>
  </si>
  <si>
    <t xml:space="preserve">        303,966 </t>
  </si>
  <si>
    <t xml:space="preserve">        255,285 </t>
  </si>
  <si>
    <t xml:space="preserve">        272,427 </t>
  </si>
  <si>
    <t xml:space="preserve">        294,584 </t>
  </si>
  <si>
    <t xml:space="preserve">        260,759 </t>
  </si>
  <si>
    <t xml:space="preserve">        359,506 </t>
  </si>
  <si>
    <t xml:space="preserve">        494,840 </t>
  </si>
  <si>
    <t xml:space="preserve">        429,861 </t>
  </si>
  <si>
    <t xml:space="preserve">       4,184,906 </t>
  </si>
  <si>
    <t xml:space="preserve">                   -   </t>
  </si>
  <si>
    <r>
      <t xml:space="preserve">Hotel Charges </t>
    </r>
    <r>
      <rPr>
        <sz val="10"/>
        <color indexed="10"/>
        <rFont val="Arial"/>
        <family val="2"/>
      </rPr>
      <t>67.67%</t>
    </r>
  </si>
  <si>
    <t xml:space="preserve">   254,777.55 </t>
  </si>
  <si>
    <t xml:space="preserve">   263,913.00 </t>
  </si>
  <si>
    <t xml:space="preserve">   262,338.61 </t>
  </si>
  <si>
    <t xml:space="preserve">   205,693.79 </t>
  </si>
  <si>
    <t xml:space="preserve">   172,751.36 </t>
  </si>
  <si>
    <t xml:space="preserve">   184,351.35 </t>
  </si>
  <si>
    <t xml:space="preserve">   199,345.10 </t>
  </si>
  <si>
    <t xml:space="preserve">   176,455.36 </t>
  </si>
  <si>
    <t xml:space="preserve">   243,277.38 </t>
  </si>
  <si>
    <t xml:space="preserve">   334,858.35 </t>
  </si>
  <si>
    <t xml:space="preserve">   290,886.85 </t>
  </si>
  <si>
    <t xml:space="preserve">       2,831,926 </t>
  </si>
  <si>
    <r>
      <t xml:space="preserve">Plaza Suites Charges </t>
    </r>
    <r>
      <rPr>
        <sz val="11"/>
        <color indexed="10"/>
        <rFont val="Times New Roman"/>
        <family val="1"/>
      </rPr>
      <t>10.36%</t>
    </r>
  </si>
  <si>
    <t xml:space="preserve">          39,005 </t>
  </si>
  <si>
    <t xml:space="preserve">          40,404 </t>
  </si>
  <si>
    <t xml:space="preserve">          40,163 </t>
  </si>
  <si>
    <t xml:space="preserve">          31,491 </t>
  </si>
  <si>
    <t xml:space="preserve">          26,448 </t>
  </si>
  <si>
    <t xml:space="preserve">          28,223 </t>
  </si>
  <si>
    <t xml:space="preserve">          30,519 </t>
  </si>
  <si>
    <t xml:space="preserve">          27,015 </t>
  </si>
  <si>
    <t xml:space="preserve">          37,245 </t>
  </si>
  <si>
    <t xml:space="preserve">          51,265 </t>
  </si>
  <si>
    <t xml:space="preserve">          44,534 </t>
  </si>
  <si>
    <t xml:space="preserve">          433,556 </t>
  </si>
  <si>
    <r>
      <t xml:space="preserve">Residence Charges </t>
    </r>
    <r>
      <rPr>
        <sz val="11"/>
        <color indexed="10"/>
        <rFont val="Times New Roman"/>
        <family val="1"/>
      </rPr>
      <t>13.44%</t>
    </r>
  </si>
  <si>
    <t xml:space="preserve">          50,602 </t>
  </si>
  <si>
    <t xml:space="preserve">          52,416 </t>
  </si>
  <si>
    <t xml:space="preserve">          52,103 </t>
  </si>
  <si>
    <t xml:space="preserve">          40,853 </t>
  </si>
  <si>
    <t xml:space="preserve">          34,310 </t>
  </si>
  <si>
    <t xml:space="preserve">          36,614 </t>
  </si>
  <si>
    <t xml:space="preserve">          39,592 </t>
  </si>
  <si>
    <t xml:space="preserve">          35,046 </t>
  </si>
  <si>
    <t xml:space="preserve">          48,318 </t>
  </si>
  <si>
    <t xml:space="preserve">          66,507 </t>
  </si>
  <si>
    <t xml:space="preserve">          57,773 </t>
  </si>
  <si>
    <t xml:space="preserve">          562,451 </t>
  </si>
  <si>
    <t xml:space="preserve">      356,733 </t>
  </si>
  <si>
    <t xml:space="preserve">      354,605 </t>
  </si>
  <si>
    <t xml:space="preserve">      278,038 </t>
  </si>
  <si>
    <t xml:space="preserve">      233,509 </t>
  </si>
  <si>
    <t xml:space="preserve">      249,189 </t>
  </si>
  <si>
    <t xml:space="preserve">      269,456 </t>
  </si>
  <si>
    <t xml:space="preserve">      238,516 </t>
  </si>
  <si>
    <t xml:space="preserve">      328,840 </t>
  </si>
  <si>
    <t xml:space="preserve">      3,827,934 </t>
  </si>
  <si>
    <t>Water</t>
  </si>
  <si>
    <t xml:space="preserve">            3,000.00 </t>
  </si>
  <si>
    <t xml:space="preserve">             36,000 </t>
  </si>
  <si>
    <t xml:space="preserve">                     -   </t>
  </si>
  <si>
    <t xml:space="preserve">           337,564 </t>
  </si>
  <si>
    <t>Hotel Charge of Plant Room 73.62%</t>
  </si>
  <si>
    <t xml:space="preserve">            2,208.60 </t>
  </si>
  <si>
    <t xml:space="preserve">             26,503 </t>
  </si>
  <si>
    <t xml:space="preserve">        217,660.68 </t>
  </si>
  <si>
    <t xml:space="preserve">        238,076.57 </t>
  </si>
  <si>
    <t xml:space="preserve">        309,303.53 </t>
  </si>
  <si>
    <t xml:space="preserve">        253,095.79 </t>
  </si>
  <si>
    <t xml:space="preserve">        321,412.44 </t>
  </si>
  <si>
    <t xml:space="preserve">        346,622.45 </t>
  </si>
  <si>
    <t xml:space="preserve">        358,379.75 </t>
  </si>
  <si>
    <t xml:space="preserve">        331,625.16 </t>
  </si>
  <si>
    <t xml:space="preserve">        247,978.16 </t>
  </si>
  <si>
    <t xml:space="preserve">        302,490.74 </t>
  </si>
  <si>
    <t xml:space="preserve">        290,712.08 </t>
  </si>
  <si>
    <t xml:space="preserve">        266,343.27 </t>
  </si>
  <si>
    <t xml:space="preserve">        3,483,701 </t>
  </si>
  <si>
    <t xml:space="preserve">            3,594.47 </t>
  </si>
  <si>
    <t xml:space="preserve">            3,934.31 </t>
  </si>
  <si>
    <t xml:space="preserve">            5,119.93 </t>
  </si>
  <si>
    <t xml:space="preserve">            4,184.31 </t>
  </si>
  <si>
    <t xml:space="preserve">            4,714.25 </t>
  </si>
  <si>
    <t xml:space="preserve">            4,526.66 </t>
  </si>
  <si>
    <t xml:space="preserve">            4,392.58 </t>
  </si>
  <si>
    <t xml:space="preserve">            4,594.96 </t>
  </si>
  <si>
    <t xml:space="preserve">            3,637.10 </t>
  </si>
  <si>
    <t xml:space="preserve">            2,943.93 </t>
  </si>
  <si>
    <t xml:space="preserve">            2,765.69 </t>
  </si>
  <si>
    <t xml:space="preserve">            2,396.93 </t>
  </si>
  <si>
    <t xml:space="preserve">             46,805 </t>
  </si>
  <si>
    <t>Plaza Suites Charge of Plant Room 11.67%</t>
  </si>
  <si>
    <t xml:space="preserve">               4,201 </t>
  </si>
  <si>
    <t xml:space="preserve">               35,975 </t>
  </si>
  <si>
    <t xml:space="preserve">               39,074 </t>
  </si>
  <si>
    <t xml:space="preserve">               49,887 </t>
  </si>
  <si>
    <t xml:space="preserve">               41,354 </t>
  </si>
  <si>
    <t xml:space="preserve">               46,187 </t>
  </si>
  <si>
    <t xml:space="preserve">               44,476 </t>
  </si>
  <si>
    <t xml:space="preserve">               47,579 </t>
  </si>
  <si>
    <t xml:space="preserve">               49,609 </t>
  </si>
  <si>
    <t xml:space="preserve">               40,000 </t>
  </si>
  <si>
    <t xml:space="preserve">               33,046 </t>
  </si>
  <si>
    <t xml:space="preserve">               31,258 </t>
  </si>
  <si>
    <t xml:space="preserve">               27,558 </t>
  </si>
  <si>
    <t xml:space="preserve">           486,000 </t>
  </si>
  <si>
    <t xml:space="preserve">                   900 </t>
  </si>
  <si>
    <t xml:space="preserve">                 1,100 </t>
  </si>
  <si>
    <t xml:space="preserve">                 1,200 </t>
  </si>
  <si>
    <t xml:space="preserve">                   102 </t>
  </si>
  <si>
    <t xml:space="preserve">                   117 </t>
  </si>
  <si>
    <t xml:space="preserve">                   130 </t>
  </si>
  <si>
    <t xml:space="preserve">                   104 </t>
  </si>
  <si>
    <t xml:space="preserve">                   110 </t>
  </si>
  <si>
    <t xml:space="preserve">                   103 </t>
  </si>
  <si>
    <t xml:space="preserve">               6,565 </t>
  </si>
  <si>
    <t>Residence charge of Plant Room 11.39%</t>
  </si>
  <si>
    <t xml:space="preserve">                   342 </t>
  </si>
  <si>
    <t xml:space="preserve">               4,100 </t>
  </si>
  <si>
    <t xml:space="preserve">               11,324 </t>
  </si>
  <si>
    <t xml:space="preserve">               13,148 </t>
  </si>
  <si>
    <t xml:space="preserve">               14,060 </t>
  </si>
  <si>
    <t xml:space="preserve">                 4,455 </t>
  </si>
  <si>
    <t xml:space="preserve">                 4,601 </t>
  </si>
  <si>
    <t xml:space="preserve">                 4,732 </t>
  </si>
  <si>
    <t xml:space="preserve">                 4,468 </t>
  </si>
  <si>
    <t xml:space="preserve">                 4,528 </t>
  </si>
  <si>
    <t xml:space="preserve">                 4,456 </t>
  </si>
  <si>
    <t xml:space="preserve">               99,746 </t>
  </si>
  <si>
    <t xml:space="preserve">      264,959.48 </t>
  </si>
  <si>
    <t xml:space="preserve">      288,474.68 </t>
  </si>
  <si>
    <t xml:space="preserve">      372,338.48 </t>
  </si>
  <si>
    <t xml:space="preserve">      305,773.94 </t>
  </si>
  <si>
    <t xml:space="preserve">      378,923.66 </t>
  </si>
  <si>
    <t xml:space="preserve">      405,158.79 </t>
  </si>
  <si>
    <t xml:space="preserve">      410,413.13 </t>
  </si>
  <si>
    <t xml:space="preserve">      385,834.73 </t>
  </si>
  <si>
    <t xml:space="preserve">      298,357.70 </t>
  </si>
  <si>
    <t xml:space="preserve">   4,069,446.48 </t>
  </si>
  <si>
    <t xml:space="preserve">      688635.00 </t>
  </si>
  <si>
    <t xml:space="preserve">      685,289.00 </t>
  </si>
  <si>
    <t xml:space="preserve">      646,029.00 </t>
  </si>
  <si>
    <t xml:space="preserve">     708,934.00 </t>
  </si>
  <si>
    <t xml:space="preserve">      862,750.00 </t>
  </si>
  <si>
    <t xml:space="preserve">   1,193,472.00 </t>
  </si>
  <si>
    <t xml:space="preserve">   1,066,179.06 </t>
  </si>
  <si>
    <t xml:space="preserve">   1,085,808.36 </t>
  </si>
  <si>
    <t xml:space="preserve">      694,502.70 </t>
  </si>
  <si>
    <t xml:space="preserve">      840,096.48 </t>
  </si>
  <si>
    <t xml:space="preserve">      993,108.72 </t>
  </si>
  <si>
    <t xml:space="preserve">      344,385 </t>
  </si>
  <si>
    <t xml:space="preserve">      452,630 </t>
  </si>
  <si>
    <t xml:space="preserve">      393,194 </t>
  </si>
  <si>
    <t xml:space="preserve">      292,709.87 </t>
  </si>
  <si>
    <t xml:space="preserve">      340,004.54 </t>
  </si>
  <si>
    <t xml:space="preserve">      326,497.46 </t>
  </si>
  <si>
    <t xml:space="preserve">We need your kind support to clarify your own criteria of calculating the total hotel consumption. </t>
  </si>
  <si>
    <t>Ahmed Elsawy</t>
  </si>
  <si>
    <t>Maintenance Manager</t>
  </si>
  <si>
    <t>Four Seasons Hotel Cairo at Nile Plaza</t>
  </si>
  <si>
    <t>1089 Corniche El-Nil, Garden City, Cairo, Egypt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</si>
</sst>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0"/>
      <name val="Arial"/>
      <family val="2"/>
    </font>
    <font>
      <b/>
      <sz val="10"/>
      <name val="Arial"/>
      <family val="2"/>
    </font>
    <font>
      <sz val="12"/>
      <name val="Arial"/>
      <family val="2"/>
    </font>
    <font>
      <sz val="10"/>
      <color indexed="10"/>
      <name val="Arial"/>
      <family val="2"/>
    </font>
    <font>
      <sz val="11"/>
      <color indexed="10"/>
      <name val="Times New Roman"/>
      <family val="1"/>
    </font>
    <font>
      <sz val="11"/>
      <name val="Times New Roman"/>
      <family val="1"/>
    </font>
    <font>
      <sz val="10"/>
      <color rgb="FFFF0000"/>
      <name val="Arial"/>
      <family val="2"/>
    </font>
    <font>
      <b/>
      <sz val="10"/>
      <color rgb="FFFF0000"/>
      <name val="Arial"/>
      <family val="2"/>
    </font>
    <font>
      <b/>
      <sz val="10"/>
      <color rgb="FF0070C0"/>
      <name val="Arial"/>
      <family val="2"/>
    </font>
    <font>
      <sz val="10"/>
      <color rgb="FF0070C0"/>
      <name val="Arial"/>
      <family val="2"/>
    </font>
    <font>
      <sz val="12"/>
      <color rgb="FF333333"/>
      <name val="Arial"/>
      <family val="2"/>
    </font>
    <font>
      <sz val="11"/>
      <color rgb="FFFF0000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EDF1F3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99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7">
    <xf numFmtId="0" fontId="0" fillId="0" borderId="0" xfId="0"/>
    <xf numFmtId="1" fontId="0" fillId="0" borderId="0" xfId="0" applyNumberFormat="1"/>
    <xf numFmtId="1" fontId="6" fillId="0" borderId="0" xfId="0" applyNumberFormat="1" applyFont="1"/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>
      <alignment wrapText="1"/>
    </xf>
    <xf numFmtId="1" fontId="1" fillId="0" borderId="0" xfId="0" applyNumberFormat="1" applyFont="1"/>
    <xf numFmtId="0" fontId="7" fillId="0" borderId="1" xfId="0" applyFont="1" applyBorder="1" applyAlignment="1">
      <alignment wrapText="1"/>
    </xf>
    <xf numFmtId="1" fontId="7" fillId="0" borderId="0" xfId="0" applyNumberFormat="1" applyFont="1"/>
    <xf numFmtId="0" fontId="7" fillId="0" borderId="0" xfId="0" applyFont="1"/>
    <xf numFmtId="0" fontId="8" fillId="0" borderId="1" xfId="0" applyFont="1" applyBorder="1" applyAlignment="1">
      <alignment wrapText="1"/>
    </xf>
    <xf numFmtId="1" fontId="9" fillId="0" borderId="0" xfId="0" applyNumberFormat="1" applyFont="1"/>
    <xf numFmtId="0" fontId="9" fillId="0" borderId="0" xfId="0" applyFont="1"/>
    <xf numFmtId="2" fontId="7" fillId="0" borderId="0" xfId="0" applyNumberFormat="1" applyFont="1"/>
    <xf numFmtId="0" fontId="8" fillId="0" borderId="1" xfId="0" applyFont="1" applyBorder="1" applyAlignment="1">
      <alignment horizontal="center" wrapText="1"/>
    </xf>
    <xf numFmtId="1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" fontId="9" fillId="0" borderId="0" xfId="0" applyNumberFormat="1" applyFont="1" applyProtection="1">
      <protection hidden="1"/>
    </xf>
    <xf numFmtId="0" fontId="10" fillId="2" borderId="0" xfId="0" applyFont="1" applyFill="1" applyAlignment="1">
      <alignment vertical="center" wrapText="1"/>
    </xf>
    <xf numFmtId="14" fontId="10" fillId="2" borderId="0" xfId="0" applyNumberFormat="1" applyFont="1" applyFill="1" applyAlignment="1">
      <alignment vertical="center" wrapText="1"/>
    </xf>
    <xf numFmtId="0" fontId="2" fillId="0" borderId="0" xfId="0" applyFont="1"/>
    <xf numFmtId="0" fontId="10" fillId="3" borderId="0" xfId="0" applyFont="1" applyFill="1" applyAlignment="1">
      <alignment vertical="center" wrapText="1"/>
    </xf>
    <xf numFmtId="14" fontId="10" fillId="3" borderId="0" xfId="0" applyNumberFormat="1" applyFont="1" applyFill="1" applyAlignment="1">
      <alignment vertical="center" wrapText="1"/>
    </xf>
    <xf numFmtId="0" fontId="11" fillId="4" borderId="2" xfId="0" applyFont="1" applyFill="1" applyBorder="1" applyAlignment="1">
      <alignment horizontal="center" vertical="center" wrapText="1"/>
    </xf>
    <xf numFmtId="16" fontId="11" fillId="4" borderId="2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vertical="center" wrapText="1"/>
    </xf>
    <xf numFmtId="0" fontId="0" fillId="5" borderId="2" xfId="0" applyFill="1" applyBorder="1" applyAlignment="1">
      <alignment horizontal="right" vertical="center" wrapText="1"/>
    </xf>
    <xf numFmtId="0" fontId="5" fillId="0" borderId="2" xfId="0" applyFont="1" applyBorder="1" applyAlignment="1">
      <alignment vertical="center" wrapText="1"/>
    </xf>
    <xf numFmtId="0" fontId="0" fillId="0" borderId="2" xfId="0" applyBorder="1" applyAlignment="1">
      <alignment horizontal="right" vertical="center" wrapText="1"/>
    </xf>
    <xf numFmtId="4" fontId="0" fillId="0" borderId="2" xfId="0" applyNumberFormat="1" applyBorder="1" applyAlignment="1">
      <alignment horizontal="right" vertical="center" wrapText="1"/>
    </xf>
    <xf numFmtId="4" fontId="0" fillId="5" borderId="2" xfId="0" applyNumberFormat="1" applyFill="1" applyBorder="1" applyAlignment="1">
      <alignment horizontal="right" vertical="center" wrapText="1"/>
    </xf>
    <xf numFmtId="0" fontId="5" fillId="5" borderId="2" xfId="0" applyFont="1" applyFill="1" applyBorder="1" applyAlignment="1">
      <alignment horizontal="center" vertical="center" wrapText="1"/>
    </xf>
    <xf numFmtId="4" fontId="11" fillId="4" borderId="2" xfId="0" applyNumberFormat="1" applyFont="1" applyFill="1" applyBorder="1" applyAlignment="1">
      <alignment horizontal="center" vertical="center" wrapText="1"/>
    </xf>
    <xf numFmtId="0" fontId="11" fillId="6" borderId="2" xfId="0" applyFont="1" applyFill="1" applyBorder="1" applyAlignment="1">
      <alignment horizontal="center" vertical="center" wrapText="1"/>
    </xf>
    <xf numFmtId="3" fontId="5" fillId="5" borderId="2" xfId="0" applyNumberFormat="1" applyFont="1" applyFill="1" applyBorder="1" applyAlignment="1">
      <alignment horizontal="right" vertical="center" wrapText="1"/>
    </xf>
    <xf numFmtId="0" fontId="5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vertical="center" wrapText="1"/>
    </xf>
    <xf numFmtId="1" fontId="11" fillId="4" borderId="2" xfId="0" applyNumberFormat="1" applyFont="1" applyFill="1" applyBorder="1" applyAlignment="1">
      <alignment horizontal="center" vertical="center" wrapText="1"/>
    </xf>
    <xf numFmtId="1" fontId="0" fillId="5" borderId="2" xfId="0" applyNumberFormat="1" applyFill="1" applyBorder="1" applyAlignment="1">
      <alignment horizontal="right" vertical="center" wrapText="1"/>
    </xf>
    <xf numFmtId="1" fontId="0" fillId="0" borderId="2" xfId="0" applyNumberFormat="1" applyBorder="1" applyAlignment="1">
      <alignment horizontal="right" vertical="center" wrapText="1"/>
    </xf>
    <xf numFmtId="1" fontId="5" fillId="0" borderId="2" xfId="0" applyNumberFormat="1" applyFont="1" applyBorder="1" applyAlignment="1">
      <alignment horizontal="center" vertical="center" wrapText="1"/>
    </xf>
    <xf numFmtId="1" fontId="5" fillId="5" borderId="2" xfId="0" applyNumberFormat="1" applyFont="1" applyFill="1" applyBorder="1" applyAlignment="1">
      <alignment horizontal="center" vertical="center" wrapText="1"/>
    </xf>
    <xf numFmtId="1" fontId="11" fillId="6" borderId="2" xfId="0" applyNumberFormat="1" applyFont="1" applyFill="1" applyBorder="1" applyAlignment="1">
      <alignment horizontal="center" vertical="center" wrapText="1"/>
    </xf>
    <xf numFmtId="1" fontId="5" fillId="5" borderId="2" xfId="0" applyNumberFormat="1" applyFont="1" applyFill="1" applyBorder="1" applyAlignment="1">
      <alignment horizontal="right" vertical="center" wrapText="1"/>
    </xf>
    <xf numFmtId="1" fontId="5" fillId="0" borderId="2" xfId="0" applyNumberFormat="1" applyFont="1" applyBorder="1" applyAlignment="1">
      <alignment vertical="center"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090000"/>
        </a:solidFill>
        <a:ln w="9525" cap="flat" cmpd="sng" algn="ctr">
          <a:solidFill>
            <a:srgbClr val="400000"/>
          </a:solidFill>
          <a:prstDash val="solid"/>
          <a:round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a:spPr>
      <a:bodyPr vertOverflow="clip" wrap="square" lIns="18288" tIns="0" rIns="0" bIns="0" upright="1"/>
      <a:lstStyle/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7"/>
  <sheetViews>
    <sheetView tabSelected="1" zoomScale="115" zoomScaleNormal="115" workbookViewId="0">
      <pane xSplit="3" ySplit="1" topLeftCell="D2" activePane="bottomRight" state="frozen"/>
      <selection pane="topRight" activeCell="D1" sqref="D1"/>
      <selection pane="bottomLeft" activeCell="A3" sqref="A3"/>
      <selection pane="bottomRight" activeCell="D3" sqref="D3"/>
    </sheetView>
  </sheetViews>
  <sheetFormatPr defaultColWidth="11.5703125" defaultRowHeight="12.75" x14ac:dyDescent="0.2"/>
  <cols>
    <col min="1" max="1" width="15.7109375" bestFit="1" customWidth="1"/>
    <col min="3" max="3" width="13.42578125" customWidth="1"/>
    <col min="4" max="4" width="12.5703125" style="3" customWidth="1"/>
    <col min="5" max="5" width="12.5703125" style="9" customWidth="1"/>
    <col min="6" max="6" width="11.5703125" style="12"/>
    <col min="7" max="7" width="11.5703125" style="16"/>
    <col min="8" max="8" width="11.5703125" style="3"/>
    <col min="9" max="9" width="11.5703125" style="9"/>
    <col min="10" max="11" width="11.5703125" style="12"/>
    <col min="12" max="12" width="11.5703125" style="3"/>
    <col min="13" max="13" width="11.5703125" style="9"/>
    <col min="14" max="15" width="11.5703125" style="12"/>
    <col min="16" max="16" width="11.5703125" style="3"/>
  </cols>
  <sheetData>
    <row r="1" spans="1:17" s="3" customFormat="1" ht="51" x14ac:dyDescent="0.2">
      <c r="A1" s="4" t="s">
        <v>0</v>
      </c>
      <c r="B1" s="4" t="s">
        <v>1</v>
      </c>
      <c r="C1" s="4" t="s">
        <v>2</v>
      </c>
      <c r="D1" s="5" t="s">
        <v>3</v>
      </c>
      <c r="E1" s="7" t="s">
        <v>4</v>
      </c>
      <c r="F1" s="10" t="s">
        <v>5</v>
      </c>
      <c r="G1" s="14" t="s">
        <v>6</v>
      </c>
      <c r="H1" s="5" t="s">
        <v>7</v>
      </c>
      <c r="I1" s="7" t="s">
        <v>8</v>
      </c>
      <c r="J1" s="10" t="s">
        <v>9</v>
      </c>
      <c r="K1" s="10" t="s">
        <v>10</v>
      </c>
      <c r="L1" s="5" t="s">
        <v>11</v>
      </c>
      <c r="M1" s="7" t="s">
        <v>12</v>
      </c>
      <c r="N1" s="10" t="s">
        <v>13</v>
      </c>
      <c r="O1" s="10" t="s">
        <v>14</v>
      </c>
      <c r="P1" s="5" t="s">
        <v>15</v>
      </c>
      <c r="Q1" s="5" t="s">
        <v>16</v>
      </c>
    </row>
    <row r="2" spans="1:17" x14ac:dyDescent="0.2">
      <c r="A2" t="s">
        <v>17</v>
      </c>
      <c r="B2" s="1">
        <v>1</v>
      </c>
      <c r="C2" s="1">
        <v>2021</v>
      </c>
      <c r="D2" s="6"/>
      <c r="E2" s="8"/>
      <c r="F2" s="11">
        <f>G2/1.27</f>
        <v>1356541.6657003935</v>
      </c>
      <c r="G2" s="15">
        <v>1722807.9154394998</v>
      </c>
      <c r="H2" s="6"/>
      <c r="I2" s="8"/>
      <c r="J2" s="11">
        <f>K2/3.65</f>
        <v>88160.587833698635</v>
      </c>
      <c r="K2" s="11">
        <v>321786.14559299999</v>
      </c>
      <c r="M2" s="13"/>
      <c r="N2" s="11">
        <f>O2/10.03</f>
        <v>20715.671686200003</v>
      </c>
      <c r="O2" s="17">
        <v>207778.18701258602</v>
      </c>
    </row>
    <row r="3" spans="1:17" x14ac:dyDescent="0.2">
      <c r="A3" t="s">
        <v>17</v>
      </c>
      <c r="B3" s="1">
        <v>2</v>
      </c>
      <c r="C3" s="1">
        <v>2021</v>
      </c>
      <c r="D3" s="6"/>
      <c r="E3" s="8"/>
      <c r="F3" s="11">
        <f t="shared" ref="F3:F13" si="0">G3/1.27</f>
        <v>1554217.4607313068</v>
      </c>
      <c r="G3" s="15">
        <v>1973856.1751287598</v>
      </c>
      <c r="H3" s="6"/>
      <c r="I3" s="8"/>
      <c r="J3" s="11">
        <f t="shared" ref="J3:J13" si="1">K3/3.65</f>
        <v>80031.61635534247</v>
      </c>
      <c r="K3" s="11">
        <v>292115.39969699999</v>
      </c>
      <c r="M3" s="13"/>
      <c r="N3" s="11">
        <f t="shared" ref="N3:N13" si="2">O3/10.03</f>
        <v>20615.534771999999</v>
      </c>
      <c r="O3" s="17">
        <v>206773.81376315997</v>
      </c>
    </row>
    <row r="4" spans="1:17" x14ac:dyDescent="0.2">
      <c r="A4" t="s">
        <v>17</v>
      </c>
      <c r="B4" s="1">
        <v>3</v>
      </c>
      <c r="C4" s="1">
        <v>2021</v>
      </c>
      <c r="D4" s="6"/>
      <c r="E4" s="8"/>
      <c r="F4" s="11">
        <f t="shared" si="0"/>
        <v>1467744.1938081733</v>
      </c>
      <c r="G4" s="15">
        <v>1864035.12613638</v>
      </c>
      <c r="H4" s="6"/>
      <c r="I4" s="8"/>
      <c r="J4" s="11">
        <f t="shared" si="1"/>
        <v>72598.55615506848</v>
      </c>
      <c r="K4" s="11">
        <v>264984.72996599996</v>
      </c>
      <c r="L4" s="6"/>
      <c r="M4" s="8"/>
      <c r="N4" s="11">
        <f t="shared" si="2"/>
        <v>22342.721962600001</v>
      </c>
      <c r="O4" s="17">
        <v>224097.50128487797</v>
      </c>
    </row>
    <row r="5" spans="1:17" x14ac:dyDescent="0.2">
      <c r="A5" t="s">
        <v>17</v>
      </c>
      <c r="B5" s="1">
        <v>4</v>
      </c>
      <c r="C5" s="1">
        <v>2021</v>
      </c>
      <c r="D5" s="6"/>
      <c r="E5" s="8"/>
      <c r="F5" s="11">
        <f t="shared" si="0"/>
        <v>1348729.9366757008</v>
      </c>
      <c r="G5" s="15">
        <v>1712887.01957814</v>
      </c>
      <c r="H5" s="6"/>
      <c r="I5" s="8"/>
      <c r="J5" s="11">
        <f t="shared" si="1"/>
        <v>55466.403083013698</v>
      </c>
      <c r="K5" s="11">
        <v>202452.37125299999</v>
      </c>
      <c r="L5" s="6"/>
      <c r="M5" s="8"/>
      <c r="N5" s="11">
        <f t="shared" si="2"/>
        <v>20563.807052</v>
      </c>
      <c r="O5" s="17">
        <v>206254.98473155999</v>
      </c>
    </row>
    <row r="6" spans="1:17" x14ac:dyDescent="0.2">
      <c r="A6" t="s">
        <v>17</v>
      </c>
      <c r="B6" s="2">
        <v>5</v>
      </c>
      <c r="C6" s="1">
        <v>2021</v>
      </c>
      <c r="D6" s="6"/>
      <c r="E6" s="8"/>
      <c r="F6" s="11">
        <f t="shared" si="0"/>
        <v>1541837.4958946458</v>
      </c>
      <c r="G6" s="15">
        <v>1958133.6197862003</v>
      </c>
      <c r="H6" s="6"/>
      <c r="I6" s="8"/>
      <c r="J6" s="11">
        <f t="shared" si="1"/>
        <v>64193.949229315069</v>
      </c>
      <c r="K6" s="11">
        <v>234307.91468699998</v>
      </c>
      <c r="L6" s="6"/>
      <c r="M6" s="8"/>
      <c r="N6" s="11">
        <f t="shared" si="2"/>
        <v>22534.646777999998</v>
      </c>
      <c r="O6" s="17">
        <v>226022.50718333997</v>
      </c>
    </row>
    <row r="7" spans="1:17" x14ac:dyDescent="0.2">
      <c r="A7" t="s">
        <v>17</v>
      </c>
      <c r="B7" s="1">
        <v>6</v>
      </c>
      <c r="C7" s="1">
        <v>2021</v>
      </c>
      <c r="D7" s="6"/>
      <c r="E7" s="8"/>
      <c r="F7" s="11">
        <f t="shared" si="0"/>
        <v>1835976.4232171969</v>
      </c>
      <c r="G7" s="15">
        <v>2331690.0574858403</v>
      </c>
      <c r="H7" s="6"/>
      <c r="I7" s="8"/>
      <c r="J7" s="11">
        <f t="shared" si="1"/>
        <v>58928.675402465749</v>
      </c>
      <c r="K7" s="11">
        <v>215089.66521899999</v>
      </c>
      <c r="L7" s="6"/>
      <c r="M7" s="8"/>
      <c r="N7" s="11">
        <f t="shared" si="2"/>
        <v>25454.872796</v>
      </c>
      <c r="O7" s="17">
        <v>255312.37414387998</v>
      </c>
    </row>
    <row r="8" spans="1:17" x14ac:dyDescent="0.2">
      <c r="A8" t="s">
        <v>17</v>
      </c>
      <c r="B8" s="1">
        <v>7</v>
      </c>
      <c r="C8" s="1">
        <v>2021</v>
      </c>
      <c r="D8" s="6"/>
      <c r="E8" s="8"/>
      <c r="F8" s="11">
        <f t="shared" si="0"/>
        <v>1981384.5561851971</v>
      </c>
      <c r="G8" s="15">
        <v>2516358.3863552003</v>
      </c>
      <c r="H8" s="6"/>
      <c r="I8" s="8"/>
      <c r="J8" s="11">
        <f t="shared" si="1"/>
        <v>50909.776165479452</v>
      </c>
      <c r="K8" s="11">
        <v>185820.68300399999</v>
      </c>
      <c r="L8" s="6"/>
      <c r="M8" s="8"/>
      <c r="N8" s="11">
        <f t="shared" si="2"/>
        <v>25798.177105399998</v>
      </c>
      <c r="O8" s="17">
        <v>258755.71636716198</v>
      </c>
    </row>
    <row r="9" spans="1:17" x14ac:dyDescent="0.2">
      <c r="A9" t="s">
        <v>17</v>
      </c>
      <c r="B9" s="1">
        <v>8</v>
      </c>
      <c r="C9" s="1">
        <v>2021</v>
      </c>
      <c r="D9" s="6"/>
      <c r="E9" s="8"/>
      <c r="F9" s="11">
        <f t="shared" si="0"/>
        <v>2028978.2313651969</v>
      </c>
      <c r="G9" s="15">
        <v>2576802.3538338002</v>
      </c>
      <c r="H9" s="6"/>
      <c r="I9" s="8"/>
      <c r="J9" s="11">
        <f t="shared" si="1"/>
        <v>60479.693349041088</v>
      </c>
      <c r="K9" s="11">
        <v>220750.88072399996</v>
      </c>
      <c r="L9" s="6"/>
      <c r="M9" s="8"/>
      <c r="N9" s="11">
        <f t="shared" si="2"/>
        <v>24941.581249999996</v>
      </c>
      <c r="O9" s="17">
        <v>250164.05993749996</v>
      </c>
    </row>
    <row r="10" spans="1:17" x14ac:dyDescent="0.2">
      <c r="A10" t="s">
        <v>17</v>
      </c>
      <c r="B10" s="1">
        <v>9</v>
      </c>
      <c r="C10" s="1">
        <v>2021</v>
      </c>
      <c r="D10" s="6"/>
      <c r="E10" s="8"/>
      <c r="F10" s="11">
        <f t="shared" si="0"/>
        <v>2205219.4949411969</v>
      </c>
      <c r="G10" s="15">
        <v>2800628.7585753202</v>
      </c>
      <c r="H10" s="6"/>
      <c r="I10" s="8"/>
      <c r="J10" s="11">
        <f t="shared" si="1"/>
        <v>77084.227412876717</v>
      </c>
      <c r="K10" s="11">
        <v>281357.43005700002</v>
      </c>
      <c r="L10" s="6"/>
      <c r="M10" s="8"/>
      <c r="N10" s="11">
        <f t="shared" si="2"/>
        <v>26667.502526208002</v>
      </c>
      <c r="O10" s="17">
        <v>267475.05033786624</v>
      </c>
    </row>
    <row r="11" spans="1:17" x14ac:dyDescent="0.2">
      <c r="A11" t="s">
        <v>17</v>
      </c>
      <c r="B11" s="1">
        <v>10</v>
      </c>
      <c r="C11" s="1">
        <v>2021</v>
      </c>
      <c r="D11" s="6"/>
      <c r="E11" s="8"/>
      <c r="F11" s="11">
        <f t="shared" si="0"/>
        <v>1983374.1839331971</v>
      </c>
      <c r="G11" s="15">
        <v>2518885.2135951603</v>
      </c>
      <c r="H11" s="6"/>
      <c r="I11" s="8"/>
      <c r="J11" s="11">
        <f t="shared" si="1"/>
        <v>80379.571994383557</v>
      </c>
      <c r="K11" s="11">
        <v>293385.43777949997</v>
      </c>
      <c r="L11" s="6"/>
      <c r="M11" s="8"/>
      <c r="N11" s="11">
        <f t="shared" si="2"/>
        <v>28504.088099999994</v>
      </c>
      <c r="O11" s="17">
        <v>285896.00364299992</v>
      </c>
    </row>
    <row r="12" spans="1:17" x14ac:dyDescent="0.2">
      <c r="A12" t="s">
        <v>17</v>
      </c>
      <c r="B12" s="1">
        <v>11</v>
      </c>
      <c r="C12" s="1">
        <v>2021</v>
      </c>
      <c r="D12" s="6"/>
      <c r="E12" s="8"/>
      <c r="F12" s="11">
        <f t="shared" si="0"/>
        <v>1997892.4618059169</v>
      </c>
      <c r="G12" s="15">
        <v>2537323.4264935143</v>
      </c>
      <c r="H12" s="6"/>
      <c r="I12" s="8"/>
      <c r="J12" s="11">
        <f t="shared" si="1"/>
        <v>90968.794520547948</v>
      </c>
      <c r="K12" s="11">
        <v>332036.09999999998</v>
      </c>
      <c r="L12" s="6"/>
      <c r="M12" s="8"/>
      <c r="N12" s="11">
        <f t="shared" si="2"/>
        <v>28610.036739999996</v>
      </c>
      <c r="O12" s="17">
        <v>286958.66850219993</v>
      </c>
    </row>
    <row r="13" spans="1:17" x14ac:dyDescent="0.2">
      <c r="A13" t="s">
        <v>17</v>
      </c>
      <c r="B13" s="1">
        <v>12</v>
      </c>
      <c r="C13" s="1">
        <v>2021</v>
      </c>
      <c r="D13" s="6"/>
      <c r="E13" s="8"/>
      <c r="F13" s="11">
        <f t="shared" si="0"/>
        <v>1885718.8072931967</v>
      </c>
      <c r="G13" s="15">
        <v>2394862.8852623599</v>
      </c>
      <c r="H13" s="6"/>
      <c r="I13" s="8"/>
      <c r="J13" s="11">
        <f t="shared" si="1"/>
        <v>100065.67397260273</v>
      </c>
      <c r="K13" s="11">
        <v>365239.70999999996</v>
      </c>
      <c r="L13" s="6"/>
      <c r="M13" s="8"/>
      <c r="N13" s="11">
        <f t="shared" si="2"/>
        <v>28602.903879999994</v>
      </c>
      <c r="O13" s="17">
        <v>286887.12591639993</v>
      </c>
    </row>
    <row r="14" spans="1:17" x14ac:dyDescent="0.2">
      <c r="B14" s="1"/>
      <c r="C14" s="1"/>
      <c r="D14" s="6"/>
      <c r="E14" s="8"/>
      <c r="F14" s="11"/>
      <c r="G14" s="15"/>
      <c r="H14" s="6"/>
      <c r="I14" s="8"/>
      <c r="J14" s="11"/>
      <c r="K14" s="11"/>
      <c r="L14" s="6"/>
      <c r="M14" s="8"/>
      <c r="N14" s="11"/>
    </row>
    <row r="15" spans="1:17" x14ac:dyDescent="0.2">
      <c r="B15" s="1"/>
      <c r="C15" s="1"/>
      <c r="D15" s="6"/>
      <c r="E15" s="8"/>
      <c r="F15" s="11"/>
      <c r="G15" s="15"/>
      <c r="H15" s="6"/>
      <c r="I15" s="8"/>
      <c r="J15" s="11"/>
      <c r="K15" s="11"/>
      <c r="L15" s="6"/>
      <c r="M15" s="8"/>
      <c r="N15" s="11"/>
    </row>
    <row r="16" spans="1:17" x14ac:dyDescent="0.2">
      <c r="B16" s="1"/>
      <c r="C16" s="1"/>
      <c r="D16" s="6"/>
      <c r="E16" s="8"/>
      <c r="F16" s="11"/>
      <c r="G16" s="15"/>
      <c r="H16" s="6"/>
      <c r="I16" s="8"/>
      <c r="J16" s="11"/>
      <c r="K16" s="11"/>
      <c r="L16" s="6"/>
      <c r="M16" s="8"/>
      <c r="N16" s="11"/>
    </row>
    <row r="17" spans="2:14" x14ac:dyDescent="0.2">
      <c r="B17" s="1"/>
      <c r="C17" s="1"/>
      <c r="D17" s="6"/>
      <c r="E17" s="8"/>
      <c r="F17" s="11"/>
      <c r="G17" s="15"/>
      <c r="H17" s="6"/>
      <c r="I17" s="8"/>
      <c r="J17" s="11"/>
      <c r="K17" s="11"/>
      <c r="L17" s="6"/>
      <c r="M17" s="8"/>
      <c r="N17" s="11"/>
    </row>
    <row r="18" spans="2:14" x14ac:dyDescent="0.2">
      <c r="B18" s="1"/>
      <c r="C18" s="1"/>
      <c r="D18" s="6"/>
      <c r="E18" s="8"/>
      <c r="F18" s="11"/>
      <c r="G18" s="15"/>
      <c r="H18" s="6"/>
      <c r="I18" s="8"/>
      <c r="J18" s="11"/>
      <c r="K18" s="11"/>
      <c r="L18" s="6"/>
      <c r="M18" s="8"/>
      <c r="N18" s="11"/>
    </row>
    <row r="19" spans="2:14" x14ac:dyDescent="0.2">
      <c r="B19" s="1"/>
      <c r="C19" s="1"/>
      <c r="D19" s="6"/>
      <c r="E19" s="8"/>
      <c r="F19" s="11"/>
      <c r="G19" s="15"/>
      <c r="H19" s="6"/>
      <c r="I19" s="8"/>
      <c r="J19" s="11"/>
      <c r="K19" s="11"/>
      <c r="L19" s="6"/>
      <c r="M19" s="8"/>
      <c r="N19" s="11"/>
    </row>
    <row r="20" spans="2:14" x14ac:dyDescent="0.2">
      <c r="B20" s="1"/>
      <c r="C20" s="1"/>
      <c r="D20" s="6"/>
      <c r="E20" s="8"/>
      <c r="F20" s="11"/>
      <c r="G20" s="15"/>
      <c r="H20" s="6"/>
      <c r="I20" s="8"/>
      <c r="J20" s="11"/>
      <c r="K20" s="11"/>
      <c r="L20" s="6"/>
      <c r="M20" s="8"/>
      <c r="N20" s="11"/>
    </row>
    <row r="21" spans="2:14" x14ac:dyDescent="0.2">
      <c r="B21" s="1"/>
      <c r="C21" s="1"/>
      <c r="D21" s="6"/>
      <c r="E21" s="8"/>
      <c r="F21" s="11"/>
      <c r="G21" s="15"/>
      <c r="H21" s="6"/>
      <c r="I21" s="8"/>
      <c r="J21" s="11"/>
      <c r="K21" s="11"/>
      <c r="L21" s="6"/>
      <c r="M21" s="8"/>
      <c r="N21" s="11"/>
    </row>
    <row r="22" spans="2:14" x14ac:dyDescent="0.2">
      <c r="B22" s="1"/>
      <c r="C22" s="1"/>
      <c r="D22" s="6"/>
      <c r="E22" s="8"/>
      <c r="F22" s="11"/>
      <c r="G22" s="15"/>
      <c r="H22" s="6"/>
      <c r="I22" s="8"/>
      <c r="J22" s="11"/>
      <c r="K22" s="11"/>
      <c r="L22" s="6"/>
      <c r="M22" s="8"/>
      <c r="N22" s="11"/>
    </row>
    <row r="23" spans="2:14" x14ac:dyDescent="0.2">
      <c r="B23" s="1"/>
      <c r="C23" s="1"/>
      <c r="D23" s="6"/>
      <c r="E23" s="8"/>
      <c r="F23" s="11"/>
      <c r="G23" s="15"/>
      <c r="H23" s="6"/>
      <c r="I23" s="8"/>
      <c r="J23" s="11"/>
      <c r="K23" s="11"/>
      <c r="L23" s="6"/>
      <c r="M23" s="8"/>
      <c r="N23" s="11"/>
    </row>
    <row r="24" spans="2:14" x14ac:dyDescent="0.2">
      <c r="B24" s="1"/>
      <c r="C24" s="1"/>
      <c r="D24" s="6"/>
      <c r="E24" s="8"/>
      <c r="F24" s="11"/>
      <c r="G24" s="15"/>
      <c r="H24" s="6"/>
      <c r="I24" s="8"/>
      <c r="J24" s="11"/>
      <c r="K24" s="11"/>
      <c r="L24" s="6"/>
      <c r="M24" s="8"/>
      <c r="N24" s="11"/>
    </row>
    <row r="25" spans="2:14" x14ac:dyDescent="0.2">
      <c r="B25" s="1"/>
      <c r="C25" s="1"/>
      <c r="D25" s="6"/>
      <c r="E25" s="8"/>
      <c r="F25" s="11"/>
      <c r="G25" s="15"/>
      <c r="H25" s="6"/>
      <c r="I25" s="8"/>
      <c r="J25" s="11"/>
      <c r="K25" s="11"/>
      <c r="L25" s="6"/>
      <c r="M25" s="8"/>
      <c r="N25" s="11"/>
    </row>
    <row r="26" spans="2:14" x14ac:dyDescent="0.2">
      <c r="B26" s="1"/>
      <c r="C26" s="1"/>
      <c r="D26" s="6"/>
      <c r="E26" s="8"/>
      <c r="F26" s="11"/>
      <c r="G26" s="15"/>
      <c r="H26" s="6"/>
      <c r="I26" s="8"/>
      <c r="J26" s="11"/>
      <c r="K26" s="11"/>
      <c r="L26" s="6"/>
      <c r="M26" s="8"/>
      <c r="N26" s="11"/>
    </row>
    <row r="27" spans="2:14" x14ac:dyDescent="0.2">
      <c r="B27" s="1"/>
      <c r="C27" s="1"/>
      <c r="D27" s="6"/>
      <c r="E27" s="8"/>
      <c r="F27" s="11"/>
      <c r="G27" s="15"/>
      <c r="H27" s="6"/>
      <c r="I27" s="8"/>
      <c r="J27" s="11"/>
      <c r="K27" s="11"/>
      <c r="L27" s="6"/>
      <c r="M27" s="8"/>
      <c r="N27" s="11"/>
    </row>
    <row r="28" spans="2:14" x14ac:dyDescent="0.2">
      <c r="B28" s="1"/>
      <c r="C28" s="1"/>
      <c r="D28" s="6"/>
      <c r="E28" s="8"/>
      <c r="F28" s="11"/>
      <c r="G28" s="15"/>
      <c r="H28" s="6"/>
      <c r="I28" s="8"/>
      <c r="J28" s="11"/>
      <c r="K28" s="11"/>
      <c r="L28" s="6"/>
      <c r="M28" s="8"/>
      <c r="N28" s="11"/>
    </row>
    <row r="29" spans="2:14" x14ac:dyDescent="0.2">
      <c r="B29" s="1"/>
      <c r="C29" s="1"/>
      <c r="D29" s="6"/>
      <c r="E29" s="8"/>
      <c r="F29" s="11"/>
      <c r="G29" s="15"/>
      <c r="H29" s="6"/>
      <c r="I29" s="8"/>
      <c r="J29" s="11"/>
      <c r="K29" s="11"/>
      <c r="L29" s="6"/>
      <c r="M29" s="8"/>
      <c r="N29" s="11"/>
    </row>
    <row r="30" spans="2:14" x14ac:dyDescent="0.2">
      <c r="B30" s="1"/>
      <c r="C30" s="1"/>
      <c r="D30" s="6"/>
      <c r="E30" s="8"/>
      <c r="F30" s="11"/>
      <c r="G30" s="15"/>
      <c r="H30" s="6"/>
      <c r="I30" s="8"/>
      <c r="J30" s="11"/>
      <c r="K30" s="11"/>
      <c r="L30" s="6"/>
      <c r="M30" s="8"/>
      <c r="N30" s="11"/>
    </row>
    <row r="31" spans="2:14" x14ac:dyDescent="0.2">
      <c r="B31" s="1"/>
      <c r="C31" s="1"/>
      <c r="D31" s="6"/>
      <c r="E31" s="8"/>
      <c r="F31" s="11"/>
      <c r="G31" s="15"/>
      <c r="H31" s="6"/>
      <c r="I31" s="8"/>
      <c r="J31" s="11"/>
      <c r="K31" s="11"/>
      <c r="L31" s="6"/>
      <c r="M31" s="8"/>
      <c r="N31" s="11"/>
    </row>
    <row r="32" spans="2:14" x14ac:dyDescent="0.2">
      <c r="B32" s="1"/>
      <c r="C32" s="1"/>
      <c r="D32" s="6"/>
      <c r="E32" s="8"/>
      <c r="F32" s="11"/>
      <c r="G32" s="15"/>
      <c r="H32" s="6"/>
      <c r="I32" s="8"/>
      <c r="J32" s="11"/>
      <c r="K32" s="11"/>
      <c r="L32" s="6"/>
      <c r="M32" s="8"/>
      <c r="N32" s="11"/>
    </row>
    <row r="33" spans="2:14" x14ac:dyDescent="0.2">
      <c r="B33" s="1"/>
      <c r="C33" s="1"/>
      <c r="D33" s="6"/>
      <c r="E33" s="8"/>
      <c r="F33" s="11"/>
      <c r="G33" s="15"/>
      <c r="H33" s="6"/>
      <c r="I33" s="8"/>
      <c r="J33" s="11"/>
      <c r="K33" s="11"/>
      <c r="L33" s="6"/>
      <c r="M33" s="8"/>
      <c r="N33" s="11"/>
    </row>
    <row r="34" spans="2:14" x14ac:dyDescent="0.2">
      <c r="B34" s="1"/>
      <c r="C34" s="1"/>
      <c r="D34" s="6"/>
      <c r="E34" s="8"/>
      <c r="F34" s="11"/>
      <c r="G34" s="15"/>
      <c r="H34" s="6"/>
      <c r="I34" s="8"/>
      <c r="J34" s="11"/>
      <c r="K34" s="11"/>
      <c r="L34" s="6"/>
      <c r="M34" s="8"/>
      <c r="N34" s="11"/>
    </row>
    <row r="35" spans="2:14" x14ac:dyDescent="0.2">
      <c r="B35" s="1"/>
      <c r="C35" s="1"/>
      <c r="D35" s="6"/>
      <c r="E35" s="8"/>
      <c r="F35" s="11"/>
      <c r="G35" s="15"/>
      <c r="H35" s="6"/>
      <c r="I35" s="8"/>
      <c r="J35" s="11"/>
      <c r="K35" s="11"/>
      <c r="L35" s="6"/>
      <c r="M35" s="8"/>
      <c r="N35" s="11"/>
    </row>
    <row r="36" spans="2:14" x14ac:dyDescent="0.2">
      <c r="B36" s="1"/>
      <c r="C36" s="1"/>
      <c r="D36" s="6"/>
      <c r="E36" s="8"/>
      <c r="F36" s="11"/>
      <c r="G36" s="15"/>
      <c r="H36" s="6"/>
      <c r="I36" s="8"/>
      <c r="J36" s="11"/>
      <c r="K36" s="11"/>
      <c r="L36" s="6"/>
      <c r="M36" s="8"/>
      <c r="N36" s="11"/>
    </row>
    <row r="37" spans="2:14" x14ac:dyDescent="0.2">
      <c r="B37" s="1"/>
      <c r="C37" s="1"/>
      <c r="D37" s="6"/>
      <c r="E37" s="8"/>
      <c r="F37" s="11"/>
      <c r="G37" s="15"/>
      <c r="H37" s="6"/>
      <c r="I37" s="8"/>
      <c r="J37" s="11"/>
      <c r="K37" s="11"/>
      <c r="L37" s="6"/>
      <c r="M37" s="8"/>
      <c r="N37" s="11"/>
    </row>
    <row r="38" spans="2:14" x14ac:dyDescent="0.2">
      <c r="B38" s="1"/>
      <c r="C38" s="1"/>
      <c r="D38" s="6"/>
      <c r="E38" s="8"/>
      <c r="F38" s="11"/>
      <c r="G38" s="15"/>
      <c r="H38" s="6"/>
      <c r="I38" s="8"/>
      <c r="J38" s="11"/>
      <c r="K38" s="11"/>
      <c r="L38" s="6"/>
      <c r="M38" s="8"/>
      <c r="N38" s="11"/>
    </row>
    <row r="39" spans="2:14" x14ac:dyDescent="0.2">
      <c r="B39" s="1"/>
      <c r="C39" s="1"/>
      <c r="D39" s="6"/>
      <c r="E39" s="8"/>
      <c r="F39" s="11"/>
      <c r="G39" s="15"/>
      <c r="H39" s="6"/>
      <c r="I39" s="8"/>
      <c r="J39" s="11"/>
      <c r="K39" s="11"/>
      <c r="L39" s="6"/>
      <c r="M39" s="8"/>
      <c r="N39" s="11"/>
    </row>
    <row r="40" spans="2:14" x14ac:dyDescent="0.2">
      <c r="B40" s="1"/>
      <c r="C40" s="1"/>
      <c r="D40" s="6"/>
      <c r="E40" s="8"/>
      <c r="F40" s="11"/>
      <c r="G40" s="15"/>
      <c r="H40" s="6"/>
      <c r="I40" s="8"/>
      <c r="J40" s="11"/>
      <c r="K40" s="11"/>
      <c r="L40" s="6"/>
      <c r="M40" s="8"/>
      <c r="N40" s="11"/>
    </row>
    <row r="41" spans="2:14" x14ac:dyDescent="0.2">
      <c r="B41" s="1"/>
      <c r="C41" s="1"/>
      <c r="D41" s="6"/>
      <c r="E41" s="8"/>
      <c r="F41" s="11"/>
      <c r="G41" s="15"/>
      <c r="H41" s="6"/>
      <c r="I41" s="8"/>
      <c r="J41" s="11"/>
      <c r="K41" s="11"/>
      <c r="L41" s="6"/>
      <c r="M41" s="8"/>
      <c r="N41" s="11"/>
    </row>
    <row r="42" spans="2:14" x14ac:dyDescent="0.2">
      <c r="B42" s="1"/>
      <c r="C42" s="1"/>
      <c r="D42" s="6"/>
      <c r="E42" s="8"/>
      <c r="F42" s="11"/>
      <c r="G42" s="15"/>
      <c r="H42" s="6"/>
      <c r="I42" s="8"/>
      <c r="J42" s="11"/>
      <c r="K42" s="11"/>
      <c r="L42" s="6"/>
      <c r="M42" s="8"/>
      <c r="N42" s="11"/>
    </row>
    <row r="43" spans="2:14" x14ac:dyDescent="0.2">
      <c r="B43" s="1"/>
      <c r="C43" s="1"/>
      <c r="D43" s="6"/>
      <c r="E43" s="8"/>
      <c r="F43" s="11"/>
      <c r="G43" s="15"/>
      <c r="H43" s="6"/>
      <c r="I43" s="8"/>
      <c r="J43" s="11"/>
      <c r="K43" s="11"/>
      <c r="L43" s="6"/>
      <c r="M43" s="8"/>
      <c r="N43" s="11"/>
    </row>
    <row r="44" spans="2:14" x14ac:dyDescent="0.2">
      <c r="B44" s="1"/>
      <c r="C44" s="1"/>
      <c r="D44" s="6"/>
      <c r="E44" s="8"/>
      <c r="F44" s="11"/>
      <c r="G44" s="15"/>
      <c r="H44" s="6"/>
      <c r="I44" s="8"/>
      <c r="J44" s="11"/>
      <c r="K44" s="11"/>
      <c r="L44" s="6"/>
      <c r="M44" s="8"/>
      <c r="N44" s="11"/>
    </row>
    <row r="45" spans="2:14" x14ac:dyDescent="0.2">
      <c r="B45" s="1"/>
      <c r="C45" s="1"/>
      <c r="D45" s="6"/>
      <c r="E45" s="8"/>
      <c r="F45" s="11"/>
      <c r="G45" s="15"/>
      <c r="H45" s="6"/>
      <c r="I45" s="8"/>
      <c r="J45" s="11"/>
      <c r="K45" s="11"/>
      <c r="L45" s="6"/>
      <c r="M45" s="8"/>
      <c r="N45" s="11"/>
    </row>
    <row r="46" spans="2:14" x14ac:dyDescent="0.2">
      <c r="B46" s="1"/>
      <c r="C46" s="1"/>
      <c r="D46" s="6"/>
      <c r="E46" s="8"/>
      <c r="F46" s="11"/>
      <c r="G46" s="15"/>
      <c r="H46" s="6"/>
      <c r="I46" s="8"/>
      <c r="J46" s="11"/>
      <c r="K46" s="11"/>
      <c r="L46" s="6"/>
      <c r="M46" s="8"/>
      <c r="N46" s="11"/>
    </row>
    <row r="47" spans="2:14" x14ac:dyDescent="0.2">
      <c r="B47" s="1"/>
      <c r="C47" s="1"/>
      <c r="D47" s="6"/>
      <c r="E47" s="8"/>
      <c r="F47" s="11"/>
      <c r="G47" s="15"/>
      <c r="H47" s="6"/>
      <c r="I47" s="8"/>
      <c r="J47" s="11"/>
      <c r="K47" s="11"/>
      <c r="L47" s="6"/>
      <c r="M47" s="8"/>
      <c r="N47" s="11"/>
    </row>
    <row r="48" spans="2:14" x14ac:dyDescent="0.2">
      <c r="B48" s="1"/>
      <c r="C48" s="1"/>
      <c r="D48" s="6"/>
      <c r="E48" s="8"/>
      <c r="F48" s="11"/>
      <c r="G48" s="15"/>
      <c r="H48" s="6"/>
      <c r="I48" s="8"/>
      <c r="J48" s="11"/>
      <c r="K48" s="11"/>
      <c r="L48" s="6"/>
      <c r="M48" s="8"/>
      <c r="N48" s="11"/>
    </row>
    <row r="49" spans="2:14" x14ac:dyDescent="0.2">
      <c r="B49" s="1"/>
      <c r="C49" s="1"/>
      <c r="D49" s="6"/>
      <c r="E49" s="8"/>
      <c r="F49" s="11"/>
      <c r="G49" s="15"/>
      <c r="H49" s="6"/>
      <c r="I49" s="8"/>
      <c r="J49" s="11"/>
      <c r="K49" s="11"/>
      <c r="L49" s="6"/>
      <c r="M49" s="8"/>
      <c r="N49" s="11"/>
    </row>
    <row r="50" spans="2:14" x14ac:dyDescent="0.2">
      <c r="B50" s="1"/>
      <c r="C50" s="1"/>
      <c r="D50" s="6"/>
      <c r="E50" s="8"/>
      <c r="F50" s="11"/>
      <c r="G50" s="15"/>
      <c r="H50" s="6"/>
      <c r="I50" s="8"/>
      <c r="J50" s="11"/>
      <c r="K50" s="11"/>
      <c r="L50" s="6"/>
      <c r="M50" s="8"/>
      <c r="N50" s="11"/>
    </row>
    <row r="51" spans="2:14" x14ac:dyDescent="0.2">
      <c r="B51" s="1"/>
      <c r="C51" s="1"/>
      <c r="D51" s="6"/>
      <c r="E51" s="8"/>
      <c r="F51" s="11"/>
      <c r="G51" s="15"/>
      <c r="H51" s="6"/>
      <c r="I51" s="8"/>
      <c r="J51" s="11"/>
      <c r="K51" s="11"/>
      <c r="L51" s="6"/>
      <c r="M51" s="8"/>
      <c r="N51" s="11"/>
    </row>
    <row r="52" spans="2:14" x14ac:dyDescent="0.2">
      <c r="B52" s="1"/>
      <c r="C52" s="1"/>
      <c r="D52" s="6"/>
      <c r="E52" s="8"/>
      <c r="F52" s="11"/>
      <c r="G52" s="15"/>
      <c r="H52" s="6"/>
      <c r="I52" s="8"/>
      <c r="J52" s="11"/>
      <c r="K52" s="11"/>
      <c r="L52" s="6"/>
      <c r="M52" s="8"/>
      <c r="N52" s="11"/>
    </row>
    <row r="53" spans="2:14" x14ac:dyDescent="0.2">
      <c r="B53" s="1"/>
      <c r="C53" s="1"/>
      <c r="D53" s="6"/>
      <c r="E53" s="8"/>
      <c r="F53" s="11"/>
      <c r="G53" s="15"/>
      <c r="H53" s="6"/>
      <c r="I53" s="8"/>
      <c r="J53" s="11"/>
      <c r="K53" s="11"/>
      <c r="L53" s="6"/>
      <c r="M53" s="8"/>
      <c r="N53" s="11"/>
    </row>
    <row r="54" spans="2:14" x14ac:dyDescent="0.2">
      <c r="B54" s="1"/>
      <c r="C54" s="1"/>
      <c r="D54" s="6"/>
      <c r="E54" s="8"/>
      <c r="F54" s="11"/>
      <c r="G54" s="15"/>
      <c r="H54" s="6"/>
      <c r="I54" s="8"/>
      <c r="J54" s="11"/>
      <c r="K54" s="11"/>
      <c r="L54" s="6"/>
      <c r="M54" s="8"/>
      <c r="N54" s="11"/>
    </row>
    <row r="55" spans="2:14" x14ac:dyDescent="0.2">
      <c r="B55" s="1"/>
      <c r="C55" s="1"/>
      <c r="D55" s="6"/>
      <c r="E55" s="8"/>
      <c r="F55" s="11"/>
      <c r="G55" s="15"/>
      <c r="H55" s="6"/>
      <c r="I55" s="8"/>
      <c r="J55" s="11"/>
      <c r="K55" s="11"/>
      <c r="L55" s="6"/>
      <c r="M55" s="8"/>
      <c r="N55" s="11"/>
    </row>
    <row r="56" spans="2:14" x14ac:dyDescent="0.2">
      <c r="B56" s="1"/>
      <c r="C56" s="1"/>
      <c r="D56" s="6"/>
      <c r="E56" s="8"/>
      <c r="F56" s="11"/>
      <c r="G56" s="15"/>
      <c r="H56" s="6"/>
      <c r="I56" s="8"/>
      <c r="J56" s="11"/>
      <c r="K56" s="11"/>
      <c r="L56" s="6"/>
      <c r="M56" s="8"/>
      <c r="N56" s="11"/>
    </row>
    <row r="57" spans="2:14" x14ac:dyDescent="0.2">
      <c r="B57" s="1"/>
      <c r="C57" s="1"/>
      <c r="D57" s="6"/>
      <c r="E57" s="8"/>
      <c r="F57" s="11"/>
      <c r="G57" s="15"/>
      <c r="H57" s="6"/>
      <c r="I57" s="8"/>
      <c r="J57" s="11"/>
      <c r="K57" s="11"/>
      <c r="L57" s="6"/>
      <c r="M57" s="8"/>
      <c r="N57" s="11"/>
    </row>
    <row r="58" spans="2:14" x14ac:dyDescent="0.2">
      <c r="B58" s="1"/>
      <c r="C58" s="1"/>
      <c r="D58" s="6"/>
      <c r="E58" s="8"/>
      <c r="F58" s="11"/>
      <c r="G58" s="15"/>
      <c r="H58" s="6"/>
      <c r="I58" s="8"/>
      <c r="J58" s="11"/>
      <c r="K58" s="11"/>
      <c r="L58" s="6"/>
      <c r="M58" s="8"/>
      <c r="N58" s="11"/>
    </row>
    <row r="59" spans="2:14" x14ac:dyDescent="0.2">
      <c r="B59" s="1"/>
      <c r="C59" s="1"/>
      <c r="D59" s="6"/>
      <c r="E59" s="8"/>
      <c r="F59" s="11"/>
      <c r="G59" s="15"/>
      <c r="H59" s="6"/>
      <c r="I59" s="8"/>
      <c r="J59" s="11"/>
      <c r="K59" s="11"/>
      <c r="L59" s="6"/>
      <c r="M59" s="8"/>
      <c r="N59" s="11"/>
    </row>
    <row r="60" spans="2:14" x14ac:dyDescent="0.2">
      <c r="B60" s="1"/>
      <c r="C60" s="1"/>
      <c r="D60" s="6"/>
      <c r="E60" s="8"/>
      <c r="F60" s="11"/>
      <c r="G60" s="15"/>
      <c r="H60" s="6"/>
      <c r="I60" s="8"/>
      <c r="J60" s="11"/>
      <c r="K60" s="11"/>
      <c r="L60" s="6"/>
      <c r="M60" s="8"/>
      <c r="N60" s="11"/>
    </row>
    <row r="61" spans="2:14" x14ac:dyDescent="0.2">
      <c r="B61" s="1"/>
      <c r="C61" s="1"/>
      <c r="D61" s="6"/>
      <c r="E61" s="8"/>
      <c r="F61" s="11"/>
      <c r="G61" s="15"/>
      <c r="H61" s="6"/>
      <c r="I61" s="8"/>
      <c r="J61" s="11"/>
      <c r="K61" s="11"/>
      <c r="L61" s="6"/>
      <c r="M61" s="8"/>
      <c r="N61" s="11"/>
    </row>
    <row r="62" spans="2:14" x14ac:dyDescent="0.2">
      <c r="B62" s="1"/>
      <c r="C62" s="1"/>
      <c r="D62" s="6"/>
      <c r="E62" s="8"/>
      <c r="F62" s="11"/>
      <c r="G62" s="15"/>
      <c r="H62" s="6"/>
      <c r="I62" s="8"/>
      <c r="J62" s="11"/>
      <c r="K62" s="11"/>
      <c r="L62" s="6"/>
      <c r="M62" s="8"/>
      <c r="N62" s="11"/>
    </row>
    <row r="63" spans="2:14" x14ac:dyDescent="0.2">
      <c r="B63" s="1"/>
      <c r="C63" s="1"/>
      <c r="D63" s="6"/>
      <c r="E63" s="8"/>
      <c r="F63" s="11"/>
      <c r="G63" s="15"/>
      <c r="H63" s="6"/>
      <c r="I63" s="8"/>
      <c r="J63" s="11"/>
      <c r="K63" s="11"/>
      <c r="L63" s="6"/>
      <c r="M63" s="8"/>
      <c r="N63" s="11"/>
    </row>
    <row r="64" spans="2:14" x14ac:dyDescent="0.2">
      <c r="B64" s="1"/>
      <c r="C64" s="1"/>
      <c r="D64" s="6"/>
      <c r="E64" s="8"/>
      <c r="F64" s="11"/>
      <c r="G64" s="15"/>
      <c r="H64" s="6"/>
      <c r="I64" s="8"/>
      <c r="J64" s="11"/>
      <c r="K64" s="11"/>
      <c r="L64" s="6"/>
      <c r="M64" s="8"/>
      <c r="N64" s="11"/>
    </row>
    <row r="65" spans="2:14" x14ac:dyDescent="0.2">
      <c r="B65" s="1"/>
      <c r="C65" s="1"/>
      <c r="D65" s="6"/>
      <c r="E65" s="8"/>
      <c r="F65" s="11"/>
      <c r="G65" s="15"/>
      <c r="H65" s="6"/>
      <c r="I65" s="8"/>
      <c r="J65" s="11"/>
      <c r="K65" s="11"/>
      <c r="L65" s="6"/>
      <c r="M65" s="8"/>
      <c r="N65" s="11"/>
    </row>
    <row r="66" spans="2:14" x14ac:dyDescent="0.2">
      <c r="B66" s="1"/>
      <c r="C66" s="1"/>
      <c r="D66" s="6"/>
      <c r="E66" s="8"/>
      <c r="F66" s="11"/>
      <c r="G66" s="15"/>
      <c r="H66" s="6"/>
      <c r="I66" s="8"/>
      <c r="J66" s="11"/>
      <c r="K66" s="11"/>
      <c r="L66" s="6"/>
      <c r="M66" s="8"/>
      <c r="N66" s="11"/>
    </row>
    <row r="67" spans="2:14" x14ac:dyDescent="0.2">
      <c r="B67" s="1"/>
      <c r="C67" s="1"/>
      <c r="D67" s="6"/>
      <c r="E67" s="8"/>
      <c r="F67" s="11"/>
      <c r="G67" s="15"/>
      <c r="H67" s="6"/>
      <c r="I67" s="8"/>
      <c r="J67" s="11"/>
      <c r="K67" s="11"/>
      <c r="L67" s="6"/>
      <c r="M67" s="8"/>
      <c r="N67" s="11"/>
    </row>
    <row r="68" spans="2:14" x14ac:dyDescent="0.2">
      <c r="B68" s="1"/>
      <c r="C68" s="1"/>
      <c r="D68" s="6"/>
      <c r="E68" s="8"/>
      <c r="F68" s="11"/>
      <c r="G68" s="15"/>
      <c r="H68" s="6"/>
      <c r="I68" s="8"/>
      <c r="J68" s="11"/>
      <c r="K68" s="11"/>
      <c r="L68" s="6"/>
      <c r="M68" s="8"/>
      <c r="N68" s="11"/>
    </row>
    <row r="69" spans="2:14" x14ac:dyDescent="0.2">
      <c r="B69" s="1"/>
      <c r="C69" s="1"/>
      <c r="D69" s="6"/>
      <c r="E69" s="8"/>
      <c r="F69" s="11"/>
      <c r="G69" s="15"/>
      <c r="H69" s="6"/>
      <c r="I69" s="8"/>
      <c r="J69" s="11"/>
      <c r="K69" s="11"/>
      <c r="L69" s="6"/>
      <c r="M69" s="8"/>
      <c r="N69" s="11"/>
    </row>
    <row r="70" spans="2:14" x14ac:dyDescent="0.2">
      <c r="B70" s="1"/>
      <c r="C70" s="1"/>
      <c r="D70" s="6"/>
      <c r="E70" s="8"/>
      <c r="F70" s="11"/>
      <c r="G70" s="15"/>
      <c r="H70" s="6"/>
      <c r="I70" s="8"/>
      <c r="J70" s="11"/>
      <c r="K70" s="11"/>
      <c r="L70" s="6"/>
      <c r="M70" s="8"/>
      <c r="N70" s="11"/>
    </row>
    <row r="71" spans="2:14" x14ac:dyDescent="0.2">
      <c r="B71" s="1"/>
      <c r="C71" s="1"/>
      <c r="D71" s="6"/>
      <c r="E71" s="8"/>
      <c r="F71" s="11"/>
      <c r="G71" s="15"/>
      <c r="H71" s="6"/>
      <c r="I71" s="8"/>
      <c r="J71" s="11"/>
      <c r="K71" s="11"/>
      <c r="L71" s="6"/>
      <c r="M71" s="8"/>
      <c r="N71" s="11"/>
    </row>
    <row r="72" spans="2:14" x14ac:dyDescent="0.2">
      <c r="B72" s="1"/>
      <c r="C72" s="1"/>
      <c r="D72" s="6"/>
      <c r="E72" s="8"/>
      <c r="F72" s="11"/>
      <c r="G72" s="15"/>
      <c r="H72" s="6"/>
      <c r="I72" s="8"/>
      <c r="J72" s="11"/>
      <c r="K72" s="11"/>
      <c r="L72" s="6"/>
      <c r="M72" s="8"/>
      <c r="N72" s="11"/>
    </row>
    <row r="73" spans="2:14" x14ac:dyDescent="0.2">
      <c r="B73" s="1"/>
      <c r="C73" s="1"/>
      <c r="D73" s="6"/>
      <c r="E73" s="8"/>
      <c r="F73" s="11"/>
      <c r="G73" s="15"/>
      <c r="H73" s="6"/>
      <c r="I73" s="8"/>
      <c r="J73" s="11"/>
      <c r="K73" s="11"/>
      <c r="L73" s="6"/>
      <c r="M73" s="8"/>
      <c r="N73" s="11"/>
    </row>
    <row r="74" spans="2:14" x14ac:dyDescent="0.2">
      <c r="B74" s="1"/>
      <c r="C74" s="1"/>
      <c r="D74" s="6"/>
      <c r="E74" s="8"/>
      <c r="F74" s="11"/>
      <c r="G74" s="15"/>
      <c r="H74" s="6"/>
      <c r="I74" s="8"/>
      <c r="J74" s="11"/>
      <c r="K74" s="11"/>
      <c r="L74" s="6"/>
      <c r="M74" s="8"/>
      <c r="N74" s="11"/>
    </row>
    <row r="75" spans="2:14" x14ac:dyDescent="0.2">
      <c r="B75" s="1"/>
      <c r="C75" s="1"/>
      <c r="D75" s="6"/>
      <c r="E75" s="8"/>
      <c r="F75" s="11"/>
      <c r="G75" s="15"/>
      <c r="H75" s="6"/>
      <c r="I75" s="8"/>
      <c r="J75" s="11"/>
      <c r="K75" s="11"/>
      <c r="L75" s="6"/>
      <c r="M75" s="8"/>
      <c r="N75" s="11"/>
    </row>
    <row r="76" spans="2:14" x14ac:dyDescent="0.2">
      <c r="B76" s="1"/>
      <c r="C76" s="1"/>
      <c r="D76" s="6"/>
      <c r="E76" s="8"/>
      <c r="F76" s="11"/>
      <c r="G76" s="15"/>
      <c r="H76" s="6"/>
      <c r="I76" s="8"/>
      <c r="J76" s="11"/>
      <c r="K76" s="11"/>
      <c r="L76" s="6"/>
      <c r="M76" s="8"/>
      <c r="N76" s="11"/>
    </row>
    <row r="77" spans="2:14" x14ac:dyDescent="0.2">
      <c r="B77" s="1"/>
      <c r="C77" s="1"/>
      <c r="D77" s="6"/>
      <c r="E77" s="8"/>
      <c r="F77" s="11"/>
      <c r="G77" s="15"/>
      <c r="H77" s="6"/>
      <c r="I77" s="8"/>
      <c r="J77" s="11"/>
      <c r="K77" s="11"/>
      <c r="L77" s="6"/>
      <c r="M77" s="8"/>
      <c r="N77" s="11"/>
    </row>
    <row r="78" spans="2:14" x14ac:dyDescent="0.2">
      <c r="B78" s="1"/>
      <c r="C78" s="1"/>
      <c r="D78" s="6"/>
      <c r="E78" s="8"/>
      <c r="F78" s="11"/>
      <c r="G78" s="15"/>
      <c r="H78" s="6"/>
      <c r="I78" s="8"/>
      <c r="J78" s="11"/>
      <c r="K78" s="11"/>
      <c r="L78" s="6"/>
      <c r="M78" s="8"/>
      <c r="N78" s="11"/>
    </row>
    <row r="79" spans="2:14" x14ac:dyDescent="0.2">
      <c r="B79" s="1"/>
      <c r="C79" s="1"/>
      <c r="D79" s="6"/>
      <c r="E79" s="8"/>
      <c r="F79" s="11"/>
      <c r="G79" s="15"/>
      <c r="H79" s="6"/>
      <c r="I79" s="8"/>
      <c r="J79" s="11"/>
      <c r="K79" s="11"/>
      <c r="L79" s="6"/>
      <c r="M79" s="8"/>
      <c r="N79" s="11"/>
    </row>
    <row r="80" spans="2:14" x14ac:dyDescent="0.2">
      <c r="B80" s="1"/>
      <c r="C80" s="1"/>
      <c r="D80" s="6"/>
      <c r="E80" s="8"/>
      <c r="F80" s="11"/>
      <c r="G80" s="15"/>
      <c r="H80" s="6"/>
      <c r="I80" s="8"/>
      <c r="J80" s="11"/>
      <c r="K80" s="11"/>
      <c r="L80" s="6"/>
      <c r="M80" s="8"/>
      <c r="N80" s="11"/>
    </row>
    <row r="81" spans="2:14" x14ac:dyDescent="0.2">
      <c r="B81" s="1"/>
      <c r="C81" s="1"/>
      <c r="D81" s="6"/>
      <c r="E81" s="8"/>
      <c r="F81" s="11"/>
      <c r="G81" s="15"/>
      <c r="H81" s="6"/>
      <c r="I81" s="8"/>
      <c r="J81" s="11"/>
      <c r="K81" s="11"/>
      <c r="L81" s="6"/>
      <c r="M81" s="8"/>
      <c r="N81" s="11"/>
    </row>
    <row r="82" spans="2:14" x14ac:dyDescent="0.2">
      <c r="B82" s="1"/>
      <c r="C82" s="1"/>
      <c r="D82" s="6"/>
      <c r="E82" s="8"/>
      <c r="F82" s="11"/>
      <c r="G82" s="15"/>
      <c r="H82" s="6"/>
      <c r="I82" s="8"/>
      <c r="J82" s="11"/>
      <c r="K82" s="11"/>
      <c r="L82" s="6"/>
      <c r="M82" s="8"/>
      <c r="N82" s="11"/>
    </row>
    <row r="83" spans="2:14" x14ac:dyDescent="0.2">
      <c r="B83" s="1"/>
      <c r="C83" s="1"/>
      <c r="D83" s="6"/>
      <c r="E83" s="8"/>
      <c r="F83" s="11"/>
      <c r="G83" s="15"/>
      <c r="H83" s="6"/>
      <c r="I83" s="8"/>
      <c r="J83" s="11"/>
      <c r="K83" s="11"/>
      <c r="L83" s="6"/>
      <c r="M83" s="8"/>
      <c r="N83" s="11"/>
    </row>
    <row r="84" spans="2:14" x14ac:dyDescent="0.2">
      <c r="B84" s="1"/>
      <c r="C84" s="1"/>
      <c r="D84" s="6"/>
      <c r="E84" s="8"/>
      <c r="F84" s="11"/>
      <c r="G84" s="15"/>
      <c r="H84" s="6"/>
      <c r="I84" s="8"/>
      <c r="J84" s="11"/>
      <c r="K84" s="11"/>
      <c r="L84" s="6"/>
      <c r="M84" s="8"/>
      <c r="N84" s="11"/>
    </row>
    <row r="85" spans="2:14" x14ac:dyDescent="0.2">
      <c r="B85" s="1"/>
      <c r="C85" s="1"/>
      <c r="D85" s="6"/>
      <c r="E85" s="8"/>
      <c r="F85" s="11"/>
      <c r="G85" s="15"/>
      <c r="H85" s="6"/>
      <c r="I85" s="8"/>
      <c r="J85" s="11"/>
      <c r="K85" s="11"/>
      <c r="L85" s="6"/>
      <c r="M85" s="8"/>
      <c r="N85" s="11"/>
    </row>
    <row r="86" spans="2:14" x14ac:dyDescent="0.2">
      <c r="B86" s="1"/>
      <c r="C86" s="1"/>
      <c r="D86" s="6"/>
      <c r="E86" s="8"/>
      <c r="F86" s="11"/>
      <c r="G86" s="15"/>
      <c r="H86" s="6"/>
      <c r="I86" s="8"/>
      <c r="J86" s="11"/>
      <c r="K86" s="11"/>
      <c r="L86" s="6"/>
      <c r="M86" s="8"/>
      <c r="N86" s="11"/>
    </row>
    <row r="87" spans="2:14" x14ac:dyDescent="0.2">
      <c r="B87" s="1"/>
      <c r="C87" s="1"/>
      <c r="D87" s="6"/>
      <c r="E87" s="8"/>
      <c r="F87" s="11"/>
      <c r="G87" s="15"/>
      <c r="H87" s="6"/>
      <c r="I87" s="8"/>
      <c r="J87" s="11"/>
      <c r="K87" s="11"/>
      <c r="L87" s="6"/>
      <c r="M87" s="8"/>
      <c r="N87" s="11"/>
    </row>
  </sheetData>
  <sheetProtection selectLockedCells="1" selectUnlockedCells="1"/>
  <pageMargins left="0.78749999999999998" right="0.78749999999999998" top="1.0527777777777778" bottom="1.0527777777777778" header="0.78749999999999998" footer="0.78749999999999998"/>
  <pageSetup orientation="portrait" useFirstPageNumber="1" horizontalDpi="300" verticalDpi="300" r:id="rId1"/>
  <headerFooter alignWithMargins="0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T1038"/>
  <sheetViews>
    <sheetView topLeftCell="D78" workbookViewId="0">
      <selection activeCell="I84" sqref="I84:I95"/>
    </sheetView>
  </sheetViews>
  <sheetFormatPr defaultColWidth="8.7109375" defaultRowHeight="15" x14ac:dyDescent="0.2"/>
  <cols>
    <col min="1" max="1" width="8.7109375" style="20"/>
    <col min="2" max="2" width="18.28515625" style="20" customWidth="1"/>
    <col min="3" max="3" width="15.28515625" style="20" customWidth="1"/>
    <col min="4" max="4" width="17.7109375" style="20" customWidth="1"/>
    <col min="5" max="5" width="31" style="20" customWidth="1"/>
    <col min="6" max="8" width="8.7109375" style="20"/>
    <col min="9" max="9" width="15.5703125" style="20" bestFit="1" customWidth="1"/>
    <col min="10" max="16384" width="8.7109375" style="20"/>
  </cols>
  <sheetData>
    <row r="3" spans="2:20" x14ac:dyDescent="0.2">
      <c r="B3" s="18" t="s">
        <v>18</v>
      </c>
      <c r="C3" s="19">
        <v>43112</v>
      </c>
      <c r="D3" s="18" t="s">
        <v>19</v>
      </c>
      <c r="E3" s="18" t="s">
        <v>20</v>
      </c>
    </row>
    <row r="4" spans="2:20" x14ac:dyDescent="0.2">
      <c r="B4" s="21" t="s">
        <v>21</v>
      </c>
      <c r="C4" s="21" t="s">
        <v>22</v>
      </c>
      <c r="D4" s="21" t="s">
        <v>19</v>
      </c>
      <c r="E4" s="21" t="s">
        <v>23</v>
      </c>
    </row>
    <row r="5" spans="2:20" x14ac:dyDescent="0.2">
      <c r="B5" s="18" t="s">
        <v>24</v>
      </c>
      <c r="C5" s="18" t="s">
        <v>25</v>
      </c>
      <c r="D5" s="18" t="s">
        <v>19</v>
      </c>
      <c r="E5" s="18" t="s">
        <v>26</v>
      </c>
      <c r="I5" s="20">
        <v>2274237.8400599351</v>
      </c>
      <c r="J5" s="20">
        <v>2072473.0615161671</v>
      </c>
      <c r="K5" s="20">
        <v>2285855.68602802</v>
      </c>
      <c r="L5" s="20">
        <v>2263892.3165620607</v>
      </c>
      <c r="M5" s="20">
        <v>2729372.9211231181</v>
      </c>
      <c r="N5" s="20">
        <v>3021210.0297172084</v>
      </c>
      <c r="O5" s="20">
        <v>4000615.8398869755</v>
      </c>
      <c r="P5" s="20">
        <v>4342374.84453364</v>
      </c>
      <c r="Q5" s="20">
        <v>3997930.4493441787</v>
      </c>
      <c r="R5" s="20">
        <v>3593835.0651024948</v>
      </c>
      <c r="S5" s="20">
        <v>3779998.4737632745</v>
      </c>
      <c r="T5" s="20">
        <v>2910832.9599467241</v>
      </c>
    </row>
    <row r="6" spans="2:20" x14ac:dyDescent="0.2">
      <c r="B6" s="21" t="s">
        <v>27</v>
      </c>
      <c r="C6" s="21" t="s">
        <v>28</v>
      </c>
      <c r="D6" s="21" t="s">
        <v>19</v>
      </c>
      <c r="E6" s="21" t="s">
        <v>29</v>
      </c>
    </row>
    <row r="7" spans="2:20" x14ac:dyDescent="0.2">
      <c r="B7" s="18" t="s">
        <v>30</v>
      </c>
      <c r="C7" s="18" t="s">
        <v>31</v>
      </c>
      <c r="D7" s="18" t="s">
        <v>19</v>
      </c>
      <c r="E7" s="18" t="s">
        <v>32</v>
      </c>
    </row>
    <row r="8" spans="2:20" x14ac:dyDescent="0.2">
      <c r="B8" s="21" t="s">
        <v>33</v>
      </c>
      <c r="C8" s="21" t="s">
        <v>34</v>
      </c>
      <c r="D8" s="21" t="s">
        <v>19</v>
      </c>
      <c r="E8" s="21" t="s">
        <v>35</v>
      </c>
      <c r="I8" s="20">
        <v>2274237.8400599351</v>
      </c>
    </row>
    <row r="9" spans="2:20" x14ac:dyDescent="0.2">
      <c r="B9" s="18" t="s">
        <v>36</v>
      </c>
      <c r="C9" s="18" t="s">
        <v>37</v>
      </c>
      <c r="D9" s="18" t="s">
        <v>19</v>
      </c>
      <c r="E9" s="18" t="s">
        <v>38</v>
      </c>
      <c r="I9" s="20">
        <v>2072473.0615161671</v>
      </c>
    </row>
    <row r="10" spans="2:20" x14ac:dyDescent="0.2">
      <c r="B10" s="21" t="s">
        <v>18</v>
      </c>
      <c r="C10" s="21" t="s">
        <v>39</v>
      </c>
      <c r="D10" s="21" t="s">
        <v>19</v>
      </c>
      <c r="E10" s="21" t="s">
        <v>40</v>
      </c>
      <c r="I10" s="20">
        <v>2285855.68602802</v>
      </c>
    </row>
    <row r="11" spans="2:20" x14ac:dyDescent="0.2">
      <c r="B11" s="18" t="s">
        <v>21</v>
      </c>
      <c r="C11" s="18" t="s">
        <v>41</v>
      </c>
      <c r="D11" s="18" t="s">
        <v>19</v>
      </c>
      <c r="E11" s="18" t="s">
        <v>40</v>
      </c>
      <c r="I11" s="20">
        <v>2263892.3165620607</v>
      </c>
    </row>
    <row r="12" spans="2:20" x14ac:dyDescent="0.2">
      <c r="B12" s="21" t="s">
        <v>24</v>
      </c>
      <c r="C12" s="21" t="s">
        <v>42</v>
      </c>
      <c r="D12" s="21" t="s">
        <v>19</v>
      </c>
      <c r="E12" s="21" t="s">
        <v>43</v>
      </c>
      <c r="I12" s="20">
        <v>2729372.9211231181</v>
      </c>
    </row>
    <row r="13" spans="2:20" x14ac:dyDescent="0.2">
      <c r="B13" s="18" t="s">
        <v>27</v>
      </c>
      <c r="C13" s="18" t="s">
        <v>44</v>
      </c>
      <c r="D13" s="18" t="s">
        <v>19</v>
      </c>
      <c r="E13" s="18" t="s">
        <v>45</v>
      </c>
      <c r="I13" s="20">
        <v>3021210.0297172084</v>
      </c>
    </row>
    <row r="14" spans="2:20" x14ac:dyDescent="0.2">
      <c r="B14" s="21" t="s">
        <v>30</v>
      </c>
      <c r="C14" s="21" t="s">
        <v>46</v>
      </c>
      <c r="D14" s="21" t="s">
        <v>19</v>
      </c>
      <c r="E14" s="21" t="s">
        <v>47</v>
      </c>
      <c r="I14" s="20">
        <v>4000615.8398869755</v>
      </c>
    </row>
    <row r="15" spans="2:20" x14ac:dyDescent="0.2">
      <c r="B15" s="18" t="s">
        <v>33</v>
      </c>
      <c r="C15" s="18" t="s">
        <v>48</v>
      </c>
      <c r="D15" s="18" t="s">
        <v>19</v>
      </c>
      <c r="E15" s="18" t="s">
        <v>49</v>
      </c>
      <c r="I15" s="20">
        <v>4342374.84453364</v>
      </c>
    </row>
    <row r="16" spans="2:20" x14ac:dyDescent="0.2">
      <c r="B16" s="21" t="s">
        <v>36</v>
      </c>
      <c r="C16" s="21" t="s">
        <v>50</v>
      </c>
      <c r="D16" s="21" t="s">
        <v>19</v>
      </c>
      <c r="E16" s="21" t="s">
        <v>51</v>
      </c>
      <c r="I16" s="20">
        <v>3997930.4493441787</v>
      </c>
    </row>
    <row r="17" spans="2:20" x14ac:dyDescent="0.2">
      <c r="B17" s="18" t="s">
        <v>18</v>
      </c>
      <c r="C17" s="18" t="s">
        <v>52</v>
      </c>
      <c r="D17" s="18" t="s">
        <v>19</v>
      </c>
      <c r="E17" s="18" t="s">
        <v>53</v>
      </c>
      <c r="I17" s="20">
        <v>3593835.0651024948</v>
      </c>
    </row>
    <row r="18" spans="2:20" x14ac:dyDescent="0.2">
      <c r="B18" s="21" t="s">
        <v>21</v>
      </c>
      <c r="C18" s="21" t="s">
        <v>54</v>
      </c>
      <c r="D18" s="21" t="s">
        <v>19</v>
      </c>
      <c r="E18" s="21" t="s">
        <v>55</v>
      </c>
      <c r="I18" s="20">
        <v>3779998.4737632745</v>
      </c>
    </row>
    <row r="19" spans="2:20" x14ac:dyDescent="0.2">
      <c r="B19" s="18" t="s">
        <v>24</v>
      </c>
      <c r="C19" s="18" t="s">
        <v>56</v>
      </c>
      <c r="D19" s="18" t="s">
        <v>19</v>
      </c>
      <c r="E19" s="18" t="s">
        <v>57</v>
      </c>
      <c r="I19" s="20">
        <v>2910832.9599467241</v>
      </c>
    </row>
    <row r="20" spans="2:20" x14ac:dyDescent="0.2">
      <c r="B20" s="21" t="s">
        <v>27</v>
      </c>
      <c r="C20" s="21" t="s">
        <v>58</v>
      </c>
      <c r="D20" s="21" t="s">
        <v>19</v>
      </c>
      <c r="E20" s="21" t="s">
        <v>59</v>
      </c>
    </row>
    <row r="21" spans="2:20" x14ac:dyDescent="0.2">
      <c r="B21" s="18" t="s">
        <v>30</v>
      </c>
      <c r="C21" s="18" t="s">
        <v>60</v>
      </c>
      <c r="D21" s="18" t="s">
        <v>19</v>
      </c>
      <c r="E21" s="18" t="s">
        <v>61</v>
      </c>
    </row>
    <row r="22" spans="2:20" x14ac:dyDescent="0.2">
      <c r="B22" s="21" t="s">
        <v>33</v>
      </c>
      <c r="C22" s="22">
        <v>43445</v>
      </c>
      <c r="D22" s="21" t="s">
        <v>19</v>
      </c>
      <c r="E22" s="21" t="s">
        <v>62</v>
      </c>
      <c r="I22" s="20">
        <v>1447642.53916368</v>
      </c>
      <c r="J22" s="20">
        <v>1313398.64733648</v>
      </c>
      <c r="K22" s="20">
        <v>1455514.06010664</v>
      </c>
      <c r="L22" s="20">
        <v>1368157.75169472</v>
      </c>
      <c r="M22" s="20">
        <v>1460153.89710324</v>
      </c>
      <c r="N22" s="20">
        <v>1542069.8005104</v>
      </c>
      <c r="O22" s="20">
        <v>1639219.2731081999</v>
      </c>
      <c r="P22" s="20">
        <v>1759745.2510638002</v>
      </c>
      <c r="Q22" s="20">
        <v>1669954.4065218</v>
      </c>
      <c r="R22" s="20">
        <v>1546371.4638261599</v>
      </c>
      <c r="S22" s="20">
        <v>1661090.7141158544</v>
      </c>
      <c r="T22" s="20">
        <v>1544786.59461336</v>
      </c>
    </row>
    <row r="23" spans="2:20" x14ac:dyDescent="0.2">
      <c r="B23" s="18" t="s">
        <v>36</v>
      </c>
      <c r="C23" s="19">
        <v>43415</v>
      </c>
      <c r="D23" s="18" t="s">
        <v>19</v>
      </c>
      <c r="E23" s="18" t="s">
        <v>63</v>
      </c>
    </row>
    <row r="24" spans="2:20" x14ac:dyDescent="0.2">
      <c r="B24" s="21" t="s">
        <v>18</v>
      </c>
      <c r="C24" s="22">
        <v>43384</v>
      </c>
      <c r="D24" s="21" t="s">
        <v>19</v>
      </c>
      <c r="E24" s="21" t="s">
        <v>64</v>
      </c>
      <c r="I24" s="20">
        <v>1447642.53916368</v>
      </c>
    </row>
    <row r="25" spans="2:20" x14ac:dyDescent="0.2">
      <c r="B25" s="18" t="s">
        <v>21</v>
      </c>
      <c r="C25" s="19">
        <v>43354</v>
      </c>
      <c r="D25" s="18" t="s">
        <v>19</v>
      </c>
      <c r="E25" s="18" t="s">
        <v>65</v>
      </c>
      <c r="I25" s="20">
        <v>1313398.64733648</v>
      </c>
    </row>
    <row r="26" spans="2:20" x14ac:dyDescent="0.2">
      <c r="B26" s="21" t="s">
        <v>24</v>
      </c>
      <c r="C26" s="22">
        <v>43323</v>
      </c>
      <c r="D26" s="21" t="s">
        <v>19</v>
      </c>
      <c r="E26" s="21" t="s">
        <v>66</v>
      </c>
      <c r="I26" s="20">
        <v>1455514.06010664</v>
      </c>
    </row>
    <row r="27" spans="2:20" x14ac:dyDescent="0.2">
      <c r="B27" s="18" t="s">
        <v>27</v>
      </c>
      <c r="C27" s="19">
        <v>43292</v>
      </c>
      <c r="D27" s="18" t="s">
        <v>19</v>
      </c>
      <c r="E27" s="18" t="s">
        <v>67</v>
      </c>
      <c r="I27" s="20">
        <v>1368157.75169472</v>
      </c>
    </row>
    <row r="28" spans="2:20" x14ac:dyDescent="0.2">
      <c r="B28" s="21" t="s">
        <v>30</v>
      </c>
      <c r="C28" s="22">
        <v>43262</v>
      </c>
      <c r="D28" s="21" t="s">
        <v>19</v>
      </c>
      <c r="E28" s="21" t="s">
        <v>68</v>
      </c>
      <c r="I28" s="20">
        <v>1460153.89710324</v>
      </c>
    </row>
    <row r="29" spans="2:20" x14ac:dyDescent="0.2">
      <c r="B29" s="18" t="s">
        <v>33</v>
      </c>
      <c r="C29" s="19">
        <v>43231</v>
      </c>
      <c r="D29" s="18" t="s">
        <v>19</v>
      </c>
      <c r="E29" s="18" t="s">
        <v>69</v>
      </c>
      <c r="I29" s="20">
        <v>1542069.8005104</v>
      </c>
    </row>
    <row r="30" spans="2:20" x14ac:dyDescent="0.2">
      <c r="B30" s="21" t="s">
        <v>36</v>
      </c>
      <c r="C30" s="22">
        <v>43201</v>
      </c>
      <c r="D30" s="21" t="s">
        <v>19</v>
      </c>
      <c r="E30" s="21" t="s">
        <v>70</v>
      </c>
      <c r="I30" s="20">
        <v>1639219.2731081999</v>
      </c>
    </row>
    <row r="31" spans="2:20" x14ac:dyDescent="0.2">
      <c r="B31" s="18" t="s">
        <v>18</v>
      </c>
      <c r="C31" s="19">
        <v>43170</v>
      </c>
      <c r="D31" s="18" t="s">
        <v>19</v>
      </c>
      <c r="E31" s="18" t="s">
        <v>67</v>
      </c>
      <c r="I31" s="20">
        <v>1759745.2510638002</v>
      </c>
    </row>
    <row r="32" spans="2:20" x14ac:dyDescent="0.2">
      <c r="B32" s="21" t="s">
        <v>21</v>
      </c>
      <c r="C32" s="22">
        <v>43142</v>
      </c>
      <c r="D32" s="21" t="s">
        <v>19</v>
      </c>
      <c r="E32" s="21" t="s">
        <v>67</v>
      </c>
      <c r="I32" s="20">
        <v>1669954.4065218</v>
      </c>
    </row>
    <row r="33" spans="2:20" x14ac:dyDescent="0.2">
      <c r="B33" s="18" t="s">
        <v>24</v>
      </c>
      <c r="C33" s="19">
        <v>43111</v>
      </c>
      <c r="D33" s="18" t="s">
        <v>19</v>
      </c>
      <c r="E33" s="18" t="s">
        <v>67</v>
      </c>
      <c r="I33" s="20">
        <v>1546371.4638261599</v>
      </c>
    </row>
    <row r="34" spans="2:20" x14ac:dyDescent="0.2">
      <c r="B34" s="21" t="s">
        <v>27</v>
      </c>
      <c r="C34" s="21" t="s">
        <v>71</v>
      </c>
      <c r="D34" s="21" t="s">
        <v>19</v>
      </c>
      <c r="E34" s="21" t="s">
        <v>72</v>
      </c>
      <c r="I34" s="20">
        <v>1661090.7141158544</v>
      </c>
    </row>
    <row r="35" spans="2:20" x14ac:dyDescent="0.2">
      <c r="B35" s="18" t="s">
        <v>30</v>
      </c>
      <c r="C35" s="18" t="s">
        <v>73</v>
      </c>
      <c r="D35" s="18" t="s">
        <v>19</v>
      </c>
      <c r="E35" s="18" t="s">
        <v>74</v>
      </c>
      <c r="I35" s="20">
        <v>1544786.59461336</v>
      </c>
    </row>
    <row r="36" spans="2:20" x14ac:dyDescent="0.2">
      <c r="B36" s="21" t="s">
        <v>33</v>
      </c>
      <c r="C36" s="21" t="s">
        <v>75</v>
      </c>
      <c r="D36" s="21" t="s">
        <v>19</v>
      </c>
      <c r="E36" s="21" t="s">
        <v>76</v>
      </c>
    </row>
    <row r="37" spans="2:20" x14ac:dyDescent="0.2">
      <c r="B37" s="18" t="s">
        <v>36</v>
      </c>
      <c r="C37" s="18" t="s">
        <v>77</v>
      </c>
      <c r="D37" s="18" t="s">
        <v>19</v>
      </c>
      <c r="E37" s="18" t="s">
        <v>78</v>
      </c>
      <c r="I37" s="20">
        <v>130303.95000000001</v>
      </c>
      <c r="J37" s="20">
        <v>113555.40000000001</v>
      </c>
      <c r="K37" s="20">
        <v>115683</v>
      </c>
      <c r="L37" s="20">
        <v>108879</v>
      </c>
      <c r="M37" s="20">
        <v>88566</v>
      </c>
      <c r="N37" s="20">
        <v>91719</v>
      </c>
      <c r="O37" s="20">
        <v>74991</v>
      </c>
      <c r="P37" s="20">
        <v>89349</v>
      </c>
      <c r="Q37" s="20">
        <v>84737</v>
      </c>
      <c r="R37" s="20">
        <v>97660.5</v>
      </c>
      <c r="S37" s="20">
        <v>125826.92766000002</v>
      </c>
      <c r="T37" s="20">
        <v>133586.25</v>
      </c>
    </row>
    <row r="38" spans="2:20" x14ac:dyDescent="0.2">
      <c r="B38" s="21" t="s">
        <v>18</v>
      </c>
      <c r="C38" s="21" t="s">
        <v>79</v>
      </c>
      <c r="D38" s="21" t="s">
        <v>19</v>
      </c>
      <c r="E38" s="21" t="s">
        <v>80</v>
      </c>
    </row>
    <row r="39" spans="2:20" x14ac:dyDescent="0.2">
      <c r="B39" s="18" t="s">
        <v>21</v>
      </c>
      <c r="C39" s="18" t="s">
        <v>81</v>
      </c>
      <c r="D39" s="18" t="s">
        <v>19</v>
      </c>
      <c r="E39" s="18" t="s">
        <v>82</v>
      </c>
      <c r="I39" s="20">
        <v>130303.95000000001</v>
      </c>
    </row>
    <row r="40" spans="2:20" x14ac:dyDescent="0.2">
      <c r="B40" s="21" t="s">
        <v>24</v>
      </c>
      <c r="C40" s="21" t="s">
        <v>83</v>
      </c>
      <c r="D40" s="21" t="s">
        <v>19</v>
      </c>
      <c r="E40" s="21" t="s">
        <v>84</v>
      </c>
      <c r="I40" s="20">
        <v>113555.40000000001</v>
      </c>
    </row>
    <row r="41" spans="2:20" x14ac:dyDescent="0.2">
      <c r="B41" s="18" t="s">
        <v>27</v>
      </c>
      <c r="C41" s="18" t="s">
        <v>85</v>
      </c>
      <c r="D41" s="18" t="s">
        <v>19</v>
      </c>
      <c r="E41" s="18" t="s">
        <v>86</v>
      </c>
      <c r="I41" s="20">
        <v>115683</v>
      </c>
    </row>
    <row r="42" spans="2:20" x14ac:dyDescent="0.2">
      <c r="B42" s="21" t="s">
        <v>30</v>
      </c>
      <c r="C42" s="21" t="s">
        <v>87</v>
      </c>
      <c r="D42" s="21" t="s">
        <v>19</v>
      </c>
      <c r="E42" s="21" t="s">
        <v>88</v>
      </c>
      <c r="I42" s="20">
        <v>108879</v>
      </c>
    </row>
    <row r="43" spans="2:20" x14ac:dyDescent="0.2">
      <c r="B43" s="18" t="s">
        <v>33</v>
      </c>
      <c r="C43" s="18" t="s">
        <v>89</v>
      </c>
      <c r="D43" s="18" t="s">
        <v>19</v>
      </c>
      <c r="E43" s="18" t="s">
        <v>86</v>
      </c>
      <c r="I43" s="20">
        <v>88566</v>
      </c>
    </row>
    <row r="44" spans="2:20" x14ac:dyDescent="0.2">
      <c r="B44" s="21" t="s">
        <v>36</v>
      </c>
      <c r="C44" s="21" t="s">
        <v>90</v>
      </c>
      <c r="D44" s="21" t="s">
        <v>19</v>
      </c>
      <c r="E44" s="21" t="s">
        <v>91</v>
      </c>
      <c r="I44" s="20">
        <v>91719</v>
      </c>
    </row>
    <row r="45" spans="2:20" x14ac:dyDescent="0.2">
      <c r="B45" s="18" t="s">
        <v>18</v>
      </c>
      <c r="C45" s="18" t="s">
        <v>92</v>
      </c>
      <c r="D45" s="18" t="s">
        <v>19</v>
      </c>
      <c r="E45" s="18" t="s">
        <v>93</v>
      </c>
      <c r="I45" s="20">
        <v>74991</v>
      </c>
    </row>
    <row r="46" spans="2:20" x14ac:dyDescent="0.2">
      <c r="B46" s="21" t="s">
        <v>21</v>
      </c>
      <c r="C46" s="21" t="s">
        <v>94</v>
      </c>
      <c r="D46" s="21" t="s">
        <v>19</v>
      </c>
      <c r="E46" s="21" t="s">
        <v>93</v>
      </c>
      <c r="I46" s="20">
        <v>89349</v>
      </c>
    </row>
    <row r="47" spans="2:20" x14ac:dyDescent="0.2">
      <c r="B47" s="18" t="s">
        <v>24</v>
      </c>
      <c r="C47" s="18" t="s">
        <v>95</v>
      </c>
      <c r="D47" s="18" t="s">
        <v>19</v>
      </c>
      <c r="E47" s="18" t="s">
        <v>96</v>
      </c>
      <c r="I47" s="20">
        <v>84737</v>
      </c>
    </row>
    <row r="48" spans="2:20" x14ac:dyDescent="0.2">
      <c r="B48" s="21" t="s">
        <v>27</v>
      </c>
      <c r="C48" s="21" t="s">
        <v>97</v>
      </c>
      <c r="D48" s="21" t="s">
        <v>19</v>
      </c>
      <c r="E48" s="21" t="s">
        <v>98</v>
      </c>
      <c r="I48" s="20">
        <v>97660.5</v>
      </c>
    </row>
    <row r="49" spans="2:20" x14ac:dyDescent="0.2">
      <c r="B49" s="18" t="s">
        <v>30</v>
      </c>
      <c r="C49" s="18" t="s">
        <v>99</v>
      </c>
      <c r="D49" s="18" t="s">
        <v>19</v>
      </c>
      <c r="E49" s="18" t="s">
        <v>84</v>
      </c>
      <c r="I49" s="20">
        <v>125826.92766000002</v>
      </c>
    </row>
    <row r="50" spans="2:20" x14ac:dyDescent="0.2">
      <c r="B50" s="21" t="s">
        <v>33</v>
      </c>
      <c r="C50" s="21" t="s">
        <v>100</v>
      </c>
      <c r="D50" s="21" t="s">
        <v>19</v>
      </c>
      <c r="E50" s="21" t="s">
        <v>59</v>
      </c>
      <c r="I50" s="20">
        <v>133586.25</v>
      </c>
    </row>
    <row r="51" spans="2:20" x14ac:dyDescent="0.2">
      <c r="B51" s="18" t="s">
        <v>36</v>
      </c>
      <c r="C51" s="18" t="s">
        <v>101</v>
      </c>
      <c r="D51" s="18" t="s">
        <v>19</v>
      </c>
      <c r="E51" s="18" t="s">
        <v>102</v>
      </c>
    </row>
    <row r="52" spans="2:20" x14ac:dyDescent="0.2">
      <c r="B52" s="21" t="s">
        <v>18</v>
      </c>
      <c r="C52" s="21" t="s">
        <v>103</v>
      </c>
      <c r="D52" s="21" t="s">
        <v>19</v>
      </c>
      <c r="E52" s="21" t="s">
        <v>104</v>
      </c>
      <c r="I52" s="20">
        <v>473003.33850000001</v>
      </c>
      <c r="J52" s="20">
        <v>412206.10200000001</v>
      </c>
      <c r="K52" s="20">
        <v>419929.29</v>
      </c>
      <c r="L52" s="20">
        <v>395230.76999999996</v>
      </c>
      <c r="M52" s="20">
        <v>321494.58</v>
      </c>
      <c r="N52" s="20">
        <v>332939.96999999997</v>
      </c>
      <c r="O52" s="20">
        <v>299439.06300000002</v>
      </c>
      <c r="P52" s="20">
        <v>356770.55700000003</v>
      </c>
      <c r="Q52" s="20">
        <v>338354.84100000001</v>
      </c>
      <c r="R52" s="20">
        <v>389958.37650000001</v>
      </c>
      <c r="S52" s="20">
        <v>502426.92214638012</v>
      </c>
      <c r="T52" s="20">
        <v>533409.89624999999</v>
      </c>
    </row>
    <row r="53" spans="2:20" x14ac:dyDescent="0.2">
      <c r="B53" s="18" t="s">
        <v>21</v>
      </c>
      <c r="C53" s="19">
        <v>43444</v>
      </c>
      <c r="D53" s="18" t="s">
        <v>19</v>
      </c>
      <c r="E53" s="18" t="s">
        <v>104</v>
      </c>
    </row>
    <row r="54" spans="2:20" x14ac:dyDescent="0.2">
      <c r="B54" s="21" t="s">
        <v>24</v>
      </c>
      <c r="C54" s="22">
        <v>43414</v>
      </c>
      <c r="D54" s="21" t="s">
        <v>19</v>
      </c>
      <c r="E54" s="21" t="s">
        <v>20</v>
      </c>
      <c r="I54" s="20">
        <v>473003.33850000001</v>
      </c>
    </row>
    <row r="55" spans="2:20" x14ac:dyDescent="0.2">
      <c r="B55" s="18" t="s">
        <v>27</v>
      </c>
      <c r="C55" s="19">
        <v>43383</v>
      </c>
      <c r="D55" s="18" t="s">
        <v>19</v>
      </c>
      <c r="E55" s="18" t="s">
        <v>105</v>
      </c>
      <c r="I55" s="20">
        <v>412206.10200000001</v>
      </c>
    </row>
    <row r="56" spans="2:20" x14ac:dyDescent="0.2">
      <c r="B56" s="21" t="s">
        <v>30</v>
      </c>
      <c r="C56" s="22">
        <v>43353</v>
      </c>
      <c r="D56" s="21" t="s">
        <v>19</v>
      </c>
      <c r="E56" s="21" t="s">
        <v>106</v>
      </c>
      <c r="I56" s="20">
        <v>419929.29</v>
      </c>
    </row>
    <row r="57" spans="2:20" x14ac:dyDescent="0.2">
      <c r="B57" s="18" t="s">
        <v>33</v>
      </c>
      <c r="C57" s="19">
        <v>43322</v>
      </c>
      <c r="D57" s="18" t="s">
        <v>19</v>
      </c>
      <c r="E57" s="18" t="s">
        <v>107</v>
      </c>
      <c r="I57" s="20">
        <v>395230.76999999996</v>
      </c>
    </row>
    <row r="58" spans="2:20" x14ac:dyDescent="0.2">
      <c r="B58" s="21" t="s">
        <v>36</v>
      </c>
      <c r="C58" s="22">
        <v>43291</v>
      </c>
      <c r="D58" s="21" t="s">
        <v>19</v>
      </c>
      <c r="E58" s="21" t="s">
        <v>108</v>
      </c>
      <c r="I58" s="20">
        <v>321494.58</v>
      </c>
    </row>
    <row r="59" spans="2:20" x14ac:dyDescent="0.2">
      <c r="B59" s="18" t="s">
        <v>18</v>
      </c>
      <c r="C59" s="19">
        <v>43261</v>
      </c>
      <c r="D59" s="18" t="s">
        <v>19</v>
      </c>
      <c r="E59" s="18" t="s">
        <v>109</v>
      </c>
      <c r="I59" s="20">
        <v>332939.96999999997</v>
      </c>
    </row>
    <row r="60" spans="2:20" x14ac:dyDescent="0.2">
      <c r="B60" s="21" t="s">
        <v>21</v>
      </c>
      <c r="C60" s="22">
        <v>43230</v>
      </c>
      <c r="D60" s="21" t="s">
        <v>19</v>
      </c>
      <c r="E60" s="21" t="s">
        <v>109</v>
      </c>
      <c r="I60" s="20">
        <v>299439.06300000002</v>
      </c>
    </row>
    <row r="61" spans="2:20" x14ac:dyDescent="0.2">
      <c r="B61" s="18" t="s">
        <v>24</v>
      </c>
      <c r="C61" s="19">
        <v>43200</v>
      </c>
      <c r="D61" s="18" t="s">
        <v>19</v>
      </c>
      <c r="E61" s="18" t="s">
        <v>110</v>
      </c>
      <c r="I61" s="20">
        <v>356770.55700000003</v>
      </c>
    </row>
    <row r="62" spans="2:20" x14ac:dyDescent="0.2">
      <c r="B62" s="21" t="s">
        <v>27</v>
      </c>
      <c r="C62" s="22">
        <v>43169</v>
      </c>
      <c r="D62" s="21" t="s">
        <v>19</v>
      </c>
      <c r="E62" s="21" t="s">
        <v>111</v>
      </c>
      <c r="I62" s="20">
        <v>338354.84100000001</v>
      </c>
    </row>
    <row r="63" spans="2:20" x14ac:dyDescent="0.2">
      <c r="B63" s="18" t="s">
        <v>30</v>
      </c>
      <c r="C63" s="19">
        <v>43141</v>
      </c>
      <c r="D63" s="18" t="s">
        <v>19</v>
      </c>
      <c r="E63" s="18" t="s">
        <v>112</v>
      </c>
      <c r="I63" s="20">
        <v>389958.37650000001</v>
      </c>
    </row>
    <row r="64" spans="2:20" x14ac:dyDescent="0.2">
      <c r="B64" s="21" t="s">
        <v>33</v>
      </c>
      <c r="C64" s="22">
        <v>43110</v>
      </c>
      <c r="D64" s="21" t="s">
        <v>19</v>
      </c>
      <c r="E64" s="21" t="s">
        <v>113</v>
      </c>
      <c r="I64" s="20">
        <v>502426.92214638012</v>
      </c>
    </row>
    <row r="65" spans="2:20" x14ac:dyDescent="0.2">
      <c r="B65" s="18" t="s">
        <v>36</v>
      </c>
      <c r="C65" s="18" t="s">
        <v>114</v>
      </c>
      <c r="D65" s="18" t="s">
        <v>19</v>
      </c>
      <c r="E65" s="18" t="s">
        <v>115</v>
      </c>
      <c r="I65" s="20">
        <v>533409.89624999999</v>
      </c>
    </row>
    <row r="66" spans="2:20" x14ac:dyDescent="0.2">
      <c r="B66" s="21" t="s">
        <v>18</v>
      </c>
      <c r="C66" s="21" t="s">
        <v>116</v>
      </c>
      <c r="D66" s="21" t="s">
        <v>19</v>
      </c>
      <c r="E66" s="21" t="s">
        <v>117</v>
      </c>
    </row>
    <row r="67" spans="2:20" x14ac:dyDescent="0.2">
      <c r="B67" s="18" t="s">
        <v>21</v>
      </c>
      <c r="C67" s="18" t="s">
        <v>118</v>
      </c>
      <c r="D67" s="18" t="s">
        <v>19</v>
      </c>
      <c r="E67" s="18" t="s">
        <v>117</v>
      </c>
      <c r="I67" s="20">
        <v>277835.91469999996</v>
      </c>
      <c r="J67" s="20">
        <v>271466.13213287201</v>
      </c>
      <c r="K67" s="20">
        <v>296594.47204999998</v>
      </c>
      <c r="L67" s="20">
        <v>276234.52489999897</v>
      </c>
      <c r="M67" s="20">
        <v>262593.36382000003</v>
      </c>
      <c r="N67" s="20">
        <v>309029.71620000002</v>
      </c>
      <c r="O67" s="20">
        <v>347327.23611299996</v>
      </c>
      <c r="P67" s="20">
        <v>467252.04043099994</v>
      </c>
      <c r="Q67" s="20">
        <v>321916.66557248001</v>
      </c>
      <c r="R67" s="20">
        <v>380065.60145240213</v>
      </c>
      <c r="S67" s="20">
        <v>368280.58721584891</v>
      </c>
      <c r="T67" s="20">
        <v>341401.53903875966</v>
      </c>
    </row>
    <row r="68" spans="2:20" x14ac:dyDescent="0.2">
      <c r="B68" s="21" t="s">
        <v>24</v>
      </c>
      <c r="C68" s="21" t="s">
        <v>119</v>
      </c>
      <c r="D68" s="21" t="s">
        <v>19</v>
      </c>
      <c r="E68" s="21" t="s">
        <v>120</v>
      </c>
    </row>
    <row r="69" spans="2:20" x14ac:dyDescent="0.2">
      <c r="B69" s="18" t="s">
        <v>27</v>
      </c>
      <c r="C69" s="18" t="s">
        <v>121</v>
      </c>
      <c r="D69" s="18" t="s">
        <v>19</v>
      </c>
      <c r="E69" s="18" t="s">
        <v>122</v>
      </c>
      <c r="I69" s="20">
        <v>277835.91469999996</v>
      </c>
    </row>
    <row r="70" spans="2:20" x14ac:dyDescent="0.2">
      <c r="B70" s="21" t="s">
        <v>30</v>
      </c>
      <c r="C70" s="21" t="s">
        <v>123</v>
      </c>
      <c r="D70" s="21" t="s">
        <v>19</v>
      </c>
      <c r="E70" s="21" t="s">
        <v>124</v>
      </c>
      <c r="I70" s="20">
        <v>271466.13213287201</v>
      </c>
    </row>
    <row r="71" spans="2:20" x14ac:dyDescent="0.2">
      <c r="B71" s="18" t="s">
        <v>33</v>
      </c>
      <c r="C71" s="18" t="s">
        <v>125</v>
      </c>
      <c r="D71" s="18" t="s">
        <v>19</v>
      </c>
      <c r="E71" s="18" t="s">
        <v>126</v>
      </c>
      <c r="I71" s="20">
        <v>296594.47204999998</v>
      </c>
    </row>
    <row r="72" spans="2:20" x14ac:dyDescent="0.2">
      <c r="B72" s="21" t="s">
        <v>36</v>
      </c>
      <c r="C72" s="21" t="s">
        <v>127</v>
      </c>
      <c r="D72" s="21" t="s">
        <v>19</v>
      </c>
      <c r="E72" s="21" t="s">
        <v>128</v>
      </c>
      <c r="I72" s="20">
        <v>276234.52489999897</v>
      </c>
    </row>
    <row r="73" spans="2:20" x14ac:dyDescent="0.2">
      <c r="B73" s="18" t="s">
        <v>18</v>
      </c>
      <c r="C73" s="18" t="s">
        <v>129</v>
      </c>
      <c r="D73" s="18" t="s">
        <v>19</v>
      </c>
      <c r="E73" s="18" t="s">
        <v>130</v>
      </c>
      <c r="I73" s="20">
        <v>262593.36382000003</v>
      </c>
    </row>
    <row r="74" spans="2:20" x14ac:dyDescent="0.2">
      <c r="B74" s="21" t="s">
        <v>21</v>
      </c>
      <c r="C74" s="21" t="s">
        <v>131</v>
      </c>
      <c r="D74" s="21" t="s">
        <v>19</v>
      </c>
      <c r="E74" s="21" t="s">
        <v>130</v>
      </c>
      <c r="I74" s="20">
        <v>309029.71620000002</v>
      </c>
    </row>
    <row r="75" spans="2:20" x14ac:dyDescent="0.2">
      <c r="B75" s="18" t="s">
        <v>24</v>
      </c>
      <c r="C75" s="18" t="s">
        <v>132</v>
      </c>
      <c r="D75" s="18" t="s">
        <v>19</v>
      </c>
      <c r="E75" s="18" t="s">
        <v>23</v>
      </c>
      <c r="I75" s="20">
        <v>347327.23611299996</v>
      </c>
    </row>
    <row r="76" spans="2:20" x14ac:dyDescent="0.2">
      <c r="B76" s="21" t="s">
        <v>27</v>
      </c>
      <c r="C76" s="21" t="s">
        <v>133</v>
      </c>
      <c r="D76" s="21" t="s">
        <v>19</v>
      </c>
      <c r="E76" s="21" t="s">
        <v>134</v>
      </c>
      <c r="I76" s="20">
        <v>467252.04043099994</v>
      </c>
    </row>
    <row r="77" spans="2:20" x14ac:dyDescent="0.2">
      <c r="B77" s="18" t="s">
        <v>30</v>
      </c>
      <c r="C77" s="18" t="s">
        <v>135</v>
      </c>
      <c r="D77" s="18" t="s">
        <v>19</v>
      </c>
      <c r="E77" s="18" t="s">
        <v>136</v>
      </c>
      <c r="I77" s="20">
        <v>321916.66557248001</v>
      </c>
    </row>
    <row r="78" spans="2:20" x14ac:dyDescent="0.2">
      <c r="B78" s="21" t="s">
        <v>33</v>
      </c>
      <c r="C78" s="21" t="s">
        <v>137</v>
      </c>
      <c r="D78" s="21" t="s">
        <v>19</v>
      </c>
      <c r="E78" s="21" t="s">
        <v>138</v>
      </c>
      <c r="I78" s="20">
        <v>380065.60145240213</v>
      </c>
    </row>
    <row r="79" spans="2:20" x14ac:dyDescent="0.2">
      <c r="B79" s="18" t="s">
        <v>36</v>
      </c>
      <c r="C79" s="18" t="s">
        <v>139</v>
      </c>
      <c r="D79" s="18" t="s">
        <v>19</v>
      </c>
      <c r="E79" s="18" t="s">
        <v>59</v>
      </c>
      <c r="I79" s="20">
        <v>368280.58721584891</v>
      </c>
    </row>
    <row r="80" spans="2:20" x14ac:dyDescent="0.2">
      <c r="B80" s="21" t="s">
        <v>18</v>
      </c>
      <c r="C80" s="21" t="s">
        <v>140</v>
      </c>
      <c r="D80" s="21" t="s">
        <v>19</v>
      </c>
      <c r="E80" s="21" t="s">
        <v>141</v>
      </c>
      <c r="I80" s="20">
        <v>341401.53903875966</v>
      </c>
    </row>
    <row r="81" spans="2:20" x14ac:dyDescent="0.2">
      <c r="B81" s="18" t="s">
        <v>21</v>
      </c>
      <c r="C81" s="18" t="s">
        <v>142</v>
      </c>
      <c r="D81" s="18" t="s">
        <v>19</v>
      </c>
      <c r="E81" s="18" t="s">
        <v>141</v>
      </c>
    </row>
    <row r="82" spans="2:20" x14ac:dyDescent="0.2">
      <c r="B82" s="21" t="s">
        <v>24</v>
      </c>
      <c r="C82" s="21" t="s">
        <v>143</v>
      </c>
      <c r="D82" s="21" t="s">
        <v>19</v>
      </c>
      <c r="E82" s="21" t="s">
        <v>120</v>
      </c>
      <c r="I82" s="20">
        <v>27800.089999999997</v>
      </c>
      <c r="J82" s="20">
        <v>27165.016962400001</v>
      </c>
      <c r="K82" s="20">
        <v>29670.334999999999</v>
      </c>
      <c r="L82" s="20">
        <v>27640.429999999902</v>
      </c>
      <c r="M82" s="20">
        <v>26280.394</v>
      </c>
      <c r="N82" s="20">
        <v>30910.14</v>
      </c>
      <c r="O82" s="20">
        <v>31580.360999999997</v>
      </c>
      <c r="P82" s="20">
        <v>42450.006999999998</v>
      </c>
      <c r="Q82" s="20">
        <v>29277.218560000001</v>
      </c>
      <c r="R82" s="20">
        <v>34547.674091580004</v>
      </c>
      <c r="S82" s="20">
        <v>33479.513642332</v>
      </c>
      <c r="T82" s="20">
        <v>31043.272531384002</v>
      </c>
    </row>
    <row r="83" spans="2:20" x14ac:dyDescent="0.2">
      <c r="B83" s="18" t="s">
        <v>27</v>
      </c>
      <c r="C83" s="19">
        <v>43443</v>
      </c>
      <c r="D83" s="18" t="s">
        <v>19</v>
      </c>
      <c r="E83" s="18" t="s">
        <v>144</v>
      </c>
    </row>
    <row r="84" spans="2:20" x14ac:dyDescent="0.2">
      <c r="B84" s="21" t="s">
        <v>30</v>
      </c>
      <c r="C84" s="22">
        <v>43413</v>
      </c>
      <c r="D84" s="21" t="s">
        <v>19</v>
      </c>
      <c r="E84" s="21" t="s">
        <v>145</v>
      </c>
      <c r="I84" s="20">
        <v>27800.089999999997</v>
      </c>
    </row>
    <row r="85" spans="2:20" x14ac:dyDescent="0.2">
      <c r="B85" s="18" t="s">
        <v>33</v>
      </c>
      <c r="C85" s="19">
        <v>43382</v>
      </c>
      <c r="D85" s="18" t="s">
        <v>19</v>
      </c>
      <c r="E85" s="18" t="s">
        <v>146</v>
      </c>
      <c r="I85" s="20">
        <v>27165.016962400001</v>
      </c>
    </row>
    <row r="86" spans="2:20" x14ac:dyDescent="0.2">
      <c r="B86" s="21" t="s">
        <v>36</v>
      </c>
      <c r="C86" s="22">
        <v>43352</v>
      </c>
      <c r="D86" s="21" t="s">
        <v>19</v>
      </c>
      <c r="E86" s="21" t="s">
        <v>147</v>
      </c>
      <c r="I86" s="20">
        <v>29670.334999999999</v>
      </c>
    </row>
    <row r="87" spans="2:20" x14ac:dyDescent="0.2">
      <c r="B87" s="18" t="s">
        <v>18</v>
      </c>
      <c r="C87" s="19">
        <v>43321</v>
      </c>
      <c r="D87" s="18" t="s">
        <v>19</v>
      </c>
      <c r="E87" s="18" t="s">
        <v>148</v>
      </c>
      <c r="I87" s="20">
        <v>27640.429999999902</v>
      </c>
    </row>
    <row r="88" spans="2:20" x14ac:dyDescent="0.2">
      <c r="B88" s="21" t="s">
        <v>21</v>
      </c>
      <c r="C88" s="22">
        <v>43290</v>
      </c>
      <c r="D88" s="21" t="s">
        <v>19</v>
      </c>
      <c r="E88" s="21" t="s">
        <v>149</v>
      </c>
      <c r="I88" s="20">
        <v>26280.394</v>
      </c>
    </row>
    <row r="89" spans="2:20" x14ac:dyDescent="0.2">
      <c r="B89" s="18" t="s">
        <v>24</v>
      </c>
      <c r="C89" s="19">
        <v>43260</v>
      </c>
      <c r="D89" s="18" t="s">
        <v>19</v>
      </c>
      <c r="E89" s="18" t="s">
        <v>150</v>
      </c>
      <c r="I89" s="20">
        <v>30910.14</v>
      </c>
    </row>
    <row r="90" spans="2:20" x14ac:dyDescent="0.2">
      <c r="B90" s="21" t="s">
        <v>27</v>
      </c>
      <c r="C90" s="22">
        <v>43229</v>
      </c>
      <c r="D90" s="21" t="s">
        <v>19</v>
      </c>
      <c r="E90" s="21" t="s">
        <v>29</v>
      </c>
      <c r="I90" s="20">
        <v>31580.360999999997</v>
      </c>
    </row>
    <row r="91" spans="2:20" x14ac:dyDescent="0.2">
      <c r="B91" s="18" t="s">
        <v>30</v>
      </c>
      <c r="C91" s="19">
        <v>43199</v>
      </c>
      <c r="D91" s="18" t="s">
        <v>19</v>
      </c>
      <c r="E91" s="18" t="s">
        <v>151</v>
      </c>
      <c r="I91" s="20">
        <v>42450.006999999998</v>
      </c>
    </row>
    <row r="92" spans="2:20" x14ac:dyDescent="0.2">
      <c r="B92" s="21" t="s">
        <v>33</v>
      </c>
      <c r="C92" s="22">
        <v>43168</v>
      </c>
      <c r="D92" s="21" t="s">
        <v>19</v>
      </c>
      <c r="E92" s="21" t="s">
        <v>152</v>
      </c>
      <c r="I92" s="20">
        <v>29277.218560000001</v>
      </c>
    </row>
    <row r="93" spans="2:20" x14ac:dyDescent="0.2">
      <c r="B93" s="18" t="s">
        <v>36</v>
      </c>
      <c r="C93" s="19">
        <v>43140</v>
      </c>
      <c r="D93" s="18" t="s">
        <v>19</v>
      </c>
      <c r="E93" s="18" t="s">
        <v>153</v>
      </c>
      <c r="I93" s="20">
        <v>34547.674091580004</v>
      </c>
    </row>
    <row r="94" spans="2:20" x14ac:dyDescent="0.2">
      <c r="B94" s="21" t="s">
        <v>18</v>
      </c>
      <c r="C94" s="22">
        <v>43109</v>
      </c>
      <c r="D94" s="21" t="s">
        <v>19</v>
      </c>
      <c r="E94" s="21" t="s">
        <v>154</v>
      </c>
      <c r="I94" s="20">
        <v>33479.513642332</v>
      </c>
    </row>
    <row r="95" spans="2:20" x14ac:dyDescent="0.2">
      <c r="B95" s="18" t="s">
        <v>21</v>
      </c>
      <c r="C95" s="18" t="s">
        <v>155</v>
      </c>
      <c r="D95" s="18" t="s">
        <v>19</v>
      </c>
      <c r="E95" s="18" t="s">
        <v>154</v>
      </c>
      <c r="I95" s="20">
        <v>31043.272531384002</v>
      </c>
    </row>
    <row r="96" spans="2:20" x14ac:dyDescent="0.2">
      <c r="B96" s="21" t="s">
        <v>24</v>
      </c>
      <c r="C96" s="21" t="s">
        <v>156</v>
      </c>
      <c r="D96" s="21" t="s">
        <v>19</v>
      </c>
      <c r="E96" s="21" t="s">
        <v>157</v>
      </c>
    </row>
    <row r="97" spans="2:5" x14ac:dyDescent="0.2">
      <c r="B97" s="18" t="s">
        <v>27</v>
      </c>
      <c r="C97" s="18" t="s">
        <v>158</v>
      </c>
      <c r="D97" s="18" t="s">
        <v>19</v>
      </c>
      <c r="E97" s="18" t="s">
        <v>159</v>
      </c>
    </row>
    <row r="98" spans="2:5" x14ac:dyDescent="0.2">
      <c r="B98" s="21" t="s">
        <v>30</v>
      </c>
      <c r="C98" s="21" t="s">
        <v>160</v>
      </c>
      <c r="D98" s="21" t="s">
        <v>19</v>
      </c>
      <c r="E98" s="21" t="s">
        <v>161</v>
      </c>
    </row>
    <row r="99" spans="2:5" x14ac:dyDescent="0.2">
      <c r="B99" s="18" t="s">
        <v>33</v>
      </c>
      <c r="C99" s="18" t="s">
        <v>162</v>
      </c>
      <c r="D99" s="18" t="s">
        <v>19</v>
      </c>
      <c r="E99" s="18" t="s">
        <v>163</v>
      </c>
    </row>
    <row r="100" spans="2:5" x14ac:dyDescent="0.2">
      <c r="B100" s="21" t="s">
        <v>36</v>
      </c>
      <c r="C100" s="21" t="s">
        <v>164</v>
      </c>
      <c r="D100" s="21" t="s">
        <v>19</v>
      </c>
      <c r="E100" s="21" t="s">
        <v>165</v>
      </c>
    </row>
    <row r="101" spans="2:5" x14ac:dyDescent="0.2">
      <c r="B101" s="18" t="s">
        <v>18</v>
      </c>
      <c r="C101" s="18" t="s">
        <v>166</v>
      </c>
      <c r="D101" s="18" t="s">
        <v>19</v>
      </c>
      <c r="E101" s="18" t="s">
        <v>167</v>
      </c>
    </row>
    <row r="102" spans="2:5" x14ac:dyDescent="0.2">
      <c r="B102" s="21" t="s">
        <v>21</v>
      </c>
      <c r="C102" s="21" t="s">
        <v>168</v>
      </c>
      <c r="D102" s="21" t="s">
        <v>19</v>
      </c>
      <c r="E102" s="21" t="s">
        <v>167</v>
      </c>
    </row>
    <row r="103" spans="2:5" x14ac:dyDescent="0.2">
      <c r="B103" s="18" t="s">
        <v>24</v>
      </c>
      <c r="C103" s="18" t="s">
        <v>169</v>
      </c>
      <c r="D103" s="18" t="s">
        <v>19</v>
      </c>
      <c r="E103" s="18" t="s">
        <v>170</v>
      </c>
    </row>
    <row r="104" spans="2:5" x14ac:dyDescent="0.2">
      <c r="B104" s="21" t="s">
        <v>27</v>
      </c>
      <c r="C104" s="21" t="s">
        <v>171</v>
      </c>
      <c r="D104" s="21" t="s">
        <v>19</v>
      </c>
      <c r="E104" s="21" t="s">
        <v>172</v>
      </c>
    </row>
    <row r="105" spans="2:5" x14ac:dyDescent="0.2">
      <c r="B105" s="18" t="s">
        <v>30</v>
      </c>
      <c r="C105" s="18" t="s">
        <v>173</v>
      </c>
      <c r="D105" s="18" t="s">
        <v>19</v>
      </c>
      <c r="E105" s="18" t="s">
        <v>174</v>
      </c>
    </row>
    <row r="106" spans="2:5" x14ac:dyDescent="0.2">
      <c r="B106" s="21" t="s">
        <v>33</v>
      </c>
      <c r="C106" s="21" t="s">
        <v>175</v>
      </c>
      <c r="D106" s="21" t="s">
        <v>19</v>
      </c>
      <c r="E106" s="21" t="s">
        <v>126</v>
      </c>
    </row>
    <row r="107" spans="2:5" x14ac:dyDescent="0.2">
      <c r="B107" s="18" t="s">
        <v>36</v>
      </c>
      <c r="C107" s="18" t="s">
        <v>176</v>
      </c>
      <c r="D107" s="18" t="s">
        <v>19</v>
      </c>
      <c r="E107" s="18" t="s">
        <v>177</v>
      </c>
    </row>
    <row r="108" spans="2:5" x14ac:dyDescent="0.2">
      <c r="B108" s="21" t="s">
        <v>18</v>
      </c>
      <c r="C108" s="21" t="s">
        <v>178</v>
      </c>
      <c r="D108" s="21" t="s">
        <v>19</v>
      </c>
      <c r="E108" s="21" t="s">
        <v>179</v>
      </c>
    </row>
    <row r="109" spans="2:5" x14ac:dyDescent="0.2">
      <c r="B109" s="18" t="s">
        <v>21</v>
      </c>
      <c r="C109" s="18" t="s">
        <v>180</v>
      </c>
      <c r="D109" s="18" t="s">
        <v>19</v>
      </c>
      <c r="E109" s="18" t="s">
        <v>179</v>
      </c>
    </row>
    <row r="110" spans="2:5" x14ac:dyDescent="0.2">
      <c r="B110" s="21" t="s">
        <v>24</v>
      </c>
      <c r="C110" s="21" t="s">
        <v>181</v>
      </c>
      <c r="D110" s="21" t="s">
        <v>19</v>
      </c>
      <c r="E110" s="21" t="s">
        <v>182</v>
      </c>
    </row>
    <row r="111" spans="2:5" x14ac:dyDescent="0.2">
      <c r="B111" s="18" t="s">
        <v>27</v>
      </c>
      <c r="C111" s="18" t="s">
        <v>183</v>
      </c>
      <c r="D111" s="18" t="s">
        <v>19</v>
      </c>
      <c r="E111" s="18" t="s">
        <v>184</v>
      </c>
    </row>
    <row r="112" spans="2:5" x14ac:dyDescent="0.2">
      <c r="B112" s="21" t="s">
        <v>30</v>
      </c>
      <c r="C112" s="21" t="s">
        <v>185</v>
      </c>
      <c r="D112" s="21" t="s">
        <v>19</v>
      </c>
      <c r="E112" s="21" t="s">
        <v>40</v>
      </c>
    </row>
    <row r="113" spans="2:5" x14ac:dyDescent="0.2">
      <c r="B113" s="18" t="s">
        <v>33</v>
      </c>
      <c r="C113" s="18" t="s">
        <v>186</v>
      </c>
      <c r="D113" s="18" t="s">
        <v>19</v>
      </c>
      <c r="E113" s="18" t="s">
        <v>78</v>
      </c>
    </row>
    <row r="114" spans="2:5" x14ac:dyDescent="0.2">
      <c r="B114" s="21" t="s">
        <v>36</v>
      </c>
      <c r="C114" s="22">
        <v>43442</v>
      </c>
      <c r="D114" s="21" t="s">
        <v>19</v>
      </c>
      <c r="E114" s="21" t="s">
        <v>187</v>
      </c>
    </row>
    <row r="115" spans="2:5" x14ac:dyDescent="0.2">
      <c r="B115" s="18" t="s">
        <v>18</v>
      </c>
      <c r="C115" s="19">
        <v>43412</v>
      </c>
      <c r="D115" s="18" t="s">
        <v>19</v>
      </c>
      <c r="E115" s="18" t="s">
        <v>188</v>
      </c>
    </row>
    <row r="116" spans="2:5" x14ac:dyDescent="0.2">
      <c r="B116" s="21" t="s">
        <v>21</v>
      </c>
      <c r="C116" s="22">
        <v>43381</v>
      </c>
      <c r="D116" s="21" t="s">
        <v>19</v>
      </c>
      <c r="E116" s="21" t="s">
        <v>188</v>
      </c>
    </row>
    <row r="117" spans="2:5" x14ac:dyDescent="0.2">
      <c r="B117" s="18" t="s">
        <v>24</v>
      </c>
      <c r="C117" s="19">
        <v>43351</v>
      </c>
      <c r="D117" s="18" t="s">
        <v>19</v>
      </c>
      <c r="E117" s="18" t="s">
        <v>189</v>
      </c>
    </row>
    <row r="118" spans="2:5" x14ac:dyDescent="0.2">
      <c r="B118" s="21" t="s">
        <v>27</v>
      </c>
      <c r="C118" s="22">
        <v>43320</v>
      </c>
      <c r="D118" s="21" t="s">
        <v>19</v>
      </c>
      <c r="E118" s="21" t="s">
        <v>190</v>
      </c>
    </row>
    <row r="119" spans="2:5" x14ac:dyDescent="0.2">
      <c r="B119" s="18" t="s">
        <v>30</v>
      </c>
      <c r="C119" s="19">
        <v>43289</v>
      </c>
      <c r="D119" s="18" t="s">
        <v>19</v>
      </c>
      <c r="E119" s="18" t="s">
        <v>191</v>
      </c>
    </row>
    <row r="120" spans="2:5" x14ac:dyDescent="0.2">
      <c r="B120" s="21" t="s">
        <v>33</v>
      </c>
      <c r="C120" s="22">
        <v>43259</v>
      </c>
      <c r="D120" s="21" t="s">
        <v>19</v>
      </c>
      <c r="E120" s="21" t="s">
        <v>192</v>
      </c>
    </row>
    <row r="121" spans="2:5" x14ac:dyDescent="0.2">
      <c r="B121" s="18" t="s">
        <v>36</v>
      </c>
      <c r="C121" s="19">
        <v>43228</v>
      </c>
      <c r="D121" s="18" t="s">
        <v>19</v>
      </c>
      <c r="E121" s="18" t="s">
        <v>193</v>
      </c>
    </row>
    <row r="122" spans="2:5" x14ac:dyDescent="0.2">
      <c r="B122" s="21" t="s">
        <v>18</v>
      </c>
      <c r="C122" s="22">
        <v>43198</v>
      </c>
      <c r="D122" s="21" t="s">
        <v>19</v>
      </c>
      <c r="E122" s="21" t="s">
        <v>194</v>
      </c>
    </row>
    <row r="123" spans="2:5" x14ac:dyDescent="0.2">
      <c r="B123" s="18" t="s">
        <v>21</v>
      </c>
      <c r="C123" s="19">
        <v>43167</v>
      </c>
      <c r="D123" s="18" t="s">
        <v>19</v>
      </c>
      <c r="E123" s="18" t="s">
        <v>194</v>
      </c>
    </row>
    <row r="124" spans="2:5" x14ac:dyDescent="0.2">
      <c r="B124" s="21" t="s">
        <v>24</v>
      </c>
      <c r="C124" s="22">
        <v>43139</v>
      </c>
      <c r="D124" s="21" t="s">
        <v>19</v>
      </c>
      <c r="E124" s="21" t="s">
        <v>195</v>
      </c>
    </row>
    <row r="125" spans="2:5" x14ac:dyDescent="0.2">
      <c r="B125" s="18" t="s">
        <v>27</v>
      </c>
      <c r="C125" s="19">
        <v>43108</v>
      </c>
      <c r="D125" s="18" t="s">
        <v>19</v>
      </c>
      <c r="E125" s="18" t="s">
        <v>196</v>
      </c>
    </row>
    <row r="126" spans="2:5" x14ac:dyDescent="0.2">
      <c r="B126" s="21" t="s">
        <v>30</v>
      </c>
      <c r="C126" s="21" t="s">
        <v>197</v>
      </c>
      <c r="D126" s="21" t="s">
        <v>19</v>
      </c>
      <c r="E126" s="21" t="s">
        <v>198</v>
      </c>
    </row>
    <row r="127" spans="2:5" x14ac:dyDescent="0.2">
      <c r="B127" s="18" t="s">
        <v>33</v>
      </c>
      <c r="C127" s="18" t="s">
        <v>199</v>
      </c>
      <c r="D127" s="18" t="s">
        <v>19</v>
      </c>
      <c r="E127" s="18" t="s">
        <v>200</v>
      </c>
    </row>
    <row r="128" spans="2:5" x14ac:dyDescent="0.2">
      <c r="B128" s="21" t="s">
        <v>36</v>
      </c>
      <c r="C128" s="21" t="s">
        <v>201</v>
      </c>
      <c r="D128" s="21" t="s">
        <v>19</v>
      </c>
      <c r="E128" s="21" t="s">
        <v>202</v>
      </c>
    </row>
    <row r="129" spans="2:5" x14ac:dyDescent="0.2">
      <c r="B129" s="18" t="s">
        <v>18</v>
      </c>
      <c r="C129" s="18" t="s">
        <v>203</v>
      </c>
      <c r="D129" s="18" t="s">
        <v>19</v>
      </c>
      <c r="E129" s="18" t="s">
        <v>204</v>
      </c>
    </row>
    <row r="130" spans="2:5" x14ac:dyDescent="0.2">
      <c r="B130" s="21" t="s">
        <v>21</v>
      </c>
      <c r="C130" s="21" t="s">
        <v>205</v>
      </c>
      <c r="D130" s="21" t="s">
        <v>19</v>
      </c>
      <c r="E130" s="21" t="s">
        <v>204</v>
      </c>
    </row>
    <row r="131" spans="2:5" x14ac:dyDescent="0.2">
      <c r="B131" s="18" t="s">
        <v>24</v>
      </c>
      <c r="C131" s="18" t="s">
        <v>206</v>
      </c>
      <c r="D131" s="18" t="s">
        <v>19</v>
      </c>
      <c r="E131" s="18" t="s">
        <v>207</v>
      </c>
    </row>
    <row r="132" spans="2:5" x14ac:dyDescent="0.2">
      <c r="B132" s="21" t="s">
        <v>27</v>
      </c>
      <c r="C132" s="21" t="s">
        <v>208</v>
      </c>
      <c r="D132" s="21" t="s">
        <v>19</v>
      </c>
      <c r="E132" s="21" t="s">
        <v>38</v>
      </c>
    </row>
    <row r="133" spans="2:5" x14ac:dyDescent="0.2">
      <c r="B133" s="18" t="s">
        <v>30</v>
      </c>
      <c r="C133" s="18" t="s">
        <v>209</v>
      </c>
      <c r="D133" s="18" t="s">
        <v>19</v>
      </c>
      <c r="E133" s="18" t="s">
        <v>210</v>
      </c>
    </row>
    <row r="134" spans="2:5" x14ac:dyDescent="0.2">
      <c r="B134" s="21" t="s">
        <v>33</v>
      </c>
      <c r="C134" s="21" t="s">
        <v>211</v>
      </c>
      <c r="D134" s="21" t="s">
        <v>19</v>
      </c>
      <c r="E134" s="21" t="s">
        <v>86</v>
      </c>
    </row>
    <row r="135" spans="2:5" x14ac:dyDescent="0.2">
      <c r="B135" s="18" t="s">
        <v>36</v>
      </c>
      <c r="C135" s="18" t="s">
        <v>212</v>
      </c>
      <c r="D135" s="18" t="s">
        <v>19</v>
      </c>
      <c r="E135" s="18" t="s">
        <v>213</v>
      </c>
    </row>
    <row r="136" spans="2:5" x14ac:dyDescent="0.2">
      <c r="B136" s="21" t="s">
        <v>18</v>
      </c>
      <c r="C136" s="21" t="s">
        <v>214</v>
      </c>
      <c r="D136" s="21" t="s">
        <v>19</v>
      </c>
      <c r="E136" s="21" t="s">
        <v>182</v>
      </c>
    </row>
    <row r="137" spans="2:5" x14ac:dyDescent="0.2">
      <c r="B137" s="18" t="s">
        <v>21</v>
      </c>
      <c r="C137" s="18" t="s">
        <v>215</v>
      </c>
      <c r="D137" s="18" t="s">
        <v>19</v>
      </c>
      <c r="E137" s="18" t="s">
        <v>216</v>
      </c>
    </row>
    <row r="138" spans="2:5" x14ac:dyDescent="0.2">
      <c r="B138" s="21" t="s">
        <v>24</v>
      </c>
      <c r="C138" s="21" t="s">
        <v>217</v>
      </c>
      <c r="D138" s="21" t="s">
        <v>19</v>
      </c>
      <c r="E138" s="21" t="s">
        <v>218</v>
      </c>
    </row>
    <row r="139" spans="2:5" x14ac:dyDescent="0.2">
      <c r="B139" s="18" t="s">
        <v>27</v>
      </c>
      <c r="C139" s="18" t="s">
        <v>219</v>
      </c>
      <c r="D139" s="18" t="s">
        <v>19</v>
      </c>
      <c r="E139" s="18" t="s">
        <v>220</v>
      </c>
    </row>
    <row r="140" spans="2:5" x14ac:dyDescent="0.2">
      <c r="B140" s="21" t="s">
        <v>30</v>
      </c>
      <c r="C140" s="21" t="s">
        <v>221</v>
      </c>
      <c r="D140" s="21" t="s">
        <v>19</v>
      </c>
      <c r="E140" s="21" t="s">
        <v>222</v>
      </c>
    </row>
    <row r="141" spans="2:5" x14ac:dyDescent="0.2">
      <c r="B141" s="18" t="s">
        <v>33</v>
      </c>
      <c r="C141" s="18" t="s">
        <v>223</v>
      </c>
      <c r="D141" s="18" t="s">
        <v>19</v>
      </c>
      <c r="E141" s="18" t="s">
        <v>224</v>
      </c>
    </row>
    <row r="142" spans="2:5" x14ac:dyDescent="0.2">
      <c r="B142" s="21" t="s">
        <v>36</v>
      </c>
      <c r="C142" s="21" t="s">
        <v>225</v>
      </c>
      <c r="D142" s="21" t="s">
        <v>19</v>
      </c>
      <c r="E142" s="21" t="s">
        <v>226</v>
      </c>
    </row>
    <row r="143" spans="2:5" x14ac:dyDescent="0.2">
      <c r="B143" s="18" t="s">
        <v>18</v>
      </c>
      <c r="C143" s="18" t="s">
        <v>227</v>
      </c>
      <c r="D143" s="18" t="s">
        <v>19</v>
      </c>
      <c r="E143" s="18" t="s">
        <v>228</v>
      </c>
    </row>
    <row r="144" spans="2:5" x14ac:dyDescent="0.2">
      <c r="B144" s="21" t="s">
        <v>21</v>
      </c>
      <c r="C144" s="21" t="s">
        <v>229</v>
      </c>
      <c r="D144" s="21" t="s">
        <v>19</v>
      </c>
      <c r="E144" s="21" t="s">
        <v>230</v>
      </c>
    </row>
    <row r="145" spans="2:5" x14ac:dyDescent="0.2">
      <c r="B145" s="18" t="s">
        <v>24</v>
      </c>
      <c r="C145" s="19">
        <v>43441</v>
      </c>
      <c r="D145" s="18" t="s">
        <v>19</v>
      </c>
      <c r="E145" s="18" t="s">
        <v>182</v>
      </c>
    </row>
    <row r="146" spans="2:5" x14ac:dyDescent="0.2">
      <c r="B146" s="21" t="s">
        <v>27</v>
      </c>
      <c r="C146" s="22">
        <v>43411</v>
      </c>
      <c r="D146" s="21" t="s">
        <v>19</v>
      </c>
      <c r="E146" s="21" t="s">
        <v>231</v>
      </c>
    </row>
    <row r="147" spans="2:5" x14ac:dyDescent="0.2">
      <c r="B147" s="18" t="s">
        <v>30</v>
      </c>
      <c r="C147" s="19">
        <v>43380</v>
      </c>
      <c r="D147" s="18" t="s">
        <v>19</v>
      </c>
      <c r="E147" s="18" t="s">
        <v>232</v>
      </c>
    </row>
    <row r="148" spans="2:5" x14ac:dyDescent="0.2">
      <c r="B148" s="21" t="s">
        <v>33</v>
      </c>
      <c r="C148" s="22">
        <v>43350</v>
      </c>
      <c r="D148" s="21" t="s">
        <v>19</v>
      </c>
      <c r="E148" s="21" t="s">
        <v>233</v>
      </c>
    </row>
    <row r="149" spans="2:5" x14ac:dyDescent="0.2">
      <c r="B149" s="18" t="s">
        <v>36</v>
      </c>
      <c r="C149" s="19">
        <v>43319</v>
      </c>
      <c r="D149" s="18" t="s">
        <v>19</v>
      </c>
      <c r="E149" s="18" t="s">
        <v>234</v>
      </c>
    </row>
    <row r="150" spans="2:5" x14ac:dyDescent="0.2">
      <c r="B150" s="21" t="s">
        <v>18</v>
      </c>
      <c r="C150" s="22">
        <v>43288</v>
      </c>
      <c r="D150" s="21" t="s">
        <v>19</v>
      </c>
      <c r="E150" s="21" t="s">
        <v>235</v>
      </c>
    </row>
    <row r="151" spans="2:5" x14ac:dyDescent="0.2">
      <c r="B151" s="18" t="s">
        <v>21</v>
      </c>
      <c r="C151" s="19">
        <v>43258</v>
      </c>
      <c r="D151" s="18" t="s">
        <v>19</v>
      </c>
      <c r="E151" s="18" t="s">
        <v>235</v>
      </c>
    </row>
    <row r="152" spans="2:5" x14ac:dyDescent="0.2">
      <c r="B152" s="21" t="s">
        <v>24</v>
      </c>
      <c r="C152" s="22">
        <v>43227</v>
      </c>
      <c r="D152" s="21" t="s">
        <v>19</v>
      </c>
      <c r="E152" s="21" t="s">
        <v>236</v>
      </c>
    </row>
    <row r="153" spans="2:5" x14ac:dyDescent="0.2">
      <c r="B153" s="18" t="s">
        <v>27</v>
      </c>
      <c r="C153" s="19">
        <v>43197</v>
      </c>
      <c r="D153" s="18" t="s">
        <v>19</v>
      </c>
      <c r="E153" s="18" t="s">
        <v>237</v>
      </c>
    </row>
    <row r="154" spans="2:5" x14ac:dyDescent="0.2">
      <c r="B154" s="21" t="s">
        <v>30</v>
      </c>
      <c r="C154" s="22">
        <v>43166</v>
      </c>
      <c r="D154" s="21" t="s">
        <v>19</v>
      </c>
      <c r="E154" s="21" t="s">
        <v>104</v>
      </c>
    </row>
    <row r="155" spans="2:5" x14ac:dyDescent="0.2">
      <c r="B155" s="18" t="s">
        <v>33</v>
      </c>
      <c r="C155" s="19">
        <v>43138</v>
      </c>
      <c r="D155" s="18" t="s">
        <v>19</v>
      </c>
      <c r="E155" s="18" t="s">
        <v>67</v>
      </c>
    </row>
    <row r="156" spans="2:5" x14ac:dyDescent="0.2">
      <c r="B156" s="21" t="s">
        <v>36</v>
      </c>
      <c r="C156" s="22">
        <v>43107</v>
      </c>
      <c r="D156" s="21" t="s">
        <v>19</v>
      </c>
      <c r="E156" s="21" t="s">
        <v>238</v>
      </c>
    </row>
    <row r="157" spans="2:5" x14ac:dyDescent="0.2">
      <c r="B157" s="18" t="s">
        <v>18</v>
      </c>
      <c r="C157" s="18" t="s">
        <v>239</v>
      </c>
      <c r="D157" s="18" t="s">
        <v>19</v>
      </c>
      <c r="E157" s="18" t="s">
        <v>240</v>
      </c>
    </row>
    <row r="158" spans="2:5" x14ac:dyDescent="0.2">
      <c r="B158" s="21" t="s">
        <v>21</v>
      </c>
      <c r="C158" s="21" t="s">
        <v>241</v>
      </c>
      <c r="D158" s="21" t="s">
        <v>19</v>
      </c>
      <c r="E158" s="21" t="s">
        <v>242</v>
      </c>
    </row>
    <row r="159" spans="2:5" x14ac:dyDescent="0.2">
      <c r="B159" s="18" t="s">
        <v>24</v>
      </c>
      <c r="C159" s="18" t="s">
        <v>243</v>
      </c>
      <c r="D159" s="18" t="s">
        <v>19</v>
      </c>
      <c r="E159" s="18" t="s">
        <v>244</v>
      </c>
    </row>
    <row r="160" spans="2:5" x14ac:dyDescent="0.2">
      <c r="B160" s="21" t="s">
        <v>27</v>
      </c>
      <c r="C160" s="21" t="s">
        <v>245</v>
      </c>
      <c r="D160" s="21" t="s">
        <v>19</v>
      </c>
      <c r="E160" s="21" t="s">
        <v>246</v>
      </c>
    </row>
    <row r="161" spans="2:5" x14ac:dyDescent="0.2">
      <c r="B161" s="18" t="s">
        <v>30</v>
      </c>
      <c r="C161" s="18" t="s">
        <v>247</v>
      </c>
      <c r="D161" s="18" t="s">
        <v>19</v>
      </c>
      <c r="E161" s="18" t="s">
        <v>248</v>
      </c>
    </row>
    <row r="162" spans="2:5" x14ac:dyDescent="0.2">
      <c r="B162" s="21" t="s">
        <v>33</v>
      </c>
      <c r="C162" s="21" t="s">
        <v>249</v>
      </c>
      <c r="D162" s="21" t="s">
        <v>19</v>
      </c>
      <c r="E162" s="21" t="s">
        <v>250</v>
      </c>
    </row>
    <row r="163" spans="2:5" x14ac:dyDescent="0.2">
      <c r="B163" s="18" t="s">
        <v>36</v>
      </c>
      <c r="C163" s="18" t="s">
        <v>251</v>
      </c>
      <c r="D163" s="18" t="s">
        <v>19</v>
      </c>
      <c r="E163" s="18" t="s">
        <v>252</v>
      </c>
    </row>
    <row r="164" spans="2:5" x14ac:dyDescent="0.2">
      <c r="B164" s="21" t="s">
        <v>18</v>
      </c>
      <c r="C164" s="21" t="s">
        <v>253</v>
      </c>
      <c r="D164" s="21" t="s">
        <v>19</v>
      </c>
      <c r="E164" s="21" t="s">
        <v>254</v>
      </c>
    </row>
    <row r="165" spans="2:5" x14ac:dyDescent="0.2">
      <c r="B165" s="18" t="s">
        <v>21</v>
      </c>
      <c r="C165" s="18" t="s">
        <v>255</v>
      </c>
      <c r="D165" s="18" t="s">
        <v>19</v>
      </c>
      <c r="E165" s="18" t="s">
        <v>254</v>
      </c>
    </row>
    <row r="166" spans="2:5" x14ac:dyDescent="0.2">
      <c r="B166" s="21" t="s">
        <v>24</v>
      </c>
      <c r="C166" s="21" t="s">
        <v>256</v>
      </c>
      <c r="D166" s="21" t="s">
        <v>19</v>
      </c>
      <c r="E166" s="21" t="s">
        <v>257</v>
      </c>
    </row>
    <row r="167" spans="2:5" x14ac:dyDescent="0.2">
      <c r="B167" s="18" t="s">
        <v>27</v>
      </c>
      <c r="C167" s="18" t="s">
        <v>258</v>
      </c>
      <c r="D167" s="18" t="s">
        <v>19</v>
      </c>
      <c r="E167" s="18" t="s">
        <v>259</v>
      </c>
    </row>
    <row r="168" spans="2:5" x14ac:dyDescent="0.2">
      <c r="B168" s="21" t="s">
        <v>30</v>
      </c>
      <c r="C168" s="21" t="s">
        <v>260</v>
      </c>
      <c r="D168" s="21" t="s">
        <v>19</v>
      </c>
      <c r="E168" s="21" t="s">
        <v>261</v>
      </c>
    </row>
    <row r="169" spans="2:5" x14ac:dyDescent="0.2">
      <c r="B169" s="18" t="s">
        <v>33</v>
      </c>
      <c r="C169" s="18" t="s">
        <v>262</v>
      </c>
      <c r="D169" s="18" t="s">
        <v>19</v>
      </c>
      <c r="E169" s="18" t="s">
        <v>263</v>
      </c>
    </row>
    <row r="170" spans="2:5" x14ac:dyDescent="0.2">
      <c r="B170" s="21" t="s">
        <v>36</v>
      </c>
      <c r="C170" s="21" t="s">
        <v>264</v>
      </c>
      <c r="D170" s="21" t="s">
        <v>19</v>
      </c>
      <c r="E170" s="21" t="s">
        <v>265</v>
      </c>
    </row>
    <row r="171" spans="2:5" x14ac:dyDescent="0.2">
      <c r="B171" s="18" t="s">
        <v>18</v>
      </c>
      <c r="C171" s="18" t="s">
        <v>266</v>
      </c>
      <c r="D171" s="18" t="s">
        <v>19</v>
      </c>
      <c r="E171" s="18" t="s">
        <v>267</v>
      </c>
    </row>
    <row r="172" spans="2:5" x14ac:dyDescent="0.2">
      <c r="B172" s="21" t="s">
        <v>21</v>
      </c>
      <c r="C172" s="21" t="s">
        <v>268</v>
      </c>
      <c r="D172" s="21" t="s">
        <v>19</v>
      </c>
      <c r="E172" s="21" t="s">
        <v>267</v>
      </c>
    </row>
    <row r="173" spans="2:5" x14ac:dyDescent="0.2">
      <c r="B173" s="18" t="s">
        <v>24</v>
      </c>
      <c r="C173" s="18" t="s">
        <v>269</v>
      </c>
      <c r="D173" s="18" t="s">
        <v>19</v>
      </c>
      <c r="E173" s="18" t="s">
        <v>270</v>
      </c>
    </row>
    <row r="174" spans="2:5" x14ac:dyDescent="0.2">
      <c r="B174" s="21" t="s">
        <v>27</v>
      </c>
      <c r="C174" s="21" t="s">
        <v>271</v>
      </c>
      <c r="D174" s="21" t="s">
        <v>19</v>
      </c>
      <c r="E174" s="21" t="s">
        <v>272</v>
      </c>
    </row>
    <row r="175" spans="2:5" x14ac:dyDescent="0.2">
      <c r="B175" s="18" t="s">
        <v>30</v>
      </c>
      <c r="C175" s="19">
        <v>43440</v>
      </c>
      <c r="D175" s="18" t="s">
        <v>19</v>
      </c>
      <c r="E175" s="18" t="s">
        <v>273</v>
      </c>
    </row>
    <row r="176" spans="2:5" x14ac:dyDescent="0.2">
      <c r="B176" s="21" t="s">
        <v>33</v>
      </c>
      <c r="C176" s="22">
        <v>43410</v>
      </c>
      <c r="D176" s="21" t="s">
        <v>19</v>
      </c>
      <c r="E176" s="21" t="s">
        <v>274</v>
      </c>
    </row>
    <row r="177" spans="2:5" x14ac:dyDescent="0.2">
      <c r="B177" s="18" t="s">
        <v>36</v>
      </c>
      <c r="C177" s="19">
        <v>43379</v>
      </c>
      <c r="D177" s="18" t="s">
        <v>19</v>
      </c>
      <c r="E177" s="18" t="s">
        <v>275</v>
      </c>
    </row>
    <row r="178" spans="2:5" x14ac:dyDescent="0.2">
      <c r="B178" s="21" t="s">
        <v>18</v>
      </c>
      <c r="C178" s="22">
        <v>43349</v>
      </c>
      <c r="D178" s="21" t="s">
        <v>19</v>
      </c>
      <c r="E178" s="21" t="s">
        <v>276</v>
      </c>
    </row>
    <row r="179" spans="2:5" x14ac:dyDescent="0.2">
      <c r="B179" s="18" t="s">
        <v>21</v>
      </c>
      <c r="C179" s="19">
        <v>43318</v>
      </c>
      <c r="D179" s="18" t="s">
        <v>19</v>
      </c>
      <c r="E179" s="18" t="s">
        <v>277</v>
      </c>
    </row>
    <row r="180" spans="2:5" x14ac:dyDescent="0.2">
      <c r="B180" s="21" t="s">
        <v>24</v>
      </c>
      <c r="C180" s="22">
        <v>43287</v>
      </c>
      <c r="D180" s="21" t="s">
        <v>19</v>
      </c>
      <c r="E180" s="21" t="s">
        <v>278</v>
      </c>
    </row>
    <row r="181" spans="2:5" x14ac:dyDescent="0.2">
      <c r="B181" s="18" t="s">
        <v>27</v>
      </c>
      <c r="C181" s="19">
        <v>43257</v>
      </c>
      <c r="D181" s="18" t="s">
        <v>19</v>
      </c>
      <c r="E181" s="18" t="s">
        <v>279</v>
      </c>
    </row>
    <row r="182" spans="2:5" x14ac:dyDescent="0.2">
      <c r="B182" s="21" t="s">
        <v>30</v>
      </c>
      <c r="C182" s="22">
        <v>43226</v>
      </c>
      <c r="D182" s="21" t="s">
        <v>19</v>
      </c>
      <c r="E182" s="21" t="s">
        <v>280</v>
      </c>
    </row>
    <row r="183" spans="2:5" x14ac:dyDescent="0.2">
      <c r="B183" s="18" t="s">
        <v>33</v>
      </c>
      <c r="C183" s="19">
        <v>43196</v>
      </c>
      <c r="D183" s="18" t="s">
        <v>19</v>
      </c>
      <c r="E183" s="18" t="s">
        <v>134</v>
      </c>
    </row>
    <row r="184" spans="2:5" x14ac:dyDescent="0.2">
      <c r="B184" s="21" t="s">
        <v>36</v>
      </c>
      <c r="C184" s="22">
        <v>43165</v>
      </c>
      <c r="D184" s="21" t="s">
        <v>19</v>
      </c>
      <c r="E184" s="21" t="s">
        <v>177</v>
      </c>
    </row>
    <row r="185" spans="2:5" x14ac:dyDescent="0.2">
      <c r="B185" s="18" t="s">
        <v>18</v>
      </c>
      <c r="C185" s="19">
        <v>43137</v>
      </c>
      <c r="D185" s="18" t="s">
        <v>19</v>
      </c>
      <c r="E185" s="18" t="s">
        <v>281</v>
      </c>
    </row>
    <row r="186" spans="2:5" x14ac:dyDescent="0.2">
      <c r="B186" s="21" t="s">
        <v>21</v>
      </c>
      <c r="C186" s="22">
        <v>43106</v>
      </c>
      <c r="D186" s="21" t="s">
        <v>19</v>
      </c>
      <c r="E186" s="21" t="s">
        <v>282</v>
      </c>
    </row>
    <row r="187" spans="2:5" x14ac:dyDescent="0.2">
      <c r="B187" s="18" t="s">
        <v>24</v>
      </c>
      <c r="C187" s="18" t="s">
        <v>283</v>
      </c>
      <c r="D187" s="18" t="s">
        <v>19</v>
      </c>
      <c r="E187" s="18" t="s">
        <v>284</v>
      </c>
    </row>
    <row r="188" spans="2:5" x14ac:dyDescent="0.2">
      <c r="B188" s="21" t="s">
        <v>27</v>
      </c>
      <c r="C188" s="21" t="s">
        <v>285</v>
      </c>
      <c r="D188" s="21" t="s">
        <v>19</v>
      </c>
      <c r="E188" s="21" t="s">
        <v>286</v>
      </c>
    </row>
    <row r="189" spans="2:5" x14ac:dyDescent="0.2">
      <c r="B189" s="18" t="s">
        <v>30</v>
      </c>
      <c r="C189" s="18" t="s">
        <v>287</v>
      </c>
      <c r="D189" s="18" t="s">
        <v>19</v>
      </c>
      <c r="E189" s="18" t="s">
        <v>288</v>
      </c>
    </row>
    <row r="190" spans="2:5" x14ac:dyDescent="0.2">
      <c r="B190" s="21" t="s">
        <v>33</v>
      </c>
      <c r="C190" s="21" t="s">
        <v>289</v>
      </c>
      <c r="D190" s="21" t="s">
        <v>19</v>
      </c>
      <c r="E190" s="21" t="s">
        <v>23</v>
      </c>
    </row>
    <row r="191" spans="2:5" x14ac:dyDescent="0.2">
      <c r="B191" s="18" t="s">
        <v>36</v>
      </c>
      <c r="C191" s="18" t="s">
        <v>290</v>
      </c>
      <c r="D191" s="18" t="s">
        <v>19</v>
      </c>
      <c r="E191" s="18" t="s">
        <v>291</v>
      </c>
    </row>
    <row r="192" spans="2:5" x14ac:dyDescent="0.2">
      <c r="B192" s="21" t="s">
        <v>18</v>
      </c>
      <c r="C192" s="21" t="s">
        <v>292</v>
      </c>
      <c r="D192" s="21" t="s">
        <v>19</v>
      </c>
      <c r="E192" s="21" t="s">
        <v>111</v>
      </c>
    </row>
    <row r="193" spans="2:5" x14ac:dyDescent="0.2">
      <c r="B193" s="18" t="s">
        <v>21</v>
      </c>
      <c r="C193" s="18" t="s">
        <v>293</v>
      </c>
      <c r="D193" s="18" t="s">
        <v>19</v>
      </c>
      <c r="E193" s="18" t="s">
        <v>67</v>
      </c>
    </row>
    <row r="194" spans="2:5" x14ac:dyDescent="0.2">
      <c r="B194" s="21" t="s">
        <v>24</v>
      </c>
      <c r="C194" s="21" t="s">
        <v>294</v>
      </c>
      <c r="D194" s="21" t="s">
        <v>19</v>
      </c>
      <c r="E194" s="21" t="s">
        <v>295</v>
      </c>
    </row>
    <row r="195" spans="2:5" x14ac:dyDescent="0.2">
      <c r="B195" s="18" t="s">
        <v>27</v>
      </c>
      <c r="C195" s="18" t="s">
        <v>296</v>
      </c>
      <c r="D195" s="18" t="s">
        <v>19</v>
      </c>
      <c r="E195" s="18" t="s">
        <v>107</v>
      </c>
    </row>
    <row r="196" spans="2:5" x14ac:dyDescent="0.2">
      <c r="B196" s="21" t="s">
        <v>30</v>
      </c>
      <c r="C196" s="21" t="s">
        <v>297</v>
      </c>
      <c r="D196" s="21" t="s">
        <v>19</v>
      </c>
      <c r="E196" s="21" t="s">
        <v>88</v>
      </c>
    </row>
    <row r="197" spans="2:5" x14ac:dyDescent="0.2">
      <c r="B197" s="18" t="s">
        <v>33</v>
      </c>
      <c r="C197" s="18" t="s">
        <v>298</v>
      </c>
      <c r="D197" s="18" t="s">
        <v>19</v>
      </c>
      <c r="E197" s="18" t="s">
        <v>67</v>
      </c>
    </row>
    <row r="198" spans="2:5" x14ac:dyDescent="0.2">
      <c r="B198" s="21" t="s">
        <v>36</v>
      </c>
      <c r="C198" s="21" t="s">
        <v>299</v>
      </c>
      <c r="D198" s="21" t="s">
        <v>19</v>
      </c>
      <c r="E198" s="21" t="s">
        <v>300</v>
      </c>
    </row>
    <row r="199" spans="2:5" x14ac:dyDescent="0.2">
      <c r="B199" s="18" t="s">
        <v>18</v>
      </c>
      <c r="C199" s="18" t="s">
        <v>301</v>
      </c>
      <c r="D199" s="18" t="s">
        <v>19</v>
      </c>
      <c r="E199" s="18" t="s">
        <v>302</v>
      </c>
    </row>
    <row r="200" spans="2:5" x14ac:dyDescent="0.2">
      <c r="B200" s="21" t="s">
        <v>21</v>
      </c>
      <c r="C200" s="21" t="s">
        <v>303</v>
      </c>
      <c r="D200" s="21" t="s">
        <v>19</v>
      </c>
      <c r="E200" s="21" t="s">
        <v>304</v>
      </c>
    </row>
    <row r="201" spans="2:5" x14ac:dyDescent="0.2">
      <c r="B201" s="18" t="s">
        <v>24</v>
      </c>
      <c r="C201" s="18" t="s">
        <v>305</v>
      </c>
      <c r="D201" s="18" t="s">
        <v>19</v>
      </c>
      <c r="E201" s="18" t="s">
        <v>306</v>
      </c>
    </row>
    <row r="202" spans="2:5" x14ac:dyDescent="0.2">
      <c r="B202" s="21" t="s">
        <v>27</v>
      </c>
      <c r="C202" s="21" t="s">
        <v>307</v>
      </c>
      <c r="D202" s="21" t="s">
        <v>19</v>
      </c>
      <c r="E202" s="21" t="s">
        <v>308</v>
      </c>
    </row>
    <row r="203" spans="2:5" x14ac:dyDescent="0.2">
      <c r="B203" s="18" t="s">
        <v>30</v>
      </c>
      <c r="C203" s="18" t="s">
        <v>309</v>
      </c>
      <c r="D203" s="18" t="s">
        <v>19</v>
      </c>
      <c r="E203" s="18" t="s">
        <v>310</v>
      </c>
    </row>
    <row r="204" spans="2:5" x14ac:dyDescent="0.2">
      <c r="B204" s="21" t="s">
        <v>33</v>
      </c>
      <c r="C204" s="21" t="s">
        <v>311</v>
      </c>
      <c r="D204" s="21" t="s">
        <v>19</v>
      </c>
      <c r="E204" s="21" t="s">
        <v>202</v>
      </c>
    </row>
    <row r="205" spans="2:5" x14ac:dyDescent="0.2">
      <c r="B205" s="18" t="s">
        <v>36</v>
      </c>
      <c r="C205" s="18" t="s">
        <v>312</v>
      </c>
      <c r="D205" s="18" t="s">
        <v>19</v>
      </c>
      <c r="E205" s="18" t="s">
        <v>313</v>
      </c>
    </row>
    <row r="206" spans="2:5" x14ac:dyDescent="0.2">
      <c r="B206" s="21" t="s">
        <v>18</v>
      </c>
      <c r="C206" s="22">
        <v>43439</v>
      </c>
      <c r="D206" s="21" t="s">
        <v>19</v>
      </c>
      <c r="E206" s="21" t="s">
        <v>314</v>
      </c>
    </row>
    <row r="207" spans="2:5" x14ac:dyDescent="0.2">
      <c r="B207" s="18" t="s">
        <v>21</v>
      </c>
      <c r="C207" s="19">
        <v>43409</v>
      </c>
      <c r="D207" s="18" t="s">
        <v>19</v>
      </c>
      <c r="E207" s="18" t="s">
        <v>315</v>
      </c>
    </row>
    <row r="208" spans="2:5" x14ac:dyDescent="0.2">
      <c r="B208" s="21" t="s">
        <v>24</v>
      </c>
      <c r="C208" s="22">
        <v>43378</v>
      </c>
      <c r="D208" s="21" t="s">
        <v>19</v>
      </c>
      <c r="E208" s="21" t="s">
        <v>316</v>
      </c>
    </row>
    <row r="209" spans="2:5" x14ac:dyDescent="0.2">
      <c r="B209" s="18" t="s">
        <v>27</v>
      </c>
      <c r="C209" s="19">
        <v>43348</v>
      </c>
      <c r="D209" s="18" t="s">
        <v>19</v>
      </c>
      <c r="E209" s="18" t="s">
        <v>317</v>
      </c>
    </row>
    <row r="210" spans="2:5" x14ac:dyDescent="0.2">
      <c r="B210" s="21" t="s">
        <v>30</v>
      </c>
      <c r="C210" s="22">
        <v>43317</v>
      </c>
      <c r="D210" s="21" t="s">
        <v>19</v>
      </c>
      <c r="E210" s="21" t="s">
        <v>318</v>
      </c>
    </row>
    <row r="211" spans="2:5" x14ac:dyDescent="0.2">
      <c r="B211" s="18" t="s">
        <v>33</v>
      </c>
      <c r="C211" s="19">
        <v>43286</v>
      </c>
      <c r="D211" s="18" t="s">
        <v>19</v>
      </c>
      <c r="E211" s="18" t="s">
        <v>319</v>
      </c>
    </row>
    <row r="212" spans="2:5" x14ac:dyDescent="0.2">
      <c r="B212" s="21" t="s">
        <v>36</v>
      </c>
      <c r="C212" s="22">
        <v>43256</v>
      </c>
      <c r="D212" s="21" t="s">
        <v>19</v>
      </c>
      <c r="E212" s="21" t="s">
        <v>320</v>
      </c>
    </row>
    <row r="213" spans="2:5" x14ac:dyDescent="0.2">
      <c r="B213" s="18" t="s">
        <v>18</v>
      </c>
      <c r="C213" s="19">
        <v>43225</v>
      </c>
      <c r="D213" s="18" t="s">
        <v>19</v>
      </c>
      <c r="E213" s="18" t="s">
        <v>321</v>
      </c>
    </row>
    <row r="214" spans="2:5" x14ac:dyDescent="0.2">
      <c r="B214" s="21" t="s">
        <v>21</v>
      </c>
      <c r="C214" s="22">
        <v>43195</v>
      </c>
      <c r="D214" s="21" t="s">
        <v>19</v>
      </c>
      <c r="E214" s="21" t="s">
        <v>322</v>
      </c>
    </row>
    <row r="215" spans="2:5" x14ac:dyDescent="0.2">
      <c r="B215" s="18" t="s">
        <v>24</v>
      </c>
      <c r="C215" s="19">
        <v>43164</v>
      </c>
      <c r="D215" s="18" t="s">
        <v>19</v>
      </c>
      <c r="E215" s="18" t="s">
        <v>323</v>
      </c>
    </row>
    <row r="216" spans="2:5" x14ac:dyDescent="0.2">
      <c r="B216" s="21" t="s">
        <v>27</v>
      </c>
      <c r="C216" s="22">
        <v>43136</v>
      </c>
      <c r="D216" s="21" t="s">
        <v>19</v>
      </c>
      <c r="E216" s="21" t="s">
        <v>324</v>
      </c>
    </row>
    <row r="217" spans="2:5" x14ac:dyDescent="0.2">
      <c r="B217" s="18" t="s">
        <v>30</v>
      </c>
      <c r="C217" s="19">
        <v>43105</v>
      </c>
      <c r="D217" s="18" t="s">
        <v>19</v>
      </c>
      <c r="E217" s="18" t="s">
        <v>325</v>
      </c>
    </row>
    <row r="218" spans="2:5" x14ac:dyDescent="0.2">
      <c r="B218" s="21" t="s">
        <v>33</v>
      </c>
      <c r="C218" s="21" t="s">
        <v>326</v>
      </c>
      <c r="D218" s="21" t="s">
        <v>19</v>
      </c>
      <c r="E218" s="21" t="s">
        <v>327</v>
      </c>
    </row>
    <row r="219" spans="2:5" x14ac:dyDescent="0.2">
      <c r="B219" s="18" t="s">
        <v>36</v>
      </c>
      <c r="C219" s="18" t="s">
        <v>328</v>
      </c>
      <c r="D219" s="18" t="s">
        <v>19</v>
      </c>
      <c r="E219" s="18" t="s">
        <v>329</v>
      </c>
    </row>
    <row r="220" spans="2:5" x14ac:dyDescent="0.2">
      <c r="B220" s="21" t="s">
        <v>18</v>
      </c>
      <c r="C220" s="21" t="s">
        <v>330</v>
      </c>
      <c r="D220" s="21" t="s">
        <v>19</v>
      </c>
      <c r="E220" s="21" t="s">
        <v>331</v>
      </c>
    </row>
    <row r="221" spans="2:5" x14ac:dyDescent="0.2">
      <c r="B221" s="18" t="s">
        <v>21</v>
      </c>
      <c r="C221" s="18" t="s">
        <v>332</v>
      </c>
      <c r="D221" s="18" t="s">
        <v>19</v>
      </c>
      <c r="E221" s="18" t="s">
        <v>331</v>
      </c>
    </row>
    <row r="222" spans="2:5" x14ac:dyDescent="0.2">
      <c r="B222" s="21" t="s">
        <v>24</v>
      </c>
      <c r="C222" s="21" t="s">
        <v>333</v>
      </c>
      <c r="D222" s="21" t="s">
        <v>19</v>
      </c>
      <c r="E222" s="21" t="s">
        <v>334</v>
      </c>
    </row>
    <row r="223" spans="2:5" x14ac:dyDescent="0.2">
      <c r="B223" s="18" t="s">
        <v>27</v>
      </c>
      <c r="C223" s="18" t="s">
        <v>335</v>
      </c>
      <c r="D223" s="18" t="s">
        <v>19</v>
      </c>
      <c r="E223" s="18" t="s">
        <v>336</v>
      </c>
    </row>
    <row r="224" spans="2:5" x14ac:dyDescent="0.2">
      <c r="B224" s="21" t="s">
        <v>30</v>
      </c>
      <c r="C224" s="21" t="s">
        <v>337</v>
      </c>
      <c r="D224" s="21" t="s">
        <v>19</v>
      </c>
      <c r="E224" s="21" t="s">
        <v>338</v>
      </c>
    </row>
    <row r="225" spans="2:5" x14ac:dyDescent="0.2">
      <c r="B225" s="18" t="s">
        <v>33</v>
      </c>
      <c r="C225" s="18" t="s">
        <v>339</v>
      </c>
      <c r="D225" s="18" t="s">
        <v>19</v>
      </c>
      <c r="E225" s="18" t="s">
        <v>340</v>
      </c>
    </row>
    <row r="226" spans="2:5" x14ac:dyDescent="0.2">
      <c r="B226" s="21" t="s">
        <v>36</v>
      </c>
      <c r="C226" s="21" t="s">
        <v>341</v>
      </c>
      <c r="D226" s="21" t="s">
        <v>19</v>
      </c>
      <c r="E226" s="21" t="s">
        <v>342</v>
      </c>
    </row>
    <row r="227" spans="2:5" x14ac:dyDescent="0.2">
      <c r="B227" s="18" t="s">
        <v>18</v>
      </c>
      <c r="C227" s="18" t="s">
        <v>343</v>
      </c>
      <c r="D227" s="18" t="s">
        <v>19</v>
      </c>
      <c r="E227" s="18" t="s">
        <v>344</v>
      </c>
    </row>
    <row r="228" spans="2:5" x14ac:dyDescent="0.2">
      <c r="B228" s="21" t="s">
        <v>21</v>
      </c>
      <c r="C228" s="21" t="s">
        <v>345</v>
      </c>
      <c r="D228" s="21" t="s">
        <v>19</v>
      </c>
      <c r="E228" s="21" t="s">
        <v>346</v>
      </c>
    </row>
    <row r="229" spans="2:5" x14ac:dyDescent="0.2">
      <c r="B229" s="18" t="s">
        <v>24</v>
      </c>
      <c r="C229" s="18" t="s">
        <v>347</v>
      </c>
      <c r="D229" s="18" t="s">
        <v>19</v>
      </c>
      <c r="E229" s="18" t="s">
        <v>348</v>
      </c>
    </row>
    <row r="230" spans="2:5" x14ac:dyDescent="0.2">
      <c r="B230" s="21" t="s">
        <v>27</v>
      </c>
      <c r="C230" s="21" t="s">
        <v>349</v>
      </c>
      <c r="D230" s="21" t="s">
        <v>19</v>
      </c>
      <c r="E230" s="21" t="s">
        <v>350</v>
      </c>
    </row>
    <row r="231" spans="2:5" x14ac:dyDescent="0.2">
      <c r="B231" s="18" t="s">
        <v>30</v>
      </c>
      <c r="C231" s="18" t="s">
        <v>351</v>
      </c>
      <c r="D231" s="18" t="s">
        <v>19</v>
      </c>
      <c r="E231" s="18" t="s">
        <v>329</v>
      </c>
    </row>
    <row r="232" spans="2:5" x14ac:dyDescent="0.2">
      <c r="B232" s="21" t="s">
        <v>33</v>
      </c>
      <c r="C232" s="21" t="s">
        <v>352</v>
      </c>
      <c r="D232" s="21" t="s">
        <v>19</v>
      </c>
      <c r="E232" s="21" t="s">
        <v>353</v>
      </c>
    </row>
    <row r="233" spans="2:5" x14ac:dyDescent="0.2">
      <c r="B233" s="18" t="s">
        <v>36</v>
      </c>
      <c r="C233" s="18" t="s">
        <v>354</v>
      </c>
      <c r="D233" s="18" t="s">
        <v>19</v>
      </c>
      <c r="E233" s="18" t="s">
        <v>355</v>
      </c>
    </row>
    <row r="234" spans="2:5" x14ac:dyDescent="0.2">
      <c r="B234" s="21" t="s">
        <v>18</v>
      </c>
      <c r="C234" s="21" t="s">
        <v>356</v>
      </c>
      <c r="D234" s="21" t="s">
        <v>19</v>
      </c>
      <c r="E234" s="21" t="s">
        <v>357</v>
      </c>
    </row>
    <row r="235" spans="2:5" x14ac:dyDescent="0.2">
      <c r="B235" s="18" t="s">
        <v>21</v>
      </c>
      <c r="C235" s="18" t="s">
        <v>358</v>
      </c>
      <c r="D235" s="18" t="s">
        <v>19</v>
      </c>
      <c r="E235" s="18" t="s">
        <v>357</v>
      </c>
    </row>
    <row r="236" spans="2:5" x14ac:dyDescent="0.2">
      <c r="B236" s="21" t="s">
        <v>24</v>
      </c>
      <c r="C236" s="22">
        <v>43438</v>
      </c>
      <c r="D236" s="21" t="s">
        <v>19</v>
      </c>
      <c r="E236" s="21" t="s">
        <v>359</v>
      </c>
    </row>
    <row r="237" spans="2:5" x14ac:dyDescent="0.2">
      <c r="B237" s="18" t="s">
        <v>27</v>
      </c>
      <c r="C237" s="19">
        <v>43408</v>
      </c>
      <c r="D237" s="18" t="s">
        <v>19</v>
      </c>
      <c r="E237" s="18" t="s">
        <v>360</v>
      </c>
    </row>
    <row r="238" spans="2:5" x14ac:dyDescent="0.2">
      <c r="B238" s="21" t="s">
        <v>30</v>
      </c>
      <c r="C238" s="22">
        <v>43377</v>
      </c>
      <c r="D238" s="21" t="s">
        <v>19</v>
      </c>
      <c r="E238" s="21" t="s">
        <v>361</v>
      </c>
    </row>
    <row r="239" spans="2:5" x14ac:dyDescent="0.2">
      <c r="B239" s="18" t="s">
        <v>33</v>
      </c>
      <c r="C239" s="19">
        <v>43347</v>
      </c>
      <c r="D239" s="18" t="s">
        <v>19</v>
      </c>
      <c r="E239" s="18" t="s">
        <v>362</v>
      </c>
    </row>
    <row r="240" spans="2:5" x14ac:dyDescent="0.2">
      <c r="B240" s="21" t="s">
        <v>36</v>
      </c>
      <c r="C240" s="22">
        <v>43316</v>
      </c>
      <c r="D240" s="21" t="s">
        <v>19</v>
      </c>
      <c r="E240" s="21" t="s">
        <v>363</v>
      </c>
    </row>
    <row r="241" spans="2:5" x14ac:dyDescent="0.2">
      <c r="B241" s="18" t="s">
        <v>18</v>
      </c>
      <c r="C241" s="19">
        <v>43285</v>
      </c>
      <c r="D241" s="18" t="s">
        <v>19</v>
      </c>
      <c r="E241" s="18" t="s">
        <v>364</v>
      </c>
    </row>
    <row r="242" spans="2:5" x14ac:dyDescent="0.2">
      <c r="B242" s="21" t="s">
        <v>21</v>
      </c>
      <c r="C242" s="22">
        <v>43255</v>
      </c>
      <c r="D242" s="21" t="s">
        <v>19</v>
      </c>
      <c r="E242" s="21" t="s">
        <v>365</v>
      </c>
    </row>
    <row r="243" spans="2:5" x14ac:dyDescent="0.2">
      <c r="B243" s="18" t="s">
        <v>24</v>
      </c>
      <c r="C243" s="19">
        <v>43224</v>
      </c>
      <c r="D243" s="18" t="s">
        <v>19</v>
      </c>
      <c r="E243" s="18" t="s">
        <v>366</v>
      </c>
    </row>
    <row r="244" spans="2:5" x14ac:dyDescent="0.2">
      <c r="B244" s="21" t="s">
        <v>27</v>
      </c>
      <c r="C244" s="22">
        <v>43194</v>
      </c>
      <c r="D244" s="21" t="s">
        <v>19</v>
      </c>
      <c r="E244" s="21" t="s">
        <v>367</v>
      </c>
    </row>
    <row r="245" spans="2:5" x14ac:dyDescent="0.2">
      <c r="B245" s="18" t="s">
        <v>30</v>
      </c>
      <c r="C245" s="19">
        <v>43163</v>
      </c>
      <c r="D245" s="18" t="s">
        <v>19</v>
      </c>
      <c r="E245" s="18" t="s">
        <v>368</v>
      </c>
    </row>
    <row r="246" spans="2:5" x14ac:dyDescent="0.2">
      <c r="B246" s="21" t="s">
        <v>33</v>
      </c>
      <c r="C246" s="22">
        <v>43135</v>
      </c>
      <c r="D246" s="21" t="s">
        <v>19</v>
      </c>
      <c r="E246" s="21" t="s">
        <v>369</v>
      </c>
    </row>
    <row r="247" spans="2:5" x14ac:dyDescent="0.2">
      <c r="B247" s="18" t="s">
        <v>36</v>
      </c>
      <c r="C247" s="19">
        <v>43104</v>
      </c>
      <c r="D247" s="18" t="s">
        <v>19</v>
      </c>
      <c r="E247" s="18" t="s">
        <v>370</v>
      </c>
    </row>
    <row r="248" spans="2:5" x14ac:dyDescent="0.2">
      <c r="B248" s="21" t="s">
        <v>18</v>
      </c>
      <c r="C248" s="21" t="s">
        <v>371</v>
      </c>
      <c r="D248" s="21" t="s">
        <v>19</v>
      </c>
      <c r="E248" s="21" t="s">
        <v>372</v>
      </c>
    </row>
    <row r="249" spans="2:5" x14ac:dyDescent="0.2">
      <c r="B249" s="18" t="s">
        <v>21</v>
      </c>
      <c r="C249" s="18" t="s">
        <v>373</v>
      </c>
      <c r="D249" s="18" t="s">
        <v>19</v>
      </c>
      <c r="E249" s="18" t="s">
        <v>360</v>
      </c>
    </row>
    <row r="250" spans="2:5" x14ac:dyDescent="0.2">
      <c r="B250" s="21" t="s">
        <v>24</v>
      </c>
      <c r="C250" s="21" t="s">
        <v>374</v>
      </c>
      <c r="D250" s="21" t="s">
        <v>19</v>
      </c>
      <c r="E250" s="21" t="s">
        <v>375</v>
      </c>
    </row>
    <row r="251" spans="2:5" x14ac:dyDescent="0.2">
      <c r="B251" s="18" t="s">
        <v>27</v>
      </c>
      <c r="C251" s="18" t="s">
        <v>376</v>
      </c>
      <c r="D251" s="18" t="s">
        <v>19</v>
      </c>
      <c r="E251" s="18" t="s">
        <v>377</v>
      </c>
    </row>
    <row r="252" spans="2:5" x14ac:dyDescent="0.2">
      <c r="B252" s="21" t="s">
        <v>30</v>
      </c>
      <c r="C252" s="21" t="s">
        <v>378</v>
      </c>
      <c r="D252" s="21" t="s">
        <v>19</v>
      </c>
      <c r="E252" s="21" t="s">
        <v>379</v>
      </c>
    </row>
    <row r="253" spans="2:5" x14ac:dyDescent="0.2">
      <c r="B253" s="18" t="s">
        <v>33</v>
      </c>
      <c r="C253" s="18" t="s">
        <v>380</v>
      </c>
      <c r="D253" s="18" t="s">
        <v>19</v>
      </c>
      <c r="E253" s="18" t="s">
        <v>381</v>
      </c>
    </row>
    <row r="254" spans="2:5" x14ac:dyDescent="0.2">
      <c r="B254" s="21" t="s">
        <v>36</v>
      </c>
      <c r="C254" s="21" t="s">
        <v>382</v>
      </c>
      <c r="D254" s="21" t="s">
        <v>19</v>
      </c>
      <c r="E254" s="21" t="s">
        <v>383</v>
      </c>
    </row>
    <row r="255" spans="2:5" x14ac:dyDescent="0.2">
      <c r="B255" s="18" t="s">
        <v>18</v>
      </c>
      <c r="C255" s="18" t="s">
        <v>384</v>
      </c>
      <c r="D255" s="18" t="s">
        <v>19</v>
      </c>
      <c r="E255" s="18" t="s">
        <v>385</v>
      </c>
    </row>
    <row r="256" spans="2:5" x14ac:dyDescent="0.2">
      <c r="B256" s="21" t="s">
        <v>21</v>
      </c>
      <c r="C256" s="21" t="s">
        <v>386</v>
      </c>
      <c r="D256" s="21" t="s">
        <v>19</v>
      </c>
      <c r="E256" s="21" t="s">
        <v>387</v>
      </c>
    </row>
    <row r="257" spans="2:5" x14ac:dyDescent="0.2">
      <c r="B257" s="18" t="s">
        <v>24</v>
      </c>
      <c r="C257" s="18" t="s">
        <v>388</v>
      </c>
      <c r="D257" s="18" t="s">
        <v>19</v>
      </c>
      <c r="E257" s="18" t="s">
        <v>389</v>
      </c>
    </row>
    <row r="258" spans="2:5" x14ac:dyDescent="0.2">
      <c r="B258" s="21" t="s">
        <v>27</v>
      </c>
      <c r="C258" s="21" t="s">
        <v>390</v>
      </c>
      <c r="D258" s="21" t="s">
        <v>19</v>
      </c>
      <c r="E258" s="21" t="s">
        <v>391</v>
      </c>
    </row>
    <row r="259" spans="2:5" x14ac:dyDescent="0.2">
      <c r="B259" s="18" t="s">
        <v>30</v>
      </c>
      <c r="C259" s="18" t="s">
        <v>392</v>
      </c>
      <c r="D259" s="18" t="s">
        <v>19</v>
      </c>
      <c r="E259" s="18" t="s">
        <v>393</v>
      </c>
    </row>
    <row r="260" spans="2:5" x14ac:dyDescent="0.2">
      <c r="B260" s="21" t="s">
        <v>33</v>
      </c>
      <c r="C260" s="21" t="s">
        <v>394</v>
      </c>
      <c r="D260" s="21" t="s">
        <v>19</v>
      </c>
      <c r="E260" s="21" t="s">
        <v>395</v>
      </c>
    </row>
    <row r="261" spans="2:5" x14ac:dyDescent="0.2">
      <c r="B261" s="18" t="s">
        <v>36</v>
      </c>
      <c r="C261" s="18" t="s">
        <v>396</v>
      </c>
      <c r="D261" s="18" t="s">
        <v>19</v>
      </c>
      <c r="E261" s="18" t="s">
        <v>397</v>
      </c>
    </row>
    <row r="262" spans="2:5" x14ac:dyDescent="0.2">
      <c r="B262" s="21" t="s">
        <v>18</v>
      </c>
      <c r="C262" s="21" t="s">
        <v>398</v>
      </c>
      <c r="D262" s="21" t="s">
        <v>19</v>
      </c>
      <c r="E262" s="21" t="s">
        <v>399</v>
      </c>
    </row>
    <row r="263" spans="2:5" x14ac:dyDescent="0.2">
      <c r="B263" s="18" t="s">
        <v>21</v>
      </c>
      <c r="C263" s="18" t="s">
        <v>400</v>
      </c>
      <c r="D263" s="18" t="s">
        <v>19</v>
      </c>
      <c r="E263" s="18" t="s">
        <v>399</v>
      </c>
    </row>
    <row r="264" spans="2:5" x14ac:dyDescent="0.2">
      <c r="B264" s="21" t="s">
        <v>24</v>
      </c>
      <c r="C264" s="21" t="s">
        <v>401</v>
      </c>
      <c r="D264" s="21" t="s">
        <v>19</v>
      </c>
      <c r="E264" s="21" t="s">
        <v>402</v>
      </c>
    </row>
    <row r="265" spans="2:5" x14ac:dyDescent="0.2">
      <c r="B265" s="18" t="s">
        <v>27</v>
      </c>
      <c r="C265" s="18" t="s">
        <v>403</v>
      </c>
      <c r="D265" s="18" t="s">
        <v>19</v>
      </c>
      <c r="E265" s="18" t="s">
        <v>404</v>
      </c>
    </row>
    <row r="266" spans="2:5" x14ac:dyDescent="0.2">
      <c r="B266" s="21" t="s">
        <v>30</v>
      </c>
      <c r="C266" s="21" t="s">
        <v>405</v>
      </c>
      <c r="D266" s="21" t="s">
        <v>19</v>
      </c>
      <c r="E266" s="21" t="s">
        <v>406</v>
      </c>
    </row>
    <row r="267" spans="2:5" x14ac:dyDescent="0.2">
      <c r="B267" s="18" t="s">
        <v>33</v>
      </c>
      <c r="C267" s="19">
        <v>43437</v>
      </c>
      <c r="D267" s="18" t="s">
        <v>19</v>
      </c>
      <c r="E267" s="18" t="s">
        <v>407</v>
      </c>
    </row>
    <row r="268" spans="2:5" x14ac:dyDescent="0.2">
      <c r="B268" s="21" t="s">
        <v>36</v>
      </c>
      <c r="C268" s="22">
        <v>43407</v>
      </c>
      <c r="D268" s="21" t="s">
        <v>19</v>
      </c>
      <c r="E268" s="21" t="s">
        <v>408</v>
      </c>
    </row>
    <row r="269" spans="2:5" x14ac:dyDescent="0.2">
      <c r="B269" s="18" t="s">
        <v>18</v>
      </c>
      <c r="C269" s="19">
        <v>43376</v>
      </c>
      <c r="D269" s="18" t="s">
        <v>19</v>
      </c>
      <c r="E269" s="18" t="s">
        <v>409</v>
      </c>
    </row>
    <row r="270" spans="2:5" x14ac:dyDescent="0.2">
      <c r="B270" s="21" t="s">
        <v>21</v>
      </c>
      <c r="C270" s="22">
        <v>43346</v>
      </c>
      <c r="D270" s="21" t="s">
        <v>19</v>
      </c>
      <c r="E270" s="21" t="s">
        <v>409</v>
      </c>
    </row>
    <row r="271" spans="2:5" x14ac:dyDescent="0.2">
      <c r="B271" s="18" t="s">
        <v>24</v>
      </c>
      <c r="C271" s="19">
        <v>43315</v>
      </c>
      <c r="D271" s="18" t="s">
        <v>19</v>
      </c>
      <c r="E271" s="18" t="s">
        <v>408</v>
      </c>
    </row>
    <row r="272" spans="2:5" x14ac:dyDescent="0.2">
      <c r="B272" s="21" t="s">
        <v>27</v>
      </c>
      <c r="C272" s="22">
        <v>43284</v>
      </c>
      <c r="D272" s="21" t="s">
        <v>19</v>
      </c>
      <c r="E272" s="21" t="s">
        <v>410</v>
      </c>
    </row>
    <row r="273" spans="2:5" x14ac:dyDescent="0.2">
      <c r="B273" s="18" t="s">
        <v>30</v>
      </c>
      <c r="C273" s="19">
        <v>43254</v>
      </c>
      <c r="D273" s="18" t="s">
        <v>19</v>
      </c>
      <c r="E273" s="18" t="s">
        <v>411</v>
      </c>
    </row>
    <row r="274" spans="2:5" x14ac:dyDescent="0.2">
      <c r="B274" s="21" t="s">
        <v>33</v>
      </c>
      <c r="C274" s="22">
        <v>43223</v>
      </c>
      <c r="D274" s="21" t="s">
        <v>19</v>
      </c>
      <c r="E274" s="21" t="s">
        <v>412</v>
      </c>
    </row>
    <row r="275" spans="2:5" x14ac:dyDescent="0.2">
      <c r="B275" s="18" t="s">
        <v>36</v>
      </c>
      <c r="C275" s="19">
        <v>43193</v>
      </c>
      <c r="D275" s="18" t="s">
        <v>19</v>
      </c>
      <c r="E275" s="18" t="s">
        <v>413</v>
      </c>
    </row>
    <row r="276" spans="2:5" x14ac:dyDescent="0.2">
      <c r="B276" s="21" t="s">
        <v>18</v>
      </c>
      <c r="C276" s="22">
        <v>43162</v>
      </c>
      <c r="D276" s="21" t="s">
        <v>19</v>
      </c>
      <c r="E276" s="21" t="s">
        <v>414</v>
      </c>
    </row>
    <row r="277" spans="2:5" x14ac:dyDescent="0.2">
      <c r="B277" s="18" t="s">
        <v>21</v>
      </c>
      <c r="C277" s="19">
        <v>43134</v>
      </c>
      <c r="D277" s="18" t="s">
        <v>19</v>
      </c>
      <c r="E277" s="18" t="s">
        <v>415</v>
      </c>
    </row>
    <row r="278" spans="2:5" x14ac:dyDescent="0.2">
      <c r="B278" s="21" t="s">
        <v>24</v>
      </c>
      <c r="C278" s="22">
        <v>43103</v>
      </c>
      <c r="D278" s="21" t="s">
        <v>19</v>
      </c>
      <c r="E278" s="21" t="s">
        <v>416</v>
      </c>
    </row>
    <row r="279" spans="2:5" x14ac:dyDescent="0.2">
      <c r="B279" s="18" t="s">
        <v>27</v>
      </c>
      <c r="C279" s="18" t="s">
        <v>417</v>
      </c>
      <c r="D279" s="18" t="s">
        <v>19</v>
      </c>
      <c r="E279" s="18" t="s">
        <v>418</v>
      </c>
    </row>
    <row r="280" spans="2:5" x14ac:dyDescent="0.2">
      <c r="B280" s="21" t="s">
        <v>30</v>
      </c>
      <c r="C280" s="21" t="s">
        <v>419</v>
      </c>
      <c r="D280" s="21" t="s">
        <v>19</v>
      </c>
      <c r="E280" s="21" t="s">
        <v>420</v>
      </c>
    </row>
    <row r="281" spans="2:5" x14ac:dyDescent="0.2">
      <c r="B281" s="18" t="s">
        <v>33</v>
      </c>
      <c r="C281" s="18" t="s">
        <v>421</v>
      </c>
      <c r="D281" s="18" t="s">
        <v>19</v>
      </c>
      <c r="E281" s="18" t="s">
        <v>422</v>
      </c>
    </row>
    <row r="282" spans="2:5" x14ac:dyDescent="0.2">
      <c r="B282" s="21" t="s">
        <v>36</v>
      </c>
      <c r="C282" s="21" t="s">
        <v>423</v>
      </c>
      <c r="D282" s="21" t="s">
        <v>19</v>
      </c>
      <c r="E282" s="21" t="s">
        <v>424</v>
      </c>
    </row>
    <row r="283" spans="2:5" x14ac:dyDescent="0.2">
      <c r="B283" s="18" t="s">
        <v>18</v>
      </c>
      <c r="C283" s="18" t="s">
        <v>425</v>
      </c>
      <c r="D283" s="18" t="s">
        <v>19</v>
      </c>
      <c r="E283" s="18" t="s">
        <v>426</v>
      </c>
    </row>
    <row r="284" spans="2:5" x14ac:dyDescent="0.2">
      <c r="B284" s="21" t="s">
        <v>21</v>
      </c>
      <c r="C284" s="21" t="s">
        <v>427</v>
      </c>
      <c r="D284" s="21" t="s">
        <v>19</v>
      </c>
      <c r="E284" s="21" t="s">
        <v>428</v>
      </c>
    </row>
    <row r="285" spans="2:5" x14ac:dyDescent="0.2">
      <c r="B285" s="18" t="s">
        <v>24</v>
      </c>
      <c r="C285" s="18" t="s">
        <v>429</v>
      </c>
      <c r="D285" s="18" t="s">
        <v>19</v>
      </c>
      <c r="E285" s="18" t="s">
        <v>430</v>
      </c>
    </row>
    <row r="286" spans="2:5" x14ac:dyDescent="0.2">
      <c r="B286" s="21" t="s">
        <v>27</v>
      </c>
      <c r="C286" s="21" t="s">
        <v>431</v>
      </c>
      <c r="D286" s="21" t="s">
        <v>19</v>
      </c>
      <c r="E286" s="21" t="s">
        <v>432</v>
      </c>
    </row>
    <row r="287" spans="2:5" x14ac:dyDescent="0.2">
      <c r="B287" s="18" t="s">
        <v>30</v>
      </c>
      <c r="C287" s="18" t="s">
        <v>433</v>
      </c>
      <c r="D287" s="18" t="s">
        <v>19</v>
      </c>
      <c r="E287" s="18" t="s">
        <v>319</v>
      </c>
    </row>
    <row r="288" spans="2:5" x14ac:dyDescent="0.2">
      <c r="B288" s="21" t="s">
        <v>33</v>
      </c>
      <c r="C288" s="21" t="s">
        <v>434</v>
      </c>
      <c r="D288" s="21" t="s">
        <v>19</v>
      </c>
      <c r="E288" s="21" t="s">
        <v>435</v>
      </c>
    </row>
    <row r="289" spans="2:5" x14ac:dyDescent="0.2">
      <c r="B289" s="18" t="s">
        <v>36</v>
      </c>
      <c r="C289" s="18" t="s">
        <v>436</v>
      </c>
      <c r="D289" s="18" t="s">
        <v>19</v>
      </c>
      <c r="E289" s="18" t="s">
        <v>391</v>
      </c>
    </row>
    <row r="290" spans="2:5" x14ac:dyDescent="0.2">
      <c r="B290" s="21" t="s">
        <v>18</v>
      </c>
      <c r="C290" s="21" t="s">
        <v>437</v>
      </c>
      <c r="D290" s="21" t="s">
        <v>19</v>
      </c>
      <c r="E290" s="21" t="s">
        <v>438</v>
      </c>
    </row>
    <row r="291" spans="2:5" x14ac:dyDescent="0.2">
      <c r="B291" s="18" t="s">
        <v>21</v>
      </c>
      <c r="C291" s="18" t="s">
        <v>439</v>
      </c>
      <c r="D291" s="18" t="s">
        <v>19</v>
      </c>
      <c r="E291" s="18" t="s">
        <v>440</v>
      </c>
    </row>
    <row r="292" spans="2:5" x14ac:dyDescent="0.2">
      <c r="B292" s="21" t="s">
        <v>24</v>
      </c>
      <c r="C292" s="21" t="s">
        <v>441</v>
      </c>
      <c r="D292" s="21" t="s">
        <v>19</v>
      </c>
      <c r="E292" s="21" t="s">
        <v>442</v>
      </c>
    </row>
    <row r="293" spans="2:5" x14ac:dyDescent="0.2">
      <c r="B293" s="18" t="s">
        <v>27</v>
      </c>
      <c r="C293" s="18" t="s">
        <v>443</v>
      </c>
      <c r="D293" s="18" t="s">
        <v>19</v>
      </c>
      <c r="E293" s="18" t="s">
        <v>444</v>
      </c>
    </row>
    <row r="294" spans="2:5" x14ac:dyDescent="0.2">
      <c r="B294" s="21" t="s">
        <v>30</v>
      </c>
      <c r="C294" s="21" t="s">
        <v>445</v>
      </c>
      <c r="D294" s="21" t="s">
        <v>19</v>
      </c>
      <c r="E294" s="21" t="s">
        <v>446</v>
      </c>
    </row>
    <row r="295" spans="2:5" x14ac:dyDescent="0.2">
      <c r="B295" s="18" t="s">
        <v>33</v>
      </c>
      <c r="C295" s="19">
        <v>43436</v>
      </c>
      <c r="D295" s="18" t="s">
        <v>19</v>
      </c>
      <c r="E295" s="18" t="s">
        <v>447</v>
      </c>
    </row>
    <row r="296" spans="2:5" x14ac:dyDescent="0.2">
      <c r="B296" s="21" t="s">
        <v>36</v>
      </c>
      <c r="C296" s="22">
        <v>43406</v>
      </c>
      <c r="D296" s="21" t="s">
        <v>19</v>
      </c>
      <c r="E296" s="21" t="s">
        <v>448</v>
      </c>
    </row>
    <row r="297" spans="2:5" x14ac:dyDescent="0.2">
      <c r="B297" s="18" t="s">
        <v>18</v>
      </c>
      <c r="C297" s="19">
        <v>43375</v>
      </c>
      <c r="D297" s="18" t="s">
        <v>19</v>
      </c>
      <c r="E297" s="18" t="s">
        <v>449</v>
      </c>
    </row>
    <row r="298" spans="2:5" x14ac:dyDescent="0.2">
      <c r="B298" s="21" t="s">
        <v>21</v>
      </c>
      <c r="C298" s="22">
        <v>43345</v>
      </c>
      <c r="D298" s="21" t="s">
        <v>19</v>
      </c>
      <c r="E298" s="21" t="s">
        <v>449</v>
      </c>
    </row>
    <row r="299" spans="2:5" x14ac:dyDescent="0.2">
      <c r="B299" s="18" t="s">
        <v>24</v>
      </c>
      <c r="C299" s="19">
        <v>43314</v>
      </c>
      <c r="D299" s="18" t="s">
        <v>19</v>
      </c>
      <c r="E299" s="18" t="s">
        <v>426</v>
      </c>
    </row>
    <row r="300" spans="2:5" x14ac:dyDescent="0.2">
      <c r="B300" s="21" t="s">
        <v>27</v>
      </c>
      <c r="C300" s="22">
        <v>43283</v>
      </c>
      <c r="D300" s="21" t="s">
        <v>19</v>
      </c>
      <c r="E300" s="21" t="s">
        <v>450</v>
      </c>
    </row>
    <row r="301" spans="2:5" x14ac:dyDescent="0.2">
      <c r="B301" s="18" t="s">
        <v>30</v>
      </c>
      <c r="C301" s="19">
        <v>43253</v>
      </c>
      <c r="D301" s="18" t="s">
        <v>19</v>
      </c>
      <c r="E301" s="18" t="s">
        <v>451</v>
      </c>
    </row>
    <row r="302" spans="2:5" x14ac:dyDescent="0.2">
      <c r="B302" s="21" t="s">
        <v>33</v>
      </c>
      <c r="C302" s="22">
        <v>43222</v>
      </c>
      <c r="D302" s="21" t="s">
        <v>19</v>
      </c>
      <c r="E302" s="21" t="s">
        <v>452</v>
      </c>
    </row>
    <row r="303" spans="2:5" x14ac:dyDescent="0.2">
      <c r="B303" s="18" t="s">
        <v>36</v>
      </c>
      <c r="C303" s="19">
        <v>43192</v>
      </c>
      <c r="D303" s="18" t="s">
        <v>19</v>
      </c>
      <c r="E303" s="18" t="s">
        <v>453</v>
      </c>
    </row>
    <row r="304" spans="2:5" x14ac:dyDescent="0.2">
      <c r="B304" s="21" t="s">
        <v>18</v>
      </c>
      <c r="C304" s="22">
        <v>43161</v>
      </c>
      <c r="D304" s="21" t="s">
        <v>19</v>
      </c>
      <c r="E304" s="21" t="s">
        <v>454</v>
      </c>
    </row>
    <row r="305" spans="2:5" x14ac:dyDescent="0.2">
      <c r="B305" s="18" t="s">
        <v>21</v>
      </c>
      <c r="C305" s="19">
        <v>43133</v>
      </c>
      <c r="D305" s="18" t="s">
        <v>19</v>
      </c>
      <c r="E305" s="18" t="s">
        <v>455</v>
      </c>
    </row>
    <row r="306" spans="2:5" x14ac:dyDescent="0.2">
      <c r="B306" s="21" t="s">
        <v>24</v>
      </c>
      <c r="C306" s="22">
        <v>43102</v>
      </c>
      <c r="D306" s="21" t="s">
        <v>19</v>
      </c>
      <c r="E306" s="21" t="s">
        <v>456</v>
      </c>
    </row>
    <row r="307" spans="2:5" x14ac:dyDescent="0.2">
      <c r="B307" s="18" t="s">
        <v>27</v>
      </c>
      <c r="C307" s="18" t="s">
        <v>457</v>
      </c>
      <c r="D307" s="18" t="s">
        <v>19</v>
      </c>
      <c r="E307" s="18" t="s">
        <v>458</v>
      </c>
    </row>
    <row r="308" spans="2:5" x14ac:dyDescent="0.2">
      <c r="B308" s="21" t="s">
        <v>30</v>
      </c>
      <c r="C308" s="21" t="s">
        <v>459</v>
      </c>
      <c r="D308" s="21" t="s">
        <v>19</v>
      </c>
      <c r="E308" s="21" t="s">
        <v>460</v>
      </c>
    </row>
    <row r="309" spans="2:5" x14ac:dyDescent="0.2">
      <c r="B309" s="18" t="s">
        <v>33</v>
      </c>
      <c r="C309" s="18" t="s">
        <v>461</v>
      </c>
      <c r="D309" s="18" t="s">
        <v>19</v>
      </c>
      <c r="E309" s="18" t="s">
        <v>462</v>
      </c>
    </row>
    <row r="310" spans="2:5" x14ac:dyDescent="0.2">
      <c r="B310" s="21" t="s">
        <v>36</v>
      </c>
      <c r="C310" s="21" t="s">
        <v>463</v>
      </c>
      <c r="D310" s="21" t="s">
        <v>19</v>
      </c>
      <c r="E310" s="21" t="s">
        <v>464</v>
      </c>
    </row>
    <row r="311" spans="2:5" x14ac:dyDescent="0.2">
      <c r="B311" s="18" t="s">
        <v>18</v>
      </c>
      <c r="C311" s="18" t="s">
        <v>465</v>
      </c>
      <c r="D311" s="18" t="s">
        <v>19</v>
      </c>
      <c r="E311" s="18" t="s">
        <v>466</v>
      </c>
    </row>
    <row r="312" spans="2:5" x14ac:dyDescent="0.2">
      <c r="B312" s="21" t="s">
        <v>21</v>
      </c>
      <c r="C312" s="21" t="s">
        <v>467</v>
      </c>
      <c r="D312" s="21" t="s">
        <v>19</v>
      </c>
      <c r="E312" s="21" t="s">
        <v>466</v>
      </c>
    </row>
    <row r="313" spans="2:5" x14ac:dyDescent="0.2">
      <c r="B313" s="18" t="s">
        <v>24</v>
      </c>
      <c r="C313" s="18" t="s">
        <v>468</v>
      </c>
      <c r="D313" s="18" t="s">
        <v>19</v>
      </c>
      <c r="E313" s="18" t="s">
        <v>469</v>
      </c>
    </row>
    <row r="314" spans="2:5" x14ac:dyDescent="0.2">
      <c r="B314" s="21" t="s">
        <v>27</v>
      </c>
      <c r="C314" s="21" t="s">
        <v>470</v>
      </c>
      <c r="D314" s="21" t="s">
        <v>19</v>
      </c>
      <c r="E314" s="21" t="s">
        <v>471</v>
      </c>
    </row>
    <row r="315" spans="2:5" x14ac:dyDescent="0.2">
      <c r="B315" s="18" t="s">
        <v>30</v>
      </c>
      <c r="C315" s="18" t="s">
        <v>472</v>
      </c>
      <c r="D315" s="18" t="s">
        <v>19</v>
      </c>
      <c r="E315" s="18" t="s">
        <v>473</v>
      </c>
    </row>
    <row r="316" spans="2:5" x14ac:dyDescent="0.2">
      <c r="B316" s="21" t="s">
        <v>33</v>
      </c>
      <c r="C316" s="21" t="s">
        <v>474</v>
      </c>
      <c r="D316" s="21" t="s">
        <v>19</v>
      </c>
      <c r="E316" s="21" t="s">
        <v>475</v>
      </c>
    </row>
    <row r="317" spans="2:5" x14ac:dyDescent="0.2">
      <c r="B317" s="18" t="s">
        <v>36</v>
      </c>
      <c r="C317" s="18" t="s">
        <v>476</v>
      </c>
      <c r="D317" s="18" t="s">
        <v>19</v>
      </c>
      <c r="E317" s="18" t="s">
        <v>477</v>
      </c>
    </row>
    <row r="318" spans="2:5" x14ac:dyDescent="0.2">
      <c r="B318" s="21" t="s">
        <v>18</v>
      </c>
      <c r="C318" s="21" t="s">
        <v>478</v>
      </c>
      <c r="D318" s="21" t="s">
        <v>19</v>
      </c>
      <c r="E318" s="21" t="s">
        <v>479</v>
      </c>
    </row>
    <row r="319" spans="2:5" x14ac:dyDescent="0.2">
      <c r="B319" s="18" t="s">
        <v>21</v>
      </c>
      <c r="C319" s="18" t="s">
        <v>480</v>
      </c>
      <c r="D319" s="18" t="s">
        <v>19</v>
      </c>
      <c r="E319" s="18" t="s">
        <v>479</v>
      </c>
    </row>
    <row r="320" spans="2:5" x14ac:dyDescent="0.2">
      <c r="B320" s="21" t="s">
        <v>24</v>
      </c>
      <c r="C320" s="21" t="s">
        <v>481</v>
      </c>
      <c r="D320" s="21" t="s">
        <v>19</v>
      </c>
      <c r="E320" s="21" t="s">
        <v>473</v>
      </c>
    </row>
    <row r="321" spans="2:5" x14ac:dyDescent="0.2">
      <c r="B321" s="18" t="s">
        <v>27</v>
      </c>
      <c r="C321" s="18" t="s">
        <v>482</v>
      </c>
      <c r="D321" s="18" t="s">
        <v>19</v>
      </c>
      <c r="E321" s="18" t="s">
        <v>483</v>
      </c>
    </row>
    <row r="322" spans="2:5" x14ac:dyDescent="0.2">
      <c r="B322" s="21" t="s">
        <v>30</v>
      </c>
      <c r="C322" s="21" t="s">
        <v>484</v>
      </c>
      <c r="D322" s="21" t="s">
        <v>19</v>
      </c>
      <c r="E322" s="21" t="s">
        <v>485</v>
      </c>
    </row>
    <row r="323" spans="2:5" x14ac:dyDescent="0.2">
      <c r="B323" s="18" t="s">
        <v>33</v>
      </c>
      <c r="C323" s="18" t="s">
        <v>486</v>
      </c>
      <c r="D323" s="18" t="s">
        <v>19</v>
      </c>
      <c r="E323" s="18" t="s">
        <v>487</v>
      </c>
    </row>
    <row r="324" spans="2:5" x14ac:dyDescent="0.2">
      <c r="B324" s="21" t="s">
        <v>36</v>
      </c>
      <c r="C324" s="21" t="s">
        <v>488</v>
      </c>
      <c r="D324" s="21" t="s">
        <v>19</v>
      </c>
      <c r="E324" s="21" t="s">
        <v>489</v>
      </c>
    </row>
    <row r="325" spans="2:5" x14ac:dyDescent="0.2">
      <c r="B325" s="18" t="s">
        <v>18</v>
      </c>
      <c r="C325" s="18" t="s">
        <v>490</v>
      </c>
      <c r="D325" s="18" t="s">
        <v>19</v>
      </c>
      <c r="E325" s="18" t="s">
        <v>489</v>
      </c>
    </row>
    <row r="326" spans="2:5" x14ac:dyDescent="0.2">
      <c r="B326" s="21" t="s">
        <v>21</v>
      </c>
      <c r="C326" s="22">
        <v>43435</v>
      </c>
      <c r="D326" s="21" t="s">
        <v>19</v>
      </c>
      <c r="E326" s="21" t="s">
        <v>491</v>
      </c>
    </row>
    <row r="327" spans="2:5" x14ac:dyDescent="0.2">
      <c r="B327" s="18" t="s">
        <v>24</v>
      </c>
      <c r="C327" s="19">
        <v>43405</v>
      </c>
      <c r="D327" s="18" t="s">
        <v>19</v>
      </c>
      <c r="E327" s="18" t="s">
        <v>492</v>
      </c>
    </row>
    <row r="328" spans="2:5" x14ac:dyDescent="0.2">
      <c r="B328" s="21" t="s">
        <v>27</v>
      </c>
      <c r="C328" s="22">
        <v>43374</v>
      </c>
      <c r="D328" s="21" t="s">
        <v>19</v>
      </c>
      <c r="E328" s="21" t="s">
        <v>493</v>
      </c>
    </row>
    <row r="329" spans="2:5" x14ac:dyDescent="0.2">
      <c r="B329" s="18" t="s">
        <v>30</v>
      </c>
      <c r="C329" s="19">
        <v>43344</v>
      </c>
      <c r="D329" s="18" t="s">
        <v>19</v>
      </c>
      <c r="E329" s="18" t="s">
        <v>494</v>
      </c>
    </row>
    <row r="330" spans="2:5" x14ac:dyDescent="0.2">
      <c r="B330" s="21" t="s">
        <v>33</v>
      </c>
      <c r="C330" s="22">
        <v>43313</v>
      </c>
      <c r="D330" s="21" t="s">
        <v>19</v>
      </c>
      <c r="E330" s="21" t="s">
        <v>495</v>
      </c>
    </row>
    <row r="331" spans="2:5" x14ac:dyDescent="0.2">
      <c r="B331" s="18" t="s">
        <v>36</v>
      </c>
      <c r="C331" s="19">
        <v>43282</v>
      </c>
      <c r="D331" s="18" t="s">
        <v>19</v>
      </c>
      <c r="E331" s="18" t="s">
        <v>496</v>
      </c>
    </row>
    <row r="332" spans="2:5" x14ac:dyDescent="0.2">
      <c r="B332" s="21" t="s">
        <v>18</v>
      </c>
      <c r="C332" s="22">
        <v>43252</v>
      </c>
      <c r="D332" s="21" t="s">
        <v>19</v>
      </c>
      <c r="E332" s="21" t="s">
        <v>497</v>
      </c>
    </row>
    <row r="333" spans="2:5" x14ac:dyDescent="0.2">
      <c r="B333" s="18" t="s">
        <v>21</v>
      </c>
      <c r="C333" s="19">
        <v>43221</v>
      </c>
      <c r="D333" s="18" t="s">
        <v>19</v>
      </c>
      <c r="E333" s="18" t="s">
        <v>497</v>
      </c>
    </row>
    <row r="334" spans="2:5" x14ac:dyDescent="0.2">
      <c r="B334" s="21" t="s">
        <v>24</v>
      </c>
      <c r="C334" s="22">
        <v>43191</v>
      </c>
      <c r="D334" s="21" t="s">
        <v>19</v>
      </c>
      <c r="E334" s="21" t="s">
        <v>498</v>
      </c>
    </row>
    <row r="335" spans="2:5" x14ac:dyDescent="0.2">
      <c r="B335" s="18" t="s">
        <v>27</v>
      </c>
      <c r="C335" s="19">
        <v>43160</v>
      </c>
      <c r="D335" s="18" t="s">
        <v>19</v>
      </c>
      <c r="E335" s="18" t="s">
        <v>499</v>
      </c>
    </row>
    <row r="336" spans="2:5" x14ac:dyDescent="0.2">
      <c r="B336" s="21" t="s">
        <v>30</v>
      </c>
      <c r="C336" s="22">
        <v>43132</v>
      </c>
      <c r="D336" s="21" t="s">
        <v>19</v>
      </c>
      <c r="E336" s="21" t="s">
        <v>500</v>
      </c>
    </row>
    <row r="337" spans="2:5" x14ac:dyDescent="0.2">
      <c r="B337" s="18" t="s">
        <v>33</v>
      </c>
      <c r="C337" s="19">
        <v>43101</v>
      </c>
      <c r="D337" s="18" t="s">
        <v>19</v>
      </c>
      <c r="E337" s="18" t="s">
        <v>501</v>
      </c>
    </row>
    <row r="338" spans="2:5" x14ac:dyDescent="0.2">
      <c r="B338" s="21" t="s">
        <v>36</v>
      </c>
      <c r="C338" s="21" t="s">
        <v>502</v>
      </c>
      <c r="D338" s="21" t="s">
        <v>19</v>
      </c>
      <c r="E338" s="21" t="s">
        <v>503</v>
      </c>
    </row>
    <row r="339" spans="2:5" x14ac:dyDescent="0.2">
      <c r="B339" s="18" t="s">
        <v>18</v>
      </c>
      <c r="C339" s="18" t="s">
        <v>504</v>
      </c>
      <c r="D339" s="18" t="s">
        <v>19</v>
      </c>
      <c r="E339" s="18" t="s">
        <v>505</v>
      </c>
    </row>
    <row r="340" spans="2:5" x14ac:dyDescent="0.2">
      <c r="B340" s="21" t="s">
        <v>21</v>
      </c>
      <c r="C340" s="21" t="s">
        <v>506</v>
      </c>
      <c r="D340" s="21" t="s">
        <v>19</v>
      </c>
      <c r="E340" s="21" t="s">
        <v>507</v>
      </c>
    </row>
    <row r="341" spans="2:5" x14ac:dyDescent="0.2">
      <c r="B341" s="18" t="s">
        <v>24</v>
      </c>
      <c r="C341" s="18" t="s">
        <v>508</v>
      </c>
      <c r="D341" s="18" t="s">
        <v>19</v>
      </c>
      <c r="E341" s="18" t="s">
        <v>509</v>
      </c>
    </row>
    <row r="342" spans="2:5" x14ac:dyDescent="0.2">
      <c r="B342" s="21" t="s">
        <v>27</v>
      </c>
      <c r="C342" s="21" t="s">
        <v>510</v>
      </c>
      <c r="D342" s="21" t="s">
        <v>19</v>
      </c>
      <c r="E342" s="21" t="s">
        <v>511</v>
      </c>
    </row>
    <row r="343" spans="2:5" x14ac:dyDescent="0.2">
      <c r="B343" s="18" t="s">
        <v>30</v>
      </c>
      <c r="C343" s="18" t="s">
        <v>512</v>
      </c>
      <c r="D343" s="18" t="s">
        <v>19</v>
      </c>
      <c r="E343" s="18" t="s">
        <v>513</v>
      </c>
    </row>
    <row r="344" spans="2:5" x14ac:dyDescent="0.2">
      <c r="B344" s="21" t="s">
        <v>33</v>
      </c>
      <c r="C344" s="21" t="s">
        <v>514</v>
      </c>
      <c r="D344" s="21" t="s">
        <v>19</v>
      </c>
      <c r="E344" s="21" t="s">
        <v>515</v>
      </c>
    </row>
    <row r="345" spans="2:5" x14ac:dyDescent="0.2">
      <c r="B345" s="18" t="s">
        <v>36</v>
      </c>
      <c r="C345" s="18" t="s">
        <v>516</v>
      </c>
      <c r="D345" s="18" t="s">
        <v>19</v>
      </c>
      <c r="E345" s="18" t="s">
        <v>517</v>
      </c>
    </row>
    <row r="346" spans="2:5" x14ac:dyDescent="0.2">
      <c r="B346" s="21" t="s">
        <v>18</v>
      </c>
      <c r="C346" s="21" t="s">
        <v>518</v>
      </c>
      <c r="D346" s="21" t="s">
        <v>19</v>
      </c>
      <c r="E346" s="21" t="s">
        <v>519</v>
      </c>
    </row>
    <row r="347" spans="2:5" x14ac:dyDescent="0.2">
      <c r="B347" s="18" t="s">
        <v>21</v>
      </c>
      <c r="C347" s="18" t="s">
        <v>520</v>
      </c>
      <c r="D347" s="18" t="s">
        <v>19</v>
      </c>
      <c r="E347" s="18" t="s">
        <v>521</v>
      </c>
    </row>
    <row r="348" spans="2:5" x14ac:dyDescent="0.2">
      <c r="B348" s="21" t="s">
        <v>24</v>
      </c>
      <c r="C348" s="21" t="s">
        <v>522</v>
      </c>
      <c r="D348" s="21" t="s">
        <v>19</v>
      </c>
      <c r="E348" s="21" t="s">
        <v>523</v>
      </c>
    </row>
    <row r="349" spans="2:5" x14ac:dyDescent="0.2">
      <c r="B349" s="18" t="s">
        <v>27</v>
      </c>
      <c r="C349" s="18" t="s">
        <v>524</v>
      </c>
      <c r="D349" s="18" t="s">
        <v>19</v>
      </c>
      <c r="E349" s="18" t="s">
        <v>525</v>
      </c>
    </row>
    <row r="350" spans="2:5" x14ac:dyDescent="0.2">
      <c r="B350" s="21" t="s">
        <v>30</v>
      </c>
      <c r="C350" s="21" t="s">
        <v>526</v>
      </c>
      <c r="D350" s="21" t="s">
        <v>19</v>
      </c>
      <c r="E350" s="21" t="s">
        <v>527</v>
      </c>
    </row>
    <row r="351" spans="2:5" x14ac:dyDescent="0.2">
      <c r="B351" s="18" t="s">
        <v>33</v>
      </c>
      <c r="C351" s="18" t="s">
        <v>528</v>
      </c>
      <c r="D351" s="18" t="s">
        <v>19</v>
      </c>
      <c r="E351" s="18" t="s">
        <v>529</v>
      </c>
    </row>
    <row r="352" spans="2:5" x14ac:dyDescent="0.2">
      <c r="B352" s="21" t="s">
        <v>36</v>
      </c>
      <c r="C352" s="21" t="s">
        <v>530</v>
      </c>
      <c r="D352" s="21" t="s">
        <v>19</v>
      </c>
      <c r="E352" s="21" t="s">
        <v>531</v>
      </c>
    </row>
    <row r="353" spans="2:5" x14ac:dyDescent="0.2">
      <c r="B353" s="18" t="s">
        <v>18</v>
      </c>
      <c r="C353" s="18" t="s">
        <v>532</v>
      </c>
      <c r="D353" s="18" t="s">
        <v>19</v>
      </c>
      <c r="E353" s="18" t="s">
        <v>533</v>
      </c>
    </row>
    <row r="354" spans="2:5" x14ac:dyDescent="0.2">
      <c r="B354" s="21" t="s">
        <v>21</v>
      </c>
      <c r="C354" s="21" t="s">
        <v>534</v>
      </c>
      <c r="D354" s="21" t="s">
        <v>19</v>
      </c>
      <c r="E354" s="21" t="s">
        <v>533</v>
      </c>
    </row>
    <row r="355" spans="2:5" x14ac:dyDescent="0.2">
      <c r="B355" s="18" t="s">
        <v>24</v>
      </c>
      <c r="C355" s="18" t="s">
        <v>535</v>
      </c>
      <c r="D355" s="18" t="s">
        <v>19</v>
      </c>
      <c r="E355" s="18" t="s">
        <v>536</v>
      </c>
    </row>
    <row r="356" spans="2:5" x14ac:dyDescent="0.2">
      <c r="B356" s="21" t="s">
        <v>27</v>
      </c>
      <c r="C356" s="21" t="s">
        <v>537</v>
      </c>
      <c r="D356" s="21" t="s">
        <v>19</v>
      </c>
      <c r="E356" s="21" t="s">
        <v>538</v>
      </c>
    </row>
    <row r="357" spans="2:5" x14ac:dyDescent="0.2">
      <c r="B357" s="18" t="s">
        <v>30</v>
      </c>
      <c r="C357" s="19">
        <v>43081</v>
      </c>
      <c r="D357" s="18" t="s">
        <v>19</v>
      </c>
      <c r="E357" s="18" t="s">
        <v>539</v>
      </c>
    </row>
    <row r="358" spans="2:5" x14ac:dyDescent="0.2">
      <c r="B358" s="21" t="s">
        <v>33</v>
      </c>
      <c r="C358" s="22">
        <v>43051</v>
      </c>
      <c r="D358" s="21" t="s">
        <v>19</v>
      </c>
      <c r="E358" s="21" t="s">
        <v>540</v>
      </c>
    </row>
    <row r="359" spans="2:5" x14ac:dyDescent="0.2">
      <c r="B359" s="18" t="s">
        <v>36</v>
      </c>
      <c r="C359" s="19">
        <v>43020</v>
      </c>
      <c r="D359" s="18" t="s">
        <v>19</v>
      </c>
      <c r="E359" s="18" t="s">
        <v>541</v>
      </c>
    </row>
    <row r="360" spans="2:5" x14ac:dyDescent="0.2">
      <c r="B360" s="21" t="s">
        <v>18</v>
      </c>
      <c r="C360" s="22">
        <v>42990</v>
      </c>
      <c r="D360" s="21" t="s">
        <v>19</v>
      </c>
      <c r="E360" s="21" t="s">
        <v>542</v>
      </c>
    </row>
    <row r="361" spans="2:5" x14ac:dyDescent="0.2">
      <c r="B361" s="18" t="s">
        <v>21</v>
      </c>
      <c r="C361" s="19">
        <v>42959</v>
      </c>
      <c r="D361" s="18" t="s">
        <v>19</v>
      </c>
      <c r="E361" s="18" t="s">
        <v>543</v>
      </c>
    </row>
    <row r="362" spans="2:5" x14ac:dyDescent="0.2">
      <c r="B362" s="21" t="s">
        <v>24</v>
      </c>
      <c r="C362" s="22">
        <v>42928</v>
      </c>
      <c r="D362" s="21" t="s">
        <v>19</v>
      </c>
      <c r="E362" s="21" t="s">
        <v>544</v>
      </c>
    </row>
    <row r="363" spans="2:5" x14ac:dyDescent="0.2">
      <c r="B363" s="18" t="s">
        <v>27</v>
      </c>
      <c r="C363" s="19">
        <v>42898</v>
      </c>
      <c r="D363" s="18" t="s">
        <v>19</v>
      </c>
      <c r="E363" s="18" t="s">
        <v>545</v>
      </c>
    </row>
    <row r="364" spans="2:5" x14ac:dyDescent="0.2">
      <c r="B364" s="21" t="s">
        <v>30</v>
      </c>
      <c r="C364" s="22">
        <v>42867</v>
      </c>
      <c r="D364" s="21" t="s">
        <v>19</v>
      </c>
      <c r="E364" s="21" t="s">
        <v>546</v>
      </c>
    </row>
    <row r="365" spans="2:5" x14ac:dyDescent="0.2">
      <c r="B365" s="18" t="s">
        <v>33</v>
      </c>
      <c r="C365" s="19">
        <v>42837</v>
      </c>
      <c r="D365" s="18" t="s">
        <v>19</v>
      </c>
      <c r="E365" s="18" t="s">
        <v>432</v>
      </c>
    </row>
    <row r="366" spans="2:5" x14ac:dyDescent="0.2">
      <c r="B366" s="21" t="s">
        <v>36</v>
      </c>
      <c r="C366" s="22">
        <v>42806</v>
      </c>
      <c r="D366" s="21" t="s">
        <v>19</v>
      </c>
      <c r="E366" s="21" t="s">
        <v>547</v>
      </c>
    </row>
    <row r="367" spans="2:5" x14ac:dyDescent="0.2">
      <c r="B367" s="18" t="s">
        <v>18</v>
      </c>
      <c r="C367" s="19">
        <v>42778</v>
      </c>
      <c r="D367" s="18" t="s">
        <v>19</v>
      </c>
      <c r="E367" s="18" t="s">
        <v>548</v>
      </c>
    </row>
    <row r="368" spans="2:5" x14ac:dyDescent="0.2">
      <c r="B368" s="21" t="s">
        <v>21</v>
      </c>
      <c r="C368" s="22">
        <v>42747</v>
      </c>
      <c r="D368" s="21" t="s">
        <v>19</v>
      </c>
      <c r="E368" s="21" t="s">
        <v>548</v>
      </c>
    </row>
    <row r="369" spans="2:5" x14ac:dyDescent="0.2">
      <c r="B369" s="18" t="s">
        <v>24</v>
      </c>
      <c r="C369" s="18" t="s">
        <v>549</v>
      </c>
      <c r="D369" s="18" t="s">
        <v>19</v>
      </c>
      <c r="E369" s="18" t="s">
        <v>550</v>
      </c>
    </row>
    <row r="370" spans="2:5" x14ac:dyDescent="0.2">
      <c r="B370" s="21" t="s">
        <v>27</v>
      </c>
      <c r="C370" s="21" t="s">
        <v>551</v>
      </c>
      <c r="D370" s="21" t="s">
        <v>19</v>
      </c>
      <c r="E370" s="21" t="s">
        <v>366</v>
      </c>
    </row>
    <row r="371" spans="2:5" x14ac:dyDescent="0.2">
      <c r="B371" s="18" t="s">
        <v>30</v>
      </c>
      <c r="C371" s="18" t="s">
        <v>552</v>
      </c>
      <c r="D371" s="18" t="s">
        <v>19</v>
      </c>
      <c r="E371" s="18" t="s">
        <v>553</v>
      </c>
    </row>
    <row r="372" spans="2:5" x14ac:dyDescent="0.2">
      <c r="B372" s="21" t="s">
        <v>33</v>
      </c>
      <c r="C372" s="21" t="s">
        <v>554</v>
      </c>
      <c r="D372" s="21" t="s">
        <v>19</v>
      </c>
      <c r="E372" s="21" t="s">
        <v>555</v>
      </c>
    </row>
    <row r="373" spans="2:5" x14ac:dyDescent="0.2">
      <c r="B373" s="18" t="s">
        <v>36</v>
      </c>
      <c r="C373" s="18" t="s">
        <v>556</v>
      </c>
      <c r="D373" s="18" t="s">
        <v>19</v>
      </c>
      <c r="E373" s="18" t="s">
        <v>557</v>
      </c>
    </row>
    <row r="374" spans="2:5" x14ac:dyDescent="0.2">
      <c r="B374" s="21" t="s">
        <v>18</v>
      </c>
      <c r="C374" s="21" t="s">
        <v>558</v>
      </c>
      <c r="D374" s="21" t="s">
        <v>19</v>
      </c>
      <c r="E374" s="21" t="s">
        <v>428</v>
      </c>
    </row>
    <row r="375" spans="2:5" x14ac:dyDescent="0.2">
      <c r="B375" s="18" t="s">
        <v>21</v>
      </c>
      <c r="C375" s="18" t="s">
        <v>559</v>
      </c>
      <c r="D375" s="18" t="s">
        <v>19</v>
      </c>
      <c r="E375" s="18" t="s">
        <v>560</v>
      </c>
    </row>
    <row r="376" spans="2:5" x14ac:dyDescent="0.2">
      <c r="B376" s="21" t="s">
        <v>24</v>
      </c>
      <c r="C376" s="21" t="s">
        <v>561</v>
      </c>
      <c r="D376" s="21" t="s">
        <v>19</v>
      </c>
      <c r="E376" s="21" t="s">
        <v>562</v>
      </c>
    </row>
    <row r="377" spans="2:5" x14ac:dyDescent="0.2">
      <c r="B377" s="18" t="s">
        <v>27</v>
      </c>
      <c r="C377" s="18" t="s">
        <v>563</v>
      </c>
      <c r="D377" s="18" t="s">
        <v>19</v>
      </c>
      <c r="E377" s="18" t="s">
        <v>471</v>
      </c>
    </row>
    <row r="378" spans="2:5" x14ac:dyDescent="0.2">
      <c r="B378" s="21" t="s">
        <v>30</v>
      </c>
      <c r="C378" s="21" t="s">
        <v>564</v>
      </c>
      <c r="D378" s="21" t="s">
        <v>19</v>
      </c>
      <c r="E378" s="21" t="s">
        <v>565</v>
      </c>
    </row>
    <row r="379" spans="2:5" x14ac:dyDescent="0.2">
      <c r="B379" s="18" t="s">
        <v>33</v>
      </c>
      <c r="C379" s="18" t="s">
        <v>566</v>
      </c>
      <c r="D379" s="18" t="s">
        <v>19</v>
      </c>
      <c r="E379" s="18" t="s">
        <v>567</v>
      </c>
    </row>
    <row r="380" spans="2:5" x14ac:dyDescent="0.2">
      <c r="B380" s="21" t="s">
        <v>36</v>
      </c>
      <c r="C380" s="21" t="s">
        <v>568</v>
      </c>
      <c r="D380" s="21" t="s">
        <v>19</v>
      </c>
      <c r="E380" s="21" t="s">
        <v>569</v>
      </c>
    </row>
    <row r="381" spans="2:5" x14ac:dyDescent="0.2">
      <c r="B381" s="18" t="s">
        <v>18</v>
      </c>
      <c r="C381" s="18" t="s">
        <v>570</v>
      </c>
      <c r="D381" s="18" t="s">
        <v>19</v>
      </c>
      <c r="E381" s="18" t="s">
        <v>571</v>
      </c>
    </row>
    <row r="382" spans="2:5" x14ac:dyDescent="0.2">
      <c r="B382" s="21" t="s">
        <v>21</v>
      </c>
      <c r="C382" s="21" t="s">
        <v>572</v>
      </c>
      <c r="D382" s="21" t="s">
        <v>19</v>
      </c>
      <c r="E382" s="21" t="s">
        <v>571</v>
      </c>
    </row>
    <row r="383" spans="2:5" x14ac:dyDescent="0.2">
      <c r="B383" s="18" t="s">
        <v>24</v>
      </c>
      <c r="C383" s="18" t="s">
        <v>573</v>
      </c>
      <c r="D383" s="18" t="s">
        <v>19</v>
      </c>
      <c r="E383" s="18" t="s">
        <v>574</v>
      </c>
    </row>
    <row r="384" spans="2:5" x14ac:dyDescent="0.2">
      <c r="B384" s="21" t="s">
        <v>27</v>
      </c>
      <c r="C384" s="21" t="s">
        <v>575</v>
      </c>
      <c r="D384" s="21" t="s">
        <v>19</v>
      </c>
      <c r="E384" s="21" t="s">
        <v>576</v>
      </c>
    </row>
    <row r="385" spans="2:5" x14ac:dyDescent="0.2">
      <c r="B385" s="18" t="s">
        <v>30</v>
      </c>
      <c r="C385" s="18" t="s">
        <v>577</v>
      </c>
      <c r="D385" s="18" t="s">
        <v>19</v>
      </c>
      <c r="E385" s="18" t="s">
        <v>578</v>
      </c>
    </row>
    <row r="386" spans="2:5" x14ac:dyDescent="0.2">
      <c r="B386" s="21" t="s">
        <v>33</v>
      </c>
      <c r="C386" s="21" t="s">
        <v>579</v>
      </c>
      <c r="D386" s="21" t="s">
        <v>19</v>
      </c>
      <c r="E386" s="21" t="s">
        <v>580</v>
      </c>
    </row>
    <row r="387" spans="2:5" x14ac:dyDescent="0.2">
      <c r="B387" s="18" t="s">
        <v>36</v>
      </c>
      <c r="C387" s="19">
        <v>43080</v>
      </c>
      <c r="D387" s="18" t="s">
        <v>19</v>
      </c>
      <c r="E387" s="18" t="s">
        <v>581</v>
      </c>
    </row>
    <row r="388" spans="2:5" x14ac:dyDescent="0.2">
      <c r="B388" s="21" t="s">
        <v>18</v>
      </c>
      <c r="C388" s="22">
        <v>43050</v>
      </c>
      <c r="D388" s="21" t="s">
        <v>19</v>
      </c>
      <c r="E388" s="21" t="s">
        <v>582</v>
      </c>
    </row>
    <row r="389" spans="2:5" x14ac:dyDescent="0.2">
      <c r="B389" s="18" t="s">
        <v>21</v>
      </c>
      <c r="C389" s="19">
        <v>43019</v>
      </c>
      <c r="D389" s="18" t="s">
        <v>19</v>
      </c>
      <c r="E389" s="18" t="s">
        <v>582</v>
      </c>
    </row>
    <row r="390" spans="2:5" x14ac:dyDescent="0.2">
      <c r="B390" s="21" t="s">
        <v>24</v>
      </c>
      <c r="C390" s="22">
        <v>42989</v>
      </c>
      <c r="D390" s="21" t="s">
        <v>19</v>
      </c>
      <c r="E390" s="21" t="s">
        <v>583</v>
      </c>
    </row>
    <row r="391" spans="2:5" x14ac:dyDescent="0.2">
      <c r="B391" s="18" t="s">
        <v>27</v>
      </c>
      <c r="C391" s="19">
        <v>42958</v>
      </c>
      <c r="D391" s="18" t="s">
        <v>19</v>
      </c>
      <c r="E391" s="18" t="s">
        <v>584</v>
      </c>
    </row>
    <row r="392" spans="2:5" x14ac:dyDescent="0.2">
      <c r="B392" s="21" t="s">
        <v>30</v>
      </c>
      <c r="C392" s="22">
        <v>42927</v>
      </c>
      <c r="D392" s="21" t="s">
        <v>19</v>
      </c>
      <c r="E392" s="21" t="s">
        <v>585</v>
      </c>
    </row>
    <row r="393" spans="2:5" x14ac:dyDescent="0.2">
      <c r="B393" s="18" t="s">
        <v>33</v>
      </c>
      <c r="C393" s="19">
        <v>42897</v>
      </c>
      <c r="D393" s="18" t="s">
        <v>19</v>
      </c>
      <c r="E393" s="18" t="s">
        <v>451</v>
      </c>
    </row>
    <row r="394" spans="2:5" x14ac:dyDescent="0.2">
      <c r="B394" s="21" t="s">
        <v>36</v>
      </c>
      <c r="C394" s="22">
        <v>42866</v>
      </c>
      <c r="D394" s="21" t="s">
        <v>19</v>
      </c>
      <c r="E394" s="21" t="s">
        <v>586</v>
      </c>
    </row>
    <row r="395" spans="2:5" x14ac:dyDescent="0.2">
      <c r="B395" s="18" t="s">
        <v>18</v>
      </c>
      <c r="C395" s="19">
        <v>42836</v>
      </c>
      <c r="D395" s="18" t="s">
        <v>19</v>
      </c>
      <c r="E395" s="18" t="s">
        <v>587</v>
      </c>
    </row>
    <row r="396" spans="2:5" x14ac:dyDescent="0.2">
      <c r="B396" s="21" t="s">
        <v>21</v>
      </c>
      <c r="C396" s="22">
        <v>42805</v>
      </c>
      <c r="D396" s="21" t="s">
        <v>19</v>
      </c>
      <c r="E396" s="21" t="s">
        <v>588</v>
      </c>
    </row>
    <row r="397" spans="2:5" x14ac:dyDescent="0.2">
      <c r="B397" s="18" t="s">
        <v>24</v>
      </c>
      <c r="C397" s="19">
        <v>42777</v>
      </c>
      <c r="D397" s="18" t="s">
        <v>19</v>
      </c>
      <c r="E397" s="18" t="s">
        <v>589</v>
      </c>
    </row>
    <row r="398" spans="2:5" x14ac:dyDescent="0.2">
      <c r="B398" s="21" t="s">
        <v>27</v>
      </c>
      <c r="C398" s="22">
        <v>42746</v>
      </c>
      <c r="D398" s="21" t="s">
        <v>19</v>
      </c>
      <c r="E398" s="21" t="s">
        <v>454</v>
      </c>
    </row>
    <row r="399" spans="2:5" x14ac:dyDescent="0.2">
      <c r="B399" s="18" t="s">
        <v>30</v>
      </c>
      <c r="C399" s="18" t="s">
        <v>590</v>
      </c>
      <c r="D399" s="18" t="s">
        <v>19</v>
      </c>
      <c r="E399" s="18" t="s">
        <v>591</v>
      </c>
    </row>
    <row r="400" spans="2:5" x14ac:dyDescent="0.2">
      <c r="B400" s="21" t="s">
        <v>33</v>
      </c>
      <c r="C400" s="21" t="s">
        <v>592</v>
      </c>
      <c r="D400" s="21" t="s">
        <v>19</v>
      </c>
      <c r="E400" s="21" t="s">
        <v>435</v>
      </c>
    </row>
    <row r="401" spans="2:5" x14ac:dyDescent="0.2">
      <c r="B401" s="18" t="s">
        <v>36</v>
      </c>
      <c r="C401" s="18" t="s">
        <v>593</v>
      </c>
      <c r="D401" s="18" t="s">
        <v>19</v>
      </c>
      <c r="E401" s="18" t="s">
        <v>594</v>
      </c>
    </row>
    <row r="402" spans="2:5" x14ac:dyDescent="0.2">
      <c r="B402" s="21" t="s">
        <v>18</v>
      </c>
      <c r="C402" s="21" t="s">
        <v>595</v>
      </c>
      <c r="D402" s="21" t="s">
        <v>19</v>
      </c>
      <c r="E402" s="21" t="s">
        <v>596</v>
      </c>
    </row>
    <row r="403" spans="2:5" x14ac:dyDescent="0.2">
      <c r="B403" s="18" t="s">
        <v>21</v>
      </c>
      <c r="C403" s="18" t="s">
        <v>597</v>
      </c>
      <c r="D403" s="18" t="s">
        <v>19</v>
      </c>
      <c r="E403" s="18" t="s">
        <v>596</v>
      </c>
    </row>
    <row r="404" spans="2:5" x14ac:dyDescent="0.2">
      <c r="B404" s="21" t="s">
        <v>24</v>
      </c>
      <c r="C404" s="21" t="s">
        <v>598</v>
      </c>
      <c r="D404" s="21" t="s">
        <v>19</v>
      </c>
      <c r="E404" s="21" t="s">
        <v>599</v>
      </c>
    </row>
    <row r="405" spans="2:5" x14ac:dyDescent="0.2">
      <c r="B405" s="18" t="s">
        <v>27</v>
      </c>
      <c r="C405" s="18" t="s">
        <v>600</v>
      </c>
      <c r="D405" s="18" t="s">
        <v>19</v>
      </c>
      <c r="E405" s="18" t="s">
        <v>601</v>
      </c>
    </row>
    <row r="406" spans="2:5" x14ac:dyDescent="0.2">
      <c r="B406" s="21" t="s">
        <v>30</v>
      </c>
      <c r="C406" s="21" t="s">
        <v>602</v>
      </c>
      <c r="D406" s="21" t="s">
        <v>19</v>
      </c>
      <c r="E406" s="21" t="s">
        <v>377</v>
      </c>
    </row>
    <row r="407" spans="2:5" x14ac:dyDescent="0.2">
      <c r="B407" s="18" t="s">
        <v>33</v>
      </c>
      <c r="C407" s="18" t="s">
        <v>603</v>
      </c>
      <c r="D407" s="18" t="s">
        <v>19</v>
      </c>
      <c r="E407" s="18" t="s">
        <v>604</v>
      </c>
    </row>
    <row r="408" spans="2:5" x14ac:dyDescent="0.2">
      <c r="B408" s="21" t="s">
        <v>36</v>
      </c>
      <c r="C408" s="21" t="s">
        <v>605</v>
      </c>
      <c r="D408" s="21" t="s">
        <v>19</v>
      </c>
      <c r="E408" s="21" t="s">
        <v>599</v>
      </c>
    </row>
    <row r="409" spans="2:5" x14ac:dyDescent="0.2">
      <c r="B409" s="18" t="s">
        <v>18</v>
      </c>
      <c r="C409" s="18" t="s">
        <v>606</v>
      </c>
      <c r="D409" s="18" t="s">
        <v>19</v>
      </c>
      <c r="E409" s="18" t="s">
        <v>583</v>
      </c>
    </row>
    <row r="410" spans="2:5" x14ac:dyDescent="0.2">
      <c r="B410" s="21" t="s">
        <v>21</v>
      </c>
      <c r="C410" s="21" t="s">
        <v>607</v>
      </c>
      <c r="D410" s="21" t="s">
        <v>19</v>
      </c>
      <c r="E410" s="21" t="s">
        <v>608</v>
      </c>
    </row>
    <row r="411" spans="2:5" x14ac:dyDescent="0.2">
      <c r="B411" s="18" t="s">
        <v>24</v>
      </c>
      <c r="C411" s="18" t="s">
        <v>609</v>
      </c>
      <c r="D411" s="18" t="s">
        <v>19</v>
      </c>
      <c r="E411" s="18" t="s">
        <v>610</v>
      </c>
    </row>
    <row r="412" spans="2:5" x14ac:dyDescent="0.2">
      <c r="B412" s="21" t="s">
        <v>27</v>
      </c>
      <c r="C412" s="21" t="s">
        <v>611</v>
      </c>
      <c r="D412" s="21" t="s">
        <v>19</v>
      </c>
      <c r="E412" s="21" t="s">
        <v>438</v>
      </c>
    </row>
    <row r="413" spans="2:5" x14ac:dyDescent="0.2">
      <c r="B413" s="18" t="s">
        <v>30</v>
      </c>
      <c r="C413" s="18" t="s">
        <v>612</v>
      </c>
      <c r="D413" s="18" t="s">
        <v>19</v>
      </c>
      <c r="E413" s="18" t="s">
        <v>613</v>
      </c>
    </row>
    <row r="414" spans="2:5" x14ac:dyDescent="0.2">
      <c r="B414" s="21" t="s">
        <v>33</v>
      </c>
      <c r="C414" s="21" t="s">
        <v>614</v>
      </c>
      <c r="D414" s="21" t="s">
        <v>19</v>
      </c>
      <c r="E414" s="21" t="s">
        <v>615</v>
      </c>
    </row>
    <row r="415" spans="2:5" x14ac:dyDescent="0.2">
      <c r="B415" s="18" t="s">
        <v>36</v>
      </c>
      <c r="C415" s="18" t="s">
        <v>616</v>
      </c>
      <c r="D415" s="18" t="s">
        <v>19</v>
      </c>
      <c r="E415" s="18" t="s">
        <v>617</v>
      </c>
    </row>
    <row r="416" spans="2:5" x14ac:dyDescent="0.2">
      <c r="B416" s="21" t="s">
        <v>18</v>
      </c>
      <c r="C416" s="21" t="s">
        <v>618</v>
      </c>
      <c r="D416" s="21" t="s">
        <v>19</v>
      </c>
      <c r="E416" s="21" t="s">
        <v>619</v>
      </c>
    </row>
    <row r="417" spans="2:5" x14ac:dyDescent="0.2">
      <c r="B417" s="18" t="s">
        <v>21</v>
      </c>
      <c r="C417" s="18" t="s">
        <v>620</v>
      </c>
      <c r="D417" s="18" t="s">
        <v>19</v>
      </c>
      <c r="E417" s="18" t="s">
        <v>621</v>
      </c>
    </row>
    <row r="418" spans="2:5" x14ac:dyDescent="0.2">
      <c r="B418" s="21" t="s">
        <v>24</v>
      </c>
      <c r="C418" s="22">
        <v>43079</v>
      </c>
      <c r="D418" s="21" t="s">
        <v>19</v>
      </c>
      <c r="E418" s="21" t="s">
        <v>622</v>
      </c>
    </row>
    <row r="419" spans="2:5" x14ac:dyDescent="0.2">
      <c r="B419" s="18" t="s">
        <v>27</v>
      </c>
      <c r="C419" s="19">
        <v>43049</v>
      </c>
      <c r="D419" s="18" t="s">
        <v>19</v>
      </c>
      <c r="E419" s="18" t="s">
        <v>623</v>
      </c>
    </row>
    <row r="420" spans="2:5" x14ac:dyDescent="0.2">
      <c r="B420" s="21" t="s">
        <v>30</v>
      </c>
      <c r="C420" s="22">
        <v>43018</v>
      </c>
      <c r="D420" s="21" t="s">
        <v>19</v>
      </c>
      <c r="E420" s="21" t="s">
        <v>624</v>
      </c>
    </row>
    <row r="421" spans="2:5" x14ac:dyDescent="0.2">
      <c r="B421" s="18" t="s">
        <v>33</v>
      </c>
      <c r="C421" s="19">
        <v>42988</v>
      </c>
      <c r="D421" s="18" t="s">
        <v>19</v>
      </c>
      <c r="E421" s="18" t="s">
        <v>625</v>
      </c>
    </row>
    <row r="422" spans="2:5" x14ac:dyDescent="0.2">
      <c r="B422" s="21" t="s">
        <v>36</v>
      </c>
      <c r="C422" s="22">
        <v>42957</v>
      </c>
      <c r="D422" s="21" t="s">
        <v>19</v>
      </c>
      <c r="E422" s="21" t="s">
        <v>626</v>
      </c>
    </row>
    <row r="423" spans="2:5" x14ac:dyDescent="0.2">
      <c r="B423" s="18" t="s">
        <v>18</v>
      </c>
      <c r="C423" s="19">
        <v>42926</v>
      </c>
      <c r="D423" s="18" t="s">
        <v>19</v>
      </c>
      <c r="E423" s="18" t="s">
        <v>627</v>
      </c>
    </row>
    <row r="424" spans="2:5" x14ac:dyDescent="0.2">
      <c r="B424" s="21" t="s">
        <v>21</v>
      </c>
      <c r="C424" s="22">
        <v>42896</v>
      </c>
      <c r="D424" s="21" t="s">
        <v>19</v>
      </c>
      <c r="E424" s="21" t="s">
        <v>628</v>
      </c>
    </row>
    <row r="425" spans="2:5" x14ac:dyDescent="0.2">
      <c r="B425" s="18" t="s">
        <v>24</v>
      </c>
      <c r="C425" s="19">
        <v>42865</v>
      </c>
      <c r="D425" s="18" t="s">
        <v>19</v>
      </c>
      <c r="E425" s="18" t="s">
        <v>629</v>
      </c>
    </row>
    <row r="426" spans="2:5" x14ac:dyDescent="0.2">
      <c r="B426" s="21" t="s">
        <v>27</v>
      </c>
      <c r="C426" s="22">
        <v>42835</v>
      </c>
      <c r="D426" s="21" t="s">
        <v>19</v>
      </c>
      <c r="E426" s="21" t="s">
        <v>630</v>
      </c>
    </row>
    <row r="427" spans="2:5" x14ac:dyDescent="0.2">
      <c r="B427" s="18" t="s">
        <v>30</v>
      </c>
      <c r="C427" s="19">
        <v>42804</v>
      </c>
      <c r="D427" s="18" t="s">
        <v>19</v>
      </c>
      <c r="E427" s="18" t="s">
        <v>631</v>
      </c>
    </row>
    <row r="428" spans="2:5" x14ac:dyDescent="0.2">
      <c r="B428" s="21" t="s">
        <v>33</v>
      </c>
      <c r="C428" s="22">
        <v>42776</v>
      </c>
      <c r="D428" s="21" t="s">
        <v>19</v>
      </c>
      <c r="E428" s="21" t="s">
        <v>632</v>
      </c>
    </row>
    <row r="429" spans="2:5" x14ac:dyDescent="0.2">
      <c r="B429" s="18" t="s">
        <v>36</v>
      </c>
      <c r="C429" s="19">
        <v>42745</v>
      </c>
      <c r="D429" s="18" t="s">
        <v>19</v>
      </c>
      <c r="E429" s="18" t="s">
        <v>438</v>
      </c>
    </row>
    <row r="430" spans="2:5" x14ac:dyDescent="0.2">
      <c r="B430" s="21" t="s">
        <v>18</v>
      </c>
      <c r="C430" s="21" t="s">
        <v>633</v>
      </c>
      <c r="D430" s="21" t="s">
        <v>19</v>
      </c>
      <c r="E430" s="21" t="s">
        <v>634</v>
      </c>
    </row>
    <row r="431" spans="2:5" x14ac:dyDescent="0.2">
      <c r="B431" s="18" t="s">
        <v>21</v>
      </c>
      <c r="C431" s="18" t="s">
        <v>635</v>
      </c>
      <c r="D431" s="18" t="s">
        <v>19</v>
      </c>
      <c r="E431" s="18" t="s">
        <v>634</v>
      </c>
    </row>
    <row r="432" spans="2:5" x14ac:dyDescent="0.2">
      <c r="B432" s="21" t="s">
        <v>24</v>
      </c>
      <c r="C432" s="21" t="s">
        <v>636</v>
      </c>
      <c r="D432" s="21" t="s">
        <v>19</v>
      </c>
      <c r="E432" s="21" t="s">
        <v>637</v>
      </c>
    </row>
    <row r="433" spans="2:5" x14ac:dyDescent="0.2">
      <c r="B433" s="18" t="s">
        <v>27</v>
      </c>
      <c r="C433" s="18" t="s">
        <v>638</v>
      </c>
      <c r="D433" s="18" t="s">
        <v>19</v>
      </c>
      <c r="E433" s="18" t="s">
        <v>377</v>
      </c>
    </row>
    <row r="434" spans="2:5" x14ac:dyDescent="0.2">
      <c r="B434" s="21" t="s">
        <v>30</v>
      </c>
      <c r="C434" s="21" t="s">
        <v>639</v>
      </c>
      <c r="D434" s="21" t="s">
        <v>19</v>
      </c>
      <c r="E434" s="21" t="s">
        <v>617</v>
      </c>
    </row>
    <row r="435" spans="2:5" x14ac:dyDescent="0.2">
      <c r="B435" s="18" t="s">
        <v>33</v>
      </c>
      <c r="C435" s="18" t="s">
        <v>640</v>
      </c>
      <c r="D435" s="18" t="s">
        <v>19</v>
      </c>
      <c r="E435" s="18" t="s">
        <v>641</v>
      </c>
    </row>
    <row r="436" spans="2:5" x14ac:dyDescent="0.2">
      <c r="B436" s="21" t="s">
        <v>36</v>
      </c>
      <c r="C436" s="21" t="s">
        <v>642</v>
      </c>
      <c r="D436" s="21" t="s">
        <v>19</v>
      </c>
      <c r="E436" s="21" t="s">
        <v>643</v>
      </c>
    </row>
    <row r="437" spans="2:5" x14ac:dyDescent="0.2">
      <c r="B437" s="18" t="s">
        <v>18</v>
      </c>
      <c r="C437" s="18" t="s">
        <v>644</v>
      </c>
      <c r="D437" s="18" t="s">
        <v>19</v>
      </c>
      <c r="E437" s="18" t="s">
        <v>645</v>
      </c>
    </row>
    <row r="438" spans="2:5" x14ac:dyDescent="0.2">
      <c r="B438" s="21" t="s">
        <v>21</v>
      </c>
      <c r="C438" s="21" t="s">
        <v>646</v>
      </c>
      <c r="D438" s="21" t="s">
        <v>19</v>
      </c>
      <c r="E438" s="21" t="s">
        <v>645</v>
      </c>
    </row>
    <row r="439" spans="2:5" x14ac:dyDescent="0.2">
      <c r="B439" s="18" t="s">
        <v>24</v>
      </c>
      <c r="C439" s="18" t="s">
        <v>647</v>
      </c>
      <c r="D439" s="18" t="s">
        <v>19</v>
      </c>
      <c r="E439" s="18" t="s">
        <v>648</v>
      </c>
    </row>
    <row r="440" spans="2:5" x14ac:dyDescent="0.2">
      <c r="B440" s="21" t="s">
        <v>27</v>
      </c>
      <c r="C440" s="21" t="s">
        <v>649</v>
      </c>
      <c r="D440" s="21" t="s">
        <v>19</v>
      </c>
      <c r="E440" s="21" t="s">
        <v>650</v>
      </c>
    </row>
    <row r="441" spans="2:5" x14ac:dyDescent="0.2">
      <c r="B441" s="18" t="s">
        <v>30</v>
      </c>
      <c r="C441" s="18" t="s">
        <v>651</v>
      </c>
      <c r="D441" s="18" t="s">
        <v>19</v>
      </c>
      <c r="E441" s="18" t="s">
        <v>652</v>
      </c>
    </row>
    <row r="442" spans="2:5" x14ac:dyDescent="0.2">
      <c r="B442" s="21" t="s">
        <v>33</v>
      </c>
      <c r="C442" s="21" t="s">
        <v>653</v>
      </c>
      <c r="D442" s="21" t="s">
        <v>19</v>
      </c>
      <c r="E442" s="21" t="s">
        <v>654</v>
      </c>
    </row>
    <row r="443" spans="2:5" x14ac:dyDescent="0.2">
      <c r="B443" s="18" t="s">
        <v>36</v>
      </c>
      <c r="C443" s="18" t="s">
        <v>655</v>
      </c>
      <c r="D443" s="18" t="s">
        <v>19</v>
      </c>
      <c r="E443" s="18" t="s">
        <v>656</v>
      </c>
    </row>
    <row r="444" spans="2:5" x14ac:dyDescent="0.2">
      <c r="B444" s="21" t="s">
        <v>18</v>
      </c>
      <c r="C444" s="21" t="s">
        <v>657</v>
      </c>
      <c r="D444" s="21" t="s">
        <v>19</v>
      </c>
      <c r="E444" s="21" t="s">
        <v>658</v>
      </c>
    </row>
    <row r="445" spans="2:5" x14ac:dyDescent="0.2">
      <c r="B445" s="18" t="s">
        <v>21</v>
      </c>
      <c r="C445" s="18" t="s">
        <v>659</v>
      </c>
      <c r="D445" s="18" t="s">
        <v>19</v>
      </c>
      <c r="E445" s="18" t="s">
        <v>660</v>
      </c>
    </row>
    <row r="446" spans="2:5" x14ac:dyDescent="0.2">
      <c r="B446" s="21" t="s">
        <v>24</v>
      </c>
      <c r="C446" s="21" t="s">
        <v>661</v>
      </c>
      <c r="D446" s="21" t="s">
        <v>19</v>
      </c>
      <c r="E446" s="21" t="s">
        <v>580</v>
      </c>
    </row>
    <row r="447" spans="2:5" x14ac:dyDescent="0.2">
      <c r="B447" s="18" t="s">
        <v>27</v>
      </c>
      <c r="C447" s="18" t="s">
        <v>662</v>
      </c>
      <c r="D447" s="18" t="s">
        <v>19</v>
      </c>
      <c r="E447" s="18" t="s">
        <v>663</v>
      </c>
    </row>
    <row r="448" spans="2:5" x14ac:dyDescent="0.2">
      <c r="B448" s="21" t="s">
        <v>30</v>
      </c>
      <c r="C448" s="22">
        <v>43078</v>
      </c>
      <c r="D448" s="21" t="s">
        <v>19</v>
      </c>
      <c r="E448" s="21" t="s">
        <v>664</v>
      </c>
    </row>
    <row r="449" spans="2:5" x14ac:dyDescent="0.2">
      <c r="B449" s="18" t="s">
        <v>33</v>
      </c>
      <c r="C449" s="19">
        <v>43048</v>
      </c>
      <c r="D449" s="18" t="s">
        <v>19</v>
      </c>
      <c r="E449" s="18" t="s">
        <v>420</v>
      </c>
    </row>
    <row r="450" spans="2:5" x14ac:dyDescent="0.2">
      <c r="B450" s="21" t="s">
        <v>36</v>
      </c>
      <c r="C450" s="22">
        <v>43017</v>
      </c>
      <c r="D450" s="21" t="s">
        <v>19</v>
      </c>
      <c r="E450" s="21" t="s">
        <v>665</v>
      </c>
    </row>
    <row r="451" spans="2:5" x14ac:dyDescent="0.2">
      <c r="B451" s="18" t="s">
        <v>18</v>
      </c>
      <c r="C451" s="19">
        <v>42987</v>
      </c>
      <c r="D451" s="18" t="s">
        <v>19</v>
      </c>
      <c r="E451" s="18" t="s">
        <v>666</v>
      </c>
    </row>
    <row r="452" spans="2:5" x14ac:dyDescent="0.2">
      <c r="B452" s="21" t="s">
        <v>21</v>
      </c>
      <c r="C452" s="22">
        <v>42956</v>
      </c>
      <c r="D452" s="21" t="s">
        <v>19</v>
      </c>
      <c r="E452" s="21" t="s">
        <v>667</v>
      </c>
    </row>
    <row r="453" spans="2:5" x14ac:dyDescent="0.2">
      <c r="B453" s="18" t="s">
        <v>24</v>
      </c>
      <c r="C453" s="19">
        <v>42925</v>
      </c>
      <c r="D453" s="18" t="s">
        <v>19</v>
      </c>
      <c r="E453" s="18" t="s">
        <v>668</v>
      </c>
    </row>
    <row r="454" spans="2:5" x14ac:dyDescent="0.2">
      <c r="B454" s="21" t="s">
        <v>27</v>
      </c>
      <c r="C454" s="22">
        <v>42895</v>
      </c>
      <c r="D454" s="21" t="s">
        <v>19</v>
      </c>
      <c r="E454" s="21" t="s">
        <v>669</v>
      </c>
    </row>
    <row r="455" spans="2:5" x14ac:dyDescent="0.2">
      <c r="B455" s="18" t="s">
        <v>30</v>
      </c>
      <c r="C455" s="19">
        <v>42864</v>
      </c>
      <c r="D455" s="18" t="s">
        <v>19</v>
      </c>
      <c r="E455" s="18" t="s">
        <v>670</v>
      </c>
    </row>
    <row r="456" spans="2:5" x14ac:dyDescent="0.2">
      <c r="B456" s="21" t="s">
        <v>33</v>
      </c>
      <c r="C456" s="22">
        <v>42834</v>
      </c>
      <c r="D456" s="21" t="s">
        <v>19</v>
      </c>
      <c r="E456" s="21" t="s">
        <v>671</v>
      </c>
    </row>
    <row r="457" spans="2:5" x14ac:dyDescent="0.2">
      <c r="B457" s="18" t="s">
        <v>36</v>
      </c>
      <c r="C457" s="19">
        <v>42803</v>
      </c>
      <c r="D457" s="18" t="s">
        <v>19</v>
      </c>
      <c r="E457" s="18" t="s">
        <v>672</v>
      </c>
    </row>
    <row r="458" spans="2:5" x14ac:dyDescent="0.2">
      <c r="B458" s="21" t="s">
        <v>18</v>
      </c>
      <c r="C458" s="22">
        <v>42775</v>
      </c>
      <c r="D458" s="21" t="s">
        <v>19</v>
      </c>
      <c r="E458" s="21" t="s">
        <v>411</v>
      </c>
    </row>
    <row r="459" spans="2:5" x14ac:dyDescent="0.2">
      <c r="B459" s="18" t="s">
        <v>21</v>
      </c>
      <c r="C459" s="19">
        <v>42744</v>
      </c>
      <c r="D459" s="18" t="s">
        <v>19</v>
      </c>
      <c r="E459" s="18" t="s">
        <v>411</v>
      </c>
    </row>
    <row r="460" spans="2:5" x14ac:dyDescent="0.2">
      <c r="B460" s="21" t="s">
        <v>24</v>
      </c>
      <c r="C460" s="21" t="s">
        <v>673</v>
      </c>
      <c r="D460" s="21" t="s">
        <v>19</v>
      </c>
      <c r="E460" s="21" t="s">
        <v>674</v>
      </c>
    </row>
    <row r="461" spans="2:5" x14ac:dyDescent="0.2">
      <c r="B461" s="18" t="s">
        <v>27</v>
      </c>
      <c r="C461" s="18" t="s">
        <v>675</v>
      </c>
      <c r="D461" s="18" t="s">
        <v>19</v>
      </c>
      <c r="E461" s="18" t="s">
        <v>676</v>
      </c>
    </row>
    <row r="462" spans="2:5" x14ac:dyDescent="0.2">
      <c r="B462" s="21" t="s">
        <v>30</v>
      </c>
      <c r="C462" s="21" t="s">
        <v>677</v>
      </c>
      <c r="D462" s="21" t="s">
        <v>19</v>
      </c>
      <c r="E462" s="21" t="s">
        <v>678</v>
      </c>
    </row>
    <row r="463" spans="2:5" x14ac:dyDescent="0.2">
      <c r="B463" s="18" t="s">
        <v>33</v>
      </c>
      <c r="C463" s="18" t="s">
        <v>679</v>
      </c>
      <c r="D463" s="18" t="s">
        <v>19</v>
      </c>
      <c r="E463" s="18" t="s">
        <v>346</v>
      </c>
    </row>
    <row r="464" spans="2:5" x14ac:dyDescent="0.2">
      <c r="B464" s="21" t="s">
        <v>36</v>
      </c>
      <c r="C464" s="21" t="s">
        <v>680</v>
      </c>
      <c r="D464" s="21" t="s">
        <v>19</v>
      </c>
      <c r="E464" s="21" t="s">
        <v>681</v>
      </c>
    </row>
    <row r="465" spans="2:5" x14ac:dyDescent="0.2">
      <c r="B465" s="18" t="s">
        <v>18</v>
      </c>
      <c r="C465" s="18" t="s">
        <v>682</v>
      </c>
      <c r="D465" s="18" t="s">
        <v>19</v>
      </c>
      <c r="E465" s="18" t="s">
        <v>683</v>
      </c>
    </row>
    <row r="466" spans="2:5" x14ac:dyDescent="0.2">
      <c r="B466" s="21" t="s">
        <v>21</v>
      </c>
      <c r="C466" s="21" t="s">
        <v>684</v>
      </c>
      <c r="D466" s="21" t="s">
        <v>19</v>
      </c>
      <c r="E466" s="21" t="s">
        <v>353</v>
      </c>
    </row>
    <row r="467" spans="2:5" x14ac:dyDescent="0.2">
      <c r="B467" s="18" t="s">
        <v>24</v>
      </c>
      <c r="C467" s="18" t="s">
        <v>685</v>
      </c>
      <c r="D467" s="18" t="s">
        <v>19</v>
      </c>
      <c r="E467" s="18" t="s">
        <v>686</v>
      </c>
    </row>
    <row r="468" spans="2:5" x14ac:dyDescent="0.2">
      <c r="B468" s="21" t="s">
        <v>27</v>
      </c>
      <c r="C468" s="21" t="s">
        <v>687</v>
      </c>
      <c r="D468" s="21" t="s">
        <v>19</v>
      </c>
      <c r="E468" s="21" t="s">
        <v>500</v>
      </c>
    </row>
    <row r="469" spans="2:5" x14ac:dyDescent="0.2">
      <c r="B469" s="18" t="s">
        <v>30</v>
      </c>
      <c r="C469" s="18" t="s">
        <v>688</v>
      </c>
      <c r="D469" s="18" t="s">
        <v>19</v>
      </c>
      <c r="E469" s="18" t="s">
        <v>689</v>
      </c>
    </row>
    <row r="470" spans="2:5" x14ac:dyDescent="0.2">
      <c r="B470" s="21" t="s">
        <v>33</v>
      </c>
      <c r="C470" s="21" t="s">
        <v>690</v>
      </c>
      <c r="D470" s="21" t="s">
        <v>19</v>
      </c>
      <c r="E470" s="21" t="s">
        <v>691</v>
      </c>
    </row>
    <row r="471" spans="2:5" x14ac:dyDescent="0.2">
      <c r="B471" s="18" t="s">
        <v>36</v>
      </c>
      <c r="C471" s="18" t="s">
        <v>692</v>
      </c>
      <c r="D471" s="18" t="s">
        <v>19</v>
      </c>
      <c r="E471" s="18" t="s">
        <v>693</v>
      </c>
    </row>
    <row r="472" spans="2:5" x14ac:dyDescent="0.2">
      <c r="B472" s="21" t="s">
        <v>18</v>
      </c>
      <c r="C472" s="21" t="s">
        <v>694</v>
      </c>
      <c r="D472" s="21" t="s">
        <v>19</v>
      </c>
      <c r="E472" s="21" t="s">
        <v>695</v>
      </c>
    </row>
    <row r="473" spans="2:5" x14ac:dyDescent="0.2">
      <c r="B473" s="18" t="s">
        <v>21</v>
      </c>
      <c r="C473" s="18" t="s">
        <v>696</v>
      </c>
      <c r="D473" s="18" t="s">
        <v>19</v>
      </c>
      <c r="E473" s="18" t="s">
        <v>697</v>
      </c>
    </row>
    <row r="474" spans="2:5" x14ac:dyDescent="0.2">
      <c r="B474" s="21" t="s">
        <v>24</v>
      </c>
      <c r="C474" s="21" t="s">
        <v>698</v>
      </c>
      <c r="D474" s="21" t="s">
        <v>19</v>
      </c>
      <c r="E474" s="21" t="s">
        <v>699</v>
      </c>
    </row>
    <row r="475" spans="2:5" x14ac:dyDescent="0.2">
      <c r="B475" s="18" t="s">
        <v>27</v>
      </c>
      <c r="C475" s="18" t="s">
        <v>700</v>
      </c>
      <c r="D475" s="18" t="s">
        <v>19</v>
      </c>
      <c r="E475" s="18" t="s">
        <v>701</v>
      </c>
    </row>
    <row r="476" spans="2:5" x14ac:dyDescent="0.2">
      <c r="B476" s="21" t="s">
        <v>30</v>
      </c>
      <c r="C476" s="21" t="s">
        <v>702</v>
      </c>
      <c r="D476" s="21" t="s">
        <v>19</v>
      </c>
      <c r="E476" s="21" t="s">
        <v>703</v>
      </c>
    </row>
    <row r="477" spans="2:5" x14ac:dyDescent="0.2">
      <c r="B477" s="18" t="s">
        <v>33</v>
      </c>
      <c r="C477" s="18" t="s">
        <v>704</v>
      </c>
      <c r="D477" s="18" t="s">
        <v>19</v>
      </c>
      <c r="E477" s="18" t="s">
        <v>705</v>
      </c>
    </row>
    <row r="478" spans="2:5" x14ac:dyDescent="0.2">
      <c r="B478" s="21" t="s">
        <v>36</v>
      </c>
      <c r="C478" s="21" t="s">
        <v>706</v>
      </c>
      <c r="D478" s="21" t="s">
        <v>19</v>
      </c>
      <c r="E478" s="21" t="s">
        <v>707</v>
      </c>
    </row>
    <row r="479" spans="2:5" x14ac:dyDescent="0.2">
      <c r="B479" s="18" t="s">
        <v>18</v>
      </c>
      <c r="C479" s="19">
        <v>43077</v>
      </c>
      <c r="D479" s="18" t="s">
        <v>19</v>
      </c>
      <c r="E479" s="18" t="s">
        <v>708</v>
      </c>
    </row>
    <row r="480" spans="2:5" x14ac:dyDescent="0.2">
      <c r="B480" s="21" t="s">
        <v>21</v>
      </c>
      <c r="C480" s="22">
        <v>43047</v>
      </c>
      <c r="D480" s="21" t="s">
        <v>19</v>
      </c>
      <c r="E480" s="21" t="s">
        <v>709</v>
      </c>
    </row>
    <row r="481" spans="2:5" x14ac:dyDescent="0.2">
      <c r="B481" s="18" t="s">
        <v>24</v>
      </c>
      <c r="C481" s="19">
        <v>43016</v>
      </c>
      <c r="D481" s="18" t="s">
        <v>19</v>
      </c>
      <c r="E481" s="18" t="s">
        <v>710</v>
      </c>
    </row>
    <row r="482" spans="2:5" x14ac:dyDescent="0.2">
      <c r="B482" s="21" t="s">
        <v>27</v>
      </c>
      <c r="C482" s="22">
        <v>42986</v>
      </c>
      <c r="D482" s="21" t="s">
        <v>19</v>
      </c>
      <c r="E482" s="21" t="s">
        <v>711</v>
      </c>
    </row>
    <row r="483" spans="2:5" x14ac:dyDescent="0.2">
      <c r="B483" s="18" t="s">
        <v>30</v>
      </c>
      <c r="C483" s="19">
        <v>42955</v>
      </c>
      <c r="D483" s="18" t="s">
        <v>19</v>
      </c>
      <c r="E483" s="18" t="s">
        <v>712</v>
      </c>
    </row>
    <row r="484" spans="2:5" x14ac:dyDescent="0.2">
      <c r="B484" s="21" t="s">
        <v>33</v>
      </c>
      <c r="C484" s="22">
        <v>42924</v>
      </c>
      <c r="D484" s="21" t="s">
        <v>19</v>
      </c>
      <c r="E484" s="21" t="s">
        <v>713</v>
      </c>
    </row>
    <row r="485" spans="2:5" x14ac:dyDescent="0.2">
      <c r="B485" s="18" t="s">
        <v>36</v>
      </c>
      <c r="C485" s="19">
        <v>42894</v>
      </c>
      <c r="D485" s="18" t="s">
        <v>19</v>
      </c>
      <c r="E485" s="18" t="s">
        <v>714</v>
      </c>
    </row>
    <row r="486" spans="2:5" x14ac:dyDescent="0.2">
      <c r="B486" s="21" t="s">
        <v>18</v>
      </c>
      <c r="C486" s="22">
        <v>42863</v>
      </c>
      <c r="D486" s="21" t="s">
        <v>19</v>
      </c>
      <c r="E486" s="21" t="s">
        <v>715</v>
      </c>
    </row>
    <row r="487" spans="2:5" x14ac:dyDescent="0.2">
      <c r="B487" s="18" t="s">
        <v>21</v>
      </c>
      <c r="C487" s="19">
        <v>42833</v>
      </c>
      <c r="D487" s="18" t="s">
        <v>19</v>
      </c>
      <c r="E487" s="18" t="s">
        <v>715</v>
      </c>
    </row>
    <row r="488" spans="2:5" x14ac:dyDescent="0.2">
      <c r="B488" s="21" t="s">
        <v>24</v>
      </c>
      <c r="C488" s="22">
        <v>42802</v>
      </c>
      <c r="D488" s="21" t="s">
        <v>19</v>
      </c>
      <c r="E488" s="21" t="s">
        <v>716</v>
      </c>
    </row>
    <row r="489" spans="2:5" x14ac:dyDescent="0.2">
      <c r="B489" s="18" t="s">
        <v>27</v>
      </c>
      <c r="C489" s="19">
        <v>42774</v>
      </c>
      <c r="D489" s="18" t="s">
        <v>19</v>
      </c>
      <c r="E489" s="18" t="s">
        <v>717</v>
      </c>
    </row>
    <row r="490" spans="2:5" x14ac:dyDescent="0.2">
      <c r="B490" s="21" t="s">
        <v>30</v>
      </c>
      <c r="C490" s="22">
        <v>42743</v>
      </c>
      <c r="D490" s="21" t="s">
        <v>19</v>
      </c>
      <c r="E490" s="21" t="s">
        <v>527</v>
      </c>
    </row>
    <row r="491" spans="2:5" x14ac:dyDescent="0.2">
      <c r="B491" s="18" t="s">
        <v>33</v>
      </c>
      <c r="C491" s="18" t="s">
        <v>718</v>
      </c>
      <c r="D491" s="18" t="s">
        <v>19</v>
      </c>
      <c r="E491" s="18" t="s">
        <v>719</v>
      </c>
    </row>
    <row r="492" spans="2:5" x14ac:dyDescent="0.2">
      <c r="B492" s="21" t="s">
        <v>36</v>
      </c>
      <c r="C492" s="21" t="s">
        <v>720</v>
      </c>
      <c r="D492" s="21" t="s">
        <v>19</v>
      </c>
      <c r="E492" s="21" t="s">
        <v>721</v>
      </c>
    </row>
    <row r="493" spans="2:5" x14ac:dyDescent="0.2">
      <c r="B493" s="18" t="s">
        <v>18</v>
      </c>
      <c r="C493" s="18" t="s">
        <v>722</v>
      </c>
      <c r="D493" s="18" t="s">
        <v>19</v>
      </c>
      <c r="E493" s="18" t="s">
        <v>723</v>
      </c>
    </row>
    <row r="494" spans="2:5" x14ac:dyDescent="0.2">
      <c r="B494" s="21" t="s">
        <v>21</v>
      </c>
      <c r="C494" s="21" t="s">
        <v>724</v>
      </c>
      <c r="D494" s="21" t="s">
        <v>19</v>
      </c>
      <c r="E494" s="21" t="s">
        <v>725</v>
      </c>
    </row>
    <row r="495" spans="2:5" x14ac:dyDescent="0.2">
      <c r="B495" s="18" t="s">
        <v>24</v>
      </c>
      <c r="C495" s="18" t="s">
        <v>726</v>
      </c>
      <c r="D495" s="18" t="s">
        <v>19</v>
      </c>
      <c r="E495" s="18" t="s">
        <v>727</v>
      </c>
    </row>
    <row r="496" spans="2:5" x14ac:dyDescent="0.2">
      <c r="B496" s="21" t="s">
        <v>27</v>
      </c>
      <c r="C496" s="21" t="s">
        <v>728</v>
      </c>
      <c r="D496" s="21" t="s">
        <v>19</v>
      </c>
      <c r="E496" s="21" t="s">
        <v>729</v>
      </c>
    </row>
    <row r="497" spans="2:5" x14ac:dyDescent="0.2">
      <c r="B497" s="18" t="s">
        <v>30</v>
      </c>
      <c r="C497" s="18" t="s">
        <v>730</v>
      </c>
      <c r="D497" s="18" t="s">
        <v>19</v>
      </c>
      <c r="E497" s="18" t="s">
        <v>731</v>
      </c>
    </row>
    <row r="498" spans="2:5" x14ac:dyDescent="0.2">
      <c r="B498" s="21" t="s">
        <v>33</v>
      </c>
      <c r="C498" s="21" t="s">
        <v>732</v>
      </c>
      <c r="D498" s="21" t="s">
        <v>19</v>
      </c>
      <c r="E498" s="21" t="s">
        <v>733</v>
      </c>
    </row>
    <row r="499" spans="2:5" x14ac:dyDescent="0.2">
      <c r="B499" s="18" t="s">
        <v>36</v>
      </c>
      <c r="C499" s="18" t="s">
        <v>734</v>
      </c>
      <c r="D499" s="18" t="s">
        <v>19</v>
      </c>
      <c r="E499" s="18" t="s">
        <v>735</v>
      </c>
    </row>
    <row r="500" spans="2:5" x14ac:dyDescent="0.2">
      <c r="B500" s="21" t="s">
        <v>18</v>
      </c>
      <c r="C500" s="21" t="s">
        <v>736</v>
      </c>
      <c r="D500" s="21" t="s">
        <v>19</v>
      </c>
      <c r="E500" s="21" t="s">
        <v>737</v>
      </c>
    </row>
    <row r="501" spans="2:5" x14ac:dyDescent="0.2">
      <c r="B501" s="18" t="s">
        <v>21</v>
      </c>
      <c r="C501" s="18" t="s">
        <v>738</v>
      </c>
      <c r="D501" s="18" t="s">
        <v>19</v>
      </c>
      <c r="E501" s="18" t="s">
        <v>235</v>
      </c>
    </row>
    <row r="502" spans="2:5" x14ac:dyDescent="0.2">
      <c r="B502" s="21" t="s">
        <v>24</v>
      </c>
      <c r="C502" s="21" t="s">
        <v>739</v>
      </c>
      <c r="D502" s="21" t="s">
        <v>19</v>
      </c>
      <c r="E502" s="21" t="s">
        <v>740</v>
      </c>
    </row>
    <row r="503" spans="2:5" x14ac:dyDescent="0.2">
      <c r="B503" s="18" t="s">
        <v>27</v>
      </c>
      <c r="C503" s="18" t="s">
        <v>741</v>
      </c>
      <c r="D503" s="18" t="s">
        <v>19</v>
      </c>
      <c r="E503" s="18" t="s">
        <v>742</v>
      </c>
    </row>
    <row r="504" spans="2:5" x14ac:dyDescent="0.2">
      <c r="B504" s="21" t="s">
        <v>30</v>
      </c>
      <c r="C504" s="21" t="s">
        <v>743</v>
      </c>
      <c r="D504" s="21" t="s">
        <v>19</v>
      </c>
      <c r="E504" s="21" t="s">
        <v>744</v>
      </c>
    </row>
    <row r="505" spans="2:5" x14ac:dyDescent="0.2">
      <c r="B505" s="18" t="s">
        <v>33</v>
      </c>
      <c r="C505" s="18" t="s">
        <v>745</v>
      </c>
      <c r="D505" s="18" t="s">
        <v>19</v>
      </c>
      <c r="E505" s="18" t="s">
        <v>746</v>
      </c>
    </row>
    <row r="506" spans="2:5" x14ac:dyDescent="0.2">
      <c r="B506" s="21" t="s">
        <v>36</v>
      </c>
      <c r="C506" s="21" t="s">
        <v>747</v>
      </c>
      <c r="D506" s="21" t="s">
        <v>19</v>
      </c>
      <c r="E506" s="21" t="s">
        <v>748</v>
      </c>
    </row>
    <row r="507" spans="2:5" x14ac:dyDescent="0.2">
      <c r="B507" s="18" t="s">
        <v>18</v>
      </c>
      <c r="C507" s="18" t="s">
        <v>749</v>
      </c>
      <c r="D507" s="18" t="s">
        <v>19</v>
      </c>
      <c r="E507" s="18" t="s">
        <v>750</v>
      </c>
    </row>
    <row r="508" spans="2:5" x14ac:dyDescent="0.2">
      <c r="B508" s="21" t="s">
        <v>21</v>
      </c>
      <c r="C508" s="21" t="s">
        <v>751</v>
      </c>
      <c r="D508" s="21" t="s">
        <v>19</v>
      </c>
      <c r="E508" s="21" t="s">
        <v>750</v>
      </c>
    </row>
    <row r="509" spans="2:5" x14ac:dyDescent="0.2">
      <c r="B509" s="18" t="s">
        <v>24</v>
      </c>
      <c r="C509" s="18" t="s">
        <v>752</v>
      </c>
      <c r="D509" s="18" t="s">
        <v>19</v>
      </c>
      <c r="E509" s="18" t="s">
        <v>753</v>
      </c>
    </row>
    <row r="510" spans="2:5" x14ac:dyDescent="0.2">
      <c r="B510" s="21" t="s">
        <v>27</v>
      </c>
      <c r="C510" s="22">
        <v>43076</v>
      </c>
      <c r="D510" s="21" t="s">
        <v>19</v>
      </c>
      <c r="E510" s="21" t="s">
        <v>754</v>
      </c>
    </row>
    <row r="511" spans="2:5" x14ac:dyDescent="0.2">
      <c r="B511" s="18" t="s">
        <v>30</v>
      </c>
      <c r="C511" s="19">
        <v>43046</v>
      </c>
      <c r="D511" s="18" t="s">
        <v>19</v>
      </c>
      <c r="E511" s="18" t="s">
        <v>755</v>
      </c>
    </row>
    <row r="512" spans="2:5" x14ac:dyDescent="0.2">
      <c r="B512" s="21" t="s">
        <v>33</v>
      </c>
      <c r="C512" s="22">
        <v>43015</v>
      </c>
      <c r="D512" s="21" t="s">
        <v>19</v>
      </c>
      <c r="E512" s="21" t="s">
        <v>756</v>
      </c>
    </row>
    <row r="513" spans="2:5" x14ac:dyDescent="0.2">
      <c r="B513" s="18" t="s">
        <v>36</v>
      </c>
      <c r="C513" s="19">
        <v>42985</v>
      </c>
      <c r="D513" s="18" t="s">
        <v>19</v>
      </c>
      <c r="E513" s="18" t="s">
        <v>538</v>
      </c>
    </row>
    <row r="514" spans="2:5" x14ac:dyDescent="0.2">
      <c r="B514" s="21" t="s">
        <v>18</v>
      </c>
      <c r="C514" s="22">
        <v>42954</v>
      </c>
      <c r="D514" s="21" t="s">
        <v>19</v>
      </c>
      <c r="E514" s="21" t="s">
        <v>757</v>
      </c>
    </row>
    <row r="515" spans="2:5" x14ac:dyDescent="0.2">
      <c r="B515" s="18" t="s">
        <v>21</v>
      </c>
      <c r="C515" s="19">
        <v>42923</v>
      </c>
      <c r="D515" s="18" t="s">
        <v>19</v>
      </c>
      <c r="E515" s="18" t="s">
        <v>758</v>
      </c>
    </row>
    <row r="516" spans="2:5" x14ac:dyDescent="0.2">
      <c r="B516" s="21" t="s">
        <v>24</v>
      </c>
      <c r="C516" s="22">
        <v>42893</v>
      </c>
      <c r="D516" s="21" t="s">
        <v>19</v>
      </c>
      <c r="E516" s="21" t="s">
        <v>193</v>
      </c>
    </row>
    <row r="517" spans="2:5" x14ac:dyDescent="0.2">
      <c r="B517" s="18" t="s">
        <v>27</v>
      </c>
      <c r="C517" s="19">
        <v>42862</v>
      </c>
      <c r="D517" s="18" t="s">
        <v>19</v>
      </c>
      <c r="E517" s="18" t="s">
        <v>759</v>
      </c>
    </row>
    <row r="518" spans="2:5" x14ac:dyDescent="0.2">
      <c r="B518" s="21" t="s">
        <v>30</v>
      </c>
      <c r="C518" s="22">
        <v>42832</v>
      </c>
      <c r="D518" s="21" t="s">
        <v>19</v>
      </c>
      <c r="E518" s="21" t="s">
        <v>760</v>
      </c>
    </row>
    <row r="519" spans="2:5" x14ac:dyDescent="0.2">
      <c r="B519" s="18" t="s">
        <v>33</v>
      </c>
      <c r="C519" s="19">
        <v>42801</v>
      </c>
      <c r="D519" s="18" t="s">
        <v>19</v>
      </c>
      <c r="E519" s="18" t="s">
        <v>761</v>
      </c>
    </row>
    <row r="520" spans="2:5" x14ac:dyDescent="0.2">
      <c r="B520" s="21" t="s">
        <v>36</v>
      </c>
      <c r="C520" s="22">
        <v>42773</v>
      </c>
      <c r="D520" s="21" t="s">
        <v>19</v>
      </c>
      <c r="E520" s="21" t="s">
        <v>762</v>
      </c>
    </row>
    <row r="521" spans="2:5" x14ac:dyDescent="0.2">
      <c r="B521" s="18" t="s">
        <v>18</v>
      </c>
      <c r="C521" s="19">
        <v>42742</v>
      </c>
      <c r="D521" s="18" t="s">
        <v>19</v>
      </c>
      <c r="E521" s="18" t="s">
        <v>763</v>
      </c>
    </row>
    <row r="522" spans="2:5" x14ac:dyDescent="0.2">
      <c r="B522" s="21" t="s">
        <v>21</v>
      </c>
      <c r="C522" s="21" t="s">
        <v>764</v>
      </c>
      <c r="D522" s="21" t="s">
        <v>19</v>
      </c>
      <c r="E522" s="21" t="s">
        <v>765</v>
      </c>
    </row>
    <row r="523" spans="2:5" x14ac:dyDescent="0.2">
      <c r="B523" s="18" t="s">
        <v>24</v>
      </c>
      <c r="C523" s="18" t="s">
        <v>766</v>
      </c>
      <c r="D523" s="18" t="s">
        <v>19</v>
      </c>
      <c r="E523" s="18" t="s">
        <v>767</v>
      </c>
    </row>
    <row r="524" spans="2:5" x14ac:dyDescent="0.2">
      <c r="B524" s="21" t="s">
        <v>27</v>
      </c>
      <c r="C524" s="21" t="s">
        <v>768</v>
      </c>
      <c r="D524" s="21" t="s">
        <v>19</v>
      </c>
      <c r="E524" s="21" t="s">
        <v>769</v>
      </c>
    </row>
    <row r="525" spans="2:5" x14ac:dyDescent="0.2">
      <c r="B525" s="18" t="s">
        <v>30</v>
      </c>
      <c r="C525" s="18" t="s">
        <v>770</v>
      </c>
      <c r="D525" s="18" t="s">
        <v>19</v>
      </c>
      <c r="E525" s="18" t="s">
        <v>771</v>
      </c>
    </row>
    <row r="526" spans="2:5" x14ac:dyDescent="0.2">
      <c r="B526" s="21" t="s">
        <v>33</v>
      </c>
      <c r="C526" s="21" t="s">
        <v>772</v>
      </c>
      <c r="D526" s="21" t="s">
        <v>19</v>
      </c>
      <c r="E526" s="21" t="s">
        <v>773</v>
      </c>
    </row>
    <row r="527" spans="2:5" x14ac:dyDescent="0.2">
      <c r="B527" s="18" t="s">
        <v>36</v>
      </c>
      <c r="C527" s="18" t="s">
        <v>774</v>
      </c>
      <c r="D527" s="18" t="s">
        <v>19</v>
      </c>
      <c r="E527" s="18" t="s">
        <v>775</v>
      </c>
    </row>
    <row r="528" spans="2:5" x14ac:dyDescent="0.2">
      <c r="B528" s="21" t="s">
        <v>18</v>
      </c>
      <c r="C528" s="21" t="s">
        <v>776</v>
      </c>
      <c r="D528" s="21" t="s">
        <v>19</v>
      </c>
      <c r="E528" s="21" t="s">
        <v>777</v>
      </c>
    </row>
    <row r="529" spans="2:5" x14ac:dyDescent="0.2">
      <c r="B529" s="18" t="s">
        <v>21</v>
      </c>
      <c r="C529" s="18" t="s">
        <v>778</v>
      </c>
      <c r="D529" s="18" t="s">
        <v>19</v>
      </c>
      <c r="E529" s="18" t="s">
        <v>779</v>
      </c>
    </row>
    <row r="530" spans="2:5" x14ac:dyDescent="0.2">
      <c r="B530" s="21" t="s">
        <v>24</v>
      </c>
      <c r="C530" s="21" t="s">
        <v>780</v>
      </c>
      <c r="D530" s="21" t="s">
        <v>19</v>
      </c>
      <c r="E530" s="21" t="s">
        <v>781</v>
      </c>
    </row>
    <row r="531" spans="2:5" x14ac:dyDescent="0.2">
      <c r="B531" s="18" t="s">
        <v>27</v>
      </c>
      <c r="C531" s="18" t="s">
        <v>782</v>
      </c>
      <c r="D531" s="18" t="s">
        <v>19</v>
      </c>
      <c r="E531" s="18" t="s">
        <v>783</v>
      </c>
    </row>
    <row r="532" spans="2:5" x14ac:dyDescent="0.2">
      <c r="B532" s="21" t="s">
        <v>30</v>
      </c>
      <c r="C532" s="21" t="s">
        <v>784</v>
      </c>
      <c r="D532" s="21" t="s">
        <v>19</v>
      </c>
      <c r="E532" s="21" t="s">
        <v>785</v>
      </c>
    </row>
    <row r="533" spans="2:5" x14ac:dyDescent="0.2">
      <c r="B533" s="18" t="s">
        <v>33</v>
      </c>
      <c r="C533" s="18" t="s">
        <v>786</v>
      </c>
      <c r="D533" s="18" t="s">
        <v>19</v>
      </c>
      <c r="E533" s="18" t="s">
        <v>787</v>
      </c>
    </row>
    <row r="534" spans="2:5" x14ac:dyDescent="0.2">
      <c r="B534" s="21" t="s">
        <v>36</v>
      </c>
      <c r="C534" s="21" t="s">
        <v>788</v>
      </c>
      <c r="D534" s="21" t="s">
        <v>19</v>
      </c>
      <c r="E534" s="21" t="s">
        <v>789</v>
      </c>
    </row>
    <row r="535" spans="2:5" x14ac:dyDescent="0.2">
      <c r="B535" s="18" t="s">
        <v>18</v>
      </c>
      <c r="C535" s="18" t="s">
        <v>790</v>
      </c>
      <c r="D535" s="18" t="s">
        <v>19</v>
      </c>
      <c r="E535" s="18" t="s">
        <v>791</v>
      </c>
    </row>
    <row r="536" spans="2:5" x14ac:dyDescent="0.2">
      <c r="B536" s="21" t="s">
        <v>21</v>
      </c>
      <c r="C536" s="21" t="s">
        <v>792</v>
      </c>
      <c r="D536" s="21" t="s">
        <v>19</v>
      </c>
      <c r="E536" s="21" t="s">
        <v>793</v>
      </c>
    </row>
    <row r="537" spans="2:5" x14ac:dyDescent="0.2">
      <c r="B537" s="18" t="s">
        <v>24</v>
      </c>
      <c r="C537" s="18" t="s">
        <v>794</v>
      </c>
      <c r="D537" s="18" t="s">
        <v>19</v>
      </c>
      <c r="E537" s="18" t="s">
        <v>795</v>
      </c>
    </row>
    <row r="538" spans="2:5" x14ac:dyDescent="0.2">
      <c r="B538" s="21" t="s">
        <v>27</v>
      </c>
      <c r="C538" s="21" t="s">
        <v>796</v>
      </c>
      <c r="D538" s="21" t="s">
        <v>19</v>
      </c>
      <c r="E538" s="21" t="s">
        <v>797</v>
      </c>
    </row>
    <row r="539" spans="2:5" x14ac:dyDescent="0.2">
      <c r="B539" s="18" t="s">
        <v>30</v>
      </c>
      <c r="C539" s="18" t="s">
        <v>798</v>
      </c>
      <c r="D539" s="18" t="s">
        <v>19</v>
      </c>
      <c r="E539" s="18" t="s">
        <v>799</v>
      </c>
    </row>
    <row r="540" spans="2:5" x14ac:dyDescent="0.2">
      <c r="B540" s="21" t="s">
        <v>33</v>
      </c>
      <c r="C540" s="22">
        <v>43075</v>
      </c>
      <c r="D540" s="21" t="s">
        <v>19</v>
      </c>
      <c r="E540" s="21" t="s">
        <v>800</v>
      </c>
    </row>
    <row r="541" spans="2:5" x14ac:dyDescent="0.2">
      <c r="B541" s="18" t="s">
        <v>36</v>
      </c>
      <c r="C541" s="19">
        <v>43045</v>
      </c>
      <c r="D541" s="18" t="s">
        <v>19</v>
      </c>
      <c r="E541" s="18" t="s">
        <v>801</v>
      </c>
    </row>
    <row r="542" spans="2:5" x14ac:dyDescent="0.2">
      <c r="B542" s="21" t="s">
        <v>18</v>
      </c>
      <c r="C542" s="22">
        <v>43014</v>
      </c>
      <c r="D542" s="21" t="s">
        <v>19</v>
      </c>
      <c r="E542" s="21" t="s">
        <v>802</v>
      </c>
    </row>
    <row r="543" spans="2:5" x14ac:dyDescent="0.2">
      <c r="B543" s="18" t="s">
        <v>21</v>
      </c>
      <c r="C543" s="19">
        <v>42984</v>
      </c>
      <c r="D543" s="18" t="s">
        <v>19</v>
      </c>
      <c r="E543" s="18" t="s">
        <v>773</v>
      </c>
    </row>
    <row r="544" spans="2:5" x14ac:dyDescent="0.2">
      <c r="B544" s="21" t="s">
        <v>24</v>
      </c>
      <c r="C544" s="22">
        <v>42953</v>
      </c>
      <c r="D544" s="21" t="s">
        <v>19</v>
      </c>
      <c r="E544" s="21" t="s">
        <v>803</v>
      </c>
    </row>
    <row r="545" spans="2:5" x14ac:dyDescent="0.2">
      <c r="B545" s="18" t="s">
        <v>27</v>
      </c>
      <c r="C545" s="19">
        <v>42922</v>
      </c>
      <c r="D545" s="18" t="s">
        <v>19</v>
      </c>
      <c r="E545" s="18" t="s">
        <v>804</v>
      </c>
    </row>
    <row r="546" spans="2:5" x14ac:dyDescent="0.2">
      <c r="B546" s="21" t="s">
        <v>30</v>
      </c>
      <c r="C546" s="22">
        <v>42892</v>
      </c>
      <c r="D546" s="21" t="s">
        <v>19</v>
      </c>
      <c r="E546" s="21" t="s">
        <v>805</v>
      </c>
    </row>
    <row r="547" spans="2:5" x14ac:dyDescent="0.2">
      <c r="B547" s="18" t="s">
        <v>33</v>
      </c>
      <c r="C547" s="19">
        <v>42861</v>
      </c>
      <c r="D547" s="18" t="s">
        <v>19</v>
      </c>
      <c r="E547" s="18" t="s">
        <v>806</v>
      </c>
    </row>
    <row r="548" spans="2:5" x14ac:dyDescent="0.2">
      <c r="B548" s="21" t="s">
        <v>36</v>
      </c>
      <c r="C548" s="22">
        <v>42831</v>
      </c>
      <c r="D548" s="21" t="s">
        <v>19</v>
      </c>
      <c r="E548" s="21" t="s">
        <v>807</v>
      </c>
    </row>
    <row r="549" spans="2:5" x14ac:dyDescent="0.2">
      <c r="B549" s="18" t="s">
        <v>18</v>
      </c>
      <c r="C549" s="19">
        <v>42800</v>
      </c>
      <c r="D549" s="18" t="s">
        <v>19</v>
      </c>
      <c r="E549" s="18" t="s">
        <v>808</v>
      </c>
    </row>
    <row r="550" spans="2:5" x14ac:dyDescent="0.2">
      <c r="B550" s="21" t="s">
        <v>21</v>
      </c>
      <c r="C550" s="22">
        <v>42772</v>
      </c>
      <c r="D550" s="21" t="s">
        <v>19</v>
      </c>
      <c r="E550" s="21" t="s">
        <v>809</v>
      </c>
    </row>
    <row r="551" spans="2:5" x14ac:dyDescent="0.2">
      <c r="B551" s="18" t="s">
        <v>24</v>
      </c>
      <c r="C551" s="19">
        <v>42741</v>
      </c>
      <c r="D551" s="18" t="s">
        <v>19</v>
      </c>
      <c r="E551" s="18" t="s">
        <v>810</v>
      </c>
    </row>
    <row r="552" spans="2:5" x14ac:dyDescent="0.2">
      <c r="B552" s="21" t="s">
        <v>27</v>
      </c>
      <c r="C552" s="21" t="s">
        <v>811</v>
      </c>
      <c r="D552" s="21" t="s">
        <v>19</v>
      </c>
      <c r="E552" s="21" t="s">
        <v>812</v>
      </c>
    </row>
    <row r="553" spans="2:5" x14ac:dyDescent="0.2">
      <c r="B553" s="18" t="s">
        <v>30</v>
      </c>
      <c r="C553" s="18" t="s">
        <v>813</v>
      </c>
      <c r="D553" s="18" t="s">
        <v>19</v>
      </c>
      <c r="E553" s="18" t="s">
        <v>814</v>
      </c>
    </row>
    <row r="554" spans="2:5" x14ac:dyDescent="0.2">
      <c r="B554" s="21" t="s">
        <v>33</v>
      </c>
      <c r="C554" s="21" t="s">
        <v>815</v>
      </c>
      <c r="D554" s="21" t="s">
        <v>19</v>
      </c>
      <c r="E554" s="21" t="s">
        <v>816</v>
      </c>
    </row>
    <row r="555" spans="2:5" x14ac:dyDescent="0.2">
      <c r="B555" s="18" t="s">
        <v>36</v>
      </c>
      <c r="C555" s="18" t="s">
        <v>817</v>
      </c>
      <c r="D555" s="18" t="s">
        <v>19</v>
      </c>
      <c r="E555" s="18" t="s">
        <v>800</v>
      </c>
    </row>
    <row r="556" spans="2:5" x14ac:dyDescent="0.2">
      <c r="B556" s="21" t="s">
        <v>18</v>
      </c>
      <c r="C556" s="21" t="s">
        <v>818</v>
      </c>
      <c r="D556" s="21" t="s">
        <v>19</v>
      </c>
      <c r="E556" s="21" t="s">
        <v>819</v>
      </c>
    </row>
    <row r="557" spans="2:5" x14ac:dyDescent="0.2">
      <c r="B557" s="18" t="s">
        <v>21</v>
      </c>
      <c r="C557" s="18" t="s">
        <v>820</v>
      </c>
      <c r="D557" s="18" t="s">
        <v>19</v>
      </c>
      <c r="E557" s="18" t="s">
        <v>821</v>
      </c>
    </row>
    <row r="558" spans="2:5" x14ac:dyDescent="0.2">
      <c r="B558" s="21" t="s">
        <v>24</v>
      </c>
      <c r="C558" s="21" t="s">
        <v>822</v>
      </c>
      <c r="D558" s="21" t="s">
        <v>19</v>
      </c>
      <c r="E558" s="21" t="s">
        <v>823</v>
      </c>
    </row>
    <row r="559" spans="2:5" x14ac:dyDescent="0.2">
      <c r="B559" s="18" t="s">
        <v>27</v>
      </c>
      <c r="C559" s="18" t="s">
        <v>824</v>
      </c>
      <c r="D559" s="18" t="s">
        <v>19</v>
      </c>
      <c r="E559" s="18" t="s">
        <v>825</v>
      </c>
    </row>
    <row r="560" spans="2:5" x14ac:dyDescent="0.2">
      <c r="B560" s="21" t="s">
        <v>30</v>
      </c>
      <c r="C560" s="21" t="s">
        <v>826</v>
      </c>
      <c r="D560" s="21" t="s">
        <v>19</v>
      </c>
      <c r="E560" s="21" t="s">
        <v>827</v>
      </c>
    </row>
    <row r="561" spans="2:5" x14ac:dyDescent="0.2">
      <c r="B561" s="18" t="s">
        <v>33</v>
      </c>
      <c r="C561" s="18" t="s">
        <v>828</v>
      </c>
      <c r="D561" s="18" t="s">
        <v>19</v>
      </c>
      <c r="E561" s="18" t="s">
        <v>829</v>
      </c>
    </row>
    <row r="562" spans="2:5" x14ac:dyDescent="0.2">
      <c r="B562" s="21" t="s">
        <v>36</v>
      </c>
      <c r="C562" s="21" t="s">
        <v>830</v>
      </c>
      <c r="D562" s="21" t="s">
        <v>19</v>
      </c>
      <c r="E562" s="21" t="s">
        <v>831</v>
      </c>
    </row>
    <row r="563" spans="2:5" x14ac:dyDescent="0.2">
      <c r="B563" s="18" t="s">
        <v>18</v>
      </c>
      <c r="C563" s="18" t="s">
        <v>832</v>
      </c>
      <c r="D563" s="18" t="s">
        <v>19</v>
      </c>
      <c r="E563" s="18" t="s">
        <v>833</v>
      </c>
    </row>
    <row r="564" spans="2:5" x14ac:dyDescent="0.2">
      <c r="B564" s="21" t="s">
        <v>21</v>
      </c>
      <c r="C564" s="21" t="s">
        <v>834</v>
      </c>
      <c r="D564" s="21" t="s">
        <v>19</v>
      </c>
      <c r="E564" s="21" t="s">
        <v>835</v>
      </c>
    </row>
    <row r="565" spans="2:5" x14ac:dyDescent="0.2">
      <c r="B565" s="18" t="s">
        <v>24</v>
      </c>
      <c r="C565" s="18" t="s">
        <v>836</v>
      </c>
      <c r="D565" s="18" t="s">
        <v>19</v>
      </c>
      <c r="E565" s="18" t="s">
        <v>837</v>
      </c>
    </row>
    <row r="566" spans="2:5" x14ac:dyDescent="0.2">
      <c r="B566" s="21" t="s">
        <v>27</v>
      </c>
      <c r="C566" s="21" t="s">
        <v>838</v>
      </c>
      <c r="D566" s="21" t="s">
        <v>19</v>
      </c>
      <c r="E566" s="21" t="s">
        <v>839</v>
      </c>
    </row>
    <row r="567" spans="2:5" x14ac:dyDescent="0.2">
      <c r="B567" s="18" t="s">
        <v>30</v>
      </c>
      <c r="C567" s="18" t="s">
        <v>840</v>
      </c>
      <c r="D567" s="18" t="s">
        <v>19</v>
      </c>
      <c r="E567" s="18" t="s">
        <v>841</v>
      </c>
    </row>
    <row r="568" spans="2:5" x14ac:dyDescent="0.2">
      <c r="B568" s="21" t="s">
        <v>33</v>
      </c>
      <c r="C568" s="21" t="s">
        <v>842</v>
      </c>
      <c r="D568" s="21" t="s">
        <v>19</v>
      </c>
      <c r="E568" s="21" t="s">
        <v>843</v>
      </c>
    </row>
    <row r="569" spans="2:5" x14ac:dyDescent="0.2">
      <c r="B569" s="18" t="s">
        <v>36</v>
      </c>
      <c r="C569" s="18" t="s">
        <v>844</v>
      </c>
      <c r="D569" s="18" t="s">
        <v>19</v>
      </c>
      <c r="E569" s="18" t="s">
        <v>845</v>
      </c>
    </row>
    <row r="570" spans="2:5" x14ac:dyDescent="0.2">
      <c r="B570" s="21" t="s">
        <v>18</v>
      </c>
      <c r="C570" s="21" t="s">
        <v>846</v>
      </c>
      <c r="D570" s="21" t="s">
        <v>19</v>
      </c>
      <c r="E570" s="21" t="s">
        <v>847</v>
      </c>
    </row>
    <row r="571" spans="2:5" x14ac:dyDescent="0.2">
      <c r="B571" s="18" t="s">
        <v>21</v>
      </c>
      <c r="C571" s="19">
        <v>43074</v>
      </c>
      <c r="D571" s="18" t="s">
        <v>19</v>
      </c>
      <c r="E571" s="18" t="s">
        <v>847</v>
      </c>
    </row>
    <row r="572" spans="2:5" x14ac:dyDescent="0.2">
      <c r="B572" s="21" t="s">
        <v>24</v>
      </c>
      <c r="C572" s="22">
        <v>43044</v>
      </c>
      <c r="D572" s="21" t="s">
        <v>19</v>
      </c>
      <c r="E572" s="21" t="s">
        <v>848</v>
      </c>
    </row>
    <row r="573" spans="2:5" x14ac:dyDescent="0.2">
      <c r="B573" s="18" t="s">
        <v>27</v>
      </c>
      <c r="C573" s="19">
        <v>43013</v>
      </c>
      <c r="D573" s="18" t="s">
        <v>19</v>
      </c>
      <c r="E573" s="18" t="s">
        <v>849</v>
      </c>
    </row>
    <row r="574" spans="2:5" x14ac:dyDescent="0.2">
      <c r="B574" s="21" t="s">
        <v>30</v>
      </c>
      <c r="C574" s="22">
        <v>42983</v>
      </c>
      <c r="D574" s="21" t="s">
        <v>19</v>
      </c>
      <c r="E574" s="21" t="s">
        <v>850</v>
      </c>
    </row>
    <row r="575" spans="2:5" x14ac:dyDescent="0.2">
      <c r="B575" s="18" t="s">
        <v>33</v>
      </c>
      <c r="C575" s="19">
        <v>42952</v>
      </c>
      <c r="D575" s="18" t="s">
        <v>19</v>
      </c>
      <c r="E575" s="18" t="s">
        <v>816</v>
      </c>
    </row>
    <row r="576" spans="2:5" x14ac:dyDescent="0.2">
      <c r="B576" s="21" t="s">
        <v>36</v>
      </c>
      <c r="C576" s="22">
        <v>42921</v>
      </c>
      <c r="D576" s="21" t="s">
        <v>19</v>
      </c>
      <c r="E576" s="21" t="s">
        <v>851</v>
      </c>
    </row>
    <row r="577" spans="2:5" x14ac:dyDescent="0.2">
      <c r="B577" s="18" t="s">
        <v>18</v>
      </c>
      <c r="C577" s="19">
        <v>42891</v>
      </c>
      <c r="D577" s="18" t="s">
        <v>19</v>
      </c>
      <c r="E577" s="18" t="s">
        <v>852</v>
      </c>
    </row>
    <row r="578" spans="2:5" x14ac:dyDescent="0.2">
      <c r="B578" s="21" t="s">
        <v>21</v>
      </c>
      <c r="C578" s="22">
        <v>42860</v>
      </c>
      <c r="D578" s="21" t="s">
        <v>19</v>
      </c>
      <c r="E578" s="21" t="s">
        <v>852</v>
      </c>
    </row>
    <row r="579" spans="2:5" x14ac:dyDescent="0.2">
      <c r="B579" s="18" t="s">
        <v>24</v>
      </c>
      <c r="C579" s="19">
        <v>42830</v>
      </c>
      <c r="D579" s="18" t="s">
        <v>19</v>
      </c>
      <c r="E579" s="18" t="s">
        <v>853</v>
      </c>
    </row>
    <row r="580" spans="2:5" x14ac:dyDescent="0.2">
      <c r="B580" s="21" t="s">
        <v>27</v>
      </c>
      <c r="C580" s="22">
        <v>42799</v>
      </c>
      <c r="D580" s="21" t="s">
        <v>19</v>
      </c>
      <c r="E580" s="21" t="s">
        <v>854</v>
      </c>
    </row>
    <row r="581" spans="2:5" x14ac:dyDescent="0.2">
      <c r="B581" s="18" t="s">
        <v>30</v>
      </c>
      <c r="C581" s="19">
        <v>42771</v>
      </c>
      <c r="D581" s="18" t="s">
        <v>19</v>
      </c>
      <c r="E581" s="18" t="s">
        <v>855</v>
      </c>
    </row>
    <row r="582" spans="2:5" x14ac:dyDescent="0.2">
      <c r="B582" s="21" t="s">
        <v>33</v>
      </c>
      <c r="C582" s="22">
        <v>42740</v>
      </c>
      <c r="D582" s="21" t="s">
        <v>19</v>
      </c>
      <c r="E582" s="21" t="s">
        <v>856</v>
      </c>
    </row>
    <row r="583" spans="2:5" x14ac:dyDescent="0.2">
      <c r="B583" s="18" t="s">
        <v>36</v>
      </c>
      <c r="C583" s="18" t="s">
        <v>857</v>
      </c>
      <c r="D583" s="18" t="s">
        <v>19</v>
      </c>
      <c r="E583" s="18" t="s">
        <v>858</v>
      </c>
    </row>
    <row r="584" spans="2:5" x14ac:dyDescent="0.2">
      <c r="B584" s="21" t="s">
        <v>18</v>
      </c>
      <c r="C584" s="21" t="s">
        <v>859</v>
      </c>
      <c r="D584" s="21" t="s">
        <v>19</v>
      </c>
      <c r="E584" s="21" t="s">
        <v>860</v>
      </c>
    </row>
    <row r="585" spans="2:5" x14ac:dyDescent="0.2">
      <c r="B585" s="18" t="s">
        <v>21</v>
      </c>
      <c r="C585" s="18" t="s">
        <v>861</v>
      </c>
      <c r="D585" s="18" t="s">
        <v>19</v>
      </c>
      <c r="E585" s="18" t="s">
        <v>862</v>
      </c>
    </row>
    <row r="586" spans="2:5" x14ac:dyDescent="0.2">
      <c r="B586" s="21" t="s">
        <v>24</v>
      </c>
      <c r="C586" s="21" t="s">
        <v>863</v>
      </c>
      <c r="D586" s="21" t="s">
        <v>19</v>
      </c>
      <c r="E586" s="21" t="s">
        <v>864</v>
      </c>
    </row>
    <row r="587" spans="2:5" x14ac:dyDescent="0.2">
      <c r="B587" s="18" t="s">
        <v>27</v>
      </c>
      <c r="C587" s="18" t="s">
        <v>865</v>
      </c>
      <c r="D587" s="18" t="s">
        <v>19</v>
      </c>
      <c r="E587" s="18" t="s">
        <v>866</v>
      </c>
    </row>
    <row r="588" spans="2:5" x14ac:dyDescent="0.2">
      <c r="B588" s="21" t="s">
        <v>30</v>
      </c>
      <c r="C588" s="21" t="s">
        <v>867</v>
      </c>
      <c r="D588" s="21" t="s">
        <v>19</v>
      </c>
      <c r="E588" s="21" t="s">
        <v>868</v>
      </c>
    </row>
    <row r="589" spans="2:5" x14ac:dyDescent="0.2">
      <c r="B589" s="18" t="s">
        <v>33</v>
      </c>
      <c r="C589" s="18" t="s">
        <v>869</v>
      </c>
      <c r="D589" s="18" t="s">
        <v>19</v>
      </c>
      <c r="E589" s="18" t="s">
        <v>870</v>
      </c>
    </row>
    <row r="590" spans="2:5" x14ac:dyDescent="0.2">
      <c r="B590" s="21" t="s">
        <v>36</v>
      </c>
      <c r="C590" s="21" t="s">
        <v>871</v>
      </c>
      <c r="D590" s="21" t="s">
        <v>19</v>
      </c>
      <c r="E590" s="21" t="s">
        <v>872</v>
      </c>
    </row>
    <row r="591" spans="2:5" x14ac:dyDescent="0.2">
      <c r="B591" s="18" t="s">
        <v>18</v>
      </c>
      <c r="C591" s="18" t="s">
        <v>873</v>
      </c>
      <c r="D591" s="18" t="s">
        <v>19</v>
      </c>
      <c r="E591" s="18" t="s">
        <v>874</v>
      </c>
    </row>
    <row r="592" spans="2:5" x14ac:dyDescent="0.2">
      <c r="B592" s="21" t="s">
        <v>21</v>
      </c>
      <c r="C592" s="21" t="s">
        <v>875</v>
      </c>
      <c r="D592" s="21" t="s">
        <v>19</v>
      </c>
      <c r="E592" s="21" t="s">
        <v>874</v>
      </c>
    </row>
    <row r="593" spans="2:5" x14ac:dyDescent="0.2">
      <c r="B593" s="18" t="s">
        <v>24</v>
      </c>
      <c r="C593" s="18" t="s">
        <v>876</v>
      </c>
      <c r="D593" s="18" t="s">
        <v>19</v>
      </c>
      <c r="E593" s="18" t="s">
        <v>877</v>
      </c>
    </row>
    <row r="594" spans="2:5" x14ac:dyDescent="0.2">
      <c r="B594" s="21" t="s">
        <v>27</v>
      </c>
      <c r="C594" s="21" t="s">
        <v>878</v>
      </c>
      <c r="D594" s="21" t="s">
        <v>19</v>
      </c>
      <c r="E594" s="21" t="s">
        <v>879</v>
      </c>
    </row>
    <row r="595" spans="2:5" x14ac:dyDescent="0.2">
      <c r="B595" s="18" t="s">
        <v>30</v>
      </c>
      <c r="C595" s="18" t="s">
        <v>880</v>
      </c>
      <c r="D595" s="18" t="s">
        <v>19</v>
      </c>
      <c r="E595" s="18" t="s">
        <v>881</v>
      </c>
    </row>
    <row r="596" spans="2:5" x14ac:dyDescent="0.2">
      <c r="B596" s="21" t="s">
        <v>33</v>
      </c>
      <c r="C596" s="21" t="s">
        <v>882</v>
      </c>
      <c r="D596" s="21" t="s">
        <v>19</v>
      </c>
      <c r="E596" s="21" t="s">
        <v>883</v>
      </c>
    </row>
    <row r="597" spans="2:5" x14ac:dyDescent="0.2">
      <c r="B597" s="18" t="s">
        <v>36</v>
      </c>
      <c r="C597" s="18" t="s">
        <v>884</v>
      </c>
      <c r="D597" s="18" t="s">
        <v>19</v>
      </c>
      <c r="E597" s="18" t="s">
        <v>885</v>
      </c>
    </row>
    <row r="598" spans="2:5" x14ac:dyDescent="0.2">
      <c r="B598" s="21" t="s">
        <v>18</v>
      </c>
      <c r="C598" s="21" t="s">
        <v>886</v>
      </c>
      <c r="D598" s="21" t="s">
        <v>19</v>
      </c>
      <c r="E598" s="21" t="s">
        <v>887</v>
      </c>
    </row>
    <row r="599" spans="2:5" x14ac:dyDescent="0.2">
      <c r="B599" s="18" t="s">
        <v>21</v>
      </c>
      <c r="C599" s="18" t="s">
        <v>888</v>
      </c>
      <c r="D599" s="18" t="s">
        <v>19</v>
      </c>
      <c r="E599" s="18" t="s">
        <v>889</v>
      </c>
    </row>
    <row r="600" spans="2:5" x14ac:dyDescent="0.2">
      <c r="B600" s="21" t="s">
        <v>24</v>
      </c>
      <c r="C600" s="21" t="s">
        <v>890</v>
      </c>
      <c r="D600" s="21" t="s">
        <v>19</v>
      </c>
      <c r="E600" s="21" t="s">
        <v>891</v>
      </c>
    </row>
    <row r="601" spans="2:5" x14ac:dyDescent="0.2">
      <c r="B601" s="18" t="s">
        <v>27</v>
      </c>
      <c r="C601" s="19">
        <v>43073</v>
      </c>
      <c r="D601" s="18" t="s">
        <v>19</v>
      </c>
      <c r="E601" s="18" t="s">
        <v>892</v>
      </c>
    </row>
    <row r="602" spans="2:5" x14ac:dyDescent="0.2">
      <c r="B602" s="21" t="s">
        <v>30</v>
      </c>
      <c r="C602" s="22">
        <v>43043</v>
      </c>
      <c r="D602" s="21" t="s">
        <v>19</v>
      </c>
      <c r="E602" s="21" t="s">
        <v>893</v>
      </c>
    </row>
    <row r="603" spans="2:5" x14ac:dyDescent="0.2">
      <c r="B603" s="18" t="s">
        <v>33</v>
      </c>
      <c r="C603" s="19">
        <v>43012</v>
      </c>
      <c r="D603" s="18" t="s">
        <v>19</v>
      </c>
      <c r="E603" s="18" t="s">
        <v>894</v>
      </c>
    </row>
    <row r="604" spans="2:5" x14ac:dyDescent="0.2">
      <c r="B604" s="21" t="s">
        <v>36</v>
      </c>
      <c r="C604" s="22">
        <v>42982</v>
      </c>
      <c r="D604" s="21" t="s">
        <v>19</v>
      </c>
      <c r="E604" s="21" t="s">
        <v>895</v>
      </c>
    </row>
    <row r="605" spans="2:5" x14ac:dyDescent="0.2">
      <c r="B605" s="18" t="s">
        <v>18</v>
      </c>
      <c r="C605" s="19">
        <v>42951</v>
      </c>
      <c r="D605" s="18" t="s">
        <v>19</v>
      </c>
      <c r="E605" s="18" t="s">
        <v>896</v>
      </c>
    </row>
    <row r="606" spans="2:5" x14ac:dyDescent="0.2">
      <c r="B606" s="21" t="s">
        <v>21</v>
      </c>
      <c r="C606" s="22">
        <v>42920</v>
      </c>
      <c r="D606" s="21" t="s">
        <v>19</v>
      </c>
      <c r="E606" s="21" t="s">
        <v>897</v>
      </c>
    </row>
    <row r="607" spans="2:5" x14ac:dyDescent="0.2">
      <c r="B607" s="18" t="s">
        <v>24</v>
      </c>
      <c r="C607" s="19">
        <v>42890</v>
      </c>
      <c r="D607" s="18" t="s">
        <v>19</v>
      </c>
      <c r="E607" s="18" t="s">
        <v>898</v>
      </c>
    </row>
    <row r="608" spans="2:5" x14ac:dyDescent="0.2">
      <c r="B608" s="21" t="s">
        <v>27</v>
      </c>
      <c r="C608" s="22">
        <v>42859</v>
      </c>
      <c r="D608" s="21" t="s">
        <v>19</v>
      </c>
      <c r="E608" s="21" t="s">
        <v>899</v>
      </c>
    </row>
    <row r="609" spans="2:5" x14ac:dyDescent="0.2">
      <c r="B609" s="18" t="s">
        <v>30</v>
      </c>
      <c r="C609" s="19">
        <v>42829</v>
      </c>
      <c r="D609" s="18" t="s">
        <v>19</v>
      </c>
      <c r="E609" s="18" t="s">
        <v>900</v>
      </c>
    </row>
    <row r="610" spans="2:5" x14ac:dyDescent="0.2">
      <c r="B610" s="21" t="s">
        <v>33</v>
      </c>
      <c r="C610" s="22">
        <v>42798</v>
      </c>
      <c r="D610" s="21" t="s">
        <v>19</v>
      </c>
      <c r="E610" s="21" t="s">
        <v>901</v>
      </c>
    </row>
    <row r="611" spans="2:5" x14ac:dyDescent="0.2">
      <c r="B611" s="18" t="s">
        <v>36</v>
      </c>
      <c r="C611" s="19">
        <v>42770</v>
      </c>
      <c r="D611" s="18" t="s">
        <v>19</v>
      </c>
      <c r="E611" s="18" t="s">
        <v>902</v>
      </c>
    </row>
    <row r="612" spans="2:5" x14ac:dyDescent="0.2">
      <c r="B612" s="21" t="s">
        <v>18</v>
      </c>
      <c r="C612" s="22">
        <v>42739</v>
      </c>
      <c r="D612" s="21" t="s">
        <v>19</v>
      </c>
      <c r="E612" s="21" t="s">
        <v>903</v>
      </c>
    </row>
    <row r="613" spans="2:5" x14ac:dyDescent="0.2">
      <c r="B613" s="18" t="s">
        <v>21</v>
      </c>
      <c r="C613" s="18" t="s">
        <v>904</v>
      </c>
      <c r="D613" s="18" t="s">
        <v>19</v>
      </c>
      <c r="E613" s="18" t="s">
        <v>903</v>
      </c>
    </row>
    <row r="614" spans="2:5" x14ac:dyDescent="0.2">
      <c r="B614" s="21" t="s">
        <v>24</v>
      </c>
      <c r="C614" s="21" t="s">
        <v>905</v>
      </c>
      <c r="D614" s="21" t="s">
        <v>19</v>
      </c>
      <c r="E614" s="21" t="s">
        <v>906</v>
      </c>
    </row>
    <row r="615" spans="2:5" x14ac:dyDescent="0.2">
      <c r="B615" s="18" t="s">
        <v>27</v>
      </c>
      <c r="C615" s="18" t="s">
        <v>907</v>
      </c>
      <c r="D615" s="18" t="s">
        <v>19</v>
      </c>
      <c r="E615" s="18" t="s">
        <v>908</v>
      </c>
    </row>
    <row r="616" spans="2:5" x14ac:dyDescent="0.2">
      <c r="B616" s="21" t="s">
        <v>30</v>
      </c>
      <c r="C616" s="21" t="s">
        <v>909</v>
      </c>
      <c r="D616" s="21" t="s">
        <v>19</v>
      </c>
      <c r="E616" s="21" t="s">
        <v>910</v>
      </c>
    </row>
    <row r="617" spans="2:5" x14ac:dyDescent="0.2">
      <c r="B617" s="18" t="s">
        <v>33</v>
      </c>
      <c r="C617" s="18" t="s">
        <v>911</v>
      </c>
      <c r="D617" s="18" t="s">
        <v>19</v>
      </c>
      <c r="E617" s="18" t="s">
        <v>912</v>
      </c>
    </row>
    <row r="618" spans="2:5" x14ac:dyDescent="0.2">
      <c r="B618" s="21" t="s">
        <v>36</v>
      </c>
      <c r="C618" s="21" t="s">
        <v>913</v>
      </c>
      <c r="D618" s="21" t="s">
        <v>19</v>
      </c>
      <c r="E618" s="21" t="s">
        <v>914</v>
      </c>
    </row>
    <row r="619" spans="2:5" x14ac:dyDescent="0.2">
      <c r="B619" s="18" t="s">
        <v>18</v>
      </c>
      <c r="C619" s="18" t="s">
        <v>915</v>
      </c>
      <c r="D619" s="18" t="s">
        <v>19</v>
      </c>
      <c r="E619" s="18" t="s">
        <v>916</v>
      </c>
    </row>
    <row r="620" spans="2:5" x14ac:dyDescent="0.2">
      <c r="B620" s="21" t="s">
        <v>21</v>
      </c>
      <c r="C620" s="21" t="s">
        <v>917</v>
      </c>
      <c r="D620" s="21" t="s">
        <v>19</v>
      </c>
      <c r="E620" s="21" t="s">
        <v>918</v>
      </c>
    </row>
    <row r="621" spans="2:5" x14ac:dyDescent="0.2">
      <c r="B621" s="18" t="s">
        <v>24</v>
      </c>
      <c r="C621" s="18" t="s">
        <v>919</v>
      </c>
      <c r="D621" s="18" t="s">
        <v>19</v>
      </c>
      <c r="E621" s="18" t="s">
        <v>920</v>
      </c>
    </row>
    <row r="622" spans="2:5" x14ac:dyDescent="0.2">
      <c r="B622" s="21" t="s">
        <v>27</v>
      </c>
      <c r="C622" s="21" t="s">
        <v>921</v>
      </c>
      <c r="D622" s="21" t="s">
        <v>19</v>
      </c>
      <c r="E622" s="21" t="s">
        <v>922</v>
      </c>
    </row>
    <row r="623" spans="2:5" x14ac:dyDescent="0.2">
      <c r="B623" s="18" t="s">
        <v>30</v>
      </c>
      <c r="C623" s="18" t="s">
        <v>923</v>
      </c>
      <c r="D623" s="18" t="s">
        <v>19</v>
      </c>
      <c r="E623" s="18" t="s">
        <v>924</v>
      </c>
    </row>
    <row r="624" spans="2:5" x14ac:dyDescent="0.2">
      <c r="B624" s="21" t="s">
        <v>33</v>
      </c>
      <c r="C624" s="21" t="s">
        <v>925</v>
      </c>
      <c r="D624" s="21" t="s">
        <v>19</v>
      </c>
      <c r="E624" s="21" t="s">
        <v>926</v>
      </c>
    </row>
    <row r="625" spans="2:5" x14ac:dyDescent="0.2">
      <c r="B625" s="18" t="s">
        <v>36</v>
      </c>
      <c r="C625" s="18" t="s">
        <v>927</v>
      </c>
      <c r="D625" s="18" t="s">
        <v>19</v>
      </c>
      <c r="E625" s="18" t="s">
        <v>928</v>
      </c>
    </row>
    <row r="626" spans="2:5" x14ac:dyDescent="0.2">
      <c r="B626" s="21" t="s">
        <v>18</v>
      </c>
      <c r="C626" s="21" t="s">
        <v>929</v>
      </c>
      <c r="D626" s="21" t="s">
        <v>19</v>
      </c>
      <c r="E626" s="21" t="s">
        <v>930</v>
      </c>
    </row>
    <row r="627" spans="2:5" x14ac:dyDescent="0.2">
      <c r="B627" s="18" t="s">
        <v>21</v>
      </c>
      <c r="C627" s="18" t="s">
        <v>931</v>
      </c>
      <c r="D627" s="18" t="s">
        <v>19</v>
      </c>
      <c r="E627" s="18" t="s">
        <v>932</v>
      </c>
    </row>
    <row r="628" spans="2:5" x14ac:dyDescent="0.2">
      <c r="B628" s="21" t="s">
        <v>24</v>
      </c>
      <c r="C628" s="21" t="s">
        <v>933</v>
      </c>
      <c r="D628" s="21" t="s">
        <v>19</v>
      </c>
      <c r="E628" s="21" t="s">
        <v>934</v>
      </c>
    </row>
    <row r="629" spans="2:5" x14ac:dyDescent="0.2">
      <c r="B629" s="18" t="s">
        <v>27</v>
      </c>
      <c r="C629" s="18" t="s">
        <v>935</v>
      </c>
      <c r="D629" s="18" t="s">
        <v>19</v>
      </c>
      <c r="E629" s="18" t="s">
        <v>936</v>
      </c>
    </row>
    <row r="630" spans="2:5" x14ac:dyDescent="0.2">
      <c r="B630" s="21" t="s">
        <v>30</v>
      </c>
      <c r="C630" s="21" t="s">
        <v>937</v>
      </c>
      <c r="D630" s="21" t="s">
        <v>19</v>
      </c>
      <c r="E630" s="21" t="s">
        <v>938</v>
      </c>
    </row>
    <row r="631" spans="2:5" x14ac:dyDescent="0.2">
      <c r="B631" s="18" t="s">
        <v>33</v>
      </c>
      <c r="C631" s="18" t="s">
        <v>939</v>
      </c>
      <c r="D631" s="18" t="s">
        <v>19</v>
      </c>
      <c r="E631" s="18" t="s">
        <v>940</v>
      </c>
    </row>
    <row r="632" spans="2:5" x14ac:dyDescent="0.2">
      <c r="B632" s="21" t="s">
        <v>36</v>
      </c>
      <c r="C632" s="22">
        <v>43072</v>
      </c>
      <c r="D632" s="21" t="s">
        <v>19</v>
      </c>
      <c r="E632" s="21" t="s">
        <v>941</v>
      </c>
    </row>
    <row r="633" spans="2:5" x14ac:dyDescent="0.2">
      <c r="B633" s="18" t="s">
        <v>18</v>
      </c>
      <c r="C633" s="19">
        <v>43042</v>
      </c>
      <c r="D633" s="18" t="s">
        <v>19</v>
      </c>
      <c r="E633" s="18" t="s">
        <v>942</v>
      </c>
    </row>
    <row r="634" spans="2:5" x14ac:dyDescent="0.2">
      <c r="B634" s="21" t="s">
        <v>21</v>
      </c>
      <c r="C634" s="22">
        <v>43011</v>
      </c>
      <c r="D634" s="21" t="s">
        <v>19</v>
      </c>
      <c r="E634" s="21" t="s">
        <v>943</v>
      </c>
    </row>
    <row r="635" spans="2:5" x14ac:dyDescent="0.2">
      <c r="B635" s="18" t="s">
        <v>24</v>
      </c>
      <c r="C635" s="19">
        <v>42981</v>
      </c>
      <c r="D635" s="18" t="s">
        <v>19</v>
      </c>
      <c r="E635" s="18" t="s">
        <v>944</v>
      </c>
    </row>
    <row r="636" spans="2:5" x14ac:dyDescent="0.2">
      <c r="B636" s="21" t="s">
        <v>27</v>
      </c>
      <c r="C636" s="22">
        <v>42950</v>
      </c>
      <c r="D636" s="21" t="s">
        <v>19</v>
      </c>
      <c r="E636" s="21" t="s">
        <v>945</v>
      </c>
    </row>
    <row r="637" spans="2:5" x14ac:dyDescent="0.2">
      <c r="B637" s="18" t="s">
        <v>30</v>
      </c>
      <c r="C637" s="19">
        <v>42919</v>
      </c>
      <c r="D637" s="18" t="s">
        <v>19</v>
      </c>
      <c r="E637" s="18" t="s">
        <v>946</v>
      </c>
    </row>
    <row r="638" spans="2:5" x14ac:dyDescent="0.2">
      <c r="B638" s="21" t="s">
        <v>33</v>
      </c>
      <c r="C638" s="22">
        <v>42889</v>
      </c>
      <c r="D638" s="21" t="s">
        <v>19</v>
      </c>
      <c r="E638" s="21" t="s">
        <v>947</v>
      </c>
    </row>
    <row r="639" spans="2:5" x14ac:dyDescent="0.2">
      <c r="B639" s="18" t="s">
        <v>36</v>
      </c>
      <c r="C639" s="19">
        <v>42858</v>
      </c>
      <c r="D639" s="18" t="s">
        <v>19</v>
      </c>
      <c r="E639" s="18" t="s">
        <v>948</v>
      </c>
    </row>
    <row r="640" spans="2:5" x14ac:dyDescent="0.2">
      <c r="B640" s="21" t="s">
        <v>18</v>
      </c>
      <c r="C640" s="22">
        <v>42828</v>
      </c>
      <c r="D640" s="21" t="s">
        <v>19</v>
      </c>
      <c r="E640" s="21" t="s">
        <v>949</v>
      </c>
    </row>
    <row r="641" spans="2:5" x14ac:dyDescent="0.2">
      <c r="B641" s="18" t="s">
        <v>21</v>
      </c>
      <c r="C641" s="19">
        <v>42797</v>
      </c>
      <c r="D641" s="18" t="s">
        <v>19</v>
      </c>
      <c r="E641" s="18" t="s">
        <v>950</v>
      </c>
    </row>
    <row r="642" spans="2:5" x14ac:dyDescent="0.2">
      <c r="B642" s="21" t="s">
        <v>24</v>
      </c>
      <c r="C642" s="22">
        <v>42769</v>
      </c>
      <c r="D642" s="21" t="s">
        <v>19</v>
      </c>
      <c r="E642" s="21" t="s">
        <v>951</v>
      </c>
    </row>
    <row r="643" spans="2:5" x14ac:dyDescent="0.2">
      <c r="B643" s="18" t="s">
        <v>27</v>
      </c>
      <c r="C643" s="19">
        <v>42738</v>
      </c>
      <c r="D643" s="18" t="s">
        <v>19</v>
      </c>
      <c r="E643" s="18" t="s">
        <v>952</v>
      </c>
    </row>
    <row r="644" spans="2:5" x14ac:dyDescent="0.2">
      <c r="B644" s="21" t="s">
        <v>30</v>
      </c>
      <c r="C644" s="21" t="s">
        <v>953</v>
      </c>
      <c r="D644" s="21" t="s">
        <v>19</v>
      </c>
      <c r="E644" s="21" t="s">
        <v>954</v>
      </c>
    </row>
    <row r="645" spans="2:5" x14ac:dyDescent="0.2">
      <c r="B645" s="18" t="s">
        <v>33</v>
      </c>
      <c r="C645" s="18" t="s">
        <v>955</v>
      </c>
      <c r="D645" s="18" t="s">
        <v>19</v>
      </c>
      <c r="E645" s="18" t="s">
        <v>956</v>
      </c>
    </row>
    <row r="646" spans="2:5" x14ac:dyDescent="0.2">
      <c r="B646" s="21" t="s">
        <v>36</v>
      </c>
      <c r="C646" s="21" t="s">
        <v>957</v>
      </c>
      <c r="D646" s="21" t="s">
        <v>19</v>
      </c>
      <c r="E646" s="21" t="s">
        <v>958</v>
      </c>
    </row>
    <row r="647" spans="2:5" x14ac:dyDescent="0.2">
      <c r="B647" s="18" t="s">
        <v>18</v>
      </c>
      <c r="C647" s="18" t="s">
        <v>959</v>
      </c>
      <c r="D647" s="18" t="s">
        <v>19</v>
      </c>
      <c r="E647" s="18" t="s">
        <v>960</v>
      </c>
    </row>
    <row r="648" spans="2:5" x14ac:dyDescent="0.2">
      <c r="B648" s="21" t="s">
        <v>21</v>
      </c>
      <c r="C648" s="21" t="s">
        <v>961</v>
      </c>
      <c r="D648" s="21" t="s">
        <v>19</v>
      </c>
      <c r="E648" s="21" t="s">
        <v>962</v>
      </c>
    </row>
    <row r="649" spans="2:5" x14ac:dyDescent="0.2">
      <c r="B649" s="18" t="s">
        <v>24</v>
      </c>
      <c r="C649" s="18" t="s">
        <v>963</v>
      </c>
      <c r="D649" s="18" t="s">
        <v>19</v>
      </c>
      <c r="E649" s="18" t="s">
        <v>964</v>
      </c>
    </row>
    <row r="650" spans="2:5" x14ac:dyDescent="0.2">
      <c r="B650" s="21" t="s">
        <v>27</v>
      </c>
      <c r="C650" s="21" t="s">
        <v>965</v>
      </c>
      <c r="D650" s="21" t="s">
        <v>19</v>
      </c>
      <c r="E650" s="21" t="s">
        <v>966</v>
      </c>
    </row>
    <row r="651" spans="2:5" x14ac:dyDescent="0.2">
      <c r="B651" s="18" t="s">
        <v>30</v>
      </c>
      <c r="C651" s="18" t="s">
        <v>967</v>
      </c>
      <c r="D651" s="18" t="s">
        <v>19</v>
      </c>
      <c r="E651" s="18" t="s">
        <v>968</v>
      </c>
    </row>
    <row r="652" spans="2:5" x14ac:dyDescent="0.2">
      <c r="B652" s="21" t="s">
        <v>33</v>
      </c>
      <c r="C652" s="21" t="s">
        <v>969</v>
      </c>
      <c r="D652" s="21" t="s">
        <v>19</v>
      </c>
      <c r="E652" s="21" t="s">
        <v>970</v>
      </c>
    </row>
    <row r="653" spans="2:5" x14ac:dyDescent="0.2">
      <c r="B653" s="18" t="s">
        <v>36</v>
      </c>
      <c r="C653" s="18" t="s">
        <v>971</v>
      </c>
      <c r="D653" s="18" t="s">
        <v>19</v>
      </c>
      <c r="E653" s="18" t="s">
        <v>972</v>
      </c>
    </row>
    <row r="654" spans="2:5" x14ac:dyDescent="0.2">
      <c r="B654" s="21" t="s">
        <v>18</v>
      </c>
      <c r="C654" s="21" t="s">
        <v>973</v>
      </c>
      <c r="D654" s="21" t="s">
        <v>19</v>
      </c>
      <c r="E654" s="21" t="s">
        <v>974</v>
      </c>
    </row>
    <row r="655" spans="2:5" x14ac:dyDescent="0.2">
      <c r="B655" s="18" t="s">
        <v>21</v>
      </c>
      <c r="C655" s="18" t="s">
        <v>975</v>
      </c>
      <c r="D655" s="18" t="s">
        <v>19</v>
      </c>
      <c r="E655" s="18" t="s">
        <v>976</v>
      </c>
    </row>
    <row r="656" spans="2:5" x14ac:dyDescent="0.2">
      <c r="B656" s="21" t="s">
        <v>24</v>
      </c>
      <c r="C656" s="21" t="s">
        <v>977</v>
      </c>
      <c r="D656" s="21" t="s">
        <v>19</v>
      </c>
      <c r="E656" s="21" t="s">
        <v>978</v>
      </c>
    </row>
    <row r="657" spans="2:5" x14ac:dyDescent="0.2">
      <c r="B657" s="18" t="s">
        <v>27</v>
      </c>
      <c r="C657" s="18" t="s">
        <v>979</v>
      </c>
      <c r="D657" s="18" t="s">
        <v>19</v>
      </c>
      <c r="E657" s="18" t="s">
        <v>980</v>
      </c>
    </row>
    <row r="658" spans="2:5" x14ac:dyDescent="0.2">
      <c r="B658" s="21" t="s">
        <v>30</v>
      </c>
      <c r="C658" s="21" t="s">
        <v>981</v>
      </c>
      <c r="D658" s="21" t="s">
        <v>19</v>
      </c>
      <c r="E658" s="21" t="s">
        <v>982</v>
      </c>
    </row>
    <row r="659" spans="2:5" x14ac:dyDescent="0.2">
      <c r="B659" s="18" t="s">
        <v>33</v>
      </c>
      <c r="C659" s="18" t="s">
        <v>983</v>
      </c>
      <c r="D659" s="18" t="s">
        <v>19</v>
      </c>
      <c r="E659" s="18" t="s">
        <v>984</v>
      </c>
    </row>
    <row r="660" spans="2:5" x14ac:dyDescent="0.2">
      <c r="B660" s="21" t="s">
        <v>36</v>
      </c>
      <c r="C660" s="22">
        <v>43071</v>
      </c>
      <c r="D660" s="21" t="s">
        <v>19</v>
      </c>
      <c r="E660" s="21" t="s">
        <v>985</v>
      </c>
    </row>
    <row r="661" spans="2:5" x14ac:dyDescent="0.2">
      <c r="B661" s="18" t="s">
        <v>18</v>
      </c>
      <c r="C661" s="19">
        <v>43041</v>
      </c>
      <c r="D661" s="18" t="s">
        <v>19</v>
      </c>
      <c r="E661" s="18" t="s">
        <v>986</v>
      </c>
    </row>
    <row r="662" spans="2:5" x14ac:dyDescent="0.2">
      <c r="B662" s="21" t="s">
        <v>21</v>
      </c>
      <c r="C662" s="22">
        <v>43010</v>
      </c>
      <c r="D662" s="21" t="s">
        <v>19</v>
      </c>
      <c r="E662" s="21" t="s">
        <v>987</v>
      </c>
    </row>
    <row r="663" spans="2:5" x14ac:dyDescent="0.2">
      <c r="B663" s="18" t="s">
        <v>24</v>
      </c>
      <c r="C663" s="19">
        <v>42980</v>
      </c>
      <c r="D663" s="18" t="s">
        <v>19</v>
      </c>
      <c r="E663" s="18" t="s">
        <v>648</v>
      </c>
    </row>
    <row r="664" spans="2:5" x14ac:dyDescent="0.2">
      <c r="B664" s="21" t="s">
        <v>27</v>
      </c>
      <c r="C664" s="22">
        <v>42949</v>
      </c>
      <c r="D664" s="21" t="s">
        <v>19</v>
      </c>
      <c r="E664" s="21" t="s">
        <v>988</v>
      </c>
    </row>
    <row r="665" spans="2:5" x14ac:dyDescent="0.2">
      <c r="B665" s="18" t="s">
        <v>30</v>
      </c>
      <c r="C665" s="19">
        <v>42918</v>
      </c>
      <c r="D665" s="18" t="s">
        <v>19</v>
      </c>
      <c r="E665" s="18" t="s">
        <v>989</v>
      </c>
    </row>
    <row r="666" spans="2:5" x14ac:dyDescent="0.2">
      <c r="B666" s="21" t="s">
        <v>33</v>
      </c>
      <c r="C666" s="22">
        <v>42888</v>
      </c>
      <c r="D666" s="21" t="s">
        <v>19</v>
      </c>
      <c r="E666" s="21" t="s">
        <v>990</v>
      </c>
    </row>
    <row r="667" spans="2:5" x14ac:dyDescent="0.2">
      <c r="B667" s="18" t="s">
        <v>36</v>
      </c>
      <c r="C667" s="19">
        <v>42857</v>
      </c>
      <c r="D667" s="18" t="s">
        <v>19</v>
      </c>
      <c r="E667" s="18" t="s">
        <v>991</v>
      </c>
    </row>
    <row r="668" spans="2:5" x14ac:dyDescent="0.2">
      <c r="B668" s="21" t="s">
        <v>18</v>
      </c>
      <c r="C668" s="22">
        <v>42827</v>
      </c>
      <c r="D668" s="21" t="s">
        <v>19</v>
      </c>
      <c r="E668" s="21" t="s">
        <v>992</v>
      </c>
    </row>
    <row r="669" spans="2:5" x14ac:dyDescent="0.2">
      <c r="B669" s="18" t="s">
        <v>21</v>
      </c>
      <c r="C669" s="19">
        <v>42796</v>
      </c>
      <c r="D669" s="18" t="s">
        <v>19</v>
      </c>
      <c r="E669" s="18" t="s">
        <v>993</v>
      </c>
    </row>
    <row r="670" spans="2:5" x14ac:dyDescent="0.2">
      <c r="B670" s="21" t="s">
        <v>24</v>
      </c>
      <c r="C670" s="22">
        <v>42768</v>
      </c>
      <c r="D670" s="21" t="s">
        <v>19</v>
      </c>
      <c r="E670" s="21" t="s">
        <v>994</v>
      </c>
    </row>
    <row r="671" spans="2:5" x14ac:dyDescent="0.2">
      <c r="B671" s="18" t="s">
        <v>27</v>
      </c>
      <c r="C671" s="19">
        <v>42737</v>
      </c>
      <c r="D671" s="18" t="s">
        <v>19</v>
      </c>
      <c r="E671" s="18" t="s">
        <v>995</v>
      </c>
    </row>
    <row r="672" spans="2:5" x14ac:dyDescent="0.2">
      <c r="B672" s="21" t="s">
        <v>30</v>
      </c>
      <c r="C672" s="21" t="s">
        <v>996</v>
      </c>
      <c r="D672" s="21" t="s">
        <v>19</v>
      </c>
      <c r="E672" s="21" t="s">
        <v>997</v>
      </c>
    </row>
    <row r="673" spans="2:5" x14ac:dyDescent="0.2">
      <c r="B673" s="18" t="s">
        <v>33</v>
      </c>
      <c r="C673" s="18" t="s">
        <v>998</v>
      </c>
      <c r="D673" s="18" t="s">
        <v>19</v>
      </c>
      <c r="E673" s="18" t="s">
        <v>999</v>
      </c>
    </row>
    <row r="674" spans="2:5" x14ac:dyDescent="0.2">
      <c r="B674" s="21" t="s">
        <v>36</v>
      </c>
      <c r="C674" s="21" t="s">
        <v>1000</v>
      </c>
      <c r="D674" s="21" t="s">
        <v>19</v>
      </c>
      <c r="E674" s="21" t="s">
        <v>1001</v>
      </c>
    </row>
    <row r="675" spans="2:5" x14ac:dyDescent="0.2">
      <c r="B675" s="18" t="s">
        <v>18</v>
      </c>
      <c r="C675" s="18" t="s">
        <v>1002</v>
      </c>
      <c r="D675" s="18" t="s">
        <v>19</v>
      </c>
      <c r="E675" s="18" t="s">
        <v>1003</v>
      </c>
    </row>
    <row r="676" spans="2:5" x14ac:dyDescent="0.2">
      <c r="B676" s="21" t="s">
        <v>21</v>
      </c>
      <c r="C676" s="21" t="s">
        <v>1004</v>
      </c>
      <c r="D676" s="21" t="s">
        <v>19</v>
      </c>
      <c r="E676" s="21" t="s">
        <v>1005</v>
      </c>
    </row>
    <row r="677" spans="2:5" x14ac:dyDescent="0.2">
      <c r="B677" s="18" t="s">
        <v>24</v>
      </c>
      <c r="C677" s="18" t="s">
        <v>1006</v>
      </c>
      <c r="D677" s="18" t="s">
        <v>19</v>
      </c>
      <c r="E677" s="18" t="s">
        <v>1007</v>
      </c>
    </row>
    <row r="678" spans="2:5" x14ac:dyDescent="0.2">
      <c r="B678" s="21" t="s">
        <v>27</v>
      </c>
      <c r="C678" s="21" t="s">
        <v>1008</v>
      </c>
      <c r="D678" s="21" t="s">
        <v>19</v>
      </c>
      <c r="E678" s="21" t="s">
        <v>1009</v>
      </c>
    </row>
    <row r="679" spans="2:5" x14ac:dyDescent="0.2">
      <c r="B679" s="18" t="s">
        <v>30</v>
      </c>
      <c r="C679" s="18" t="s">
        <v>1010</v>
      </c>
      <c r="D679" s="18" t="s">
        <v>19</v>
      </c>
      <c r="E679" s="18" t="s">
        <v>1011</v>
      </c>
    </row>
    <row r="680" spans="2:5" x14ac:dyDescent="0.2">
      <c r="B680" s="21" t="s">
        <v>33</v>
      </c>
      <c r="C680" s="21" t="s">
        <v>1012</v>
      </c>
      <c r="D680" s="21" t="s">
        <v>19</v>
      </c>
      <c r="E680" s="21" t="s">
        <v>1013</v>
      </c>
    </row>
    <row r="681" spans="2:5" x14ac:dyDescent="0.2">
      <c r="B681" s="18" t="s">
        <v>36</v>
      </c>
      <c r="C681" s="18" t="s">
        <v>1014</v>
      </c>
      <c r="D681" s="18" t="s">
        <v>19</v>
      </c>
      <c r="E681" s="18" t="s">
        <v>1015</v>
      </c>
    </row>
    <row r="682" spans="2:5" x14ac:dyDescent="0.2">
      <c r="B682" s="21" t="s">
        <v>18</v>
      </c>
      <c r="C682" s="21" t="s">
        <v>1016</v>
      </c>
      <c r="D682" s="21" t="s">
        <v>19</v>
      </c>
      <c r="E682" s="21" t="s">
        <v>1017</v>
      </c>
    </row>
    <row r="683" spans="2:5" x14ac:dyDescent="0.2">
      <c r="B683" s="18" t="s">
        <v>21</v>
      </c>
      <c r="C683" s="18" t="s">
        <v>1018</v>
      </c>
      <c r="D683" s="18" t="s">
        <v>19</v>
      </c>
      <c r="E683" s="18" t="s">
        <v>1019</v>
      </c>
    </row>
    <row r="684" spans="2:5" x14ac:dyDescent="0.2">
      <c r="B684" s="21" t="s">
        <v>24</v>
      </c>
      <c r="C684" s="21" t="s">
        <v>1020</v>
      </c>
      <c r="D684" s="21" t="s">
        <v>19</v>
      </c>
      <c r="E684" s="21" t="s">
        <v>1021</v>
      </c>
    </row>
    <row r="685" spans="2:5" x14ac:dyDescent="0.2">
      <c r="B685" s="18" t="s">
        <v>27</v>
      </c>
      <c r="C685" s="18" t="s">
        <v>1022</v>
      </c>
      <c r="D685" s="18" t="s">
        <v>19</v>
      </c>
      <c r="E685" s="18" t="s">
        <v>1023</v>
      </c>
    </row>
    <row r="686" spans="2:5" x14ac:dyDescent="0.2">
      <c r="B686" s="21" t="s">
        <v>30</v>
      </c>
      <c r="C686" s="21" t="s">
        <v>1024</v>
      </c>
      <c r="D686" s="21" t="s">
        <v>19</v>
      </c>
      <c r="E686" s="21" t="s">
        <v>1025</v>
      </c>
    </row>
    <row r="687" spans="2:5" x14ac:dyDescent="0.2">
      <c r="B687" s="18" t="s">
        <v>33</v>
      </c>
      <c r="C687" s="18" t="s">
        <v>1026</v>
      </c>
      <c r="D687" s="18" t="s">
        <v>19</v>
      </c>
      <c r="E687" s="18" t="s">
        <v>1027</v>
      </c>
    </row>
    <row r="688" spans="2:5" x14ac:dyDescent="0.2">
      <c r="B688" s="21" t="s">
        <v>36</v>
      </c>
      <c r="C688" s="21" t="s">
        <v>1028</v>
      </c>
      <c r="D688" s="21" t="s">
        <v>19</v>
      </c>
      <c r="E688" s="21" t="s">
        <v>1029</v>
      </c>
    </row>
    <row r="689" spans="2:5" x14ac:dyDescent="0.2">
      <c r="B689" s="18" t="s">
        <v>18</v>
      </c>
      <c r="C689" s="18" t="s">
        <v>1030</v>
      </c>
      <c r="D689" s="18" t="s">
        <v>19</v>
      </c>
      <c r="E689" s="18" t="s">
        <v>1031</v>
      </c>
    </row>
    <row r="690" spans="2:5" x14ac:dyDescent="0.2">
      <c r="B690" s="21" t="s">
        <v>21</v>
      </c>
      <c r="C690" s="21" t="s">
        <v>1032</v>
      </c>
      <c r="D690" s="21" t="s">
        <v>19</v>
      </c>
      <c r="E690" s="21" t="s">
        <v>1033</v>
      </c>
    </row>
    <row r="691" spans="2:5" x14ac:dyDescent="0.2">
      <c r="B691" s="18" t="s">
        <v>24</v>
      </c>
      <c r="C691" s="19">
        <v>43070</v>
      </c>
      <c r="D691" s="18" t="s">
        <v>19</v>
      </c>
      <c r="E691" s="18" t="s">
        <v>1034</v>
      </c>
    </row>
    <row r="692" spans="2:5" x14ac:dyDescent="0.2">
      <c r="B692" s="21" t="s">
        <v>27</v>
      </c>
      <c r="C692" s="22">
        <v>43040</v>
      </c>
      <c r="D692" s="21" t="s">
        <v>19</v>
      </c>
      <c r="E692" s="21" t="s">
        <v>1035</v>
      </c>
    </row>
    <row r="693" spans="2:5" x14ac:dyDescent="0.2">
      <c r="B693" s="18" t="s">
        <v>30</v>
      </c>
      <c r="C693" s="19">
        <v>43009</v>
      </c>
      <c r="D693" s="18" t="s">
        <v>19</v>
      </c>
      <c r="E693" s="18" t="s">
        <v>1036</v>
      </c>
    </row>
    <row r="694" spans="2:5" x14ac:dyDescent="0.2">
      <c r="B694" s="21" t="s">
        <v>33</v>
      </c>
      <c r="C694" s="22">
        <v>42979</v>
      </c>
      <c r="D694" s="21" t="s">
        <v>19</v>
      </c>
      <c r="E694" s="21" t="s">
        <v>1037</v>
      </c>
    </row>
    <row r="695" spans="2:5" x14ac:dyDescent="0.2">
      <c r="B695" s="18" t="s">
        <v>36</v>
      </c>
      <c r="C695" s="19">
        <v>42948</v>
      </c>
      <c r="D695" s="18" t="s">
        <v>19</v>
      </c>
      <c r="E695" s="18" t="s">
        <v>1038</v>
      </c>
    </row>
    <row r="696" spans="2:5" x14ac:dyDescent="0.2">
      <c r="B696" s="21" t="s">
        <v>18</v>
      </c>
      <c r="C696" s="22">
        <v>42917</v>
      </c>
      <c r="D696" s="21" t="s">
        <v>19</v>
      </c>
      <c r="E696" s="21" t="s">
        <v>1039</v>
      </c>
    </row>
    <row r="697" spans="2:5" x14ac:dyDescent="0.2">
      <c r="B697" s="18" t="s">
        <v>21</v>
      </c>
      <c r="C697" s="19">
        <v>42887</v>
      </c>
      <c r="D697" s="18" t="s">
        <v>19</v>
      </c>
      <c r="E697" s="18" t="s">
        <v>1040</v>
      </c>
    </row>
    <row r="698" spans="2:5" x14ac:dyDescent="0.2">
      <c r="B698" s="21" t="s">
        <v>24</v>
      </c>
      <c r="C698" s="22">
        <v>42856</v>
      </c>
      <c r="D698" s="21" t="s">
        <v>19</v>
      </c>
      <c r="E698" s="21" t="s">
        <v>1041</v>
      </c>
    </row>
    <row r="699" spans="2:5" x14ac:dyDescent="0.2">
      <c r="B699" s="18" t="s">
        <v>27</v>
      </c>
      <c r="C699" s="19">
        <v>42826</v>
      </c>
      <c r="D699" s="18" t="s">
        <v>19</v>
      </c>
      <c r="E699" s="18" t="s">
        <v>1042</v>
      </c>
    </row>
    <row r="700" spans="2:5" x14ac:dyDescent="0.2">
      <c r="B700" s="21" t="s">
        <v>30</v>
      </c>
      <c r="C700" s="22">
        <v>42795</v>
      </c>
      <c r="D700" s="21" t="s">
        <v>19</v>
      </c>
      <c r="E700" s="21" t="s">
        <v>1043</v>
      </c>
    </row>
    <row r="701" spans="2:5" x14ac:dyDescent="0.2">
      <c r="B701" s="18" t="s">
        <v>33</v>
      </c>
      <c r="C701" s="19">
        <v>42767</v>
      </c>
      <c r="D701" s="18" t="s">
        <v>19</v>
      </c>
      <c r="E701" s="18" t="s">
        <v>1044</v>
      </c>
    </row>
    <row r="702" spans="2:5" x14ac:dyDescent="0.2">
      <c r="B702" s="21" t="s">
        <v>36</v>
      </c>
      <c r="C702" s="22">
        <v>42736</v>
      </c>
      <c r="D702" s="21" t="s">
        <v>19</v>
      </c>
      <c r="E702" s="21" t="s">
        <v>1045</v>
      </c>
    </row>
    <row r="703" spans="2:5" x14ac:dyDescent="0.2">
      <c r="B703" s="18" t="s">
        <v>18</v>
      </c>
      <c r="C703" s="18" t="s">
        <v>1046</v>
      </c>
      <c r="D703" s="18" t="s">
        <v>19</v>
      </c>
      <c r="E703" s="18" t="s">
        <v>1047</v>
      </c>
    </row>
    <row r="704" spans="2:5" x14ac:dyDescent="0.2">
      <c r="B704" s="21" t="s">
        <v>21</v>
      </c>
      <c r="C704" s="21" t="s">
        <v>1048</v>
      </c>
      <c r="D704" s="21" t="s">
        <v>19</v>
      </c>
      <c r="E704" s="21" t="s">
        <v>1049</v>
      </c>
    </row>
    <row r="705" spans="2:5" x14ac:dyDescent="0.2">
      <c r="B705" s="18" t="s">
        <v>24</v>
      </c>
      <c r="C705" s="18" t="s">
        <v>1050</v>
      </c>
      <c r="D705" s="18" t="s">
        <v>19</v>
      </c>
      <c r="E705" s="18" t="s">
        <v>1051</v>
      </c>
    </row>
    <row r="706" spans="2:5" x14ac:dyDescent="0.2">
      <c r="B706" s="21" t="s">
        <v>27</v>
      </c>
      <c r="C706" s="21" t="s">
        <v>1052</v>
      </c>
      <c r="D706" s="21" t="s">
        <v>19</v>
      </c>
      <c r="E706" s="21" t="s">
        <v>1053</v>
      </c>
    </row>
    <row r="707" spans="2:5" x14ac:dyDescent="0.2">
      <c r="B707" s="18" t="s">
        <v>30</v>
      </c>
      <c r="C707" s="18" t="s">
        <v>1054</v>
      </c>
      <c r="D707" s="18" t="s">
        <v>19</v>
      </c>
      <c r="E707" s="18" t="s">
        <v>1055</v>
      </c>
    </row>
    <row r="708" spans="2:5" x14ac:dyDescent="0.2">
      <c r="B708" s="21" t="s">
        <v>33</v>
      </c>
      <c r="C708" s="21" t="s">
        <v>1056</v>
      </c>
      <c r="D708" s="21" t="s">
        <v>19</v>
      </c>
      <c r="E708" s="21" t="s">
        <v>1057</v>
      </c>
    </row>
    <row r="709" spans="2:5" x14ac:dyDescent="0.2">
      <c r="B709" s="18" t="s">
        <v>36</v>
      </c>
      <c r="C709" s="18" t="s">
        <v>1058</v>
      </c>
      <c r="D709" s="18" t="s">
        <v>19</v>
      </c>
      <c r="E709" s="18" t="s">
        <v>1059</v>
      </c>
    </row>
    <row r="710" spans="2:5" x14ac:dyDescent="0.2">
      <c r="B710" s="21" t="s">
        <v>18</v>
      </c>
      <c r="C710" s="21" t="s">
        <v>1060</v>
      </c>
      <c r="D710" s="21" t="s">
        <v>19</v>
      </c>
      <c r="E710" s="21" t="s">
        <v>1061</v>
      </c>
    </row>
    <row r="711" spans="2:5" x14ac:dyDescent="0.2">
      <c r="B711" s="18" t="s">
        <v>21</v>
      </c>
      <c r="C711" s="18" t="s">
        <v>1062</v>
      </c>
      <c r="D711" s="18" t="s">
        <v>19</v>
      </c>
      <c r="E711" s="18" t="s">
        <v>1063</v>
      </c>
    </row>
    <row r="712" spans="2:5" x14ac:dyDescent="0.2">
      <c r="B712" s="21" t="s">
        <v>24</v>
      </c>
      <c r="C712" s="21" t="s">
        <v>1064</v>
      </c>
      <c r="D712" s="21" t="s">
        <v>19</v>
      </c>
      <c r="E712" s="21" t="s">
        <v>1065</v>
      </c>
    </row>
    <row r="713" spans="2:5" x14ac:dyDescent="0.2">
      <c r="B713" s="18" t="s">
        <v>27</v>
      </c>
      <c r="C713" s="18" t="s">
        <v>1066</v>
      </c>
      <c r="D713" s="18" t="s">
        <v>19</v>
      </c>
      <c r="E713" s="18" t="s">
        <v>1067</v>
      </c>
    </row>
    <row r="714" spans="2:5" x14ac:dyDescent="0.2">
      <c r="B714" s="21" t="s">
        <v>30</v>
      </c>
      <c r="C714" s="21" t="s">
        <v>1068</v>
      </c>
      <c r="D714" s="21" t="s">
        <v>19</v>
      </c>
      <c r="E714" s="21" t="s">
        <v>1069</v>
      </c>
    </row>
    <row r="715" spans="2:5" x14ac:dyDescent="0.2">
      <c r="B715" s="18" t="s">
        <v>33</v>
      </c>
      <c r="C715" s="18" t="s">
        <v>1070</v>
      </c>
      <c r="D715" s="18" t="s">
        <v>19</v>
      </c>
      <c r="E715" s="18" t="s">
        <v>1071</v>
      </c>
    </row>
    <row r="716" spans="2:5" x14ac:dyDescent="0.2">
      <c r="B716" s="21" t="s">
        <v>36</v>
      </c>
      <c r="C716" s="21" t="s">
        <v>1072</v>
      </c>
      <c r="D716" s="21" t="s">
        <v>19</v>
      </c>
      <c r="E716" s="21" t="s">
        <v>1073</v>
      </c>
    </row>
    <row r="717" spans="2:5" x14ac:dyDescent="0.2">
      <c r="B717" s="18" t="s">
        <v>18</v>
      </c>
      <c r="C717" s="18" t="s">
        <v>1074</v>
      </c>
      <c r="D717" s="18" t="s">
        <v>19</v>
      </c>
      <c r="E717" s="18" t="s">
        <v>1075</v>
      </c>
    </row>
    <row r="718" spans="2:5" x14ac:dyDescent="0.2">
      <c r="B718" s="21" t="s">
        <v>21</v>
      </c>
      <c r="C718" s="21" t="s">
        <v>1076</v>
      </c>
      <c r="D718" s="21" t="s">
        <v>19</v>
      </c>
      <c r="E718" s="21" t="s">
        <v>1077</v>
      </c>
    </row>
    <row r="719" spans="2:5" x14ac:dyDescent="0.2">
      <c r="B719" s="18" t="s">
        <v>24</v>
      </c>
      <c r="C719" s="18" t="s">
        <v>1078</v>
      </c>
      <c r="D719" s="18" t="s">
        <v>19</v>
      </c>
      <c r="E719" s="18" t="s">
        <v>1079</v>
      </c>
    </row>
    <row r="720" spans="2:5" x14ac:dyDescent="0.2">
      <c r="B720" s="21" t="s">
        <v>27</v>
      </c>
      <c r="C720" s="21" t="s">
        <v>1080</v>
      </c>
      <c r="D720" s="21" t="s">
        <v>19</v>
      </c>
      <c r="E720" s="21" t="s">
        <v>1081</v>
      </c>
    </row>
    <row r="721" spans="2:5" x14ac:dyDescent="0.2">
      <c r="B721" s="18" t="s">
        <v>30</v>
      </c>
      <c r="C721" s="18" t="s">
        <v>1082</v>
      </c>
      <c r="D721" s="18" t="s">
        <v>19</v>
      </c>
      <c r="E721" s="18" t="s">
        <v>1083</v>
      </c>
    </row>
    <row r="722" spans="2:5" x14ac:dyDescent="0.2">
      <c r="B722" s="21" t="s">
        <v>33</v>
      </c>
      <c r="C722" s="22">
        <v>42716</v>
      </c>
      <c r="D722" s="21" t="s">
        <v>19</v>
      </c>
      <c r="E722" s="21" t="s">
        <v>1084</v>
      </c>
    </row>
    <row r="723" spans="2:5" x14ac:dyDescent="0.2">
      <c r="B723" s="18" t="s">
        <v>36</v>
      </c>
      <c r="C723" s="19">
        <v>42686</v>
      </c>
      <c r="D723" s="18" t="s">
        <v>19</v>
      </c>
      <c r="E723" s="18" t="s">
        <v>827</v>
      </c>
    </row>
    <row r="724" spans="2:5" x14ac:dyDescent="0.2">
      <c r="B724" s="21" t="s">
        <v>18</v>
      </c>
      <c r="C724" s="22">
        <v>42655</v>
      </c>
      <c r="D724" s="21" t="s">
        <v>19</v>
      </c>
      <c r="E724" s="21" t="s">
        <v>1085</v>
      </c>
    </row>
    <row r="725" spans="2:5" x14ac:dyDescent="0.2">
      <c r="B725" s="18" t="s">
        <v>21</v>
      </c>
      <c r="C725" s="19">
        <v>42625</v>
      </c>
      <c r="D725" s="18" t="s">
        <v>19</v>
      </c>
      <c r="E725" s="18" t="s">
        <v>1086</v>
      </c>
    </row>
    <row r="726" spans="2:5" x14ac:dyDescent="0.2">
      <c r="B726" s="21" t="s">
        <v>24</v>
      </c>
      <c r="C726" s="22">
        <v>42594</v>
      </c>
      <c r="D726" s="21" t="s">
        <v>19</v>
      </c>
      <c r="E726" s="21" t="s">
        <v>1087</v>
      </c>
    </row>
    <row r="727" spans="2:5" x14ac:dyDescent="0.2">
      <c r="B727" s="18" t="s">
        <v>27</v>
      </c>
      <c r="C727" s="19">
        <v>42563</v>
      </c>
      <c r="D727" s="18" t="s">
        <v>19</v>
      </c>
      <c r="E727" s="18" t="s">
        <v>928</v>
      </c>
    </row>
    <row r="728" spans="2:5" x14ac:dyDescent="0.2">
      <c r="B728" s="21" t="s">
        <v>30</v>
      </c>
      <c r="C728" s="22">
        <v>42533</v>
      </c>
      <c r="D728" s="21" t="s">
        <v>19</v>
      </c>
      <c r="E728" s="21" t="s">
        <v>1088</v>
      </c>
    </row>
    <row r="729" spans="2:5" x14ac:dyDescent="0.2">
      <c r="B729" s="18" t="s">
        <v>33</v>
      </c>
      <c r="C729" s="19">
        <v>42502</v>
      </c>
      <c r="D729" s="18" t="s">
        <v>19</v>
      </c>
      <c r="E729" s="18" t="s">
        <v>1089</v>
      </c>
    </row>
    <row r="730" spans="2:5" x14ac:dyDescent="0.2">
      <c r="B730" s="21" t="s">
        <v>36</v>
      </c>
      <c r="C730" s="22">
        <v>42472</v>
      </c>
      <c r="D730" s="21" t="s">
        <v>19</v>
      </c>
      <c r="E730" s="21" t="s">
        <v>191</v>
      </c>
    </row>
    <row r="731" spans="2:5" x14ac:dyDescent="0.2">
      <c r="B731" s="18" t="s">
        <v>18</v>
      </c>
      <c r="C731" s="19">
        <v>42441</v>
      </c>
      <c r="D731" s="18" t="s">
        <v>19</v>
      </c>
      <c r="E731" s="18" t="s">
        <v>1090</v>
      </c>
    </row>
    <row r="732" spans="2:5" x14ac:dyDescent="0.2">
      <c r="B732" s="21" t="s">
        <v>21</v>
      </c>
      <c r="C732" s="22">
        <v>42412</v>
      </c>
      <c r="D732" s="21" t="s">
        <v>19</v>
      </c>
      <c r="E732" s="21" t="s">
        <v>1091</v>
      </c>
    </row>
    <row r="733" spans="2:5" x14ac:dyDescent="0.2">
      <c r="B733" s="18" t="s">
        <v>24</v>
      </c>
      <c r="C733" s="19">
        <v>42381</v>
      </c>
      <c r="D733" s="18" t="s">
        <v>19</v>
      </c>
      <c r="E733" s="18" t="s">
        <v>1092</v>
      </c>
    </row>
    <row r="734" spans="2:5" x14ac:dyDescent="0.2">
      <c r="B734" s="21" t="s">
        <v>27</v>
      </c>
      <c r="C734" s="21" t="s">
        <v>1093</v>
      </c>
      <c r="D734" s="21" t="s">
        <v>19</v>
      </c>
      <c r="E734" s="21" t="s">
        <v>1094</v>
      </c>
    </row>
    <row r="735" spans="2:5" x14ac:dyDescent="0.2">
      <c r="B735" s="18" t="s">
        <v>30</v>
      </c>
      <c r="C735" s="18" t="s">
        <v>1095</v>
      </c>
      <c r="D735" s="18" t="s">
        <v>19</v>
      </c>
      <c r="E735" s="18" t="s">
        <v>98</v>
      </c>
    </row>
    <row r="736" spans="2:5" x14ac:dyDescent="0.2">
      <c r="B736" s="21" t="s">
        <v>33</v>
      </c>
      <c r="C736" s="21" t="s">
        <v>1096</v>
      </c>
      <c r="D736" s="21" t="s">
        <v>19</v>
      </c>
      <c r="E736" s="21" t="s">
        <v>1097</v>
      </c>
    </row>
    <row r="737" spans="2:5" x14ac:dyDescent="0.2">
      <c r="B737" s="18" t="s">
        <v>36</v>
      </c>
      <c r="C737" s="18" t="s">
        <v>1098</v>
      </c>
      <c r="D737" s="18" t="s">
        <v>19</v>
      </c>
      <c r="E737" s="18" t="s">
        <v>1099</v>
      </c>
    </row>
    <row r="738" spans="2:5" x14ac:dyDescent="0.2">
      <c r="B738" s="21" t="s">
        <v>18</v>
      </c>
      <c r="C738" s="21" t="s">
        <v>1100</v>
      </c>
      <c r="D738" s="21" t="s">
        <v>19</v>
      </c>
      <c r="E738" s="21" t="s">
        <v>1101</v>
      </c>
    </row>
    <row r="739" spans="2:5" x14ac:dyDescent="0.2">
      <c r="B739" s="18" t="s">
        <v>21</v>
      </c>
      <c r="C739" s="18" t="s">
        <v>1102</v>
      </c>
      <c r="D739" s="18" t="s">
        <v>19</v>
      </c>
      <c r="E739" s="18" t="s">
        <v>1103</v>
      </c>
    </row>
    <row r="740" spans="2:5" x14ac:dyDescent="0.2">
      <c r="B740" s="21" t="s">
        <v>24</v>
      </c>
      <c r="C740" s="21" t="s">
        <v>1104</v>
      </c>
      <c r="D740" s="21" t="s">
        <v>19</v>
      </c>
      <c r="E740" s="21" t="s">
        <v>1105</v>
      </c>
    </row>
    <row r="741" spans="2:5" x14ac:dyDescent="0.2">
      <c r="B741" s="18" t="s">
        <v>27</v>
      </c>
      <c r="C741" s="18" t="s">
        <v>1106</v>
      </c>
      <c r="D741" s="18" t="s">
        <v>19</v>
      </c>
      <c r="E741" s="18" t="s">
        <v>1107</v>
      </c>
    </row>
    <row r="742" spans="2:5" x14ac:dyDescent="0.2">
      <c r="B742" s="21" t="s">
        <v>30</v>
      </c>
      <c r="C742" s="21" t="s">
        <v>1108</v>
      </c>
      <c r="D742" s="21" t="s">
        <v>19</v>
      </c>
      <c r="E742" s="21" t="s">
        <v>1109</v>
      </c>
    </row>
    <row r="743" spans="2:5" x14ac:dyDescent="0.2">
      <c r="B743" s="18" t="s">
        <v>33</v>
      </c>
      <c r="C743" s="18" t="s">
        <v>1110</v>
      </c>
      <c r="D743" s="18" t="s">
        <v>19</v>
      </c>
      <c r="E743" s="18" t="s">
        <v>1111</v>
      </c>
    </row>
    <row r="744" spans="2:5" x14ac:dyDescent="0.2">
      <c r="B744" s="21" t="s">
        <v>36</v>
      </c>
      <c r="C744" s="21" t="s">
        <v>1112</v>
      </c>
      <c r="D744" s="21" t="s">
        <v>19</v>
      </c>
      <c r="E744" s="21" t="s">
        <v>1113</v>
      </c>
    </row>
    <row r="745" spans="2:5" x14ac:dyDescent="0.2">
      <c r="B745" s="18" t="s">
        <v>18</v>
      </c>
      <c r="C745" s="18" t="s">
        <v>1114</v>
      </c>
      <c r="D745" s="18" t="s">
        <v>19</v>
      </c>
      <c r="E745" s="18" t="s">
        <v>1115</v>
      </c>
    </row>
    <row r="746" spans="2:5" x14ac:dyDescent="0.2">
      <c r="B746" s="21" t="s">
        <v>21</v>
      </c>
      <c r="C746" s="21" t="s">
        <v>1116</v>
      </c>
      <c r="D746" s="21" t="s">
        <v>19</v>
      </c>
      <c r="E746" s="21" t="s">
        <v>1117</v>
      </c>
    </row>
    <row r="747" spans="2:5" x14ac:dyDescent="0.2">
      <c r="B747" s="18" t="s">
        <v>24</v>
      </c>
      <c r="C747" s="18" t="s">
        <v>1118</v>
      </c>
      <c r="D747" s="18" t="s">
        <v>19</v>
      </c>
      <c r="E747" s="18" t="s">
        <v>1119</v>
      </c>
    </row>
    <row r="748" spans="2:5" x14ac:dyDescent="0.2">
      <c r="B748" s="21" t="s">
        <v>27</v>
      </c>
      <c r="C748" s="21" t="s">
        <v>1120</v>
      </c>
      <c r="D748" s="21" t="s">
        <v>19</v>
      </c>
      <c r="E748" s="21" t="s">
        <v>1121</v>
      </c>
    </row>
    <row r="749" spans="2:5" x14ac:dyDescent="0.2">
      <c r="B749" s="18" t="s">
        <v>30</v>
      </c>
      <c r="C749" s="18" t="s">
        <v>1122</v>
      </c>
      <c r="D749" s="18" t="s">
        <v>19</v>
      </c>
      <c r="E749" s="18" t="s">
        <v>1123</v>
      </c>
    </row>
    <row r="750" spans="2:5" x14ac:dyDescent="0.2">
      <c r="B750" s="21" t="s">
        <v>33</v>
      </c>
      <c r="C750" s="21" t="s">
        <v>1124</v>
      </c>
      <c r="D750" s="21" t="s">
        <v>19</v>
      </c>
      <c r="E750" s="21" t="s">
        <v>1125</v>
      </c>
    </row>
    <row r="751" spans="2:5" x14ac:dyDescent="0.2">
      <c r="B751" s="18" t="s">
        <v>36</v>
      </c>
      <c r="C751" s="18" t="s">
        <v>1126</v>
      </c>
      <c r="D751" s="18" t="s">
        <v>19</v>
      </c>
      <c r="E751" s="18" t="s">
        <v>1127</v>
      </c>
    </row>
    <row r="752" spans="2:5" x14ac:dyDescent="0.2">
      <c r="B752" s="21" t="s">
        <v>18</v>
      </c>
      <c r="C752" s="22">
        <v>42715</v>
      </c>
      <c r="D752" s="21" t="s">
        <v>19</v>
      </c>
      <c r="E752" s="21" t="s">
        <v>1128</v>
      </c>
    </row>
    <row r="753" spans="2:5" x14ac:dyDescent="0.2">
      <c r="B753" s="18" t="s">
        <v>21</v>
      </c>
      <c r="C753" s="19">
        <v>42685</v>
      </c>
      <c r="D753" s="18" t="s">
        <v>19</v>
      </c>
      <c r="E753" s="18" t="s">
        <v>1129</v>
      </c>
    </row>
    <row r="754" spans="2:5" x14ac:dyDescent="0.2">
      <c r="B754" s="21" t="s">
        <v>24</v>
      </c>
      <c r="C754" s="22">
        <v>42654</v>
      </c>
      <c r="D754" s="21" t="s">
        <v>19</v>
      </c>
      <c r="E754" s="21" t="s">
        <v>1130</v>
      </c>
    </row>
    <row r="755" spans="2:5" x14ac:dyDescent="0.2">
      <c r="B755" s="18" t="s">
        <v>27</v>
      </c>
      <c r="C755" s="19">
        <v>42624</v>
      </c>
      <c r="D755" s="18" t="s">
        <v>19</v>
      </c>
      <c r="E755" s="18" t="s">
        <v>1131</v>
      </c>
    </row>
    <row r="756" spans="2:5" x14ac:dyDescent="0.2">
      <c r="B756" s="21" t="s">
        <v>30</v>
      </c>
      <c r="C756" s="22">
        <v>42593</v>
      </c>
      <c r="D756" s="21" t="s">
        <v>19</v>
      </c>
      <c r="E756" s="21" t="s">
        <v>1132</v>
      </c>
    </row>
    <row r="757" spans="2:5" x14ac:dyDescent="0.2">
      <c r="B757" s="18" t="s">
        <v>33</v>
      </c>
      <c r="C757" s="19">
        <v>42562</v>
      </c>
      <c r="D757" s="18" t="s">
        <v>19</v>
      </c>
      <c r="E757" s="18" t="s">
        <v>1133</v>
      </c>
    </row>
    <row r="758" spans="2:5" x14ac:dyDescent="0.2">
      <c r="B758" s="21" t="s">
        <v>36</v>
      </c>
      <c r="C758" s="22">
        <v>42532</v>
      </c>
      <c r="D758" s="21" t="s">
        <v>19</v>
      </c>
      <c r="E758" s="21" t="s">
        <v>1134</v>
      </c>
    </row>
    <row r="759" spans="2:5" x14ac:dyDescent="0.2">
      <c r="B759" s="18" t="s">
        <v>18</v>
      </c>
      <c r="C759" s="19">
        <v>42501</v>
      </c>
      <c r="D759" s="18" t="s">
        <v>19</v>
      </c>
      <c r="E759" s="18" t="s">
        <v>1135</v>
      </c>
    </row>
    <row r="760" spans="2:5" x14ac:dyDescent="0.2">
      <c r="B760" s="21" t="s">
        <v>21</v>
      </c>
      <c r="C760" s="22">
        <v>42471</v>
      </c>
      <c r="D760" s="21" t="s">
        <v>19</v>
      </c>
      <c r="E760" s="21" t="s">
        <v>1136</v>
      </c>
    </row>
    <row r="761" spans="2:5" x14ac:dyDescent="0.2">
      <c r="B761" s="18" t="s">
        <v>24</v>
      </c>
      <c r="C761" s="19">
        <v>42440</v>
      </c>
      <c r="D761" s="18" t="s">
        <v>19</v>
      </c>
      <c r="E761" s="18" t="s">
        <v>1137</v>
      </c>
    </row>
    <row r="762" spans="2:5" x14ac:dyDescent="0.2">
      <c r="B762" s="21" t="s">
        <v>27</v>
      </c>
      <c r="C762" s="22">
        <v>42411</v>
      </c>
      <c r="D762" s="21" t="s">
        <v>19</v>
      </c>
      <c r="E762" s="21" t="s">
        <v>1138</v>
      </c>
    </row>
    <row r="763" spans="2:5" x14ac:dyDescent="0.2">
      <c r="B763" s="18" t="s">
        <v>30</v>
      </c>
      <c r="C763" s="19">
        <v>42380</v>
      </c>
      <c r="D763" s="18" t="s">
        <v>19</v>
      </c>
      <c r="E763" s="18" t="s">
        <v>1139</v>
      </c>
    </row>
    <row r="764" spans="2:5" x14ac:dyDescent="0.2">
      <c r="B764" s="21" t="s">
        <v>33</v>
      </c>
      <c r="C764" s="21" t="s">
        <v>1140</v>
      </c>
      <c r="D764" s="21" t="s">
        <v>19</v>
      </c>
      <c r="E764" s="21" t="s">
        <v>1141</v>
      </c>
    </row>
    <row r="765" spans="2:5" x14ac:dyDescent="0.2">
      <c r="B765" s="18" t="s">
        <v>36</v>
      </c>
      <c r="C765" s="18" t="s">
        <v>1142</v>
      </c>
      <c r="D765" s="18" t="s">
        <v>19</v>
      </c>
      <c r="E765" s="18" t="s">
        <v>1143</v>
      </c>
    </row>
    <row r="766" spans="2:5" x14ac:dyDescent="0.2">
      <c r="B766" s="21" t="s">
        <v>18</v>
      </c>
      <c r="C766" s="21" t="s">
        <v>1144</v>
      </c>
      <c r="D766" s="21" t="s">
        <v>19</v>
      </c>
      <c r="E766" s="21" t="s">
        <v>1145</v>
      </c>
    </row>
    <row r="767" spans="2:5" x14ac:dyDescent="0.2">
      <c r="B767" s="18" t="s">
        <v>21</v>
      </c>
      <c r="C767" s="18" t="s">
        <v>1146</v>
      </c>
      <c r="D767" s="18" t="s">
        <v>19</v>
      </c>
      <c r="E767" s="18" t="s">
        <v>1145</v>
      </c>
    </row>
    <row r="768" spans="2:5" x14ac:dyDescent="0.2">
      <c r="B768" s="21" t="s">
        <v>24</v>
      </c>
      <c r="C768" s="21" t="s">
        <v>1147</v>
      </c>
      <c r="D768" s="21" t="s">
        <v>19</v>
      </c>
      <c r="E768" s="21" t="s">
        <v>1141</v>
      </c>
    </row>
    <row r="769" spans="2:5" x14ac:dyDescent="0.2">
      <c r="B769" s="18" t="s">
        <v>27</v>
      </c>
      <c r="C769" s="18" t="s">
        <v>1148</v>
      </c>
      <c r="D769" s="18" t="s">
        <v>19</v>
      </c>
      <c r="E769" s="18" t="s">
        <v>1149</v>
      </c>
    </row>
    <row r="770" spans="2:5" x14ac:dyDescent="0.2">
      <c r="B770" s="21" t="s">
        <v>30</v>
      </c>
      <c r="C770" s="21" t="s">
        <v>1150</v>
      </c>
      <c r="D770" s="21" t="s">
        <v>19</v>
      </c>
      <c r="E770" s="21" t="s">
        <v>1151</v>
      </c>
    </row>
    <row r="771" spans="2:5" x14ac:dyDescent="0.2">
      <c r="B771" s="18" t="s">
        <v>33</v>
      </c>
      <c r="C771" s="18" t="s">
        <v>1152</v>
      </c>
      <c r="D771" s="18" t="s">
        <v>19</v>
      </c>
      <c r="E771" s="18" t="s">
        <v>1153</v>
      </c>
    </row>
    <row r="772" spans="2:5" x14ac:dyDescent="0.2">
      <c r="B772" s="21" t="s">
        <v>36</v>
      </c>
      <c r="C772" s="21" t="s">
        <v>1154</v>
      </c>
      <c r="D772" s="21" t="s">
        <v>19</v>
      </c>
      <c r="E772" s="21" t="s">
        <v>1155</v>
      </c>
    </row>
    <row r="773" spans="2:5" x14ac:dyDescent="0.2">
      <c r="B773" s="18" t="s">
        <v>18</v>
      </c>
      <c r="C773" s="18" t="s">
        <v>1156</v>
      </c>
      <c r="D773" s="18" t="s">
        <v>19</v>
      </c>
      <c r="E773" s="18" t="s">
        <v>1157</v>
      </c>
    </row>
    <row r="774" spans="2:5" x14ac:dyDescent="0.2">
      <c r="B774" s="21" t="s">
        <v>21</v>
      </c>
      <c r="C774" s="21" t="s">
        <v>1158</v>
      </c>
      <c r="D774" s="21" t="s">
        <v>19</v>
      </c>
      <c r="E774" s="21" t="s">
        <v>1159</v>
      </c>
    </row>
    <row r="775" spans="2:5" x14ac:dyDescent="0.2">
      <c r="B775" s="18" t="s">
        <v>24</v>
      </c>
      <c r="C775" s="18" t="s">
        <v>1160</v>
      </c>
      <c r="D775" s="18" t="s">
        <v>19</v>
      </c>
      <c r="E775" s="18" t="s">
        <v>1161</v>
      </c>
    </row>
    <row r="776" spans="2:5" x14ac:dyDescent="0.2">
      <c r="B776" s="21" t="s">
        <v>27</v>
      </c>
      <c r="C776" s="21" t="s">
        <v>1162</v>
      </c>
      <c r="D776" s="21" t="s">
        <v>19</v>
      </c>
      <c r="E776" s="21" t="s">
        <v>1163</v>
      </c>
    </row>
    <row r="777" spans="2:5" x14ac:dyDescent="0.2">
      <c r="B777" s="18" t="s">
        <v>30</v>
      </c>
      <c r="C777" s="18" t="s">
        <v>1164</v>
      </c>
      <c r="D777" s="18" t="s">
        <v>19</v>
      </c>
      <c r="E777" s="18" t="s">
        <v>1165</v>
      </c>
    </row>
    <row r="778" spans="2:5" x14ac:dyDescent="0.2">
      <c r="B778" s="21" t="s">
        <v>33</v>
      </c>
      <c r="C778" s="21" t="s">
        <v>1166</v>
      </c>
      <c r="D778" s="21" t="s">
        <v>19</v>
      </c>
      <c r="E778" s="21" t="s">
        <v>1167</v>
      </c>
    </row>
    <row r="779" spans="2:5" x14ac:dyDescent="0.2">
      <c r="B779" s="18" t="s">
        <v>36</v>
      </c>
      <c r="C779" s="18" t="s">
        <v>1168</v>
      </c>
      <c r="D779" s="18" t="s">
        <v>19</v>
      </c>
      <c r="E779" s="18" t="s">
        <v>1169</v>
      </c>
    </row>
    <row r="780" spans="2:5" x14ac:dyDescent="0.2">
      <c r="B780" s="21" t="s">
        <v>18</v>
      </c>
      <c r="C780" s="21" t="s">
        <v>1170</v>
      </c>
      <c r="D780" s="21" t="s">
        <v>19</v>
      </c>
      <c r="E780" s="21" t="s">
        <v>1161</v>
      </c>
    </row>
    <row r="781" spans="2:5" x14ac:dyDescent="0.2">
      <c r="B781" s="18" t="s">
        <v>21</v>
      </c>
      <c r="C781" s="18" t="s">
        <v>1171</v>
      </c>
      <c r="D781" s="18" t="s">
        <v>19</v>
      </c>
      <c r="E781" s="18" t="s">
        <v>1172</v>
      </c>
    </row>
    <row r="782" spans="2:5" x14ac:dyDescent="0.2">
      <c r="B782" s="21" t="s">
        <v>24</v>
      </c>
      <c r="C782" s="21" t="s">
        <v>1173</v>
      </c>
      <c r="D782" s="21" t="s">
        <v>19</v>
      </c>
      <c r="E782" s="21" t="s">
        <v>1174</v>
      </c>
    </row>
    <row r="783" spans="2:5" x14ac:dyDescent="0.2">
      <c r="B783" s="18" t="s">
        <v>27</v>
      </c>
      <c r="C783" s="19">
        <v>42714</v>
      </c>
      <c r="D783" s="18" t="s">
        <v>19</v>
      </c>
      <c r="E783" s="18" t="s">
        <v>1175</v>
      </c>
    </row>
    <row r="784" spans="2:5" x14ac:dyDescent="0.2">
      <c r="B784" s="21" t="s">
        <v>30</v>
      </c>
      <c r="C784" s="22">
        <v>42684</v>
      </c>
      <c r="D784" s="21" t="s">
        <v>19</v>
      </c>
      <c r="E784" s="21" t="s">
        <v>1176</v>
      </c>
    </row>
    <row r="785" spans="2:5" x14ac:dyDescent="0.2">
      <c r="B785" s="18" t="s">
        <v>33</v>
      </c>
      <c r="C785" s="19">
        <v>42653</v>
      </c>
      <c r="D785" s="18" t="s">
        <v>19</v>
      </c>
      <c r="E785" s="18" t="s">
        <v>1177</v>
      </c>
    </row>
    <row r="786" spans="2:5" x14ac:dyDescent="0.2">
      <c r="B786" s="21" t="s">
        <v>36</v>
      </c>
      <c r="C786" s="22">
        <v>42623</v>
      </c>
      <c r="D786" s="21" t="s">
        <v>19</v>
      </c>
      <c r="E786" s="21" t="s">
        <v>1178</v>
      </c>
    </row>
    <row r="787" spans="2:5" x14ac:dyDescent="0.2">
      <c r="B787" s="18" t="s">
        <v>18</v>
      </c>
      <c r="C787" s="19">
        <v>42592</v>
      </c>
      <c r="D787" s="18" t="s">
        <v>19</v>
      </c>
      <c r="E787" s="18" t="s">
        <v>1179</v>
      </c>
    </row>
    <row r="788" spans="2:5" x14ac:dyDescent="0.2">
      <c r="B788" s="21" t="s">
        <v>21</v>
      </c>
      <c r="C788" s="22">
        <v>42561</v>
      </c>
      <c r="D788" s="21" t="s">
        <v>19</v>
      </c>
      <c r="E788" s="21" t="s">
        <v>1179</v>
      </c>
    </row>
    <row r="789" spans="2:5" x14ac:dyDescent="0.2">
      <c r="B789" s="18" t="s">
        <v>24</v>
      </c>
      <c r="C789" s="19">
        <v>42531</v>
      </c>
      <c r="D789" s="18" t="s">
        <v>19</v>
      </c>
      <c r="E789" s="18" t="s">
        <v>1180</v>
      </c>
    </row>
    <row r="790" spans="2:5" x14ac:dyDescent="0.2">
      <c r="B790" s="21" t="s">
        <v>27</v>
      </c>
      <c r="C790" s="22">
        <v>42500</v>
      </c>
      <c r="D790" s="21" t="s">
        <v>19</v>
      </c>
      <c r="E790" s="21" t="s">
        <v>1181</v>
      </c>
    </row>
    <row r="791" spans="2:5" x14ac:dyDescent="0.2">
      <c r="B791" s="18" t="s">
        <v>30</v>
      </c>
      <c r="C791" s="19">
        <v>42470</v>
      </c>
      <c r="D791" s="18" t="s">
        <v>19</v>
      </c>
      <c r="E791" s="18" t="s">
        <v>1182</v>
      </c>
    </row>
    <row r="792" spans="2:5" x14ac:dyDescent="0.2">
      <c r="B792" s="21" t="s">
        <v>33</v>
      </c>
      <c r="C792" s="22">
        <v>42439</v>
      </c>
      <c r="D792" s="21" t="s">
        <v>19</v>
      </c>
      <c r="E792" s="21" t="s">
        <v>1183</v>
      </c>
    </row>
    <row r="793" spans="2:5" x14ac:dyDescent="0.2">
      <c r="B793" s="18" t="s">
        <v>36</v>
      </c>
      <c r="C793" s="19">
        <v>42410</v>
      </c>
      <c r="D793" s="18" t="s">
        <v>19</v>
      </c>
      <c r="E793" s="18" t="s">
        <v>1184</v>
      </c>
    </row>
    <row r="794" spans="2:5" x14ac:dyDescent="0.2">
      <c r="B794" s="21" t="s">
        <v>18</v>
      </c>
      <c r="C794" s="22">
        <v>42379</v>
      </c>
      <c r="D794" s="21" t="s">
        <v>19</v>
      </c>
      <c r="E794" s="21" t="s">
        <v>1185</v>
      </c>
    </row>
    <row r="795" spans="2:5" x14ac:dyDescent="0.2">
      <c r="B795" s="18" t="s">
        <v>21</v>
      </c>
      <c r="C795" s="18" t="s">
        <v>1186</v>
      </c>
      <c r="D795" s="18" t="s">
        <v>19</v>
      </c>
      <c r="E795" s="18" t="s">
        <v>1187</v>
      </c>
    </row>
    <row r="796" spans="2:5" x14ac:dyDescent="0.2">
      <c r="B796" s="21" t="s">
        <v>24</v>
      </c>
      <c r="C796" s="21" t="s">
        <v>1188</v>
      </c>
      <c r="D796" s="21" t="s">
        <v>19</v>
      </c>
      <c r="E796" s="21" t="s">
        <v>1189</v>
      </c>
    </row>
    <row r="797" spans="2:5" x14ac:dyDescent="0.2">
      <c r="B797" s="18" t="s">
        <v>27</v>
      </c>
      <c r="C797" s="18" t="s">
        <v>1190</v>
      </c>
      <c r="D797" s="18" t="s">
        <v>19</v>
      </c>
      <c r="E797" s="18" t="s">
        <v>1191</v>
      </c>
    </row>
    <row r="798" spans="2:5" x14ac:dyDescent="0.2">
      <c r="B798" s="21" t="s">
        <v>30</v>
      </c>
      <c r="C798" s="21" t="s">
        <v>1192</v>
      </c>
      <c r="D798" s="21" t="s">
        <v>19</v>
      </c>
      <c r="E798" s="21" t="s">
        <v>1193</v>
      </c>
    </row>
    <row r="799" spans="2:5" x14ac:dyDescent="0.2">
      <c r="B799" s="18" t="s">
        <v>33</v>
      </c>
      <c r="C799" s="18" t="s">
        <v>1194</v>
      </c>
      <c r="D799" s="18" t="s">
        <v>19</v>
      </c>
      <c r="E799" s="18" t="s">
        <v>1165</v>
      </c>
    </row>
    <row r="800" spans="2:5" x14ac:dyDescent="0.2">
      <c r="B800" s="21" t="s">
        <v>36</v>
      </c>
      <c r="C800" s="21" t="s">
        <v>1195</v>
      </c>
      <c r="D800" s="21" t="s">
        <v>19</v>
      </c>
      <c r="E800" s="21" t="s">
        <v>1196</v>
      </c>
    </row>
    <row r="801" spans="2:5" x14ac:dyDescent="0.2">
      <c r="B801" s="18" t="s">
        <v>18</v>
      </c>
      <c r="C801" s="18" t="s">
        <v>1197</v>
      </c>
      <c r="D801" s="18" t="s">
        <v>19</v>
      </c>
      <c r="E801" s="18" t="s">
        <v>1136</v>
      </c>
    </row>
    <row r="802" spans="2:5" x14ac:dyDescent="0.2">
      <c r="B802" s="21" t="s">
        <v>21</v>
      </c>
      <c r="C802" s="21" t="s">
        <v>1198</v>
      </c>
      <c r="D802" s="21" t="s">
        <v>19</v>
      </c>
      <c r="E802" s="21" t="s">
        <v>1199</v>
      </c>
    </row>
    <row r="803" spans="2:5" x14ac:dyDescent="0.2">
      <c r="B803" s="18" t="s">
        <v>24</v>
      </c>
      <c r="C803" s="18" t="s">
        <v>1200</v>
      </c>
      <c r="D803" s="18" t="s">
        <v>19</v>
      </c>
      <c r="E803" s="18" t="s">
        <v>1201</v>
      </c>
    </row>
    <row r="804" spans="2:5" x14ac:dyDescent="0.2">
      <c r="B804" s="21" t="s">
        <v>27</v>
      </c>
      <c r="C804" s="21" t="s">
        <v>1202</v>
      </c>
      <c r="D804" s="21" t="s">
        <v>19</v>
      </c>
      <c r="E804" s="21" t="s">
        <v>1203</v>
      </c>
    </row>
    <row r="805" spans="2:5" x14ac:dyDescent="0.2">
      <c r="B805" s="18" t="s">
        <v>30</v>
      </c>
      <c r="C805" s="18" t="s">
        <v>1204</v>
      </c>
      <c r="D805" s="18" t="s">
        <v>19</v>
      </c>
      <c r="E805" s="18" t="s">
        <v>1205</v>
      </c>
    </row>
    <row r="806" spans="2:5" x14ac:dyDescent="0.2">
      <c r="B806" s="21" t="s">
        <v>33</v>
      </c>
      <c r="C806" s="21" t="s">
        <v>1206</v>
      </c>
      <c r="D806" s="21" t="s">
        <v>19</v>
      </c>
      <c r="E806" s="21" t="s">
        <v>1207</v>
      </c>
    </row>
    <row r="807" spans="2:5" x14ac:dyDescent="0.2">
      <c r="B807" s="18" t="s">
        <v>36</v>
      </c>
      <c r="C807" s="18" t="s">
        <v>1208</v>
      </c>
      <c r="D807" s="18" t="s">
        <v>19</v>
      </c>
      <c r="E807" s="18" t="s">
        <v>1209</v>
      </c>
    </row>
    <row r="808" spans="2:5" x14ac:dyDescent="0.2">
      <c r="B808" s="21" t="s">
        <v>18</v>
      </c>
      <c r="C808" s="21" t="s">
        <v>1210</v>
      </c>
      <c r="D808" s="21" t="s">
        <v>19</v>
      </c>
      <c r="E808" s="21" t="s">
        <v>1163</v>
      </c>
    </row>
    <row r="809" spans="2:5" x14ac:dyDescent="0.2">
      <c r="B809" s="18" t="s">
        <v>21</v>
      </c>
      <c r="C809" s="18" t="s">
        <v>1211</v>
      </c>
      <c r="D809" s="18" t="s">
        <v>19</v>
      </c>
      <c r="E809" s="18" t="s">
        <v>1163</v>
      </c>
    </row>
    <row r="810" spans="2:5" x14ac:dyDescent="0.2">
      <c r="B810" s="21" t="s">
        <v>24</v>
      </c>
      <c r="C810" s="21" t="s">
        <v>1212</v>
      </c>
      <c r="D810" s="21" t="s">
        <v>19</v>
      </c>
      <c r="E810" s="21" t="s">
        <v>1213</v>
      </c>
    </row>
    <row r="811" spans="2:5" x14ac:dyDescent="0.2">
      <c r="B811" s="18" t="s">
        <v>27</v>
      </c>
      <c r="C811" s="18" t="s">
        <v>1214</v>
      </c>
      <c r="D811" s="18" t="s">
        <v>19</v>
      </c>
      <c r="E811" s="18" t="s">
        <v>1215</v>
      </c>
    </row>
    <row r="812" spans="2:5" x14ac:dyDescent="0.2">
      <c r="B812" s="21" t="s">
        <v>30</v>
      </c>
      <c r="C812" s="21" t="s">
        <v>1216</v>
      </c>
      <c r="D812" s="21" t="s">
        <v>19</v>
      </c>
      <c r="E812" s="21" t="s">
        <v>1217</v>
      </c>
    </row>
    <row r="813" spans="2:5" x14ac:dyDescent="0.2">
      <c r="B813" s="18" t="s">
        <v>33</v>
      </c>
      <c r="C813" s="19">
        <v>42713</v>
      </c>
      <c r="D813" s="18" t="s">
        <v>19</v>
      </c>
      <c r="E813" s="18" t="s">
        <v>1218</v>
      </c>
    </row>
    <row r="814" spans="2:5" x14ac:dyDescent="0.2">
      <c r="B814" s="21" t="s">
        <v>36</v>
      </c>
      <c r="C814" s="22">
        <v>42683</v>
      </c>
      <c r="D814" s="21" t="s">
        <v>19</v>
      </c>
      <c r="E814" s="21" t="s">
        <v>1219</v>
      </c>
    </row>
    <row r="815" spans="2:5" x14ac:dyDescent="0.2">
      <c r="B815" s="18" t="s">
        <v>18</v>
      </c>
      <c r="C815" s="19">
        <v>42652</v>
      </c>
      <c r="D815" s="18" t="s">
        <v>19</v>
      </c>
      <c r="E815" s="18" t="s">
        <v>1220</v>
      </c>
    </row>
    <row r="816" spans="2:5" x14ac:dyDescent="0.2">
      <c r="B816" s="21" t="s">
        <v>21</v>
      </c>
      <c r="C816" s="22">
        <v>42622</v>
      </c>
      <c r="D816" s="21" t="s">
        <v>19</v>
      </c>
      <c r="E816" s="21" t="s">
        <v>1201</v>
      </c>
    </row>
    <row r="817" spans="2:5" x14ac:dyDescent="0.2">
      <c r="B817" s="18" t="s">
        <v>24</v>
      </c>
      <c r="C817" s="19">
        <v>42591</v>
      </c>
      <c r="D817" s="18" t="s">
        <v>19</v>
      </c>
      <c r="E817" s="18" t="s">
        <v>1221</v>
      </c>
    </row>
    <row r="818" spans="2:5" x14ac:dyDescent="0.2">
      <c r="B818" s="21" t="s">
        <v>27</v>
      </c>
      <c r="C818" s="22">
        <v>42560</v>
      </c>
      <c r="D818" s="21" t="s">
        <v>19</v>
      </c>
      <c r="E818" s="21" t="s">
        <v>1222</v>
      </c>
    </row>
    <row r="819" spans="2:5" x14ac:dyDescent="0.2">
      <c r="B819" s="18" t="s">
        <v>30</v>
      </c>
      <c r="C819" s="19">
        <v>42530</v>
      </c>
      <c r="D819" s="18" t="s">
        <v>19</v>
      </c>
      <c r="E819" s="18" t="s">
        <v>1223</v>
      </c>
    </row>
    <row r="820" spans="2:5" x14ac:dyDescent="0.2">
      <c r="B820" s="21" t="s">
        <v>33</v>
      </c>
      <c r="C820" s="22">
        <v>42499</v>
      </c>
      <c r="D820" s="21" t="s">
        <v>19</v>
      </c>
      <c r="E820" s="21" t="s">
        <v>1224</v>
      </c>
    </row>
    <row r="821" spans="2:5" x14ac:dyDescent="0.2">
      <c r="B821" s="18" t="s">
        <v>36</v>
      </c>
      <c r="C821" s="19">
        <v>42469</v>
      </c>
      <c r="D821" s="18" t="s">
        <v>19</v>
      </c>
      <c r="E821" s="18" t="s">
        <v>1225</v>
      </c>
    </row>
    <row r="822" spans="2:5" x14ac:dyDescent="0.2">
      <c r="B822" s="21" t="s">
        <v>18</v>
      </c>
      <c r="C822" s="22">
        <v>42438</v>
      </c>
      <c r="D822" s="21" t="s">
        <v>19</v>
      </c>
      <c r="E822" s="21" t="s">
        <v>1161</v>
      </c>
    </row>
    <row r="823" spans="2:5" x14ac:dyDescent="0.2">
      <c r="B823" s="18" t="s">
        <v>21</v>
      </c>
      <c r="C823" s="19">
        <v>42409</v>
      </c>
      <c r="D823" s="18" t="s">
        <v>19</v>
      </c>
      <c r="E823" s="18" t="s">
        <v>1181</v>
      </c>
    </row>
    <row r="824" spans="2:5" x14ac:dyDescent="0.2">
      <c r="B824" s="21" t="s">
        <v>24</v>
      </c>
      <c r="C824" s="22">
        <v>42378</v>
      </c>
      <c r="D824" s="21" t="s">
        <v>19</v>
      </c>
      <c r="E824" s="21" t="s">
        <v>1226</v>
      </c>
    </row>
    <row r="825" spans="2:5" x14ac:dyDescent="0.2">
      <c r="B825" s="18" t="s">
        <v>27</v>
      </c>
      <c r="C825" s="18" t="s">
        <v>1227</v>
      </c>
      <c r="D825" s="18" t="s">
        <v>19</v>
      </c>
      <c r="E825" s="18" t="s">
        <v>1228</v>
      </c>
    </row>
    <row r="826" spans="2:5" x14ac:dyDescent="0.2">
      <c r="B826" s="21" t="s">
        <v>30</v>
      </c>
      <c r="C826" s="21" t="s">
        <v>1229</v>
      </c>
      <c r="D826" s="21" t="s">
        <v>19</v>
      </c>
      <c r="E826" s="21" t="s">
        <v>1230</v>
      </c>
    </row>
    <row r="827" spans="2:5" x14ac:dyDescent="0.2">
      <c r="B827" s="18" t="s">
        <v>33</v>
      </c>
      <c r="C827" s="18" t="s">
        <v>1231</v>
      </c>
      <c r="D827" s="18" t="s">
        <v>19</v>
      </c>
      <c r="E827" s="18" t="s">
        <v>1232</v>
      </c>
    </row>
    <row r="828" spans="2:5" x14ac:dyDescent="0.2">
      <c r="B828" s="21" t="s">
        <v>36</v>
      </c>
      <c r="C828" s="21" t="s">
        <v>1233</v>
      </c>
      <c r="D828" s="21" t="s">
        <v>19</v>
      </c>
      <c r="E828" s="21" t="s">
        <v>1234</v>
      </c>
    </row>
    <row r="829" spans="2:5" x14ac:dyDescent="0.2">
      <c r="B829" s="18" t="s">
        <v>18</v>
      </c>
      <c r="C829" s="18" t="s">
        <v>1235</v>
      </c>
      <c r="D829" s="18" t="s">
        <v>19</v>
      </c>
      <c r="E829" s="18" t="s">
        <v>1236</v>
      </c>
    </row>
    <row r="830" spans="2:5" x14ac:dyDescent="0.2">
      <c r="B830" s="21" t="s">
        <v>21</v>
      </c>
      <c r="C830" s="21" t="s">
        <v>1237</v>
      </c>
      <c r="D830" s="21" t="s">
        <v>19</v>
      </c>
      <c r="E830" s="21" t="s">
        <v>1207</v>
      </c>
    </row>
    <row r="831" spans="2:5" x14ac:dyDescent="0.2">
      <c r="B831" s="18" t="s">
        <v>24</v>
      </c>
      <c r="C831" s="18" t="s">
        <v>1238</v>
      </c>
      <c r="D831" s="18" t="s">
        <v>19</v>
      </c>
      <c r="E831" s="18" t="s">
        <v>1239</v>
      </c>
    </row>
    <row r="832" spans="2:5" x14ac:dyDescent="0.2">
      <c r="B832" s="21" t="s">
        <v>27</v>
      </c>
      <c r="C832" s="21" t="s">
        <v>1240</v>
      </c>
      <c r="D832" s="21" t="s">
        <v>19</v>
      </c>
      <c r="E832" s="21" t="s">
        <v>1241</v>
      </c>
    </row>
    <row r="833" spans="2:5" x14ac:dyDescent="0.2">
      <c r="B833" s="18" t="s">
        <v>30</v>
      </c>
      <c r="C833" s="18" t="s">
        <v>1242</v>
      </c>
      <c r="D833" s="18" t="s">
        <v>19</v>
      </c>
      <c r="E833" s="18" t="s">
        <v>1243</v>
      </c>
    </row>
    <row r="834" spans="2:5" x14ac:dyDescent="0.2">
      <c r="B834" s="21" t="s">
        <v>33</v>
      </c>
      <c r="C834" s="21" t="s">
        <v>1244</v>
      </c>
      <c r="D834" s="21" t="s">
        <v>19</v>
      </c>
      <c r="E834" s="21" t="s">
        <v>1245</v>
      </c>
    </row>
    <row r="835" spans="2:5" x14ac:dyDescent="0.2">
      <c r="B835" s="18" t="s">
        <v>36</v>
      </c>
      <c r="C835" s="18" t="s">
        <v>1246</v>
      </c>
      <c r="D835" s="18" t="s">
        <v>19</v>
      </c>
      <c r="E835" s="18" t="s">
        <v>1247</v>
      </c>
    </row>
    <row r="836" spans="2:5" x14ac:dyDescent="0.2">
      <c r="B836" s="21" t="s">
        <v>18</v>
      </c>
      <c r="C836" s="21" t="s">
        <v>1248</v>
      </c>
      <c r="D836" s="21" t="s">
        <v>19</v>
      </c>
      <c r="E836" s="21" t="s">
        <v>1184</v>
      </c>
    </row>
    <row r="837" spans="2:5" x14ac:dyDescent="0.2">
      <c r="B837" s="18" t="s">
        <v>21</v>
      </c>
      <c r="C837" s="18" t="s">
        <v>1249</v>
      </c>
      <c r="D837" s="18" t="s">
        <v>19</v>
      </c>
      <c r="E837" s="18" t="s">
        <v>1184</v>
      </c>
    </row>
    <row r="838" spans="2:5" x14ac:dyDescent="0.2">
      <c r="B838" s="21" t="s">
        <v>24</v>
      </c>
      <c r="C838" s="21" t="s">
        <v>1250</v>
      </c>
      <c r="D838" s="21" t="s">
        <v>19</v>
      </c>
      <c r="E838" s="21" t="s">
        <v>1251</v>
      </c>
    </row>
    <row r="839" spans="2:5" x14ac:dyDescent="0.2">
      <c r="B839" s="18" t="s">
        <v>27</v>
      </c>
      <c r="C839" s="18" t="s">
        <v>1252</v>
      </c>
      <c r="D839" s="18" t="s">
        <v>19</v>
      </c>
      <c r="E839" s="18" t="s">
        <v>1220</v>
      </c>
    </row>
    <row r="840" spans="2:5" x14ac:dyDescent="0.2">
      <c r="B840" s="21" t="s">
        <v>30</v>
      </c>
      <c r="C840" s="21" t="s">
        <v>1253</v>
      </c>
      <c r="D840" s="21" t="s">
        <v>19</v>
      </c>
      <c r="E840" s="21" t="s">
        <v>1217</v>
      </c>
    </row>
    <row r="841" spans="2:5" x14ac:dyDescent="0.2">
      <c r="B841" s="18" t="s">
        <v>33</v>
      </c>
      <c r="C841" s="18" t="s">
        <v>1254</v>
      </c>
      <c r="D841" s="18" t="s">
        <v>19</v>
      </c>
      <c r="E841" s="18" t="s">
        <v>1255</v>
      </c>
    </row>
    <row r="842" spans="2:5" x14ac:dyDescent="0.2">
      <c r="B842" s="21" t="s">
        <v>36</v>
      </c>
      <c r="C842" s="21" t="s">
        <v>1256</v>
      </c>
      <c r="D842" s="21" t="s">
        <v>19</v>
      </c>
      <c r="E842" s="21" t="s">
        <v>1257</v>
      </c>
    </row>
    <row r="843" spans="2:5" x14ac:dyDescent="0.2">
      <c r="B843" s="18" t="s">
        <v>18</v>
      </c>
      <c r="C843" s="18" t="s">
        <v>1258</v>
      </c>
      <c r="D843" s="18" t="s">
        <v>19</v>
      </c>
      <c r="E843" s="18" t="s">
        <v>1259</v>
      </c>
    </row>
    <row r="844" spans="2:5" x14ac:dyDescent="0.2">
      <c r="B844" s="21" t="s">
        <v>21</v>
      </c>
      <c r="C844" s="22">
        <v>42712</v>
      </c>
      <c r="D844" s="21" t="s">
        <v>19</v>
      </c>
      <c r="E844" s="21" t="s">
        <v>1201</v>
      </c>
    </row>
    <row r="845" spans="2:5" x14ac:dyDescent="0.2">
      <c r="B845" s="18" t="s">
        <v>24</v>
      </c>
      <c r="C845" s="19">
        <v>42682</v>
      </c>
      <c r="D845" s="18" t="s">
        <v>19</v>
      </c>
      <c r="E845" s="18" t="s">
        <v>1260</v>
      </c>
    </row>
    <row r="846" spans="2:5" x14ac:dyDescent="0.2">
      <c r="B846" s="21" t="s">
        <v>27</v>
      </c>
      <c r="C846" s="22">
        <v>42651</v>
      </c>
      <c r="D846" s="21" t="s">
        <v>19</v>
      </c>
      <c r="E846" s="21" t="s">
        <v>1193</v>
      </c>
    </row>
    <row r="847" spans="2:5" x14ac:dyDescent="0.2">
      <c r="B847" s="18" t="s">
        <v>30</v>
      </c>
      <c r="C847" s="19">
        <v>42621</v>
      </c>
      <c r="D847" s="18" t="s">
        <v>19</v>
      </c>
      <c r="E847" s="18" t="s">
        <v>1261</v>
      </c>
    </row>
    <row r="848" spans="2:5" x14ac:dyDescent="0.2">
      <c r="B848" s="21" t="s">
        <v>33</v>
      </c>
      <c r="C848" s="22">
        <v>42590</v>
      </c>
      <c r="D848" s="21" t="s">
        <v>19</v>
      </c>
      <c r="E848" s="21" t="s">
        <v>1262</v>
      </c>
    </row>
    <row r="849" spans="2:5" x14ac:dyDescent="0.2">
      <c r="B849" s="18" t="s">
        <v>36</v>
      </c>
      <c r="C849" s="19">
        <v>42559</v>
      </c>
      <c r="D849" s="18" t="s">
        <v>19</v>
      </c>
      <c r="E849" s="18" t="s">
        <v>1263</v>
      </c>
    </row>
    <row r="850" spans="2:5" x14ac:dyDescent="0.2">
      <c r="B850" s="21" t="s">
        <v>18</v>
      </c>
      <c r="C850" s="22">
        <v>42529</v>
      </c>
      <c r="D850" s="21" t="s">
        <v>19</v>
      </c>
      <c r="E850" s="21" t="s">
        <v>1236</v>
      </c>
    </row>
    <row r="851" spans="2:5" x14ac:dyDescent="0.2">
      <c r="B851" s="18" t="s">
        <v>21</v>
      </c>
      <c r="C851" s="19">
        <v>42498</v>
      </c>
      <c r="D851" s="18" t="s">
        <v>19</v>
      </c>
      <c r="E851" s="18" t="s">
        <v>1174</v>
      </c>
    </row>
    <row r="852" spans="2:5" x14ac:dyDescent="0.2">
      <c r="B852" s="21" t="s">
        <v>24</v>
      </c>
      <c r="C852" s="22">
        <v>42468</v>
      </c>
      <c r="D852" s="21" t="s">
        <v>19</v>
      </c>
      <c r="E852" s="21" t="s">
        <v>1264</v>
      </c>
    </row>
    <row r="853" spans="2:5" x14ac:dyDescent="0.2">
      <c r="B853" s="18" t="s">
        <v>27</v>
      </c>
      <c r="C853" s="19">
        <v>42437</v>
      </c>
      <c r="D853" s="18" t="s">
        <v>19</v>
      </c>
      <c r="E853" s="18" t="s">
        <v>1236</v>
      </c>
    </row>
    <row r="854" spans="2:5" x14ac:dyDescent="0.2">
      <c r="B854" s="21" t="s">
        <v>30</v>
      </c>
      <c r="C854" s="22">
        <v>42408</v>
      </c>
      <c r="D854" s="21" t="s">
        <v>19</v>
      </c>
      <c r="E854" s="21" t="s">
        <v>1265</v>
      </c>
    </row>
    <row r="855" spans="2:5" x14ac:dyDescent="0.2">
      <c r="B855" s="18" t="s">
        <v>33</v>
      </c>
      <c r="C855" s="19">
        <v>42377</v>
      </c>
      <c r="D855" s="18" t="s">
        <v>19</v>
      </c>
      <c r="E855" s="18" t="s">
        <v>1213</v>
      </c>
    </row>
    <row r="856" spans="2:5" x14ac:dyDescent="0.2">
      <c r="B856" s="21" t="s">
        <v>36</v>
      </c>
      <c r="C856" s="21" t="s">
        <v>1266</v>
      </c>
      <c r="D856" s="21" t="s">
        <v>19</v>
      </c>
      <c r="E856" s="21" t="s">
        <v>1267</v>
      </c>
    </row>
    <row r="857" spans="2:5" x14ac:dyDescent="0.2">
      <c r="B857" s="18" t="s">
        <v>18</v>
      </c>
      <c r="C857" s="18" t="s">
        <v>1268</v>
      </c>
      <c r="D857" s="18" t="s">
        <v>19</v>
      </c>
      <c r="E857" s="18" t="s">
        <v>1184</v>
      </c>
    </row>
    <row r="858" spans="2:5" x14ac:dyDescent="0.2">
      <c r="B858" s="21" t="s">
        <v>21</v>
      </c>
      <c r="C858" s="21" t="s">
        <v>1269</v>
      </c>
      <c r="D858" s="21" t="s">
        <v>19</v>
      </c>
      <c r="E858" s="21" t="s">
        <v>1270</v>
      </c>
    </row>
    <row r="859" spans="2:5" x14ac:dyDescent="0.2">
      <c r="B859" s="18" t="s">
        <v>24</v>
      </c>
      <c r="C859" s="18" t="s">
        <v>1271</v>
      </c>
      <c r="D859" s="18" t="s">
        <v>19</v>
      </c>
      <c r="E859" s="18" t="s">
        <v>1272</v>
      </c>
    </row>
    <row r="860" spans="2:5" x14ac:dyDescent="0.2">
      <c r="B860" s="21" t="s">
        <v>27</v>
      </c>
      <c r="C860" s="21" t="s">
        <v>1273</v>
      </c>
      <c r="D860" s="21" t="s">
        <v>19</v>
      </c>
      <c r="E860" s="21" t="s">
        <v>1274</v>
      </c>
    </row>
    <row r="861" spans="2:5" x14ac:dyDescent="0.2">
      <c r="B861" s="18" t="s">
        <v>30</v>
      </c>
      <c r="C861" s="18" t="s">
        <v>1275</v>
      </c>
      <c r="D861" s="18" t="s">
        <v>19</v>
      </c>
      <c r="E861" s="18" t="s">
        <v>1276</v>
      </c>
    </row>
    <row r="862" spans="2:5" x14ac:dyDescent="0.2">
      <c r="B862" s="21" t="s">
        <v>33</v>
      </c>
      <c r="C862" s="21" t="s">
        <v>1277</v>
      </c>
      <c r="D862" s="21" t="s">
        <v>19</v>
      </c>
      <c r="E862" s="21" t="s">
        <v>1278</v>
      </c>
    </row>
    <row r="863" spans="2:5" x14ac:dyDescent="0.2">
      <c r="B863" s="18" t="s">
        <v>36</v>
      </c>
      <c r="C863" s="18" t="s">
        <v>1279</v>
      </c>
      <c r="D863" s="18" t="s">
        <v>19</v>
      </c>
      <c r="E863" s="18" t="s">
        <v>1280</v>
      </c>
    </row>
    <row r="864" spans="2:5" x14ac:dyDescent="0.2">
      <c r="B864" s="21" t="s">
        <v>18</v>
      </c>
      <c r="C864" s="21" t="s">
        <v>1281</v>
      </c>
      <c r="D864" s="21" t="s">
        <v>19</v>
      </c>
      <c r="E864" s="21" t="s">
        <v>1282</v>
      </c>
    </row>
    <row r="865" spans="2:5" x14ac:dyDescent="0.2">
      <c r="B865" s="18" t="s">
        <v>21</v>
      </c>
      <c r="C865" s="18" t="s">
        <v>1283</v>
      </c>
      <c r="D865" s="18" t="s">
        <v>19</v>
      </c>
      <c r="E865" s="18" t="s">
        <v>1284</v>
      </c>
    </row>
    <row r="866" spans="2:5" x14ac:dyDescent="0.2">
      <c r="B866" s="21" t="s">
        <v>24</v>
      </c>
      <c r="C866" s="21" t="s">
        <v>1285</v>
      </c>
      <c r="D866" s="21" t="s">
        <v>19</v>
      </c>
      <c r="E866" s="21" t="s">
        <v>1183</v>
      </c>
    </row>
    <row r="867" spans="2:5" x14ac:dyDescent="0.2">
      <c r="B867" s="18" t="s">
        <v>27</v>
      </c>
      <c r="C867" s="18" t="s">
        <v>1286</v>
      </c>
      <c r="D867" s="18" t="s">
        <v>19</v>
      </c>
      <c r="E867" s="18" t="s">
        <v>1203</v>
      </c>
    </row>
    <row r="868" spans="2:5" x14ac:dyDescent="0.2">
      <c r="B868" s="21" t="s">
        <v>30</v>
      </c>
      <c r="C868" s="21" t="s">
        <v>1287</v>
      </c>
      <c r="D868" s="21" t="s">
        <v>19</v>
      </c>
      <c r="E868" s="21" t="s">
        <v>1217</v>
      </c>
    </row>
    <row r="869" spans="2:5" x14ac:dyDescent="0.2">
      <c r="B869" s="18" t="s">
        <v>33</v>
      </c>
      <c r="C869" s="18" t="s">
        <v>1288</v>
      </c>
      <c r="D869" s="18" t="s">
        <v>19</v>
      </c>
      <c r="E869" s="18" t="s">
        <v>1276</v>
      </c>
    </row>
    <row r="870" spans="2:5" x14ac:dyDescent="0.2">
      <c r="B870" s="21" t="s">
        <v>36</v>
      </c>
      <c r="C870" s="21" t="s">
        <v>1289</v>
      </c>
      <c r="D870" s="21" t="s">
        <v>19</v>
      </c>
      <c r="E870" s="21" t="s">
        <v>1290</v>
      </c>
    </row>
    <row r="871" spans="2:5" x14ac:dyDescent="0.2">
      <c r="B871" s="18" t="s">
        <v>18</v>
      </c>
      <c r="C871" s="18" t="s">
        <v>1291</v>
      </c>
      <c r="D871" s="18" t="s">
        <v>19</v>
      </c>
      <c r="E871" s="18" t="s">
        <v>1292</v>
      </c>
    </row>
    <row r="872" spans="2:5" x14ac:dyDescent="0.2">
      <c r="B872" s="21" t="s">
        <v>21</v>
      </c>
      <c r="C872" s="21" t="s">
        <v>1293</v>
      </c>
      <c r="D872" s="21" t="s">
        <v>19</v>
      </c>
      <c r="E872" s="21" t="s">
        <v>1189</v>
      </c>
    </row>
    <row r="873" spans="2:5" x14ac:dyDescent="0.2">
      <c r="B873" s="18" t="s">
        <v>24</v>
      </c>
      <c r="C873" s="18" t="s">
        <v>1294</v>
      </c>
      <c r="D873" s="18" t="s">
        <v>19</v>
      </c>
      <c r="E873" s="18" t="s">
        <v>1226</v>
      </c>
    </row>
    <row r="874" spans="2:5" x14ac:dyDescent="0.2">
      <c r="B874" s="21" t="s">
        <v>27</v>
      </c>
      <c r="C874" s="21" t="s">
        <v>1295</v>
      </c>
      <c r="D874" s="21" t="s">
        <v>19</v>
      </c>
      <c r="E874" s="21" t="s">
        <v>1296</v>
      </c>
    </row>
    <row r="875" spans="2:5" x14ac:dyDescent="0.2">
      <c r="B875" s="18" t="s">
        <v>30</v>
      </c>
      <c r="C875" s="19">
        <v>42711</v>
      </c>
      <c r="D875" s="18" t="s">
        <v>19</v>
      </c>
      <c r="E875" s="18" t="s">
        <v>1297</v>
      </c>
    </row>
    <row r="876" spans="2:5" x14ac:dyDescent="0.2">
      <c r="B876" s="21" t="s">
        <v>33</v>
      </c>
      <c r="C876" s="22">
        <v>42681</v>
      </c>
      <c r="D876" s="21" t="s">
        <v>19</v>
      </c>
      <c r="E876" s="21" t="s">
        <v>1298</v>
      </c>
    </row>
    <row r="877" spans="2:5" x14ac:dyDescent="0.2">
      <c r="B877" s="18" t="s">
        <v>36</v>
      </c>
      <c r="C877" s="19">
        <v>42650</v>
      </c>
      <c r="D877" s="18" t="s">
        <v>19</v>
      </c>
      <c r="E877" s="18" t="s">
        <v>1299</v>
      </c>
    </row>
    <row r="878" spans="2:5" x14ac:dyDescent="0.2">
      <c r="B878" s="21" t="s">
        <v>18</v>
      </c>
      <c r="C878" s="22">
        <v>42620</v>
      </c>
      <c r="D878" s="21" t="s">
        <v>19</v>
      </c>
      <c r="E878" s="21" t="s">
        <v>1300</v>
      </c>
    </row>
    <row r="879" spans="2:5" x14ac:dyDescent="0.2">
      <c r="B879" s="18" t="s">
        <v>21</v>
      </c>
      <c r="C879" s="19">
        <v>42589</v>
      </c>
      <c r="D879" s="18" t="s">
        <v>19</v>
      </c>
      <c r="E879" s="18" t="s">
        <v>1218</v>
      </c>
    </row>
    <row r="880" spans="2:5" x14ac:dyDescent="0.2">
      <c r="B880" s="21" t="s">
        <v>24</v>
      </c>
      <c r="C880" s="22">
        <v>42558</v>
      </c>
      <c r="D880" s="21" t="s">
        <v>19</v>
      </c>
      <c r="E880" s="21" t="s">
        <v>1301</v>
      </c>
    </row>
    <row r="881" spans="2:5" x14ac:dyDescent="0.2">
      <c r="B881" s="18" t="s">
        <v>27</v>
      </c>
      <c r="C881" s="19">
        <v>42528</v>
      </c>
      <c r="D881" s="18" t="s">
        <v>19</v>
      </c>
      <c r="E881" s="18" t="s">
        <v>1302</v>
      </c>
    </row>
    <row r="882" spans="2:5" x14ac:dyDescent="0.2">
      <c r="B882" s="21" t="s">
        <v>30</v>
      </c>
      <c r="C882" s="22">
        <v>42497</v>
      </c>
      <c r="D882" s="21" t="s">
        <v>19</v>
      </c>
      <c r="E882" s="21" t="s">
        <v>1303</v>
      </c>
    </row>
    <row r="883" spans="2:5" x14ac:dyDescent="0.2">
      <c r="B883" s="18" t="s">
        <v>33</v>
      </c>
      <c r="C883" s="19">
        <v>42467</v>
      </c>
      <c r="D883" s="18" t="s">
        <v>19</v>
      </c>
      <c r="E883" s="18" t="s">
        <v>1304</v>
      </c>
    </row>
    <row r="884" spans="2:5" x14ac:dyDescent="0.2">
      <c r="B884" s="21" t="s">
        <v>36</v>
      </c>
      <c r="C884" s="22">
        <v>42436</v>
      </c>
      <c r="D884" s="21" t="s">
        <v>19</v>
      </c>
      <c r="E884" s="21" t="s">
        <v>1305</v>
      </c>
    </row>
    <row r="885" spans="2:5" x14ac:dyDescent="0.2">
      <c r="B885" s="18" t="s">
        <v>18</v>
      </c>
      <c r="C885" s="19">
        <v>42407</v>
      </c>
      <c r="D885" s="18" t="s">
        <v>19</v>
      </c>
      <c r="E885" s="18" t="s">
        <v>1306</v>
      </c>
    </row>
    <row r="886" spans="2:5" x14ac:dyDescent="0.2">
      <c r="B886" s="21" t="s">
        <v>21</v>
      </c>
      <c r="C886" s="22">
        <v>42376</v>
      </c>
      <c r="D886" s="21" t="s">
        <v>19</v>
      </c>
      <c r="E886" s="21" t="s">
        <v>1141</v>
      </c>
    </row>
    <row r="887" spans="2:5" x14ac:dyDescent="0.2">
      <c r="B887" s="18" t="s">
        <v>24</v>
      </c>
      <c r="C887" s="18" t="s">
        <v>1307</v>
      </c>
      <c r="D887" s="18" t="s">
        <v>19</v>
      </c>
      <c r="E887" s="18" t="s">
        <v>1308</v>
      </c>
    </row>
    <row r="888" spans="2:5" x14ac:dyDescent="0.2">
      <c r="B888" s="21" t="s">
        <v>27</v>
      </c>
      <c r="C888" s="21" t="s">
        <v>1309</v>
      </c>
      <c r="D888" s="21" t="s">
        <v>19</v>
      </c>
      <c r="E888" s="21" t="s">
        <v>1155</v>
      </c>
    </row>
    <row r="889" spans="2:5" x14ac:dyDescent="0.2">
      <c r="B889" s="18" t="s">
        <v>30</v>
      </c>
      <c r="C889" s="18" t="s">
        <v>1310</v>
      </c>
      <c r="D889" s="18" t="s">
        <v>19</v>
      </c>
      <c r="E889" s="18" t="s">
        <v>1311</v>
      </c>
    </row>
    <row r="890" spans="2:5" x14ac:dyDescent="0.2">
      <c r="B890" s="21" t="s">
        <v>33</v>
      </c>
      <c r="C890" s="21" t="s">
        <v>1312</v>
      </c>
      <c r="D890" s="21" t="s">
        <v>19</v>
      </c>
      <c r="E890" s="21" t="s">
        <v>1313</v>
      </c>
    </row>
    <row r="891" spans="2:5" x14ac:dyDescent="0.2">
      <c r="B891" s="18" t="s">
        <v>36</v>
      </c>
      <c r="C891" s="18" t="s">
        <v>1314</v>
      </c>
      <c r="D891" s="18" t="s">
        <v>19</v>
      </c>
      <c r="E891" s="18" t="s">
        <v>1315</v>
      </c>
    </row>
    <row r="892" spans="2:5" x14ac:dyDescent="0.2">
      <c r="B892" s="21" t="s">
        <v>18</v>
      </c>
      <c r="C892" s="21" t="s">
        <v>1316</v>
      </c>
      <c r="D892" s="21" t="s">
        <v>19</v>
      </c>
      <c r="E892" s="21" t="s">
        <v>1265</v>
      </c>
    </row>
    <row r="893" spans="2:5" x14ac:dyDescent="0.2">
      <c r="B893" s="18" t="s">
        <v>21</v>
      </c>
      <c r="C893" s="18" t="s">
        <v>1317</v>
      </c>
      <c r="D893" s="18" t="s">
        <v>19</v>
      </c>
      <c r="E893" s="18" t="s">
        <v>1318</v>
      </c>
    </row>
    <row r="894" spans="2:5" x14ac:dyDescent="0.2">
      <c r="B894" s="21" t="s">
        <v>24</v>
      </c>
      <c r="C894" s="21" t="s">
        <v>1319</v>
      </c>
      <c r="D894" s="21" t="s">
        <v>19</v>
      </c>
      <c r="E894" s="21" t="s">
        <v>1320</v>
      </c>
    </row>
    <row r="895" spans="2:5" x14ac:dyDescent="0.2">
      <c r="B895" s="18" t="s">
        <v>27</v>
      </c>
      <c r="C895" s="18" t="s">
        <v>1321</v>
      </c>
      <c r="D895" s="18" t="s">
        <v>19</v>
      </c>
      <c r="E895" s="18" t="s">
        <v>1189</v>
      </c>
    </row>
    <row r="896" spans="2:5" x14ac:dyDescent="0.2">
      <c r="B896" s="21" t="s">
        <v>30</v>
      </c>
      <c r="C896" s="21" t="s">
        <v>1322</v>
      </c>
      <c r="D896" s="21" t="s">
        <v>19</v>
      </c>
      <c r="E896" s="21" t="s">
        <v>1179</v>
      </c>
    </row>
    <row r="897" spans="2:5" x14ac:dyDescent="0.2">
      <c r="B897" s="18" t="s">
        <v>33</v>
      </c>
      <c r="C897" s="18" t="s">
        <v>1323</v>
      </c>
      <c r="D897" s="18" t="s">
        <v>19</v>
      </c>
      <c r="E897" s="18" t="s">
        <v>1324</v>
      </c>
    </row>
    <row r="898" spans="2:5" x14ac:dyDescent="0.2">
      <c r="B898" s="21" t="s">
        <v>36</v>
      </c>
      <c r="C898" s="21" t="s">
        <v>1325</v>
      </c>
      <c r="D898" s="21" t="s">
        <v>19</v>
      </c>
      <c r="E898" s="21" t="s">
        <v>1326</v>
      </c>
    </row>
    <row r="899" spans="2:5" x14ac:dyDescent="0.2">
      <c r="B899" s="18" t="s">
        <v>18</v>
      </c>
      <c r="C899" s="18" t="s">
        <v>1327</v>
      </c>
      <c r="D899" s="18" t="s">
        <v>19</v>
      </c>
      <c r="E899" s="18" t="s">
        <v>1215</v>
      </c>
    </row>
    <row r="900" spans="2:5" x14ac:dyDescent="0.2">
      <c r="B900" s="21" t="s">
        <v>21</v>
      </c>
      <c r="C900" s="21" t="s">
        <v>1328</v>
      </c>
      <c r="D900" s="21" t="s">
        <v>19</v>
      </c>
      <c r="E900" s="21" t="s">
        <v>1215</v>
      </c>
    </row>
    <row r="901" spans="2:5" x14ac:dyDescent="0.2">
      <c r="B901" s="18" t="s">
        <v>24</v>
      </c>
      <c r="C901" s="18" t="s">
        <v>1329</v>
      </c>
      <c r="D901" s="18" t="s">
        <v>19</v>
      </c>
      <c r="E901" s="18" t="s">
        <v>1203</v>
      </c>
    </row>
    <row r="902" spans="2:5" x14ac:dyDescent="0.2">
      <c r="B902" s="21" t="s">
        <v>27</v>
      </c>
      <c r="C902" s="21" t="s">
        <v>1330</v>
      </c>
      <c r="D902" s="21" t="s">
        <v>19</v>
      </c>
      <c r="E902" s="21" t="s">
        <v>1177</v>
      </c>
    </row>
    <row r="903" spans="2:5" x14ac:dyDescent="0.2">
      <c r="B903" s="18" t="s">
        <v>30</v>
      </c>
      <c r="C903" s="18" t="s">
        <v>1331</v>
      </c>
      <c r="D903" s="18" t="s">
        <v>19</v>
      </c>
      <c r="E903" s="18" t="s">
        <v>1263</v>
      </c>
    </row>
    <row r="904" spans="2:5" x14ac:dyDescent="0.2">
      <c r="B904" s="21" t="s">
        <v>33</v>
      </c>
      <c r="C904" s="21" t="s">
        <v>1332</v>
      </c>
      <c r="D904" s="21" t="s">
        <v>19</v>
      </c>
      <c r="E904" s="21" t="s">
        <v>1333</v>
      </c>
    </row>
    <row r="905" spans="2:5" x14ac:dyDescent="0.2">
      <c r="B905" s="18" t="s">
        <v>36</v>
      </c>
      <c r="C905" s="19">
        <v>42710</v>
      </c>
      <c r="D905" s="18" t="s">
        <v>19</v>
      </c>
      <c r="E905" s="18" t="s">
        <v>1260</v>
      </c>
    </row>
    <row r="906" spans="2:5" x14ac:dyDescent="0.2">
      <c r="B906" s="21" t="s">
        <v>18</v>
      </c>
      <c r="C906" s="22">
        <v>42680</v>
      </c>
      <c r="D906" s="21" t="s">
        <v>19</v>
      </c>
      <c r="E906" s="21" t="s">
        <v>1334</v>
      </c>
    </row>
    <row r="907" spans="2:5" x14ac:dyDescent="0.2">
      <c r="B907" s="18" t="s">
        <v>21</v>
      </c>
      <c r="C907" s="19">
        <v>42649</v>
      </c>
      <c r="D907" s="18" t="s">
        <v>19</v>
      </c>
      <c r="E907" s="18" t="s">
        <v>1335</v>
      </c>
    </row>
    <row r="908" spans="2:5" x14ac:dyDescent="0.2">
      <c r="B908" s="21" t="s">
        <v>24</v>
      </c>
      <c r="C908" s="22">
        <v>42619</v>
      </c>
      <c r="D908" s="21" t="s">
        <v>19</v>
      </c>
      <c r="E908" s="21" t="s">
        <v>1336</v>
      </c>
    </row>
    <row r="909" spans="2:5" x14ac:dyDescent="0.2">
      <c r="B909" s="18" t="s">
        <v>27</v>
      </c>
      <c r="C909" s="19">
        <v>42588</v>
      </c>
      <c r="D909" s="18" t="s">
        <v>19</v>
      </c>
      <c r="E909" s="18" t="s">
        <v>1174</v>
      </c>
    </row>
    <row r="910" spans="2:5" x14ac:dyDescent="0.2">
      <c r="B910" s="21" t="s">
        <v>30</v>
      </c>
      <c r="C910" s="22">
        <v>42557</v>
      </c>
      <c r="D910" s="21" t="s">
        <v>19</v>
      </c>
      <c r="E910" s="21" t="s">
        <v>1167</v>
      </c>
    </row>
    <row r="911" spans="2:5" x14ac:dyDescent="0.2">
      <c r="B911" s="18" t="s">
        <v>33</v>
      </c>
      <c r="C911" s="19">
        <v>42527</v>
      </c>
      <c r="D911" s="18" t="s">
        <v>19</v>
      </c>
      <c r="E911" s="18" t="s">
        <v>1215</v>
      </c>
    </row>
    <row r="912" spans="2:5" x14ac:dyDescent="0.2">
      <c r="B912" s="21" t="s">
        <v>36</v>
      </c>
      <c r="C912" s="22">
        <v>42496</v>
      </c>
      <c r="D912" s="21" t="s">
        <v>19</v>
      </c>
      <c r="E912" s="21" t="s">
        <v>1337</v>
      </c>
    </row>
    <row r="913" spans="2:5" x14ac:dyDescent="0.2">
      <c r="B913" s="18" t="s">
        <v>18</v>
      </c>
      <c r="C913" s="19">
        <v>42466</v>
      </c>
      <c r="D913" s="18" t="s">
        <v>19</v>
      </c>
      <c r="E913" s="18" t="s">
        <v>1338</v>
      </c>
    </row>
    <row r="914" spans="2:5" x14ac:dyDescent="0.2">
      <c r="B914" s="21" t="s">
        <v>21</v>
      </c>
      <c r="C914" s="22">
        <v>42435</v>
      </c>
      <c r="D914" s="21" t="s">
        <v>19</v>
      </c>
      <c r="E914" s="21" t="s">
        <v>1167</v>
      </c>
    </row>
    <row r="915" spans="2:5" x14ac:dyDescent="0.2">
      <c r="B915" s="18" t="s">
        <v>24</v>
      </c>
      <c r="C915" s="19">
        <v>42406</v>
      </c>
      <c r="D915" s="18" t="s">
        <v>19</v>
      </c>
      <c r="E915" s="18" t="s">
        <v>1339</v>
      </c>
    </row>
    <row r="916" spans="2:5" x14ac:dyDescent="0.2">
      <c r="B916" s="21" t="s">
        <v>27</v>
      </c>
      <c r="C916" s="22">
        <v>42375</v>
      </c>
      <c r="D916" s="21" t="s">
        <v>19</v>
      </c>
      <c r="E916" s="21" t="s">
        <v>1340</v>
      </c>
    </row>
    <row r="917" spans="2:5" x14ac:dyDescent="0.2">
      <c r="B917" s="18" t="s">
        <v>30</v>
      </c>
      <c r="C917" s="18" t="s">
        <v>1341</v>
      </c>
      <c r="D917" s="18" t="s">
        <v>19</v>
      </c>
      <c r="E917" s="18" t="s">
        <v>1342</v>
      </c>
    </row>
    <row r="918" spans="2:5" x14ac:dyDescent="0.2">
      <c r="B918" s="21" t="s">
        <v>33</v>
      </c>
      <c r="C918" s="21" t="s">
        <v>1343</v>
      </c>
      <c r="D918" s="21" t="s">
        <v>19</v>
      </c>
      <c r="E918" s="21" t="s">
        <v>1270</v>
      </c>
    </row>
    <row r="919" spans="2:5" x14ac:dyDescent="0.2">
      <c r="B919" s="18" t="s">
        <v>36</v>
      </c>
      <c r="C919" s="18" t="s">
        <v>1344</v>
      </c>
      <c r="D919" s="18" t="s">
        <v>19</v>
      </c>
      <c r="E919" s="18" t="s">
        <v>1245</v>
      </c>
    </row>
    <row r="920" spans="2:5" x14ac:dyDescent="0.2">
      <c r="B920" s="21" t="s">
        <v>18</v>
      </c>
      <c r="C920" s="21" t="s">
        <v>1345</v>
      </c>
      <c r="D920" s="21" t="s">
        <v>19</v>
      </c>
      <c r="E920" s="21" t="s">
        <v>1346</v>
      </c>
    </row>
    <row r="921" spans="2:5" x14ac:dyDescent="0.2">
      <c r="B921" s="18" t="s">
        <v>21</v>
      </c>
      <c r="C921" s="18" t="s">
        <v>1347</v>
      </c>
      <c r="D921" s="18" t="s">
        <v>19</v>
      </c>
      <c r="E921" s="18" t="s">
        <v>1346</v>
      </c>
    </row>
    <row r="922" spans="2:5" x14ac:dyDescent="0.2">
      <c r="B922" s="21" t="s">
        <v>24</v>
      </c>
      <c r="C922" s="21" t="s">
        <v>1348</v>
      </c>
      <c r="D922" s="21" t="s">
        <v>19</v>
      </c>
      <c r="E922" s="21" t="s">
        <v>1137</v>
      </c>
    </row>
    <row r="923" spans="2:5" x14ac:dyDescent="0.2">
      <c r="B923" s="18" t="s">
        <v>27</v>
      </c>
      <c r="C923" s="18" t="s">
        <v>1349</v>
      </c>
      <c r="D923" s="18" t="s">
        <v>19</v>
      </c>
      <c r="E923" s="18" t="s">
        <v>1350</v>
      </c>
    </row>
    <row r="924" spans="2:5" x14ac:dyDescent="0.2">
      <c r="B924" s="21" t="s">
        <v>30</v>
      </c>
      <c r="C924" s="21" t="s">
        <v>1351</v>
      </c>
      <c r="D924" s="21" t="s">
        <v>19</v>
      </c>
      <c r="E924" s="21" t="s">
        <v>1243</v>
      </c>
    </row>
    <row r="925" spans="2:5" x14ac:dyDescent="0.2">
      <c r="B925" s="18" t="s">
        <v>33</v>
      </c>
      <c r="C925" s="18" t="s">
        <v>1352</v>
      </c>
      <c r="D925" s="18" t="s">
        <v>19</v>
      </c>
      <c r="E925" s="18" t="s">
        <v>1274</v>
      </c>
    </row>
    <row r="926" spans="2:5" x14ac:dyDescent="0.2">
      <c r="B926" s="21" t="s">
        <v>36</v>
      </c>
      <c r="C926" s="21" t="s">
        <v>1353</v>
      </c>
      <c r="D926" s="21" t="s">
        <v>19</v>
      </c>
      <c r="E926" s="21" t="s">
        <v>1255</v>
      </c>
    </row>
    <row r="927" spans="2:5" x14ac:dyDescent="0.2">
      <c r="B927" s="18" t="s">
        <v>18</v>
      </c>
      <c r="C927" s="18" t="s">
        <v>1354</v>
      </c>
      <c r="D927" s="18" t="s">
        <v>19</v>
      </c>
      <c r="E927" s="18" t="s">
        <v>1241</v>
      </c>
    </row>
    <row r="928" spans="2:5" x14ac:dyDescent="0.2">
      <c r="B928" s="21" t="s">
        <v>21</v>
      </c>
      <c r="C928" s="21" t="s">
        <v>1355</v>
      </c>
      <c r="D928" s="21" t="s">
        <v>19</v>
      </c>
      <c r="E928" s="21" t="s">
        <v>1336</v>
      </c>
    </row>
    <row r="929" spans="2:5" x14ac:dyDescent="0.2">
      <c r="B929" s="18" t="s">
        <v>24</v>
      </c>
      <c r="C929" s="18" t="s">
        <v>1356</v>
      </c>
      <c r="D929" s="18" t="s">
        <v>19</v>
      </c>
      <c r="E929" s="18" t="s">
        <v>1357</v>
      </c>
    </row>
    <row r="930" spans="2:5" x14ac:dyDescent="0.2">
      <c r="B930" s="21" t="s">
        <v>27</v>
      </c>
      <c r="C930" s="21" t="s">
        <v>1358</v>
      </c>
      <c r="D930" s="21" t="s">
        <v>19</v>
      </c>
      <c r="E930" s="21" t="s">
        <v>1359</v>
      </c>
    </row>
    <row r="931" spans="2:5" x14ac:dyDescent="0.2">
      <c r="B931" s="18" t="s">
        <v>30</v>
      </c>
      <c r="C931" s="18" t="s">
        <v>1360</v>
      </c>
      <c r="D931" s="18" t="s">
        <v>19</v>
      </c>
      <c r="E931" s="18" t="s">
        <v>1361</v>
      </c>
    </row>
    <row r="932" spans="2:5" x14ac:dyDescent="0.2">
      <c r="B932" s="21" t="s">
        <v>33</v>
      </c>
      <c r="C932" s="21" t="s">
        <v>1362</v>
      </c>
      <c r="D932" s="21" t="s">
        <v>19</v>
      </c>
      <c r="E932" s="21" t="s">
        <v>1363</v>
      </c>
    </row>
    <row r="933" spans="2:5" x14ac:dyDescent="0.2">
      <c r="B933" s="18" t="s">
        <v>36</v>
      </c>
      <c r="C933" s="18" t="s">
        <v>1364</v>
      </c>
      <c r="D933" s="18" t="s">
        <v>19</v>
      </c>
      <c r="E933" s="18" t="s">
        <v>1365</v>
      </c>
    </row>
    <row r="934" spans="2:5" x14ac:dyDescent="0.2">
      <c r="B934" s="21" t="s">
        <v>18</v>
      </c>
      <c r="C934" s="21" t="s">
        <v>1366</v>
      </c>
      <c r="D934" s="21" t="s">
        <v>19</v>
      </c>
      <c r="E934" s="21" t="s">
        <v>1367</v>
      </c>
    </row>
    <row r="935" spans="2:5" x14ac:dyDescent="0.2">
      <c r="B935" s="18" t="s">
        <v>21</v>
      </c>
      <c r="C935" s="18" t="s">
        <v>1368</v>
      </c>
      <c r="D935" s="18" t="s">
        <v>19</v>
      </c>
      <c r="E935" s="18" t="s">
        <v>1367</v>
      </c>
    </row>
    <row r="936" spans="2:5" x14ac:dyDescent="0.2">
      <c r="B936" s="21" t="s">
        <v>24</v>
      </c>
      <c r="C936" s="22">
        <v>42709</v>
      </c>
      <c r="D936" s="21" t="s">
        <v>19</v>
      </c>
      <c r="E936" s="21" t="s">
        <v>1369</v>
      </c>
    </row>
    <row r="937" spans="2:5" x14ac:dyDescent="0.2">
      <c r="B937" s="18" t="s">
        <v>27</v>
      </c>
      <c r="C937" s="19">
        <v>42679</v>
      </c>
      <c r="D937" s="18" t="s">
        <v>19</v>
      </c>
      <c r="E937" s="18" t="s">
        <v>1299</v>
      </c>
    </row>
    <row r="938" spans="2:5" x14ac:dyDescent="0.2">
      <c r="B938" s="21" t="s">
        <v>30</v>
      </c>
      <c r="C938" s="22">
        <v>42648</v>
      </c>
      <c r="D938" s="21" t="s">
        <v>19</v>
      </c>
      <c r="E938" s="21" t="s">
        <v>1155</v>
      </c>
    </row>
    <row r="939" spans="2:5" x14ac:dyDescent="0.2">
      <c r="B939" s="18" t="s">
        <v>33</v>
      </c>
      <c r="C939" s="19">
        <v>42618</v>
      </c>
      <c r="D939" s="18" t="s">
        <v>19</v>
      </c>
      <c r="E939" s="18" t="s">
        <v>1370</v>
      </c>
    </row>
    <row r="940" spans="2:5" x14ac:dyDescent="0.2">
      <c r="B940" s="21" t="s">
        <v>36</v>
      </c>
      <c r="C940" s="22">
        <v>42587</v>
      </c>
      <c r="D940" s="21" t="s">
        <v>19</v>
      </c>
      <c r="E940" s="21" t="s">
        <v>1305</v>
      </c>
    </row>
    <row r="941" spans="2:5" x14ac:dyDescent="0.2">
      <c r="B941" s="18" t="s">
        <v>18</v>
      </c>
      <c r="C941" s="19">
        <v>42556</v>
      </c>
      <c r="D941" s="18" t="s">
        <v>19</v>
      </c>
      <c r="E941" s="18" t="s">
        <v>1365</v>
      </c>
    </row>
    <row r="942" spans="2:5" x14ac:dyDescent="0.2">
      <c r="B942" s="21" t="s">
        <v>21</v>
      </c>
      <c r="C942" s="22">
        <v>42526</v>
      </c>
      <c r="D942" s="21" t="s">
        <v>19</v>
      </c>
      <c r="E942" s="21" t="s">
        <v>1371</v>
      </c>
    </row>
    <row r="943" spans="2:5" x14ac:dyDescent="0.2">
      <c r="B943" s="18" t="s">
        <v>24</v>
      </c>
      <c r="C943" s="19">
        <v>42495</v>
      </c>
      <c r="D943" s="18" t="s">
        <v>19</v>
      </c>
      <c r="E943" s="18" t="s">
        <v>1243</v>
      </c>
    </row>
    <row r="944" spans="2:5" x14ac:dyDescent="0.2">
      <c r="B944" s="21" t="s">
        <v>27</v>
      </c>
      <c r="C944" s="22">
        <v>42465</v>
      </c>
      <c r="D944" s="21" t="s">
        <v>19</v>
      </c>
      <c r="E944" s="21" t="s">
        <v>1184</v>
      </c>
    </row>
    <row r="945" spans="2:5" x14ac:dyDescent="0.2">
      <c r="B945" s="18" t="s">
        <v>30</v>
      </c>
      <c r="C945" s="19">
        <v>42434</v>
      </c>
      <c r="D945" s="18" t="s">
        <v>19</v>
      </c>
      <c r="E945" s="18" t="s">
        <v>1372</v>
      </c>
    </row>
    <row r="946" spans="2:5" x14ac:dyDescent="0.2">
      <c r="B946" s="21" t="s">
        <v>33</v>
      </c>
      <c r="C946" s="22">
        <v>42405</v>
      </c>
      <c r="D946" s="21" t="s">
        <v>19</v>
      </c>
      <c r="E946" s="21" t="s">
        <v>1340</v>
      </c>
    </row>
    <row r="947" spans="2:5" x14ac:dyDescent="0.2">
      <c r="B947" s="18" t="s">
        <v>36</v>
      </c>
      <c r="C947" s="19">
        <v>42374</v>
      </c>
      <c r="D947" s="18" t="s">
        <v>19</v>
      </c>
      <c r="E947" s="18" t="s">
        <v>1373</v>
      </c>
    </row>
    <row r="948" spans="2:5" x14ac:dyDescent="0.2">
      <c r="B948" s="21" t="s">
        <v>18</v>
      </c>
      <c r="C948" s="21" t="s">
        <v>1374</v>
      </c>
      <c r="D948" s="21" t="s">
        <v>19</v>
      </c>
      <c r="E948" s="21" t="s">
        <v>1224</v>
      </c>
    </row>
    <row r="949" spans="2:5" x14ac:dyDescent="0.2">
      <c r="B949" s="18" t="s">
        <v>21</v>
      </c>
      <c r="C949" s="18" t="s">
        <v>1375</v>
      </c>
      <c r="D949" s="18" t="s">
        <v>19</v>
      </c>
      <c r="E949" s="18" t="s">
        <v>1224</v>
      </c>
    </row>
    <row r="950" spans="2:5" x14ac:dyDescent="0.2">
      <c r="B950" s="21" t="s">
        <v>24</v>
      </c>
      <c r="C950" s="21" t="s">
        <v>1376</v>
      </c>
      <c r="D950" s="21" t="s">
        <v>19</v>
      </c>
      <c r="E950" s="21" t="s">
        <v>1377</v>
      </c>
    </row>
    <row r="951" spans="2:5" x14ac:dyDescent="0.2">
      <c r="B951" s="18" t="s">
        <v>27</v>
      </c>
      <c r="C951" s="18" t="s">
        <v>1378</v>
      </c>
      <c r="D951" s="18" t="s">
        <v>19</v>
      </c>
      <c r="E951" s="18" t="s">
        <v>1178</v>
      </c>
    </row>
    <row r="952" spans="2:5" x14ac:dyDescent="0.2">
      <c r="B952" s="21" t="s">
        <v>30</v>
      </c>
      <c r="C952" s="21" t="s">
        <v>1379</v>
      </c>
      <c r="D952" s="21" t="s">
        <v>19</v>
      </c>
      <c r="E952" s="21" t="s">
        <v>1223</v>
      </c>
    </row>
    <row r="953" spans="2:5" x14ac:dyDescent="0.2">
      <c r="B953" s="18" t="s">
        <v>33</v>
      </c>
      <c r="C953" s="18" t="s">
        <v>1380</v>
      </c>
      <c r="D953" s="18" t="s">
        <v>19</v>
      </c>
      <c r="E953" s="18" t="s">
        <v>1167</v>
      </c>
    </row>
    <row r="954" spans="2:5" x14ac:dyDescent="0.2">
      <c r="B954" s="21" t="s">
        <v>36</v>
      </c>
      <c r="C954" s="21" t="s">
        <v>1381</v>
      </c>
      <c r="D954" s="21" t="s">
        <v>19</v>
      </c>
      <c r="E954" s="21" t="s">
        <v>1139</v>
      </c>
    </row>
    <row r="955" spans="2:5" x14ac:dyDescent="0.2">
      <c r="B955" s="18" t="s">
        <v>18</v>
      </c>
      <c r="C955" s="18" t="s">
        <v>1382</v>
      </c>
      <c r="D955" s="18" t="s">
        <v>19</v>
      </c>
      <c r="E955" s="18" t="s">
        <v>1383</v>
      </c>
    </row>
    <row r="956" spans="2:5" x14ac:dyDescent="0.2">
      <c r="B956" s="21" t="s">
        <v>21</v>
      </c>
      <c r="C956" s="21" t="s">
        <v>1384</v>
      </c>
      <c r="D956" s="21" t="s">
        <v>19</v>
      </c>
      <c r="E956" s="21" t="s">
        <v>1385</v>
      </c>
    </row>
    <row r="957" spans="2:5" x14ac:dyDescent="0.2">
      <c r="B957" s="18" t="s">
        <v>24</v>
      </c>
      <c r="C957" s="18" t="s">
        <v>1386</v>
      </c>
      <c r="D957" s="18" t="s">
        <v>19</v>
      </c>
      <c r="E957" s="18" t="s">
        <v>1387</v>
      </c>
    </row>
    <row r="958" spans="2:5" x14ac:dyDescent="0.2">
      <c r="B958" s="21" t="s">
        <v>27</v>
      </c>
      <c r="C958" s="21" t="s">
        <v>1388</v>
      </c>
      <c r="D958" s="21" t="s">
        <v>19</v>
      </c>
      <c r="E958" s="21" t="s">
        <v>1236</v>
      </c>
    </row>
    <row r="959" spans="2:5" x14ac:dyDescent="0.2">
      <c r="B959" s="18" t="s">
        <v>30</v>
      </c>
      <c r="C959" s="18" t="s">
        <v>1389</v>
      </c>
      <c r="D959" s="18" t="s">
        <v>19</v>
      </c>
      <c r="E959" s="18" t="s">
        <v>1390</v>
      </c>
    </row>
    <row r="960" spans="2:5" x14ac:dyDescent="0.2">
      <c r="B960" s="21" t="s">
        <v>33</v>
      </c>
      <c r="C960" s="21" t="s">
        <v>1391</v>
      </c>
      <c r="D960" s="21" t="s">
        <v>19</v>
      </c>
      <c r="E960" s="21" t="s">
        <v>1392</v>
      </c>
    </row>
    <row r="961" spans="2:5" x14ac:dyDescent="0.2">
      <c r="B961" s="18" t="s">
        <v>36</v>
      </c>
      <c r="C961" s="18" t="s">
        <v>1393</v>
      </c>
      <c r="D961" s="18" t="s">
        <v>19</v>
      </c>
      <c r="E961" s="18" t="s">
        <v>1394</v>
      </c>
    </row>
    <row r="962" spans="2:5" x14ac:dyDescent="0.2">
      <c r="B962" s="21" t="s">
        <v>18</v>
      </c>
      <c r="C962" s="21" t="s">
        <v>1395</v>
      </c>
      <c r="D962" s="21" t="s">
        <v>19</v>
      </c>
      <c r="E962" s="21" t="s">
        <v>1396</v>
      </c>
    </row>
    <row r="963" spans="2:5" x14ac:dyDescent="0.2">
      <c r="B963" s="18" t="s">
        <v>21</v>
      </c>
      <c r="C963" s="18" t="s">
        <v>1397</v>
      </c>
      <c r="D963" s="18" t="s">
        <v>19</v>
      </c>
      <c r="E963" s="18" t="s">
        <v>1396</v>
      </c>
    </row>
    <row r="964" spans="2:5" x14ac:dyDescent="0.2">
      <c r="B964" s="21" t="s">
        <v>24</v>
      </c>
      <c r="C964" s="21" t="s">
        <v>1398</v>
      </c>
      <c r="D964" s="21" t="s">
        <v>19</v>
      </c>
      <c r="E964" s="21" t="s">
        <v>1205</v>
      </c>
    </row>
    <row r="965" spans="2:5" x14ac:dyDescent="0.2">
      <c r="B965" s="18" t="s">
        <v>27</v>
      </c>
      <c r="C965" s="18" t="s">
        <v>1399</v>
      </c>
      <c r="D965" s="18" t="s">
        <v>19</v>
      </c>
      <c r="E965" s="18" t="s">
        <v>1383</v>
      </c>
    </row>
    <row r="966" spans="2:5" x14ac:dyDescent="0.2">
      <c r="B966" s="21" t="s">
        <v>30</v>
      </c>
      <c r="C966" s="22">
        <v>42708</v>
      </c>
      <c r="D966" s="21" t="s">
        <v>19</v>
      </c>
      <c r="E966" s="21" t="s">
        <v>1193</v>
      </c>
    </row>
    <row r="967" spans="2:5" x14ac:dyDescent="0.2">
      <c r="B967" s="18" t="s">
        <v>33</v>
      </c>
      <c r="C967" s="19">
        <v>42678</v>
      </c>
      <c r="D967" s="18" t="s">
        <v>19</v>
      </c>
      <c r="E967" s="18" t="s">
        <v>1400</v>
      </c>
    </row>
    <row r="968" spans="2:5" x14ac:dyDescent="0.2">
      <c r="B968" s="21" t="s">
        <v>36</v>
      </c>
      <c r="C968" s="22">
        <v>42647</v>
      </c>
      <c r="D968" s="21" t="s">
        <v>19</v>
      </c>
      <c r="E968" s="21" t="s">
        <v>1180</v>
      </c>
    </row>
    <row r="969" spans="2:5" x14ac:dyDescent="0.2">
      <c r="B969" s="18" t="s">
        <v>18</v>
      </c>
      <c r="C969" s="19">
        <v>42617</v>
      </c>
      <c r="D969" s="18" t="s">
        <v>19</v>
      </c>
      <c r="E969" s="18" t="s">
        <v>1292</v>
      </c>
    </row>
    <row r="970" spans="2:5" x14ac:dyDescent="0.2">
      <c r="B970" s="21" t="s">
        <v>21</v>
      </c>
      <c r="C970" s="22">
        <v>42586</v>
      </c>
      <c r="D970" s="21" t="s">
        <v>19</v>
      </c>
      <c r="E970" s="21" t="s">
        <v>1292</v>
      </c>
    </row>
    <row r="971" spans="2:5" x14ac:dyDescent="0.2">
      <c r="B971" s="18" t="s">
        <v>24</v>
      </c>
      <c r="C971" s="19">
        <v>42555</v>
      </c>
      <c r="D971" s="18" t="s">
        <v>19</v>
      </c>
      <c r="E971" s="18" t="s">
        <v>1203</v>
      </c>
    </row>
    <row r="972" spans="2:5" x14ac:dyDescent="0.2">
      <c r="B972" s="21" t="s">
        <v>27</v>
      </c>
      <c r="C972" s="22">
        <v>42525</v>
      </c>
      <c r="D972" s="21" t="s">
        <v>19</v>
      </c>
      <c r="E972" s="21" t="s">
        <v>1272</v>
      </c>
    </row>
    <row r="973" spans="2:5" x14ac:dyDescent="0.2">
      <c r="B973" s="18" t="s">
        <v>30</v>
      </c>
      <c r="C973" s="19">
        <v>42494</v>
      </c>
      <c r="D973" s="18" t="s">
        <v>19</v>
      </c>
      <c r="E973" s="18" t="s">
        <v>1338</v>
      </c>
    </row>
    <row r="974" spans="2:5" x14ac:dyDescent="0.2">
      <c r="B974" s="21" t="s">
        <v>33</v>
      </c>
      <c r="C974" s="22">
        <v>42464</v>
      </c>
      <c r="D974" s="21" t="s">
        <v>19</v>
      </c>
      <c r="E974" s="21" t="s">
        <v>1401</v>
      </c>
    </row>
    <row r="975" spans="2:5" x14ac:dyDescent="0.2">
      <c r="B975" s="18" t="s">
        <v>36</v>
      </c>
      <c r="C975" s="19">
        <v>42433</v>
      </c>
      <c r="D975" s="18" t="s">
        <v>19</v>
      </c>
      <c r="E975" s="18" t="s">
        <v>1243</v>
      </c>
    </row>
    <row r="976" spans="2:5" x14ac:dyDescent="0.2">
      <c r="B976" s="21" t="s">
        <v>18</v>
      </c>
      <c r="C976" s="22">
        <v>42404</v>
      </c>
      <c r="D976" s="21" t="s">
        <v>19</v>
      </c>
      <c r="E976" s="21" t="s">
        <v>1184</v>
      </c>
    </row>
    <row r="977" spans="2:5" x14ac:dyDescent="0.2">
      <c r="B977" s="18" t="s">
        <v>21</v>
      </c>
      <c r="C977" s="19">
        <v>42373</v>
      </c>
      <c r="D977" s="18" t="s">
        <v>19</v>
      </c>
      <c r="E977" s="18" t="s">
        <v>1184</v>
      </c>
    </row>
    <row r="978" spans="2:5" x14ac:dyDescent="0.2">
      <c r="B978" s="21" t="s">
        <v>24</v>
      </c>
      <c r="C978" s="21" t="s">
        <v>1402</v>
      </c>
      <c r="D978" s="21" t="s">
        <v>19</v>
      </c>
      <c r="E978" s="21" t="s">
        <v>1236</v>
      </c>
    </row>
    <row r="979" spans="2:5" x14ac:dyDescent="0.2">
      <c r="B979" s="18" t="s">
        <v>27</v>
      </c>
      <c r="C979" s="18" t="s">
        <v>1403</v>
      </c>
      <c r="D979" s="18" t="s">
        <v>19</v>
      </c>
      <c r="E979" s="18" t="s">
        <v>1251</v>
      </c>
    </row>
    <row r="980" spans="2:5" x14ac:dyDescent="0.2">
      <c r="B980" s="21" t="s">
        <v>30</v>
      </c>
      <c r="C980" s="21" t="s">
        <v>1404</v>
      </c>
      <c r="D980" s="21" t="s">
        <v>19</v>
      </c>
      <c r="E980" s="21" t="s">
        <v>1299</v>
      </c>
    </row>
    <row r="981" spans="2:5" x14ac:dyDescent="0.2">
      <c r="B981" s="18" t="s">
        <v>33</v>
      </c>
      <c r="C981" s="18" t="s">
        <v>1405</v>
      </c>
      <c r="D981" s="18" t="s">
        <v>19</v>
      </c>
      <c r="E981" s="18" t="s">
        <v>1406</v>
      </c>
    </row>
    <row r="982" spans="2:5" x14ac:dyDescent="0.2">
      <c r="B982" s="21" t="s">
        <v>36</v>
      </c>
      <c r="C982" s="21" t="s">
        <v>1407</v>
      </c>
      <c r="D982" s="21" t="s">
        <v>19</v>
      </c>
      <c r="E982" s="21" t="s">
        <v>1189</v>
      </c>
    </row>
    <row r="983" spans="2:5" x14ac:dyDescent="0.2">
      <c r="B983" s="18" t="s">
        <v>18</v>
      </c>
      <c r="C983" s="18" t="s">
        <v>1408</v>
      </c>
      <c r="D983" s="18" t="s">
        <v>19</v>
      </c>
      <c r="E983" s="18" t="s">
        <v>1409</v>
      </c>
    </row>
    <row r="984" spans="2:5" x14ac:dyDescent="0.2">
      <c r="B984" s="21" t="s">
        <v>21</v>
      </c>
      <c r="C984" s="21" t="s">
        <v>1410</v>
      </c>
      <c r="D984" s="21" t="s">
        <v>19</v>
      </c>
      <c r="E984" s="21" t="s">
        <v>1411</v>
      </c>
    </row>
    <row r="985" spans="2:5" x14ac:dyDescent="0.2">
      <c r="B985" s="18" t="s">
        <v>24</v>
      </c>
      <c r="C985" s="18" t="s">
        <v>1412</v>
      </c>
      <c r="D985" s="18" t="s">
        <v>19</v>
      </c>
      <c r="E985" s="18" t="s">
        <v>1413</v>
      </c>
    </row>
    <row r="986" spans="2:5" x14ac:dyDescent="0.2">
      <c r="B986" s="21" t="s">
        <v>27</v>
      </c>
      <c r="C986" s="21" t="s">
        <v>1414</v>
      </c>
      <c r="D986" s="21" t="s">
        <v>19</v>
      </c>
      <c r="E986" s="21" t="s">
        <v>1137</v>
      </c>
    </row>
    <row r="987" spans="2:5" x14ac:dyDescent="0.2">
      <c r="B987" s="18" t="s">
        <v>30</v>
      </c>
      <c r="C987" s="18" t="s">
        <v>1415</v>
      </c>
      <c r="D987" s="18" t="s">
        <v>19</v>
      </c>
      <c r="E987" s="18" t="s">
        <v>1163</v>
      </c>
    </row>
    <row r="988" spans="2:5" x14ac:dyDescent="0.2">
      <c r="B988" s="21" t="s">
        <v>33</v>
      </c>
      <c r="C988" s="21" t="s">
        <v>1416</v>
      </c>
      <c r="D988" s="21" t="s">
        <v>19</v>
      </c>
      <c r="E988" s="21" t="s">
        <v>1417</v>
      </c>
    </row>
    <row r="989" spans="2:5" x14ac:dyDescent="0.2">
      <c r="B989" s="18" t="s">
        <v>36</v>
      </c>
      <c r="C989" s="18" t="s">
        <v>1418</v>
      </c>
      <c r="D989" s="18" t="s">
        <v>19</v>
      </c>
      <c r="E989" s="18" t="s">
        <v>1251</v>
      </c>
    </row>
    <row r="990" spans="2:5" x14ac:dyDescent="0.2">
      <c r="B990" s="21" t="s">
        <v>18</v>
      </c>
      <c r="C990" s="21" t="s">
        <v>1419</v>
      </c>
      <c r="D990" s="21" t="s">
        <v>19</v>
      </c>
      <c r="E990" s="21" t="s">
        <v>1274</v>
      </c>
    </row>
    <row r="991" spans="2:5" x14ac:dyDescent="0.2">
      <c r="B991" s="18" t="s">
        <v>21</v>
      </c>
      <c r="C991" s="18" t="s">
        <v>1420</v>
      </c>
      <c r="D991" s="18" t="s">
        <v>19</v>
      </c>
      <c r="E991" s="18" t="s">
        <v>1274</v>
      </c>
    </row>
    <row r="992" spans="2:5" x14ac:dyDescent="0.2">
      <c r="B992" s="21" t="s">
        <v>24</v>
      </c>
      <c r="C992" s="21" t="s">
        <v>1421</v>
      </c>
      <c r="D992" s="21" t="s">
        <v>19</v>
      </c>
      <c r="E992" s="21" t="s">
        <v>1422</v>
      </c>
    </row>
    <row r="993" spans="2:5" x14ac:dyDescent="0.2">
      <c r="B993" s="18" t="s">
        <v>27</v>
      </c>
      <c r="C993" s="18" t="s">
        <v>1423</v>
      </c>
      <c r="D993" s="18" t="s">
        <v>19</v>
      </c>
      <c r="E993" s="18" t="s">
        <v>1424</v>
      </c>
    </row>
    <row r="994" spans="2:5" x14ac:dyDescent="0.2">
      <c r="B994" s="21" t="s">
        <v>30</v>
      </c>
      <c r="C994" s="21" t="s">
        <v>1425</v>
      </c>
      <c r="D994" s="21" t="s">
        <v>19</v>
      </c>
      <c r="E994" s="21" t="s">
        <v>1426</v>
      </c>
    </row>
    <row r="995" spans="2:5" x14ac:dyDescent="0.2">
      <c r="B995" s="18" t="s">
        <v>33</v>
      </c>
      <c r="C995" s="18" t="s">
        <v>1427</v>
      </c>
      <c r="D995" s="18" t="s">
        <v>19</v>
      </c>
      <c r="E995" s="18" t="s">
        <v>1428</v>
      </c>
    </row>
    <row r="996" spans="2:5" x14ac:dyDescent="0.2">
      <c r="B996" s="21" t="s">
        <v>36</v>
      </c>
      <c r="C996" s="21" t="s">
        <v>1429</v>
      </c>
      <c r="D996" s="21" t="s">
        <v>19</v>
      </c>
      <c r="E996" s="21" t="s">
        <v>1430</v>
      </c>
    </row>
    <row r="997" spans="2:5" x14ac:dyDescent="0.2">
      <c r="B997" s="18" t="s">
        <v>18</v>
      </c>
      <c r="C997" s="19">
        <v>42707</v>
      </c>
      <c r="D997" s="18" t="s">
        <v>19</v>
      </c>
      <c r="E997" s="18" t="s">
        <v>1431</v>
      </c>
    </row>
    <row r="998" spans="2:5" x14ac:dyDescent="0.2">
      <c r="B998" s="21" t="s">
        <v>21</v>
      </c>
      <c r="C998" s="22">
        <v>42677</v>
      </c>
      <c r="D998" s="21" t="s">
        <v>19</v>
      </c>
      <c r="E998" s="21" t="s">
        <v>1432</v>
      </c>
    </row>
    <row r="999" spans="2:5" x14ac:dyDescent="0.2">
      <c r="B999" s="18" t="s">
        <v>24</v>
      </c>
      <c r="C999" s="19">
        <v>42646</v>
      </c>
      <c r="D999" s="18" t="s">
        <v>19</v>
      </c>
      <c r="E999" s="18" t="s">
        <v>1433</v>
      </c>
    </row>
    <row r="1000" spans="2:5" x14ac:dyDescent="0.2">
      <c r="B1000" s="21" t="s">
        <v>27</v>
      </c>
      <c r="C1000" s="22">
        <v>42616</v>
      </c>
      <c r="D1000" s="21" t="s">
        <v>19</v>
      </c>
      <c r="E1000" s="21" t="s">
        <v>1434</v>
      </c>
    </row>
    <row r="1001" spans="2:5" x14ac:dyDescent="0.2">
      <c r="B1001" s="18" t="s">
        <v>30</v>
      </c>
      <c r="C1001" s="19">
        <v>42585</v>
      </c>
      <c r="D1001" s="18" t="s">
        <v>19</v>
      </c>
      <c r="E1001" s="18" t="s">
        <v>1435</v>
      </c>
    </row>
    <row r="1002" spans="2:5" x14ac:dyDescent="0.2">
      <c r="B1002" s="21" t="s">
        <v>33</v>
      </c>
      <c r="C1002" s="22">
        <v>42554</v>
      </c>
      <c r="D1002" s="21" t="s">
        <v>19</v>
      </c>
      <c r="E1002" s="21" t="s">
        <v>1436</v>
      </c>
    </row>
    <row r="1003" spans="2:5" x14ac:dyDescent="0.2">
      <c r="B1003" s="18" t="s">
        <v>36</v>
      </c>
      <c r="C1003" s="19">
        <v>42524</v>
      </c>
      <c r="D1003" s="18" t="s">
        <v>19</v>
      </c>
      <c r="E1003" s="18" t="s">
        <v>1437</v>
      </c>
    </row>
    <row r="1004" spans="2:5" x14ac:dyDescent="0.2">
      <c r="B1004" s="21" t="s">
        <v>18</v>
      </c>
      <c r="C1004" s="22">
        <v>42493</v>
      </c>
      <c r="D1004" s="21" t="s">
        <v>19</v>
      </c>
      <c r="E1004" s="21" t="s">
        <v>1438</v>
      </c>
    </row>
    <row r="1005" spans="2:5" x14ac:dyDescent="0.2">
      <c r="B1005" s="18" t="s">
        <v>21</v>
      </c>
      <c r="C1005" s="19">
        <v>42463</v>
      </c>
      <c r="D1005" s="18" t="s">
        <v>19</v>
      </c>
      <c r="E1005" s="18" t="s">
        <v>1439</v>
      </c>
    </row>
    <row r="1006" spans="2:5" x14ac:dyDescent="0.2">
      <c r="B1006" s="21" t="s">
        <v>24</v>
      </c>
      <c r="C1006" s="22">
        <v>42432</v>
      </c>
      <c r="D1006" s="21" t="s">
        <v>19</v>
      </c>
      <c r="E1006" s="21" t="s">
        <v>1440</v>
      </c>
    </row>
    <row r="1007" spans="2:5" x14ac:dyDescent="0.2">
      <c r="B1007" s="18" t="s">
        <v>27</v>
      </c>
      <c r="C1007" s="19">
        <v>42403</v>
      </c>
      <c r="D1007" s="18" t="s">
        <v>19</v>
      </c>
      <c r="E1007" s="18" t="s">
        <v>1441</v>
      </c>
    </row>
    <row r="1008" spans="2:5" x14ac:dyDescent="0.2">
      <c r="B1008" s="21" t="s">
        <v>30</v>
      </c>
      <c r="C1008" s="22">
        <v>42372</v>
      </c>
      <c r="D1008" s="21" t="s">
        <v>19</v>
      </c>
      <c r="E1008" s="21" t="s">
        <v>1435</v>
      </c>
    </row>
    <row r="1009" spans="2:5" x14ac:dyDescent="0.2">
      <c r="B1009" s="18" t="s">
        <v>33</v>
      </c>
      <c r="C1009" s="18" t="s">
        <v>1442</v>
      </c>
      <c r="D1009" s="18" t="s">
        <v>19</v>
      </c>
      <c r="E1009" s="18" t="s">
        <v>1443</v>
      </c>
    </row>
    <row r="1010" spans="2:5" x14ac:dyDescent="0.2">
      <c r="B1010" s="21" t="s">
        <v>36</v>
      </c>
      <c r="C1010" s="21" t="s">
        <v>1444</v>
      </c>
      <c r="D1010" s="21" t="s">
        <v>19</v>
      </c>
      <c r="E1010" s="21" t="s">
        <v>1445</v>
      </c>
    </row>
    <row r="1011" spans="2:5" x14ac:dyDescent="0.2">
      <c r="B1011" s="18" t="s">
        <v>18</v>
      </c>
      <c r="C1011" s="18" t="s">
        <v>1446</v>
      </c>
      <c r="D1011" s="18" t="s">
        <v>19</v>
      </c>
      <c r="E1011" s="18" t="s">
        <v>1447</v>
      </c>
    </row>
    <row r="1012" spans="2:5" x14ac:dyDescent="0.2">
      <c r="B1012" s="21" t="s">
        <v>21</v>
      </c>
      <c r="C1012" s="21" t="s">
        <v>1448</v>
      </c>
      <c r="D1012" s="21" t="s">
        <v>19</v>
      </c>
      <c r="E1012" s="21" t="s">
        <v>1449</v>
      </c>
    </row>
    <row r="1013" spans="2:5" x14ac:dyDescent="0.2">
      <c r="B1013" s="18" t="s">
        <v>24</v>
      </c>
      <c r="C1013" s="18" t="s">
        <v>1450</v>
      </c>
      <c r="D1013" s="18" t="s">
        <v>19</v>
      </c>
      <c r="E1013" s="18" t="s">
        <v>1451</v>
      </c>
    </row>
    <row r="1014" spans="2:5" x14ac:dyDescent="0.2">
      <c r="B1014" s="21" t="s">
        <v>27</v>
      </c>
      <c r="C1014" s="21" t="s">
        <v>1452</v>
      </c>
      <c r="D1014" s="21" t="s">
        <v>19</v>
      </c>
      <c r="E1014" s="21" t="s">
        <v>1453</v>
      </c>
    </row>
    <row r="1015" spans="2:5" x14ac:dyDescent="0.2">
      <c r="B1015" s="18" t="s">
        <v>30</v>
      </c>
      <c r="C1015" s="18" t="s">
        <v>1454</v>
      </c>
      <c r="D1015" s="18" t="s">
        <v>19</v>
      </c>
      <c r="E1015" s="18" t="s">
        <v>1455</v>
      </c>
    </row>
    <row r="1016" spans="2:5" x14ac:dyDescent="0.2">
      <c r="B1016" s="21" t="s">
        <v>33</v>
      </c>
      <c r="C1016" s="21" t="s">
        <v>1456</v>
      </c>
      <c r="D1016" s="21" t="s">
        <v>19</v>
      </c>
      <c r="E1016" s="21" t="s">
        <v>1457</v>
      </c>
    </row>
    <row r="1017" spans="2:5" x14ac:dyDescent="0.2">
      <c r="B1017" s="18" t="s">
        <v>36</v>
      </c>
      <c r="C1017" s="18" t="s">
        <v>1458</v>
      </c>
      <c r="D1017" s="18" t="s">
        <v>19</v>
      </c>
      <c r="E1017" s="18" t="s">
        <v>1459</v>
      </c>
    </row>
    <row r="1018" spans="2:5" x14ac:dyDescent="0.2">
      <c r="B1018" s="21" t="s">
        <v>18</v>
      </c>
      <c r="C1018" s="21" t="s">
        <v>1460</v>
      </c>
      <c r="D1018" s="21" t="s">
        <v>19</v>
      </c>
      <c r="E1018" s="21" t="s">
        <v>1461</v>
      </c>
    </row>
    <row r="1019" spans="2:5" x14ac:dyDescent="0.2">
      <c r="B1019" s="18" t="s">
        <v>21</v>
      </c>
      <c r="C1019" s="18" t="s">
        <v>1462</v>
      </c>
      <c r="D1019" s="18" t="s">
        <v>19</v>
      </c>
      <c r="E1019" s="18" t="s">
        <v>1463</v>
      </c>
    </row>
    <row r="1020" spans="2:5" x14ac:dyDescent="0.2">
      <c r="B1020" s="21" t="s">
        <v>24</v>
      </c>
      <c r="C1020" s="21" t="s">
        <v>1464</v>
      </c>
      <c r="D1020" s="21" t="s">
        <v>19</v>
      </c>
      <c r="E1020" s="21" t="s">
        <v>1465</v>
      </c>
    </row>
    <row r="1021" spans="2:5" x14ac:dyDescent="0.2">
      <c r="B1021" s="18" t="s">
        <v>27</v>
      </c>
      <c r="C1021" s="18" t="s">
        <v>1466</v>
      </c>
      <c r="D1021" s="18" t="s">
        <v>19</v>
      </c>
      <c r="E1021" s="18" t="s">
        <v>1467</v>
      </c>
    </row>
    <row r="1022" spans="2:5" x14ac:dyDescent="0.2">
      <c r="B1022" s="21" t="s">
        <v>30</v>
      </c>
      <c r="C1022" s="21" t="s">
        <v>1468</v>
      </c>
      <c r="D1022" s="21" t="s">
        <v>19</v>
      </c>
      <c r="E1022" s="21" t="s">
        <v>1469</v>
      </c>
    </row>
    <row r="1023" spans="2:5" x14ac:dyDescent="0.2">
      <c r="B1023" s="18" t="s">
        <v>33</v>
      </c>
      <c r="C1023" s="18" t="s">
        <v>1470</v>
      </c>
      <c r="D1023" s="18" t="s">
        <v>19</v>
      </c>
      <c r="E1023" s="18" t="s">
        <v>1471</v>
      </c>
    </row>
    <row r="1024" spans="2:5" x14ac:dyDescent="0.2">
      <c r="B1024" s="21" t="s">
        <v>36</v>
      </c>
      <c r="C1024" s="21" t="s">
        <v>1472</v>
      </c>
      <c r="D1024" s="21" t="s">
        <v>19</v>
      </c>
      <c r="E1024" s="21" t="s">
        <v>1473</v>
      </c>
    </row>
    <row r="1025" spans="2:5" x14ac:dyDescent="0.2">
      <c r="B1025" s="18" t="s">
        <v>18</v>
      </c>
      <c r="C1025" s="18" t="s">
        <v>1474</v>
      </c>
      <c r="D1025" s="18" t="s">
        <v>19</v>
      </c>
      <c r="E1025" s="18" t="s">
        <v>1475</v>
      </c>
    </row>
    <row r="1026" spans="2:5" x14ac:dyDescent="0.2">
      <c r="B1026" s="21" t="s">
        <v>21</v>
      </c>
      <c r="C1026" s="22">
        <v>42706</v>
      </c>
      <c r="D1026" s="21" t="s">
        <v>19</v>
      </c>
      <c r="E1026" s="21" t="s">
        <v>1475</v>
      </c>
    </row>
    <row r="1027" spans="2:5" x14ac:dyDescent="0.2">
      <c r="B1027" s="18" t="s">
        <v>24</v>
      </c>
      <c r="C1027" s="19">
        <v>42676</v>
      </c>
      <c r="D1027" s="18" t="s">
        <v>19</v>
      </c>
      <c r="E1027" s="18" t="s">
        <v>1476</v>
      </c>
    </row>
    <row r="1028" spans="2:5" x14ac:dyDescent="0.2">
      <c r="B1028" s="21" t="s">
        <v>27</v>
      </c>
      <c r="C1028" s="22">
        <v>42645</v>
      </c>
      <c r="D1028" s="21" t="s">
        <v>19</v>
      </c>
      <c r="E1028" s="21" t="s">
        <v>1477</v>
      </c>
    </row>
    <row r="1029" spans="2:5" x14ac:dyDescent="0.2">
      <c r="B1029" s="18" t="s">
        <v>30</v>
      </c>
      <c r="C1029" s="19">
        <v>42615</v>
      </c>
      <c r="D1029" s="18" t="s">
        <v>19</v>
      </c>
      <c r="E1029" s="18" t="s">
        <v>1478</v>
      </c>
    </row>
    <row r="1030" spans="2:5" x14ac:dyDescent="0.2">
      <c r="B1030" s="21" t="s">
        <v>33</v>
      </c>
      <c r="C1030" s="22">
        <v>42584</v>
      </c>
      <c r="D1030" s="21" t="s">
        <v>19</v>
      </c>
      <c r="E1030" s="21" t="s">
        <v>1479</v>
      </c>
    </row>
    <row r="1031" spans="2:5" x14ac:dyDescent="0.2">
      <c r="B1031" s="18" t="s">
        <v>36</v>
      </c>
      <c r="C1031" s="19">
        <v>42553</v>
      </c>
      <c r="D1031" s="18" t="s">
        <v>19</v>
      </c>
      <c r="E1031" s="18" t="s">
        <v>1480</v>
      </c>
    </row>
    <row r="1032" spans="2:5" x14ac:dyDescent="0.2">
      <c r="B1032" s="21" t="s">
        <v>18</v>
      </c>
      <c r="C1032" s="22">
        <v>42523</v>
      </c>
      <c r="D1032" s="21" t="s">
        <v>19</v>
      </c>
      <c r="E1032" s="21" t="s">
        <v>1481</v>
      </c>
    </row>
    <row r="1033" spans="2:5" x14ac:dyDescent="0.2">
      <c r="B1033" s="18" t="s">
        <v>21</v>
      </c>
      <c r="C1033" s="19">
        <v>42492</v>
      </c>
      <c r="D1033" s="18" t="s">
        <v>19</v>
      </c>
      <c r="E1033" s="18" t="s">
        <v>1434</v>
      </c>
    </row>
    <row r="1034" spans="2:5" x14ac:dyDescent="0.2">
      <c r="B1034" s="21" t="s">
        <v>24</v>
      </c>
      <c r="C1034" s="22">
        <v>42462</v>
      </c>
      <c r="D1034" s="21" t="s">
        <v>19</v>
      </c>
      <c r="E1034" s="21" t="s">
        <v>1482</v>
      </c>
    </row>
    <row r="1035" spans="2:5" x14ac:dyDescent="0.2">
      <c r="B1035" s="18" t="s">
        <v>27</v>
      </c>
      <c r="C1035" s="19">
        <v>42431</v>
      </c>
      <c r="D1035" s="18" t="s">
        <v>19</v>
      </c>
      <c r="E1035" s="18" t="s">
        <v>1483</v>
      </c>
    </row>
    <row r="1036" spans="2:5" x14ac:dyDescent="0.2">
      <c r="B1036" s="21" t="s">
        <v>30</v>
      </c>
      <c r="C1036" s="22">
        <v>42402</v>
      </c>
      <c r="D1036" s="21" t="s">
        <v>19</v>
      </c>
      <c r="E1036" s="21" t="s">
        <v>1449</v>
      </c>
    </row>
    <row r="1037" spans="2:5" x14ac:dyDescent="0.2">
      <c r="B1037" s="18" t="s">
        <v>33</v>
      </c>
      <c r="C1037" s="19">
        <v>42371</v>
      </c>
      <c r="D1037" s="18" t="s">
        <v>19</v>
      </c>
      <c r="E1037" s="18" t="s">
        <v>1484</v>
      </c>
    </row>
    <row r="1038" spans="2:5" x14ac:dyDescent="0.2">
      <c r="B1038" s="21" t="s">
        <v>36</v>
      </c>
      <c r="C1038" s="21" t="s">
        <v>1485</v>
      </c>
      <c r="D1038" s="21" t="s">
        <v>19</v>
      </c>
      <c r="E1038" s="21" t="s">
        <v>1486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U79"/>
  <sheetViews>
    <sheetView topLeftCell="A70" workbookViewId="0">
      <selection activeCell="T79" sqref="T79"/>
    </sheetView>
  </sheetViews>
  <sheetFormatPr defaultRowHeight="12.75" x14ac:dyDescent="0.2"/>
  <cols>
    <col min="4" max="4" width="13.28515625" style="1" customWidth="1"/>
    <col min="5" max="5" width="11.7109375" style="1" customWidth="1"/>
    <col min="6" max="6" width="11.7109375" style="1" bestFit="1" customWidth="1"/>
    <col min="7" max="15" width="11.7109375" bestFit="1" customWidth="1"/>
    <col min="16" max="16" width="12.42578125" bestFit="1" customWidth="1"/>
    <col min="18" max="18" width="10.140625" bestFit="1" customWidth="1"/>
  </cols>
  <sheetData>
    <row r="1" spans="2:16" ht="13.5" thickBot="1" x14ac:dyDescent="0.25"/>
    <row r="2" spans="2:16" ht="30.75" thickBot="1" x14ac:dyDescent="0.25">
      <c r="B2" s="23" t="s">
        <v>1487</v>
      </c>
      <c r="C2" s="23" t="s">
        <v>1488</v>
      </c>
      <c r="D2" s="38">
        <v>43484</v>
      </c>
      <c r="E2" s="38">
        <v>43515</v>
      </c>
      <c r="F2" s="38">
        <v>43543</v>
      </c>
      <c r="G2" s="24">
        <v>43574</v>
      </c>
      <c r="H2" s="24">
        <v>43604</v>
      </c>
      <c r="I2" s="24">
        <v>43635</v>
      </c>
      <c r="J2" s="24">
        <v>43665</v>
      </c>
      <c r="K2" s="24">
        <v>43696</v>
      </c>
      <c r="L2" s="24">
        <v>43727</v>
      </c>
      <c r="M2" s="24">
        <v>43757</v>
      </c>
      <c r="N2" s="24">
        <v>43788</v>
      </c>
      <c r="O2" s="24">
        <v>43818</v>
      </c>
      <c r="P2" s="23" t="s">
        <v>1489</v>
      </c>
    </row>
    <row r="3" spans="2:16" ht="39" thickBot="1" x14ac:dyDescent="0.25">
      <c r="B3" s="25">
        <v>620</v>
      </c>
      <c r="C3" s="26" t="s">
        <v>1490</v>
      </c>
      <c r="D3" s="39">
        <v>688635</v>
      </c>
      <c r="E3" s="39">
        <v>685289</v>
      </c>
      <c r="F3" s="39">
        <v>646029</v>
      </c>
      <c r="G3" s="39">
        <v>708934</v>
      </c>
      <c r="H3" s="39">
        <v>862750</v>
      </c>
      <c r="I3" s="39">
        <v>862750</v>
      </c>
      <c r="J3" s="39">
        <v>1193472</v>
      </c>
      <c r="K3" s="39">
        <v>1066179.06</v>
      </c>
      <c r="L3" s="39">
        <v>1085808.3600000001</v>
      </c>
      <c r="M3" s="39">
        <v>694502.7</v>
      </c>
      <c r="N3" s="39">
        <v>840096.48</v>
      </c>
      <c r="O3" s="39">
        <v>993108.72</v>
      </c>
      <c r="P3" s="28" t="s">
        <v>1491</v>
      </c>
    </row>
    <row r="4" spans="2:16" ht="15.75" thickBot="1" x14ac:dyDescent="0.25">
      <c r="B4" s="25"/>
      <c r="C4" s="26"/>
      <c r="D4" s="39">
        <f>D3+D7</f>
        <v>1682357.52</v>
      </c>
      <c r="E4" s="39"/>
      <c r="F4" s="39"/>
      <c r="G4" s="39"/>
      <c r="H4" s="39"/>
      <c r="I4" s="39"/>
      <c r="J4" s="39"/>
      <c r="K4" s="39"/>
      <c r="L4" s="39"/>
      <c r="M4" s="39"/>
      <c r="N4" s="39"/>
      <c r="O4" s="39"/>
      <c r="P4" s="28"/>
    </row>
    <row r="5" spans="2:16" ht="26.25" thickBot="1" x14ac:dyDescent="0.25">
      <c r="B5" s="25">
        <v>620</v>
      </c>
      <c r="C5" s="26" t="s">
        <v>1492</v>
      </c>
      <c r="D5" s="40">
        <v>1.1599999999999999</v>
      </c>
      <c r="E5" s="40">
        <v>1.1599999999999999</v>
      </c>
      <c r="F5" s="40">
        <v>1.1599999999999999</v>
      </c>
      <c r="G5" s="29">
        <v>1.1599999999999999</v>
      </c>
      <c r="H5" s="29">
        <v>1.1599999999999999</v>
      </c>
      <c r="I5" s="29">
        <v>1.1599999999999999</v>
      </c>
      <c r="J5" s="29">
        <v>1.33</v>
      </c>
      <c r="K5" s="29">
        <v>1.33</v>
      </c>
      <c r="L5" s="29">
        <v>1.33</v>
      </c>
      <c r="M5" s="29">
        <v>1.33</v>
      </c>
      <c r="N5" s="29">
        <v>1.33</v>
      </c>
      <c r="O5" s="29">
        <v>1.33</v>
      </c>
      <c r="P5" s="28"/>
    </row>
    <row r="6" spans="2:16" ht="57.4" customHeight="1" thickBot="1" x14ac:dyDescent="0.25">
      <c r="B6" s="25">
        <v>621</v>
      </c>
      <c r="C6" s="26"/>
      <c r="D6" s="40">
        <v>796750.7</v>
      </c>
      <c r="E6" s="40">
        <v>792879.37</v>
      </c>
      <c r="F6" s="40">
        <v>747455.55</v>
      </c>
      <c r="G6" s="30">
        <v>820236.64</v>
      </c>
      <c r="H6" s="30">
        <v>998201.75</v>
      </c>
      <c r="I6" s="30">
        <v>998201.75</v>
      </c>
      <c r="J6" s="30">
        <v>1587974.17</v>
      </c>
      <c r="K6" s="30">
        <v>1418604.55</v>
      </c>
      <c r="L6" s="30">
        <v>1444722.31</v>
      </c>
      <c r="M6" s="30">
        <v>924070.57</v>
      </c>
      <c r="N6" s="30">
        <v>1117790.3700000001</v>
      </c>
      <c r="O6" s="30">
        <v>1321380.81</v>
      </c>
      <c r="P6" s="28" t="s">
        <v>1493</v>
      </c>
    </row>
    <row r="7" spans="2:16" ht="30.75" thickBot="1" x14ac:dyDescent="0.25">
      <c r="B7" s="25">
        <v>622</v>
      </c>
      <c r="C7" s="26" t="s">
        <v>1494</v>
      </c>
      <c r="D7" s="39">
        <v>993722.52</v>
      </c>
      <c r="E7" s="39">
        <v>885940.69</v>
      </c>
      <c r="F7" s="39">
        <v>963901.46</v>
      </c>
      <c r="G7" s="31">
        <v>1006729</v>
      </c>
      <c r="H7" s="31">
        <v>1020441.39</v>
      </c>
      <c r="I7" s="31">
        <v>1066945.8799999999</v>
      </c>
      <c r="J7" s="31">
        <v>1068433.04</v>
      </c>
      <c r="K7" s="31">
        <v>1200000</v>
      </c>
      <c r="L7" s="31">
        <v>1363119.01</v>
      </c>
      <c r="M7" s="31">
        <v>1248336.29</v>
      </c>
      <c r="N7" s="31">
        <v>1048904.75</v>
      </c>
      <c r="O7" s="31">
        <v>848405.67</v>
      </c>
      <c r="P7" s="28" t="s">
        <v>1495</v>
      </c>
    </row>
    <row r="8" spans="2:16" ht="64.5" thickBot="1" x14ac:dyDescent="0.25">
      <c r="B8" s="25">
        <v>623</v>
      </c>
      <c r="C8" s="26" t="s">
        <v>1496</v>
      </c>
      <c r="D8" s="40" t="s">
        <v>1497</v>
      </c>
      <c r="E8" s="40" t="s">
        <v>1498</v>
      </c>
      <c r="F8" s="40" t="s">
        <v>1499</v>
      </c>
      <c r="G8" s="29" t="s">
        <v>1500</v>
      </c>
      <c r="H8" s="29" t="s">
        <v>1501</v>
      </c>
      <c r="I8" s="29" t="s">
        <v>1501</v>
      </c>
      <c r="J8" s="29" t="s">
        <v>1502</v>
      </c>
      <c r="K8" s="29" t="s">
        <v>1503</v>
      </c>
      <c r="L8" s="29" t="s">
        <v>1504</v>
      </c>
      <c r="M8" s="29" t="s">
        <v>1505</v>
      </c>
      <c r="N8" s="29" t="s">
        <v>1506</v>
      </c>
      <c r="O8" s="29" t="s">
        <v>1507</v>
      </c>
      <c r="P8" s="28" t="s">
        <v>1508</v>
      </c>
    </row>
    <row r="9" spans="2:16" ht="15.75" thickBot="1" x14ac:dyDescent="0.25">
      <c r="B9" s="25">
        <v>624</v>
      </c>
      <c r="C9" s="26"/>
      <c r="D9" s="40">
        <f>D3*73.62/100+D7</f>
        <v>1500695.6070000001</v>
      </c>
      <c r="E9" s="40">
        <f t="shared" ref="E9:O9" si="0">E3*73.62/100+E7</f>
        <v>1390450.4517999999</v>
      </c>
      <c r="F9" s="40">
        <f t="shared" si="0"/>
        <v>1439508.0098000001</v>
      </c>
      <c r="G9" s="40">
        <f t="shared" si="0"/>
        <v>1528646.2108</v>
      </c>
      <c r="H9" s="40">
        <f t="shared" si="0"/>
        <v>1655597.94</v>
      </c>
      <c r="I9" s="40">
        <f t="shared" si="0"/>
        <v>1702102.43</v>
      </c>
      <c r="J9" s="40">
        <f t="shared" si="0"/>
        <v>1947067.1264</v>
      </c>
      <c r="K9" s="40">
        <f t="shared" si="0"/>
        <v>1984921.023972</v>
      </c>
      <c r="L9" s="40">
        <f t="shared" si="0"/>
        <v>2162491.124632</v>
      </c>
      <c r="M9" s="40">
        <f t="shared" si="0"/>
        <v>1759629.17774</v>
      </c>
      <c r="N9" s="40">
        <f t="shared" si="0"/>
        <v>1667383.7785760001</v>
      </c>
      <c r="O9" s="40">
        <f t="shared" si="0"/>
        <v>1579532.3096640001</v>
      </c>
      <c r="P9" s="28"/>
    </row>
    <row r="10" spans="2:16" ht="39" thickBot="1" x14ac:dyDescent="0.25">
      <c r="B10" s="25">
        <v>625</v>
      </c>
      <c r="C10" s="26" t="s">
        <v>1509</v>
      </c>
      <c r="D10" s="40" t="s">
        <v>1510</v>
      </c>
      <c r="E10" s="40" t="s">
        <v>1511</v>
      </c>
      <c r="F10" s="40" t="s">
        <v>1512</v>
      </c>
      <c r="G10" s="29" t="s">
        <v>1513</v>
      </c>
      <c r="H10" s="29" t="s">
        <v>1514</v>
      </c>
      <c r="I10" s="29" t="s">
        <v>1515</v>
      </c>
      <c r="J10" s="29" t="s">
        <v>1516</v>
      </c>
      <c r="K10" s="29" t="s">
        <v>1517</v>
      </c>
      <c r="L10" s="29" t="s">
        <v>1518</v>
      </c>
      <c r="M10" s="29" t="s">
        <v>1519</v>
      </c>
      <c r="N10" s="29" t="s">
        <v>1520</v>
      </c>
      <c r="O10" s="29" t="s">
        <v>1521</v>
      </c>
      <c r="P10" s="28" t="s">
        <v>1522</v>
      </c>
    </row>
    <row r="11" spans="2:16" ht="30.75" thickBot="1" x14ac:dyDescent="0.25">
      <c r="B11" s="25">
        <v>626</v>
      </c>
      <c r="C11" s="26"/>
      <c r="D11" s="40"/>
      <c r="E11" s="40"/>
      <c r="F11" s="40"/>
      <c r="G11" s="29"/>
      <c r="H11" s="29"/>
      <c r="I11" s="29"/>
      <c r="J11" s="29"/>
      <c r="K11" s="29"/>
      <c r="L11" s="29"/>
      <c r="M11" s="29"/>
      <c r="N11" s="29"/>
      <c r="O11" s="29"/>
      <c r="P11" s="28" t="s">
        <v>1523</v>
      </c>
    </row>
    <row r="12" spans="2:16" ht="39" thickBot="1" x14ac:dyDescent="0.25">
      <c r="B12" s="25">
        <v>627</v>
      </c>
      <c r="C12" s="26" t="s">
        <v>1524</v>
      </c>
      <c r="D12" s="39" t="s">
        <v>1525</v>
      </c>
      <c r="E12" s="39" t="s">
        <v>1526</v>
      </c>
      <c r="F12" s="39" t="s">
        <v>1527</v>
      </c>
      <c r="G12" s="27" t="s">
        <v>1528</v>
      </c>
      <c r="H12" s="27" t="s">
        <v>1529</v>
      </c>
      <c r="I12" s="27" t="s">
        <v>1530</v>
      </c>
      <c r="J12" s="27" t="s">
        <v>1531</v>
      </c>
      <c r="K12" s="27" t="s">
        <v>1532</v>
      </c>
      <c r="L12" s="27" t="s">
        <v>1533</v>
      </c>
      <c r="M12" s="27" t="s">
        <v>1534</v>
      </c>
      <c r="N12" s="27" t="s">
        <v>1535</v>
      </c>
      <c r="O12" s="27" t="s">
        <v>1536</v>
      </c>
      <c r="P12" s="28" t="s">
        <v>1537</v>
      </c>
    </row>
    <row r="13" spans="2:16" ht="90.75" thickBot="1" x14ac:dyDescent="0.25">
      <c r="B13" s="25">
        <v>628</v>
      </c>
      <c r="C13" s="28" t="s">
        <v>1538</v>
      </c>
      <c r="D13" s="41">
        <v>80363.7</v>
      </c>
      <c r="E13" s="41">
        <v>79973.23</v>
      </c>
      <c r="F13" s="41">
        <v>75391.58</v>
      </c>
      <c r="G13" s="25">
        <v>82732.600000000006</v>
      </c>
      <c r="H13" s="25">
        <v>100682.93</v>
      </c>
      <c r="I13" s="25">
        <v>100682.93</v>
      </c>
      <c r="J13" s="25">
        <v>139278.18</v>
      </c>
      <c r="K13" s="25">
        <v>124423.1</v>
      </c>
      <c r="L13" s="25">
        <v>126713.84</v>
      </c>
      <c r="M13" s="25">
        <v>81048.47</v>
      </c>
      <c r="N13" s="25">
        <v>98039.26</v>
      </c>
      <c r="O13" s="25">
        <v>115895.79</v>
      </c>
      <c r="P13" s="28" t="s">
        <v>1539</v>
      </c>
    </row>
    <row r="14" spans="2:16" ht="30.75" thickBot="1" x14ac:dyDescent="0.25">
      <c r="B14" s="25">
        <v>629</v>
      </c>
      <c r="C14" s="28"/>
      <c r="D14" s="41"/>
      <c r="E14" s="41"/>
      <c r="F14" s="41"/>
      <c r="G14" s="25"/>
      <c r="H14" s="25"/>
      <c r="I14" s="25"/>
      <c r="J14" s="25"/>
      <c r="K14" s="25"/>
      <c r="L14" s="25"/>
      <c r="M14" s="25"/>
      <c r="N14" s="26"/>
      <c r="O14" s="25"/>
      <c r="P14" s="28" t="s">
        <v>1523</v>
      </c>
    </row>
    <row r="15" spans="2:16" ht="60.75" thickBot="1" x14ac:dyDescent="0.25">
      <c r="B15" s="25">
        <v>630</v>
      </c>
      <c r="C15" s="28" t="s">
        <v>1540</v>
      </c>
      <c r="D15" s="41" t="s">
        <v>1541</v>
      </c>
      <c r="E15" s="41" t="s">
        <v>1542</v>
      </c>
      <c r="F15" s="41" t="s">
        <v>1543</v>
      </c>
      <c r="G15" s="25" t="s">
        <v>1544</v>
      </c>
      <c r="H15" s="25" t="s">
        <v>1545</v>
      </c>
      <c r="I15" s="25" t="s">
        <v>1546</v>
      </c>
      <c r="J15" s="25" t="s">
        <v>1547</v>
      </c>
      <c r="K15" s="25" t="s">
        <v>1548</v>
      </c>
      <c r="L15" s="25" t="s">
        <v>1549</v>
      </c>
      <c r="M15" s="25" t="s">
        <v>1550</v>
      </c>
      <c r="N15" s="25" t="s">
        <v>1551</v>
      </c>
      <c r="O15" s="25" t="s">
        <v>1552</v>
      </c>
      <c r="P15" s="28" t="s">
        <v>1553</v>
      </c>
    </row>
    <row r="16" spans="2:16" ht="30.75" thickBot="1" x14ac:dyDescent="0.25">
      <c r="B16" s="25">
        <v>631</v>
      </c>
      <c r="C16" s="28"/>
      <c r="D16" s="41"/>
      <c r="E16" s="41"/>
      <c r="F16" s="41"/>
      <c r="G16" s="25"/>
      <c r="H16" s="25"/>
      <c r="I16" s="25"/>
      <c r="J16" s="25"/>
      <c r="K16" s="25"/>
      <c r="L16" s="25"/>
      <c r="M16" s="25"/>
      <c r="N16" s="25"/>
      <c r="O16" s="25"/>
      <c r="P16" s="28" t="s">
        <v>1523</v>
      </c>
    </row>
    <row r="17" spans="2:21" ht="30.75" thickBot="1" x14ac:dyDescent="0.25">
      <c r="B17" s="25">
        <v>632</v>
      </c>
      <c r="C17" s="28"/>
      <c r="D17" s="41"/>
      <c r="E17" s="41"/>
      <c r="F17" s="41"/>
      <c r="G17" s="25"/>
      <c r="H17" s="25"/>
      <c r="I17" s="25"/>
      <c r="J17" s="25"/>
      <c r="K17" s="25"/>
      <c r="L17" s="25"/>
      <c r="M17" s="25"/>
      <c r="N17" s="25"/>
      <c r="O17" s="25"/>
      <c r="P17" s="28" t="s">
        <v>1523</v>
      </c>
    </row>
    <row r="18" spans="2:21" ht="45.75" thickBot="1" x14ac:dyDescent="0.25">
      <c r="B18" s="25">
        <v>633</v>
      </c>
      <c r="C18" s="28" t="s">
        <v>1554</v>
      </c>
      <c r="D18" s="42" t="s">
        <v>1555</v>
      </c>
      <c r="E18" s="42" t="s">
        <v>1556</v>
      </c>
      <c r="F18" s="42" t="s">
        <v>1557</v>
      </c>
      <c r="G18" s="32" t="s">
        <v>1558</v>
      </c>
      <c r="H18" s="32" t="s">
        <v>1559</v>
      </c>
      <c r="I18" s="32" t="s">
        <v>1560</v>
      </c>
      <c r="J18" s="32" t="s">
        <v>1561</v>
      </c>
      <c r="K18" s="32" t="s">
        <v>1562</v>
      </c>
      <c r="L18" s="32" t="s">
        <v>1563</v>
      </c>
      <c r="M18" s="32" t="s">
        <v>1564</v>
      </c>
      <c r="N18" s="32" t="s">
        <v>1565</v>
      </c>
      <c r="O18" s="32" t="s">
        <v>1566</v>
      </c>
      <c r="P18" s="28" t="s">
        <v>1567</v>
      </c>
    </row>
    <row r="19" spans="2:21" ht="75.75" thickBot="1" x14ac:dyDescent="0.25">
      <c r="B19" s="25">
        <v>634</v>
      </c>
      <c r="C19" s="28" t="s">
        <v>1568</v>
      </c>
      <c r="D19" s="41" t="s">
        <v>1569</v>
      </c>
      <c r="E19" s="41" t="s">
        <v>1570</v>
      </c>
      <c r="F19" s="41" t="s">
        <v>1571</v>
      </c>
      <c r="G19" s="25" t="s">
        <v>1572</v>
      </c>
      <c r="H19" s="25" t="s">
        <v>1573</v>
      </c>
      <c r="I19" s="25" t="s">
        <v>1573</v>
      </c>
      <c r="J19" s="25" t="s">
        <v>1574</v>
      </c>
      <c r="K19" s="25" t="s">
        <v>1575</v>
      </c>
      <c r="L19" s="25" t="s">
        <v>1576</v>
      </c>
      <c r="M19" s="25" t="s">
        <v>1577</v>
      </c>
      <c r="N19" s="25" t="s">
        <v>1578</v>
      </c>
      <c r="O19" s="25" t="s">
        <v>1579</v>
      </c>
      <c r="P19" s="28" t="s">
        <v>1580</v>
      </c>
    </row>
    <row r="20" spans="2:21" ht="30.75" thickBot="1" x14ac:dyDescent="0.25">
      <c r="B20" s="25">
        <v>635</v>
      </c>
      <c r="C20" s="28"/>
      <c r="D20" s="41"/>
      <c r="E20" s="41"/>
      <c r="F20" s="41"/>
      <c r="G20" s="25"/>
      <c r="H20" s="25"/>
      <c r="I20" s="25"/>
      <c r="J20" s="25"/>
      <c r="K20" s="25"/>
      <c r="L20" s="25"/>
      <c r="M20" s="25"/>
      <c r="N20" s="25"/>
      <c r="O20" s="25"/>
      <c r="P20" s="28" t="s">
        <v>1523</v>
      </c>
    </row>
    <row r="21" spans="2:21" ht="60.75" thickBot="1" x14ac:dyDescent="0.25">
      <c r="B21" s="25">
        <v>636</v>
      </c>
      <c r="C21" s="28" t="s">
        <v>1581</v>
      </c>
      <c r="D21" s="41" t="s">
        <v>1582</v>
      </c>
      <c r="E21" s="41" t="s">
        <v>1583</v>
      </c>
      <c r="F21" s="41" t="s">
        <v>1584</v>
      </c>
      <c r="G21" s="25" t="s">
        <v>1585</v>
      </c>
      <c r="H21" s="25" t="s">
        <v>1586</v>
      </c>
      <c r="I21" s="25" t="s">
        <v>1587</v>
      </c>
      <c r="J21" s="25" t="s">
        <v>1588</v>
      </c>
      <c r="K21" s="25" t="s">
        <v>1589</v>
      </c>
      <c r="L21" s="25" t="s">
        <v>1590</v>
      </c>
      <c r="M21" s="25" t="s">
        <v>1591</v>
      </c>
      <c r="N21" s="25" t="s">
        <v>1592</v>
      </c>
      <c r="O21" s="25" t="s">
        <v>1593</v>
      </c>
      <c r="P21" s="28" t="s">
        <v>1594</v>
      </c>
    </row>
    <row r="22" spans="2:21" ht="30.75" thickBot="1" x14ac:dyDescent="0.25">
      <c r="B22" s="25">
        <v>637</v>
      </c>
      <c r="C22" s="28"/>
      <c r="D22" s="41"/>
      <c r="E22" s="41"/>
      <c r="F22" s="41"/>
      <c r="G22" s="25"/>
      <c r="H22" s="25"/>
      <c r="I22" s="25"/>
      <c r="J22" s="25"/>
      <c r="K22" s="25"/>
      <c r="L22" s="25"/>
      <c r="M22" s="25"/>
      <c r="N22" s="25"/>
      <c r="O22" s="25"/>
      <c r="P22" s="28" t="s">
        <v>1523</v>
      </c>
    </row>
    <row r="23" spans="2:21" ht="30.75" thickBot="1" x14ac:dyDescent="0.25">
      <c r="B23" s="25">
        <v>638</v>
      </c>
      <c r="C23" s="28"/>
      <c r="D23" s="41"/>
      <c r="E23" s="41"/>
      <c r="F23" s="41"/>
      <c r="G23" s="25"/>
      <c r="H23" s="25"/>
      <c r="I23" s="25"/>
      <c r="J23" s="25"/>
      <c r="K23" s="25"/>
      <c r="L23" s="25"/>
      <c r="M23" s="25"/>
      <c r="N23" s="25"/>
      <c r="O23" s="25"/>
      <c r="P23" s="28" t="s">
        <v>1523</v>
      </c>
    </row>
    <row r="24" spans="2:21" ht="15.75" thickBot="1" x14ac:dyDescent="0.25">
      <c r="B24" s="25">
        <v>639</v>
      </c>
      <c r="C24" s="28"/>
      <c r="D24" s="41"/>
      <c r="E24" s="41"/>
      <c r="F24" s="41"/>
      <c r="G24" s="25"/>
      <c r="H24" s="25"/>
      <c r="I24" s="25"/>
      <c r="J24" s="25"/>
      <c r="K24" s="25"/>
      <c r="L24" s="25"/>
      <c r="M24" s="25"/>
      <c r="N24" s="25"/>
      <c r="O24" s="25"/>
      <c r="P24" s="28"/>
    </row>
    <row r="25" spans="2:21" ht="15.75" thickBot="1" x14ac:dyDescent="0.25">
      <c r="B25" s="23"/>
      <c r="C25" s="23" t="s">
        <v>1489</v>
      </c>
      <c r="D25" s="38">
        <v>2445905.4900000002</v>
      </c>
      <c r="E25" s="38">
        <v>2306211.62</v>
      </c>
      <c r="F25" s="38">
        <v>2384119.59</v>
      </c>
      <c r="G25" s="33">
        <v>2504407.34</v>
      </c>
      <c r="H25" s="33">
        <v>2750624.06</v>
      </c>
      <c r="I25" s="33">
        <v>2815304.8</v>
      </c>
      <c r="J25" s="33">
        <v>3742863.53</v>
      </c>
      <c r="K25" s="33">
        <v>3595700.17</v>
      </c>
      <c r="L25" s="33">
        <v>4063061.78</v>
      </c>
      <c r="M25" s="33">
        <v>3296530.25</v>
      </c>
      <c r="N25" s="33">
        <v>3225472.93</v>
      </c>
      <c r="O25" s="33">
        <v>2872478.09</v>
      </c>
      <c r="P25" s="33">
        <v>36002679.640000001</v>
      </c>
      <c r="R25" s="46" t="e">
        <f>L25/Sheet1!#REF!</f>
        <v>#REF!</v>
      </c>
      <c r="S25" s="46" t="e">
        <f>O25/Sheet1!#REF!</f>
        <v>#REF!</v>
      </c>
      <c r="T25" t="e">
        <f>K25/Sheet1!#REF!</f>
        <v>#REF!</v>
      </c>
      <c r="U25">
        <f>M25/1.38</f>
        <v>2388790.0362318843</v>
      </c>
    </row>
    <row r="28" spans="2:21" x14ac:dyDescent="0.2">
      <c r="B28" t="s">
        <v>1595</v>
      </c>
    </row>
    <row r="29" spans="2:21" ht="13.5" thickBot="1" x14ac:dyDescent="0.25"/>
    <row r="30" spans="2:21" ht="30.75" thickBot="1" x14ac:dyDescent="0.25">
      <c r="B30" s="23" t="s">
        <v>1487</v>
      </c>
      <c r="C30" s="23" t="s">
        <v>1488</v>
      </c>
      <c r="D30" s="38">
        <v>43484</v>
      </c>
      <c r="E30" s="38">
        <v>43515</v>
      </c>
      <c r="F30" s="38">
        <v>43543</v>
      </c>
      <c r="G30" s="24">
        <v>43574</v>
      </c>
      <c r="H30" s="24">
        <v>43604</v>
      </c>
      <c r="I30" s="24">
        <v>43635</v>
      </c>
      <c r="J30" s="24">
        <v>43665</v>
      </c>
      <c r="K30" s="24">
        <v>43696</v>
      </c>
      <c r="L30" s="24">
        <v>43727</v>
      </c>
      <c r="M30" s="24">
        <v>43757</v>
      </c>
      <c r="N30" s="24">
        <v>43788</v>
      </c>
      <c r="O30" s="24">
        <v>43818</v>
      </c>
      <c r="P30" s="23" t="s">
        <v>1489</v>
      </c>
    </row>
    <row r="31" spans="2:21" ht="15.75" thickBot="1" x14ac:dyDescent="0.25">
      <c r="B31" s="34"/>
      <c r="C31" s="34"/>
      <c r="D31" s="43"/>
      <c r="E31" s="43"/>
      <c r="F31" s="43"/>
      <c r="G31" s="34"/>
      <c r="H31" s="34"/>
      <c r="I31" s="34"/>
      <c r="J31" s="34"/>
      <c r="K31" s="34"/>
      <c r="L31" s="34"/>
      <c r="M31" s="34"/>
      <c r="N31" s="34"/>
      <c r="O31" s="34"/>
      <c r="P31" s="34">
        <v>0</v>
      </c>
    </row>
    <row r="32" spans="2:21" ht="45.75" thickBot="1" x14ac:dyDescent="0.25">
      <c r="B32" s="25">
        <v>620</v>
      </c>
      <c r="C32" s="28" t="s">
        <v>1490</v>
      </c>
      <c r="D32" s="44">
        <v>125500</v>
      </c>
      <c r="E32" s="44">
        <v>130000</v>
      </c>
      <c r="F32" s="44">
        <v>129224</v>
      </c>
      <c r="G32" s="35">
        <v>101322</v>
      </c>
      <c r="H32" s="35">
        <v>85095</v>
      </c>
      <c r="I32" s="35">
        <v>90809</v>
      </c>
      <c r="J32" s="35">
        <v>98195</v>
      </c>
      <c r="K32" s="35">
        <v>86920</v>
      </c>
      <c r="L32" s="35">
        <v>119835</v>
      </c>
      <c r="M32" s="35">
        <v>164947</v>
      </c>
      <c r="N32" s="35">
        <v>119835</v>
      </c>
      <c r="O32" s="35">
        <v>143287</v>
      </c>
      <c r="P32" s="29" t="s">
        <v>1596</v>
      </c>
    </row>
    <row r="33" spans="2:16" ht="26.25" thickBot="1" x14ac:dyDescent="0.25">
      <c r="B33" s="25">
        <v>621</v>
      </c>
      <c r="C33" s="26" t="s">
        <v>1597</v>
      </c>
      <c r="D33" s="40" t="s">
        <v>1598</v>
      </c>
      <c r="E33" s="40" t="s">
        <v>1598</v>
      </c>
      <c r="F33" s="40" t="s">
        <v>1598</v>
      </c>
      <c r="G33" s="29" t="s">
        <v>1598</v>
      </c>
      <c r="H33" s="29" t="s">
        <v>1598</v>
      </c>
      <c r="I33" s="29" t="s">
        <v>1598</v>
      </c>
      <c r="J33" s="29" t="s">
        <v>1598</v>
      </c>
      <c r="K33" s="29" t="s">
        <v>1598</v>
      </c>
      <c r="L33" s="29" t="s">
        <v>1598</v>
      </c>
      <c r="M33" s="29" t="s">
        <v>1598</v>
      </c>
      <c r="N33" s="29" t="s">
        <v>1598</v>
      </c>
      <c r="O33" s="29" t="s">
        <v>1598</v>
      </c>
      <c r="P33" s="29" t="s">
        <v>1599</v>
      </c>
    </row>
    <row r="34" spans="2:16" ht="26.25" thickBot="1" x14ac:dyDescent="0.25">
      <c r="B34" s="25">
        <v>622</v>
      </c>
      <c r="C34" s="26" t="s">
        <v>1600</v>
      </c>
      <c r="D34" s="40" t="s">
        <v>1601</v>
      </c>
      <c r="E34" s="40" t="s">
        <v>1602</v>
      </c>
      <c r="F34" s="40" t="s">
        <v>1603</v>
      </c>
      <c r="G34" s="29" t="s">
        <v>1604</v>
      </c>
      <c r="H34" s="29" t="s">
        <v>1605</v>
      </c>
      <c r="I34" s="29" t="s">
        <v>1606</v>
      </c>
      <c r="J34" s="29" t="s">
        <v>1607</v>
      </c>
      <c r="K34" s="29" t="s">
        <v>1608</v>
      </c>
      <c r="L34" s="29" t="s">
        <v>1609</v>
      </c>
      <c r="M34" s="29" t="s">
        <v>1610</v>
      </c>
      <c r="N34" s="29" t="s">
        <v>1609</v>
      </c>
      <c r="O34" s="29" t="s">
        <v>1611</v>
      </c>
      <c r="P34" s="29" t="s">
        <v>1612</v>
      </c>
    </row>
    <row r="35" spans="2:16" ht="26.25" thickBot="1" x14ac:dyDescent="0.25">
      <c r="B35" s="25">
        <v>623</v>
      </c>
      <c r="C35" s="26"/>
      <c r="D35" s="40"/>
      <c r="E35" s="40"/>
      <c r="F35" s="40"/>
      <c r="G35" s="29"/>
      <c r="H35" s="29"/>
      <c r="I35" s="29"/>
      <c r="J35" s="29"/>
      <c r="K35" s="29"/>
      <c r="L35" s="29"/>
      <c r="M35" s="29"/>
      <c r="N35" s="29"/>
      <c r="O35" s="29"/>
      <c r="P35" s="29" t="s">
        <v>1613</v>
      </c>
    </row>
    <row r="36" spans="2:16" ht="26.25" thickBot="1" x14ac:dyDescent="0.25">
      <c r="B36" s="25">
        <v>624</v>
      </c>
      <c r="C36" s="26"/>
      <c r="D36" s="40"/>
      <c r="E36" s="40"/>
      <c r="F36" s="40"/>
      <c r="G36" s="29"/>
      <c r="H36" s="29"/>
      <c r="I36" s="29"/>
      <c r="J36" s="29"/>
      <c r="K36" s="29"/>
      <c r="L36" s="29"/>
      <c r="M36" s="29"/>
      <c r="N36" s="29"/>
      <c r="O36" s="29"/>
      <c r="P36" s="29" t="s">
        <v>1613</v>
      </c>
    </row>
    <row r="37" spans="2:16" ht="39" thickBot="1" x14ac:dyDescent="0.25">
      <c r="B37" s="25">
        <v>625</v>
      </c>
      <c r="C37" s="26" t="s">
        <v>1614</v>
      </c>
      <c r="D37" s="40" t="s">
        <v>1615</v>
      </c>
      <c r="E37" s="40" t="s">
        <v>1616</v>
      </c>
      <c r="F37" s="40" t="s">
        <v>1617</v>
      </c>
      <c r="G37" s="29" t="s">
        <v>1618</v>
      </c>
      <c r="H37" s="29" t="s">
        <v>1619</v>
      </c>
      <c r="I37" s="29" t="s">
        <v>1620</v>
      </c>
      <c r="J37" s="29" t="s">
        <v>1621</v>
      </c>
      <c r="K37" s="29" t="s">
        <v>1622</v>
      </c>
      <c r="L37" s="29" t="s">
        <v>1623</v>
      </c>
      <c r="M37" s="29" t="s">
        <v>1624</v>
      </c>
      <c r="N37" s="29" t="s">
        <v>1623</v>
      </c>
      <c r="O37" s="29" t="s">
        <v>1625</v>
      </c>
      <c r="P37" s="29" t="s">
        <v>1626</v>
      </c>
    </row>
    <row r="38" spans="2:16" ht="26.25" thickBot="1" x14ac:dyDescent="0.25">
      <c r="B38" s="25">
        <v>626</v>
      </c>
      <c r="C38" s="26"/>
      <c r="D38" s="40"/>
      <c r="E38" s="40"/>
      <c r="F38" s="40"/>
      <c r="G38" s="29"/>
      <c r="H38" s="29"/>
      <c r="I38" s="29"/>
      <c r="J38" s="29"/>
      <c r="K38" s="29"/>
      <c r="L38" s="29"/>
      <c r="M38" s="29"/>
      <c r="N38" s="29"/>
      <c r="O38" s="29"/>
      <c r="P38" s="29" t="s">
        <v>1613</v>
      </c>
    </row>
    <row r="39" spans="2:16" ht="60.75" thickBot="1" x14ac:dyDescent="0.25">
      <c r="B39" s="25">
        <v>627</v>
      </c>
      <c r="C39" s="28" t="s">
        <v>1627</v>
      </c>
      <c r="D39" s="41" t="s">
        <v>1628</v>
      </c>
      <c r="E39" s="41" t="s">
        <v>1629</v>
      </c>
      <c r="F39" s="41" t="s">
        <v>1630</v>
      </c>
      <c r="G39" s="25" t="s">
        <v>1631</v>
      </c>
      <c r="H39" s="25" t="s">
        <v>1632</v>
      </c>
      <c r="I39" s="25" t="s">
        <v>1633</v>
      </c>
      <c r="J39" s="25" t="s">
        <v>1634</v>
      </c>
      <c r="K39" s="25" t="s">
        <v>1635</v>
      </c>
      <c r="L39" s="25" t="s">
        <v>1636</v>
      </c>
      <c r="M39" s="25" t="s">
        <v>1637</v>
      </c>
      <c r="N39" s="25" t="s">
        <v>1636</v>
      </c>
      <c r="O39" s="25" t="s">
        <v>1638</v>
      </c>
      <c r="P39" s="29" t="s">
        <v>1639</v>
      </c>
    </row>
    <row r="40" spans="2:16" ht="26.25" thickBot="1" x14ac:dyDescent="0.25">
      <c r="B40" s="36">
        <v>628</v>
      </c>
      <c r="C40" s="37"/>
      <c r="D40" s="41"/>
      <c r="E40" s="41"/>
      <c r="F40" s="41"/>
      <c r="G40" s="25"/>
      <c r="H40" s="25"/>
      <c r="I40" s="25"/>
      <c r="J40" s="25"/>
      <c r="K40" s="25"/>
      <c r="L40" s="25"/>
      <c r="M40" s="25"/>
      <c r="N40" s="25"/>
      <c r="O40" s="25"/>
      <c r="P40" s="29" t="s">
        <v>1613</v>
      </c>
    </row>
    <row r="41" spans="2:16" ht="60.75" thickBot="1" x14ac:dyDescent="0.25">
      <c r="B41" s="25">
        <v>629</v>
      </c>
      <c r="C41" s="28" t="s">
        <v>1640</v>
      </c>
      <c r="D41" s="41" t="s">
        <v>1641</v>
      </c>
      <c r="E41" s="41" t="s">
        <v>1642</v>
      </c>
      <c r="F41" s="41" t="s">
        <v>1643</v>
      </c>
      <c r="G41" s="25" t="s">
        <v>1644</v>
      </c>
      <c r="H41" s="25" t="s">
        <v>1645</v>
      </c>
      <c r="I41" s="25" t="s">
        <v>1646</v>
      </c>
      <c r="J41" s="25" t="s">
        <v>1647</v>
      </c>
      <c r="K41" s="25" t="s">
        <v>1648</v>
      </c>
      <c r="L41" s="25" t="s">
        <v>1649</v>
      </c>
      <c r="M41" s="25" t="s">
        <v>1650</v>
      </c>
      <c r="N41" s="25" t="s">
        <v>1649</v>
      </c>
      <c r="O41" s="25" t="s">
        <v>1651</v>
      </c>
      <c r="P41" s="29" t="s">
        <v>1652</v>
      </c>
    </row>
    <row r="42" spans="2:16" ht="26.25" thickBot="1" x14ac:dyDescent="0.25">
      <c r="B42" s="25">
        <v>630</v>
      </c>
      <c r="C42" s="28"/>
      <c r="D42" s="41"/>
      <c r="E42" s="41"/>
      <c r="F42" s="41"/>
      <c r="G42" s="25"/>
      <c r="H42" s="25"/>
      <c r="I42" s="25"/>
      <c r="J42" s="25"/>
      <c r="K42" s="25"/>
      <c r="L42" s="25"/>
      <c r="M42" s="25"/>
      <c r="N42" s="25"/>
      <c r="O42" s="25"/>
      <c r="P42" s="29" t="s">
        <v>1613</v>
      </c>
    </row>
    <row r="43" spans="2:16" ht="26.25" thickBot="1" x14ac:dyDescent="0.25">
      <c r="B43" s="25">
        <v>631</v>
      </c>
      <c r="C43" s="28"/>
      <c r="D43" s="41"/>
      <c r="E43" s="41"/>
      <c r="F43" s="41"/>
      <c r="G43" s="25"/>
      <c r="H43" s="25"/>
      <c r="I43" s="25"/>
      <c r="J43" s="25"/>
      <c r="K43" s="25"/>
      <c r="L43" s="25"/>
      <c r="M43" s="25"/>
      <c r="N43" s="25"/>
      <c r="O43" s="25"/>
      <c r="P43" s="29" t="s">
        <v>1613</v>
      </c>
    </row>
    <row r="44" spans="2:16" ht="26.25" thickBot="1" x14ac:dyDescent="0.25">
      <c r="B44" s="25">
        <v>632</v>
      </c>
      <c r="C44" s="28"/>
      <c r="D44" s="41"/>
      <c r="E44" s="41"/>
      <c r="F44" s="41"/>
      <c r="G44" s="25"/>
      <c r="H44" s="25"/>
      <c r="I44" s="25"/>
      <c r="J44" s="25"/>
      <c r="K44" s="25"/>
      <c r="L44" s="25"/>
      <c r="M44" s="25"/>
      <c r="N44" s="25"/>
      <c r="O44" s="25"/>
      <c r="P44" s="29" t="s">
        <v>1613</v>
      </c>
    </row>
    <row r="45" spans="2:16" ht="26.25" thickBot="1" x14ac:dyDescent="0.25">
      <c r="B45" s="25">
        <v>633</v>
      </c>
      <c r="C45" s="28"/>
      <c r="D45" s="41"/>
      <c r="E45" s="41"/>
      <c r="F45" s="41"/>
      <c r="G45" s="25"/>
      <c r="H45" s="25"/>
      <c r="I45" s="25"/>
      <c r="J45" s="25"/>
      <c r="K45" s="25"/>
      <c r="L45" s="25"/>
      <c r="M45" s="25"/>
      <c r="N45" s="25"/>
      <c r="O45" s="25"/>
      <c r="P45" s="29" t="s">
        <v>1613</v>
      </c>
    </row>
    <row r="46" spans="2:16" ht="26.25" thickBot="1" x14ac:dyDescent="0.25">
      <c r="B46" s="25">
        <v>634</v>
      </c>
      <c r="C46" s="28"/>
      <c r="D46" s="41"/>
      <c r="E46" s="41"/>
      <c r="F46" s="41"/>
      <c r="G46" s="25"/>
      <c r="H46" s="25"/>
      <c r="I46" s="25"/>
      <c r="J46" s="25"/>
      <c r="K46" s="25"/>
      <c r="L46" s="25"/>
      <c r="M46" s="25"/>
      <c r="N46" s="25"/>
      <c r="O46" s="25"/>
      <c r="P46" s="29" t="s">
        <v>1613</v>
      </c>
    </row>
    <row r="47" spans="2:16" ht="26.25" thickBot="1" x14ac:dyDescent="0.25">
      <c r="B47" s="25">
        <v>635</v>
      </c>
      <c r="C47" s="28"/>
      <c r="D47" s="41"/>
      <c r="E47" s="41"/>
      <c r="F47" s="41"/>
      <c r="G47" s="25"/>
      <c r="H47" s="25"/>
      <c r="I47" s="25"/>
      <c r="J47" s="25"/>
      <c r="K47" s="25"/>
      <c r="L47" s="25"/>
      <c r="M47" s="25"/>
      <c r="N47" s="25"/>
      <c r="O47" s="25"/>
      <c r="P47" s="29" t="s">
        <v>1613</v>
      </c>
    </row>
    <row r="48" spans="2:16" ht="26.25" thickBot="1" x14ac:dyDescent="0.25">
      <c r="B48" s="25">
        <v>636</v>
      </c>
      <c r="C48" s="28"/>
      <c r="D48" s="41"/>
      <c r="E48" s="41"/>
      <c r="F48" s="41"/>
      <c r="G48" s="25"/>
      <c r="H48" s="25"/>
      <c r="I48" s="25"/>
      <c r="J48" s="25"/>
      <c r="K48" s="25"/>
      <c r="L48" s="25"/>
      <c r="M48" s="25"/>
      <c r="N48" s="25"/>
      <c r="O48" s="25"/>
      <c r="P48" s="29" t="s">
        <v>1613</v>
      </c>
    </row>
    <row r="49" spans="2:21" ht="26.25" thickBot="1" x14ac:dyDescent="0.25">
      <c r="B49" s="25">
        <v>637</v>
      </c>
      <c r="C49" s="28"/>
      <c r="D49" s="41"/>
      <c r="E49" s="41"/>
      <c r="F49" s="41"/>
      <c r="G49" s="25"/>
      <c r="H49" s="25"/>
      <c r="I49" s="25"/>
      <c r="J49" s="25"/>
      <c r="K49" s="25"/>
      <c r="L49" s="25"/>
      <c r="M49" s="25"/>
      <c r="N49" s="25"/>
      <c r="O49" s="25"/>
      <c r="P49" s="29" t="s">
        <v>1613</v>
      </c>
    </row>
    <row r="50" spans="2:21" ht="26.25" thickBot="1" x14ac:dyDescent="0.25">
      <c r="B50" s="25">
        <v>638</v>
      </c>
      <c r="C50" s="28"/>
      <c r="D50" s="41"/>
      <c r="E50" s="41"/>
      <c r="F50" s="41"/>
      <c r="G50" s="25"/>
      <c r="H50" s="25"/>
      <c r="I50" s="25"/>
      <c r="J50" s="25"/>
      <c r="K50" s="25"/>
      <c r="L50" s="25"/>
      <c r="M50" s="25"/>
      <c r="N50" s="25"/>
      <c r="O50" s="25"/>
      <c r="P50" s="29" t="s">
        <v>1613</v>
      </c>
    </row>
    <row r="51" spans="2:21" ht="26.25" thickBot="1" x14ac:dyDescent="0.25">
      <c r="B51" s="25">
        <v>639</v>
      </c>
      <c r="C51" s="28"/>
      <c r="D51" s="45"/>
      <c r="E51" s="45"/>
      <c r="F51" s="45"/>
      <c r="G51" s="28"/>
      <c r="H51" s="28"/>
      <c r="I51" s="28"/>
      <c r="J51" s="28"/>
      <c r="K51" s="28"/>
      <c r="L51" s="28"/>
      <c r="M51" s="28"/>
      <c r="N51" s="28"/>
      <c r="O51" s="28"/>
      <c r="P51" s="29" t="s">
        <v>1613</v>
      </c>
    </row>
    <row r="52" spans="2:21" ht="15.75" thickBot="1" x14ac:dyDescent="0.25">
      <c r="B52" s="23"/>
      <c r="C52" s="23" t="s">
        <v>1489</v>
      </c>
      <c r="D52" s="38">
        <v>344385</v>
      </c>
      <c r="E52" s="38" t="s">
        <v>1653</v>
      </c>
      <c r="F52" s="38" t="s">
        <v>1654</v>
      </c>
      <c r="G52" s="23" t="s">
        <v>1655</v>
      </c>
      <c r="H52" s="23" t="s">
        <v>1656</v>
      </c>
      <c r="I52" s="23" t="s">
        <v>1657</v>
      </c>
      <c r="J52" s="23" t="s">
        <v>1658</v>
      </c>
      <c r="K52" s="23" t="s">
        <v>1659</v>
      </c>
      <c r="L52" s="23">
        <v>328840</v>
      </c>
      <c r="M52" s="23">
        <v>452630</v>
      </c>
      <c r="N52" s="23" t="s">
        <v>1660</v>
      </c>
      <c r="O52" s="23">
        <v>393194</v>
      </c>
      <c r="P52" s="23" t="s">
        <v>1661</v>
      </c>
      <c r="R52" t="e">
        <f>L52/Sheet1!#REF!</f>
        <v>#REF!</v>
      </c>
      <c r="T52" t="e">
        <f>O52/Sheet1!#REF!</f>
        <v>#REF!</v>
      </c>
      <c r="U52">
        <f>M52/0.9147</f>
        <v>494839.8381983164</v>
      </c>
    </row>
    <row r="57" spans="2:21" ht="13.5" thickBot="1" x14ac:dyDescent="0.25">
      <c r="B57" t="s">
        <v>1662</v>
      </c>
    </row>
    <row r="58" spans="2:21" ht="30.75" thickBot="1" x14ac:dyDescent="0.25">
      <c r="B58" s="23" t="s">
        <v>1487</v>
      </c>
      <c r="C58" s="23" t="s">
        <v>1488</v>
      </c>
      <c r="D58" s="38">
        <v>43484</v>
      </c>
      <c r="E58" s="38">
        <v>43515</v>
      </c>
      <c r="F58" s="38">
        <v>43543</v>
      </c>
      <c r="G58" s="24">
        <v>43574</v>
      </c>
      <c r="H58" s="24">
        <v>43604</v>
      </c>
      <c r="I58" s="24">
        <v>43635</v>
      </c>
      <c r="J58" s="24">
        <v>43665</v>
      </c>
      <c r="K58" s="24">
        <v>43696</v>
      </c>
      <c r="L58" s="24">
        <v>43727</v>
      </c>
      <c r="M58" s="24">
        <v>43757</v>
      </c>
      <c r="N58" s="24">
        <v>43788</v>
      </c>
      <c r="O58" s="24">
        <v>43818</v>
      </c>
      <c r="P58" s="23" t="s">
        <v>1489</v>
      </c>
    </row>
    <row r="59" spans="2:21" ht="39" thickBot="1" x14ac:dyDescent="0.25">
      <c r="B59" s="25">
        <v>620</v>
      </c>
      <c r="C59" s="26" t="s">
        <v>1490</v>
      </c>
      <c r="D59" s="39" t="s">
        <v>1663</v>
      </c>
      <c r="E59" s="39" t="s">
        <v>1663</v>
      </c>
      <c r="F59" s="39" t="s">
        <v>1663</v>
      </c>
      <c r="G59" s="27" t="s">
        <v>1663</v>
      </c>
      <c r="H59" s="27" t="s">
        <v>1663</v>
      </c>
      <c r="I59" s="27" t="s">
        <v>1663</v>
      </c>
      <c r="J59" s="27" t="s">
        <v>1663</v>
      </c>
      <c r="K59" s="27" t="s">
        <v>1663</v>
      </c>
      <c r="L59" s="27" t="s">
        <v>1663</v>
      </c>
      <c r="M59" s="27" t="s">
        <v>1663</v>
      </c>
      <c r="N59" s="27" t="s">
        <v>1663</v>
      </c>
      <c r="O59" s="27" t="s">
        <v>1663</v>
      </c>
      <c r="P59" s="28" t="s">
        <v>1664</v>
      </c>
    </row>
    <row r="60" spans="2:21" ht="26.25" thickBot="1" x14ac:dyDescent="0.25">
      <c r="B60" s="25">
        <v>621</v>
      </c>
      <c r="C60" s="26" t="s">
        <v>1597</v>
      </c>
      <c r="D60" s="40">
        <v>9.1199999999999992</v>
      </c>
      <c r="E60" s="40">
        <v>9.1199999999999992</v>
      </c>
      <c r="F60" s="40">
        <v>9.1199999999999992</v>
      </c>
      <c r="G60" s="29">
        <v>9.1199999999999992</v>
      </c>
      <c r="H60" s="29">
        <v>9.1199999999999992</v>
      </c>
      <c r="I60" s="29">
        <v>9.1199999999999992</v>
      </c>
      <c r="J60" s="29">
        <v>10.029999999999999</v>
      </c>
      <c r="K60" s="29">
        <v>10.029999999999999</v>
      </c>
      <c r="L60" s="29">
        <v>10.029999999999999</v>
      </c>
      <c r="M60" s="29">
        <v>10.029999999999999</v>
      </c>
      <c r="N60" s="29">
        <v>10.029999999999999</v>
      </c>
      <c r="O60" s="29">
        <v>10.029999999999999</v>
      </c>
      <c r="P60" s="28"/>
    </row>
    <row r="61" spans="2:21" ht="30.75" thickBot="1" x14ac:dyDescent="0.25">
      <c r="B61" s="25">
        <v>622</v>
      </c>
      <c r="C61" s="26"/>
      <c r="D61" s="40">
        <v>24657.7</v>
      </c>
      <c r="E61" s="40">
        <v>26896.29</v>
      </c>
      <c r="F61" s="40">
        <v>34706.259999999995</v>
      </c>
      <c r="G61" s="40">
        <v>28543.13</v>
      </c>
      <c r="H61" s="40">
        <v>36033.99</v>
      </c>
      <c r="I61" s="40">
        <v>38798.25</v>
      </c>
      <c r="J61" s="40">
        <v>36515.06</v>
      </c>
      <c r="K61" s="40">
        <v>33848.130000000005</v>
      </c>
      <c r="L61" s="40">
        <v>25510.12</v>
      </c>
      <c r="M61" s="40">
        <v>30943.99</v>
      </c>
      <c r="N61" s="40">
        <v>29769.88</v>
      </c>
      <c r="O61" s="40">
        <v>27340.77</v>
      </c>
      <c r="P61" s="28" t="s">
        <v>1665</v>
      </c>
    </row>
    <row r="62" spans="2:21" ht="30.75" thickBot="1" x14ac:dyDescent="0.25">
      <c r="B62" s="25">
        <v>623</v>
      </c>
      <c r="C62" s="26" t="s">
        <v>1494</v>
      </c>
      <c r="D62" s="39">
        <v>21657.7</v>
      </c>
      <c r="E62" s="39">
        <v>23896.29</v>
      </c>
      <c r="F62" s="39">
        <v>31706.26</v>
      </c>
      <c r="G62" s="31">
        <v>25543.13</v>
      </c>
      <c r="H62" s="31">
        <v>33033.99</v>
      </c>
      <c r="I62" s="31">
        <v>35798.25</v>
      </c>
      <c r="J62" s="31">
        <v>33515.06</v>
      </c>
      <c r="K62" s="31">
        <v>30848.13</v>
      </c>
      <c r="L62" s="31">
        <v>22510.12</v>
      </c>
      <c r="M62" s="31">
        <v>27943.99</v>
      </c>
      <c r="N62" s="31">
        <v>26769.88</v>
      </c>
      <c r="O62" s="31">
        <v>24340.77</v>
      </c>
      <c r="P62" s="28" t="s">
        <v>1666</v>
      </c>
    </row>
    <row r="63" spans="2:21" ht="64.5" thickBot="1" x14ac:dyDescent="0.25">
      <c r="B63" s="25">
        <v>624</v>
      </c>
      <c r="C63" s="26" t="s">
        <v>1667</v>
      </c>
      <c r="D63" s="40" t="s">
        <v>1668</v>
      </c>
      <c r="E63" s="40" t="s">
        <v>1668</v>
      </c>
      <c r="F63" s="40" t="s">
        <v>1668</v>
      </c>
      <c r="G63" s="29" t="s">
        <v>1668</v>
      </c>
      <c r="H63" s="29" t="s">
        <v>1668</v>
      </c>
      <c r="I63" s="29" t="s">
        <v>1668</v>
      </c>
      <c r="J63" s="29" t="s">
        <v>1668</v>
      </c>
      <c r="K63" s="29" t="s">
        <v>1668</v>
      </c>
      <c r="L63" s="29" t="s">
        <v>1668</v>
      </c>
      <c r="M63" s="29" t="s">
        <v>1668</v>
      </c>
      <c r="N63" s="29" t="s">
        <v>1668</v>
      </c>
      <c r="O63" s="29" t="s">
        <v>1668</v>
      </c>
      <c r="P63" s="28" t="s">
        <v>1669</v>
      </c>
    </row>
    <row r="64" spans="2:21" ht="30.75" thickBot="1" x14ac:dyDescent="0.25">
      <c r="B64" s="25">
        <v>625</v>
      </c>
      <c r="C64" s="26"/>
      <c r="D64" s="40"/>
      <c r="E64" s="40"/>
      <c r="F64" s="40"/>
      <c r="G64" s="29"/>
      <c r="H64" s="29"/>
      <c r="I64" s="29"/>
      <c r="J64" s="29"/>
      <c r="K64" s="29"/>
      <c r="L64" s="29"/>
      <c r="M64" s="29"/>
      <c r="N64" s="29"/>
      <c r="O64" s="29"/>
      <c r="P64" s="28" t="s">
        <v>1665</v>
      </c>
    </row>
    <row r="65" spans="2:20" ht="39" thickBot="1" x14ac:dyDescent="0.25">
      <c r="B65" s="25">
        <v>626</v>
      </c>
      <c r="C65" s="26" t="s">
        <v>1509</v>
      </c>
      <c r="D65" s="40" t="s">
        <v>1670</v>
      </c>
      <c r="E65" s="40" t="s">
        <v>1671</v>
      </c>
      <c r="F65" s="40" t="s">
        <v>1672</v>
      </c>
      <c r="G65" s="29" t="s">
        <v>1673</v>
      </c>
      <c r="H65" s="29" t="s">
        <v>1674</v>
      </c>
      <c r="I65" s="29" t="s">
        <v>1675</v>
      </c>
      <c r="J65" s="29" t="s">
        <v>1676</v>
      </c>
      <c r="K65" s="29" t="s">
        <v>1677</v>
      </c>
      <c r="L65" s="29" t="s">
        <v>1678</v>
      </c>
      <c r="M65" s="29" t="s">
        <v>1679</v>
      </c>
      <c r="N65" s="29" t="s">
        <v>1680</v>
      </c>
      <c r="O65" s="29" t="s">
        <v>1681</v>
      </c>
      <c r="P65" s="28" t="s">
        <v>1682</v>
      </c>
    </row>
    <row r="66" spans="2:20" ht="30.75" thickBot="1" x14ac:dyDescent="0.25">
      <c r="B66" s="25">
        <v>627</v>
      </c>
      <c r="C66" s="26"/>
      <c r="D66" s="40"/>
      <c r="E66" s="40"/>
      <c r="F66" s="40"/>
      <c r="G66" s="29"/>
      <c r="H66" s="29"/>
      <c r="I66" s="29"/>
      <c r="J66" s="29"/>
      <c r="K66" s="29"/>
      <c r="L66" s="29"/>
      <c r="M66" s="29"/>
      <c r="N66" s="29"/>
      <c r="O66" s="29"/>
      <c r="P66" s="28" t="s">
        <v>1665</v>
      </c>
    </row>
    <row r="67" spans="2:20" ht="39" thickBot="1" x14ac:dyDescent="0.25">
      <c r="B67" s="25">
        <v>628</v>
      </c>
      <c r="C67" s="26" t="s">
        <v>1524</v>
      </c>
      <c r="D67" s="39" t="s">
        <v>1683</v>
      </c>
      <c r="E67" s="39" t="s">
        <v>1684</v>
      </c>
      <c r="F67" s="39" t="s">
        <v>1685</v>
      </c>
      <c r="G67" s="27" t="s">
        <v>1686</v>
      </c>
      <c r="H67" s="27" t="s">
        <v>1687</v>
      </c>
      <c r="I67" s="27" t="s">
        <v>1688</v>
      </c>
      <c r="J67" s="27" t="s">
        <v>1689</v>
      </c>
      <c r="K67" s="27" t="s">
        <v>1690</v>
      </c>
      <c r="L67" s="27" t="s">
        <v>1691</v>
      </c>
      <c r="M67" s="27" t="s">
        <v>1692</v>
      </c>
      <c r="N67" s="27" t="s">
        <v>1693</v>
      </c>
      <c r="O67" s="27" t="s">
        <v>1694</v>
      </c>
      <c r="P67" s="28" t="s">
        <v>1695</v>
      </c>
    </row>
    <row r="68" spans="2:20" ht="90.75" thickBot="1" x14ac:dyDescent="0.25">
      <c r="B68" s="25">
        <v>629</v>
      </c>
      <c r="C68" s="28" t="s">
        <v>1696</v>
      </c>
      <c r="D68" s="41">
        <v>350.1</v>
      </c>
      <c r="E68" s="41">
        <v>350.1</v>
      </c>
      <c r="F68" s="41">
        <v>350.1</v>
      </c>
      <c r="G68" s="25">
        <v>350.1</v>
      </c>
      <c r="H68" s="25">
        <v>350.1</v>
      </c>
      <c r="I68" s="25">
        <v>350.1</v>
      </c>
      <c r="J68" s="25">
        <v>350.1</v>
      </c>
      <c r="K68" s="25">
        <v>350.1</v>
      </c>
      <c r="L68" s="25">
        <v>350.1</v>
      </c>
      <c r="M68" s="25">
        <v>350.1</v>
      </c>
      <c r="N68" s="25">
        <v>350.1</v>
      </c>
      <c r="O68" s="25">
        <v>350.1</v>
      </c>
      <c r="P68" s="28" t="s">
        <v>1697</v>
      </c>
    </row>
    <row r="69" spans="2:20" ht="30.75" thickBot="1" x14ac:dyDescent="0.25">
      <c r="B69" s="25">
        <v>630</v>
      </c>
      <c r="C69" s="28"/>
      <c r="D69" s="41"/>
      <c r="E69" s="41"/>
      <c r="F69" s="41"/>
      <c r="G69" s="25"/>
      <c r="H69" s="25"/>
      <c r="I69" s="25"/>
      <c r="J69" s="25"/>
      <c r="K69" s="25"/>
      <c r="L69" s="25"/>
      <c r="M69" s="25"/>
      <c r="N69" s="26"/>
      <c r="O69" s="25"/>
      <c r="P69" s="28" t="s">
        <v>1665</v>
      </c>
    </row>
    <row r="70" spans="2:20" ht="60.75" thickBot="1" x14ac:dyDescent="0.25">
      <c r="B70" s="25">
        <v>631</v>
      </c>
      <c r="C70" s="28" t="s">
        <v>1540</v>
      </c>
      <c r="D70" s="41" t="s">
        <v>1698</v>
      </c>
      <c r="E70" s="41" t="s">
        <v>1699</v>
      </c>
      <c r="F70" s="41" t="s">
        <v>1700</v>
      </c>
      <c r="G70" s="25" t="s">
        <v>1701</v>
      </c>
      <c r="H70" s="25" t="s">
        <v>1702</v>
      </c>
      <c r="I70" s="25" t="s">
        <v>1703</v>
      </c>
      <c r="J70" s="25" t="s">
        <v>1704</v>
      </c>
      <c r="K70" s="25" t="s">
        <v>1705</v>
      </c>
      <c r="L70" s="25" t="s">
        <v>1706</v>
      </c>
      <c r="M70" s="25" t="s">
        <v>1707</v>
      </c>
      <c r="N70" s="25" t="s">
        <v>1708</v>
      </c>
      <c r="O70" s="25" t="s">
        <v>1709</v>
      </c>
      <c r="P70" s="28" t="s">
        <v>1710</v>
      </c>
    </row>
    <row r="71" spans="2:20" ht="30.75" thickBot="1" x14ac:dyDescent="0.25">
      <c r="B71" s="25">
        <v>632</v>
      </c>
      <c r="C71" s="28"/>
      <c r="D71" s="41"/>
      <c r="E71" s="41"/>
      <c r="F71" s="41"/>
      <c r="G71" s="25"/>
      <c r="H71" s="25"/>
      <c r="I71" s="25"/>
      <c r="J71" s="25"/>
      <c r="K71" s="25"/>
      <c r="L71" s="25"/>
      <c r="M71" s="25"/>
      <c r="N71" s="25"/>
      <c r="O71" s="25"/>
      <c r="P71" s="28" t="s">
        <v>1665</v>
      </c>
    </row>
    <row r="72" spans="2:20" ht="30.75" thickBot="1" x14ac:dyDescent="0.25">
      <c r="B72" s="25">
        <v>633</v>
      </c>
      <c r="C72" s="28"/>
      <c r="D72" s="41"/>
      <c r="E72" s="41"/>
      <c r="F72" s="41"/>
      <c r="G72" s="25"/>
      <c r="H72" s="25"/>
      <c r="I72" s="25"/>
      <c r="J72" s="25"/>
      <c r="K72" s="25"/>
      <c r="L72" s="25"/>
      <c r="M72" s="25"/>
      <c r="N72" s="25"/>
      <c r="O72" s="25"/>
      <c r="P72" s="28" t="s">
        <v>1665</v>
      </c>
    </row>
    <row r="73" spans="2:20" ht="45.75" thickBot="1" x14ac:dyDescent="0.25">
      <c r="B73" s="25">
        <v>634</v>
      </c>
      <c r="C73" s="28" t="s">
        <v>1554</v>
      </c>
      <c r="D73" s="42" t="s">
        <v>1711</v>
      </c>
      <c r="E73" s="42" t="s">
        <v>1711</v>
      </c>
      <c r="F73" s="42" t="s">
        <v>1712</v>
      </c>
      <c r="G73" s="32" t="s">
        <v>1711</v>
      </c>
      <c r="H73" s="32" t="s">
        <v>1711</v>
      </c>
      <c r="I73" s="32" t="s">
        <v>1713</v>
      </c>
      <c r="J73" s="32" t="s">
        <v>1714</v>
      </c>
      <c r="K73" s="32" t="s">
        <v>1715</v>
      </c>
      <c r="L73" s="32" t="s">
        <v>1716</v>
      </c>
      <c r="M73" s="32" t="s">
        <v>1717</v>
      </c>
      <c r="N73" s="32" t="s">
        <v>1718</v>
      </c>
      <c r="O73" s="32" t="s">
        <v>1719</v>
      </c>
      <c r="P73" s="28" t="s">
        <v>1720</v>
      </c>
    </row>
    <row r="74" spans="2:20" ht="75.75" thickBot="1" x14ac:dyDescent="0.25">
      <c r="B74" s="25">
        <v>635</v>
      </c>
      <c r="C74" s="28" t="s">
        <v>1721</v>
      </c>
      <c r="D74" s="41" t="s">
        <v>1722</v>
      </c>
      <c r="E74" s="41" t="s">
        <v>1722</v>
      </c>
      <c r="F74" s="41" t="s">
        <v>1722</v>
      </c>
      <c r="G74" s="25" t="s">
        <v>1722</v>
      </c>
      <c r="H74" s="25" t="s">
        <v>1722</v>
      </c>
      <c r="I74" s="25" t="s">
        <v>1722</v>
      </c>
      <c r="J74" s="25" t="s">
        <v>1722</v>
      </c>
      <c r="K74" s="25" t="s">
        <v>1722</v>
      </c>
      <c r="L74" s="25" t="s">
        <v>1722</v>
      </c>
      <c r="M74" s="25" t="s">
        <v>1722</v>
      </c>
      <c r="N74" s="25" t="s">
        <v>1722</v>
      </c>
      <c r="O74" s="25" t="s">
        <v>1722</v>
      </c>
      <c r="P74" s="28" t="s">
        <v>1723</v>
      </c>
    </row>
    <row r="75" spans="2:20" ht="26.25" thickBot="1" x14ac:dyDescent="0.25">
      <c r="B75" s="25">
        <v>636</v>
      </c>
      <c r="C75" s="28"/>
      <c r="D75" s="41"/>
      <c r="E75" s="41"/>
      <c r="F75" s="41"/>
      <c r="G75" s="25"/>
      <c r="H75" s="25"/>
      <c r="I75" s="25"/>
      <c r="J75" s="25"/>
      <c r="K75" s="25"/>
      <c r="L75" s="25"/>
      <c r="M75" s="25"/>
      <c r="N75" s="25"/>
      <c r="O75" s="25"/>
      <c r="P75" s="29" t="s">
        <v>1665</v>
      </c>
    </row>
    <row r="76" spans="2:20" ht="60.75" thickBot="1" x14ac:dyDescent="0.25">
      <c r="B76" s="25">
        <v>637</v>
      </c>
      <c r="C76" s="28" t="s">
        <v>1581</v>
      </c>
      <c r="D76" s="41" t="s">
        <v>1724</v>
      </c>
      <c r="E76" s="41" t="s">
        <v>1724</v>
      </c>
      <c r="F76" s="41" t="s">
        <v>1725</v>
      </c>
      <c r="G76" s="25" t="s">
        <v>1724</v>
      </c>
      <c r="H76" s="25" t="s">
        <v>1724</v>
      </c>
      <c r="I76" s="25" t="s">
        <v>1726</v>
      </c>
      <c r="J76" s="25" t="s">
        <v>1727</v>
      </c>
      <c r="K76" s="25" t="s">
        <v>1728</v>
      </c>
      <c r="L76" s="25" t="s">
        <v>1729</v>
      </c>
      <c r="M76" s="25" t="s">
        <v>1730</v>
      </c>
      <c r="N76" s="25" t="s">
        <v>1731</v>
      </c>
      <c r="O76" s="25" t="s">
        <v>1732</v>
      </c>
      <c r="P76" s="29" t="s">
        <v>1733</v>
      </c>
    </row>
    <row r="77" spans="2:20" ht="26.25" thickBot="1" x14ac:dyDescent="0.25">
      <c r="B77" s="25">
        <v>638</v>
      </c>
      <c r="C77" s="28"/>
      <c r="D77" s="41"/>
      <c r="E77" s="41"/>
      <c r="F77" s="41"/>
      <c r="G77" s="25"/>
      <c r="H77" s="25"/>
      <c r="I77" s="25"/>
      <c r="J77" s="25"/>
      <c r="K77" s="25"/>
      <c r="L77" s="25"/>
      <c r="M77" s="25"/>
      <c r="N77" s="25"/>
      <c r="O77" s="25"/>
      <c r="P77" s="29" t="s">
        <v>1665</v>
      </c>
    </row>
    <row r="78" spans="2:20" ht="26.25" thickBot="1" x14ac:dyDescent="0.25">
      <c r="B78" s="25">
        <v>639</v>
      </c>
      <c r="C78" s="28"/>
      <c r="D78" s="41"/>
      <c r="E78" s="41"/>
      <c r="F78" s="41"/>
      <c r="G78" s="25"/>
      <c r="H78" s="25"/>
      <c r="I78" s="25"/>
      <c r="J78" s="25"/>
      <c r="K78" s="25"/>
      <c r="L78" s="25"/>
      <c r="M78" s="25"/>
      <c r="N78" s="25"/>
      <c r="O78" s="25"/>
      <c r="P78" s="29" t="s">
        <v>1665</v>
      </c>
    </row>
    <row r="79" spans="2:20" ht="30.75" thickBot="1" x14ac:dyDescent="0.25">
      <c r="B79" s="23"/>
      <c r="C79" s="23" t="s">
        <v>1489</v>
      </c>
      <c r="D79" s="38" t="s">
        <v>1734</v>
      </c>
      <c r="E79" s="38" t="s">
        <v>1735</v>
      </c>
      <c r="F79" s="38" t="s">
        <v>1736</v>
      </c>
      <c r="G79" s="23" t="s">
        <v>1737</v>
      </c>
      <c r="H79" s="23" t="s">
        <v>1738</v>
      </c>
      <c r="I79" s="23" t="s">
        <v>1739</v>
      </c>
      <c r="J79" s="23" t="s">
        <v>1740</v>
      </c>
      <c r="K79" s="23" t="s">
        <v>1741</v>
      </c>
      <c r="L79" s="23">
        <v>292709.87</v>
      </c>
      <c r="M79" s="23">
        <v>340004.54</v>
      </c>
      <c r="N79" s="23">
        <v>326497.46000000002</v>
      </c>
      <c r="O79" s="23" t="s">
        <v>1742</v>
      </c>
      <c r="P79" s="23" t="s">
        <v>1743</v>
      </c>
      <c r="R79" t="e">
        <f>L79/Sheet1!#REF!</f>
        <v>#REF!</v>
      </c>
      <c r="S79" t="e">
        <f>N79/Sheet1!#REF!</f>
        <v>#REF!</v>
      </c>
      <c r="T79">
        <f>M79/1.1</f>
        <v>309095.03636363632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2.75" x14ac:dyDescent="0.2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P90"/>
  <sheetViews>
    <sheetView workbookViewId="0">
      <selection activeCell="D8" sqref="D8"/>
    </sheetView>
  </sheetViews>
  <sheetFormatPr defaultRowHeight="12.75" x14ac:dyDescent="0.2"/>
  <cols>
    <col min="4" max="4" width="11.42578125" style="1" bestFit="1" customWidth="1"/>
    <col min="5" max="15" width="11.42578125" bestFit="1" customWidth="1"/>
  </cols>
  <sheetData>
    <row r="2" spans="2:16" ht="13.5" thickBot="1" x14ac:dyDescent="0.25"/>
    <row r="3" spans="2:16" ht="30.75" thickBot="1" x14ac:dyDescent="0.25">
      <c r="B3" s="23" t="s">
        <v>1487</v>
      </c>
      <c r="C3" s="23" t="s">
        <v>1488</v>
      </c>
      <c r="D3" s="38">
        <v>43484</v>
      </c>
      <c r="E3" s="24">
        <v>43515</v>
      </c>
      <c r="F3" s="24">
        <v>43543</v>
      </c>
      <c r="G3" s="24">
        <v>43574</v>
      </c>
      <c r="H3" s="24">
        <v>43604</v>
      </c>
      <c r="I3" s="24">
        <v>43635</v>
      </c>
      <c r="J3" s="24">
        <v>43665</v>
      </c>
      <c r="K3" s="24">
        <v>43696</v>
      </c>
      <c r="L3" s="24">
        <v>43727</v>
      </c>
      <c r="M3" s="24">
        <v>43757</v>
      </c>
      <c r="N3" s="24">
        <v>43788</v>
      </c>
      <c r="O3" s="24">
        <v>43818</v>
      </c>
      <c r="P3" s="23" t="s">
        <v>1489</v>
      </c>
    </row>
    <row r="4" spans="2:16" ht="39" thickBot="1" x14ac:dyDescent="0.25">
      <c r="B4" s="25">
        <v>620</v>
      </c>
      <c r="C4" s="26" t="s">
        <v>1490</v>
      </c>
      <c r="D4" s="39" t="s">
        <v>1744</v>
      </c>
      <c r="E4" s="27" t="s">
        <v>1745</v>
      </c>
      <c r="F4" s="27" t="s">
        <v>1746</v>
      </c>
      <c r="G4" s="27" t="s">
        <v>1747</v>
      </c>
      <c r="H4" s="27" t="s">
        <v>1748</v>
      </c>
      <c r="I4" s="27" t="s">
        <v>1748</v>
      </c>
      <c r="J4" s="27" t="s">
        <v>1749</v>
      </c>
      <c r="K4" s="27" t="s">
        <v>1750</v>
      </c>
      <c r="L4" s="27" t="s">
        <v>1751</v>
      </c>
      <c r="M4" s="27" t="s">
        <v>1752</v>
      </c>
      <c r="N4" s="27" t="s">
        <v>1753</v>
      </c>
      <c r="O4" s="27" t="s">
        <v>1754</v>
      </c>
      <c r="P4" s="28" t="s">
        <v>1491</v>
      </c>
    </row>
    <row r="5" spans="2:16" ht="26.25" thickBot="1" x14ac:dyDescent="0.25">
      <c r="B5" s="25">
        <v>620</v>
      </c>
      <c r="C5" s="26" t="s">
        <v>1492</v>
      </c>
      <c r="D5" s="40">
        <v>1.1599999999999999</v>
      </c>
      <c r="E5" s="29">
        <v>1.1599999999999999</v>
      </c>
      <c r="F5" s="29">
        <v>1.1599999999999999</v>
      </c>
      <c r="G5" s="29">
        <v>1.1599999999999999</v>
      </c>
      <c r="H5" s="29">
        <v>1.1599999999999999</v>
      </c>
      <c r="I5" s="29">
        <v>1.1599999999999999</v>
      </c>
      <c r="J5" s="29">
        <v>1.33</v>
      </c>
      <c r="K5" s="29">
        <v>1.33</v>
      </c>
      <c r="L5" s="29">
        <v>1.33</v>
      </c>
      <c r="M5" s="29">
        <v>1.33</v>
      </c>
      <c r="N5" s="29">
        <v>1.33</v>
      </c>
      <c r="O5" s="29">
        <v>1.33</v>
      </c>
      <c r="P5" s="28"/>
    </row>
    <row r="6" spans="2:16" ht="45.75" thickBot="1" x14ac:dyDescent="0.25">
      <c r="B6" s="25">
        <v>621</v>
      </c>
      <c r="C6" s="26"/>
      <c r="D6" s="40">
        <v>796750.7</v>
      </c>
      <c r="E6" s="30">
        <v>792879.37</v>
      </c>
      <c r="F6" s="30">
        <v>747455.55</v>
      </c>
      <c r="G6" s="30">
        <v>820236.64</v>
      </c>
      <c r="H6" s="30">
        <v>998201.75</v>
      </c>
      <c r="I6" s="30">
        <v>998201.75</v>
      </c>
      <c r="J6" s="30">
        <v>1587974.17</v>
      </c>
      <c r="K6" s="30">
        <v>1418604.55</v>
      </c>
      <c r="L6" s="30">
        <v>1444722.31</v>
      </c>
      <c r="M6" s="30">
        <v>924070.57</v>
      </c>
      <c r="N6" s="30">
        <v>1117790.3700000001</v>
      </c>
      <c r="O6" s="30">
        <v>1321380.81</v>
      </c>
      <c r="P6" s="28" t="s">
        <v>1493</v>
      </c>
    </row>
    <row r="7" spans="2:16" ht="45.75" thickBot="1" x14ac:dyDescent="0.25">
      <c r="B7" s="25">
        <v>622</v>
      </c>
      <c r="C7" s="26" t="s">
        <v>1494</v>
      </c>
      <c r="D7" s="39">
        <v>993722.52</v>
      </c>
      <c r="E7" s="31">
        <v>885940.69</v>
      </c>
      <c r="F7" s="31">
        <v>963901.46</v>
      </c>
      <c r="G7" s="31">
        <v>1006729</v>
      </c>
      <c r="H7" s="31">
        <v>1020441.39</v>
      </c>
      <c r="I7" s="31">
        <v>1066945.8799999999</v>
      </c>
      <c r="J7" s="31">
        <v>1068433.04</v>
      </c>
      <c r="K7" s="31">
        <v>1200000</v>
      </c>
      <c r="L7" s="31">
        <v>1363119.01</v>
      </c>
      <c r="M7" s="31">
        <v>1248336.29</v>
      </c>
      <c r="N7" s="31">
        <v>1048904.75</v>
      </c>
      <c r="O7" s="31">
        <v>848405.67</v>
      </c>
      <c r="P7" s="28" t="s">
        <v>1495</v>
      </c>
    </row>
    <row r="8" spans="2:16" ht="64.5" thickBot="1" x14ac:dyDescent="0.25">
      <c r="B8" s="25">
        <v>623</v>
      </c>
      <c r="C8" s="26" t="s">
        <v>1496</v>
      </c>
      <c r="D8" s="40" t="s">
        <v>1497</v>
      </c>
      <c r="E8" s="29" t="s">
        <v>1498</v>
      </c>
      <c r="F8" s="29" t="s">
        <v>1499</v>
      </c>
      <c r="G8" s="29" t="s">
        <v>1500</v>
      </c>
      <c r="H8" s="29" t="s">
        <v>1501</v>
      </c>
      <c r="I8" s="29" t="s">
        <v>1501</v>
      </c>
      <c r="J8" s="29" t="s">
        <v>1502</v>
      </c>
      <c r="K8" s="29" t="s">
        <v>1503</v>
      </c>
      <c r="L8" s="29" t="s">
        <v>1504</v>
      </c>
      <c r="M8" s="29" t="s">
        <v>1505</v>
      </c>
      <c r="N8" s="29" t="s">
        <v>1506</v>
      </c>
      <c r="O8" s="29" t="s">
        <v>1507</v>
      </c>
      <c r="P8" s="28" t="s">
        <v>1508</v>
      </c>
    </row>
    <row r="9" spans="2:16" ht="15.75" thickBot="1" x14ac:dyDescent="0.25">
      <c r="B9" s="25">
        <v>624</v>
      </c>
      <c r="C9" s="26"/>
      <c r="D9" s="40" t="e">
        <f>D4+D7</f>
        <v>#VALUE!</v>
      </c>
      <c r="E9" s="29"/>
      <c r="F9" s="29"/>
      <c r="G9" s="29"/>
      <c r="H9" s="29"/>
      <c r="I9" s="29"/>
      <c r="J9" s="29"/>
      <c r="K9" s="29"/>
      <c r="L9" s="29"/>
      <c r="M9" s="29"/>
      <c r="N9" s="29"/>
      <c r="O9" s="29"/>
      <c r="P9" s="28"/>
    </row>
    <row r="10" spans="2:16" ht="45.75" thickBot="1" x14ac:dyDescent="0.25">
      <c r="B10" s="25">
        <v>625</v>
      </c>
      <c r="C10" s="26" t="s">
        <v>1509</v>
      </c>
      <c r="D10" s="40" t="s">
        <v>1510</v>
      </c>
      <c r="E10" s="29" t="s">
        <v>1511</v>
      </c>
      <c r="F10" s="29" t="s">
        <v>1512</v>
      </c>
      <c r="G10" s="29" t="s">
        <v>1513</v>
      </c>
      <c r="H10" s="29" t="s">
        <v>1514</v>
      </c>
      <c r="I10" s="29" t="s">
        <v>1515</v>
      </c>
      <c r="J10" s="29" t="s">
        <v>1516</v>
      </c>
      <c r="K10" s="29" t="s">
        <v>1517</v>
      </c>
      <c r="L10" s="29" t="s">
        <v>1518</v>
      </c>
      <c r="M10" s="29" t="s">
        <v>1519</v>
      </c>
      <c r="N10" s="29" t="s">
        <v>1520</v>
      </c>
      <c r="O10" s="29" t="s">
        <v>1521</v>
      </c>
      <c r="P10" s="28" t="s">
        <v>1522</v>
      </c>
    </row>
    <row r="11" spans="2:16" ht="30.75" thickBot="1" x14ac:dyDescent="0.25">
      <c r="B11" s="25">
        <v>626</v>
      </c>
      <c r="C11" s="26"/>
      <c r="D11" s="40"/>
      <c r="E11" s="29"/>
      <c r="F11" s="29"/>
      <c r="G11" s="29"/>
      <c r="H11" s="29"/>
      <c r="I11" s="29"/>
      <c r="J11" s="29"/>
      <c r="K11" s="29"/>
      <c r="L11" s="29"/>
      <c r="M11" s="29"/>
      <c r="N11" s="29"/>
      <c r="O11" s="29"/>
      <c r="P11" s="28" t="s">
        <v>1523</v>
      </c>
    </row>
    <row r="12" spans="2:16" ht="39" thickBot="1" x14ac:dyDescent="0.25">
      <c r="B12" s="25">
        <v>627</v>
      </c>
      <c r="C12" s="26" t="s">
        <v>1524</v>
      </c>
      <c r="D12" s="39" t="s">
        <v>1525</v>
      </c>
      <c r="E12" s="27" t="s">
        <v>1526</v>
      </c>
      <c r="F12" s="27" t="s">
        <v>1527</v>
      </c>
      <c r="G12" s="27" t="s">
        <v>1528</v>
      </c>
      <c r="H12" s="27" t="s">
        <v>1529</v>
      </c>
      <c r="I12" s="27" t="s">
        <v>1530</v>
      </c>
      <c r="J12" s="27" t="s">
        <v>1531</v>
      </c>
      <c r="K12" s="27" t="s">
        <v>1532</v>
      </c>
      <c r="L12" s="27" t="s">
        <v>1533</v>
      </c>
      <c r="M12" s="27" t="s">
        <v>1534</v>
      </c>
      <c r="N12" s="27" t="s">
        <v>1535</v>
      </c>
      <c r="O12" s="27" t="s">
        <v>1536</v>
      </c>
      <c r="P12" s="28" t="s">
        <v>1537</v>
      </c>
    </row>
    <row r="13" spans="2:16" ht="90.75" thickBot="1" x14ac:dyDescent="0.25">
      <c r="B13" s="25">
        <v>628</v>
      </c>
      <c r="C13" s="28" t="s">
        <v>1538</v>
      </c>
      <c r="D13" s="41">
        <v>80363.7</v>
      </c>
      <c r="E13" s="25">
        <v>79973.23</v>
      </c>
      <c r="F13" s="25">
        <v>75391.58</v>
      </c>
      <c r="G13" s="25">
        <v>82732.600000000006</v>
      </c>
      <c r="H13" s="25">
        <v>100682.93</v>
      </c>
      <c r="I13" s="25">
        <v>100682.93</v>
      </c>
      <c r="J13" s="25">
        <v>139278.18</v>
      </c>
      <c r="K13" s="25">
        <v>124423.1</v>
      </c>
      <c r="L13" s="25">
        <v>126713.84</v>
      </c>
      <c r="M13" s="25">
        <v>81048.47</v>
      </c>
      <c r="N13" s="25">
        <v>98039.26</v>
      </c>
      <c r="O13" s="25">
        <v>115895.79</v>
      </c>
      <c r="P13" s="28" t="s">
        <v>1539</v>
      </c>
    </row>
    <row r="14" spans="2:16" ht="30.75" thickBot="1" x14ac:dyDescent="0.25">
      <c r="B14" s="25">
        <v>629</v>
      </c>
      <c r="C14" s="28"/>
      <c r="D14" s="41"/>
      <c r="E14" s="25"/>
      <c r="F14" s="25"/>
      <c r="G14" s="25"/>
      <c r="H14" s="25"/>
      <c r="I14" s="25"/>
      <c r="J14" s="25"/>
      <c r="K14" s="25"/>
      <c r="L14" s="25"/>
      <c r="M14" s="25"/>
      <c r="N14" s="26"/>
      <c r="O14" s="25"/>
      <c r="P14" s="28" t="s">
        <v>1523</v>
      </c>
    </row>
    <row r="15" spans="2:16" ht="60.75" thickBot="1" x14ac:dyDescent="0.25">
      <c r="B15" s="25">
        <v>630</v>
      </c>
      <c r="C15" s="28" t="s">
        <v>1540</v>
      </c>
      <c r="D15" s="41" t="s">
        <v>1541</v>
      </c>
      <c r="E15" s="25" t="s">
        <v>1542</v>
      </c>
      <c r="F15" s="25" t="s">
        <v>1543</v>
      </c>
      <c r="G15" s="25" t="s">
        <v>1544</v>
      </c>
      <c r="H15" s="25" t="s">
        <v>1545</v>
      </c>
      <c r="I15" s="25" t="s">
        <v>1546</v>
      </c>
      <c r="J15" s="25" t="s">
        <v>1547</v>
      </c>
      <c r="K15" s="25" t="s">
        <v>1548</v>
      </c>
      <c r="L15" s="25" t="s">
        <v>1549</v>
      </c>
      <c r="M15" s="25" t="s">
        <v>1550</v>
      </c>
      <c r="N15" s="25" t="s">
        <v>1551</v>
      </c>
      <c r="O15" s="25" t="s">
        <v>1552</v>
      </c>
      <c r="P15" s="28" t="s">
        <v>1553</v>
      </c>
    </row>
    <row r="16" spans="2:16" ht="30.75" thickBot="1" x14ac:dyDescent="0.25">
      <c r="B16" s="25">
        <v>631</v>
      </c>
      <c r="C16" s="28"/>
      <c r="D16" s="41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8" t="s">
        <v>1523</v>
      </c>
    </row>
    <row r="17" spans="2:16" ht="30.75" thickBot="1" x14ac:dyDescent="0.25">
      <c r="B17" s="25">
        <v>632</v>
      </c>
      <c r="C17" s="28"/>
      <c r="D17" s="41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8" t="s">
        <v>1523</v>
      </c>
    </row>
    <row r="18" spans="2:16" ht="45.75" thickBot="1" x14ac:dyDescent="0.25">
      <c r="B18" s="25">
        <v>633</v>
      </c>
      <c r="C18" s="28" t="s">
        <v>1554</v>
      </c>
      <c r="D18" s="42" t="s">
        <v>1555</v>
      </c>
      <c r="E18" s="32" t="s">
        <v>1556</v>
      </c>
      <c r="F18" s="32" t="s">
        <v>1557</v>
      </c>
      <c r="G18" s="32" t="s">
        <v>1558</v>
      </c>
      <c r="H18" s="32" t="s">
        <v>1559</v>
      </c>
      <c r="I18" s="32" t="s">
        <v>1560</v>
      </c>
      <c r="J18" s="32" t="s">
        <v>1561</v>
      </c>
      <c r="K18" s="32" t="s">
        <v>1562</v>
      </c>
      <c r="L18" s="32" t="s">
        <v>1563</v>
      </c>
      <c r="M18" s="32" t="s">
        <v>1564</v>
      </c>
      <c r="N18" s="32" t="s">
        <v>1565</v>
      </c>
      <c r="O18" s="32" t="s">
        <v>1566</v>
      </c>
      <c r="P18" s="28" t="s">
        <v>1567</v>
      </c>
    </row>
    <row r="19" spans="2:16" ht="75.75" thickBot="1" x14ac:dyDescent="0.25">
      <c r="B19" s="25">
        <v>634</v>
      </c>
      <c r="C19" s="28" t="s">
        <v>1568</v>
      </c>
      <c r="D19" s="41" t="s">
        <v>1569</v>
      </c>
      <c r="E19" s="25" t="s">
        <v>1570</v>
      </c>
      <c r="F19" s="25" t="s">
        <v>1571</v>
      </c>
      <c r="G19" s="25" t="s">
        <v>1572</v>
      </c>
      <c r="H19" s="25" t="s">
        <v>1573</v>
      </c>
      <c r="I19" s="25" t="s">
        <v>1573</v>
      </c>
      <c r="J19" s="25" t="s">
        <v>1574</v>
      </c>
      <c r="K19" s="25" t="s">
        <v>1575</v>
      </c>
      <c r="L19" s="25" t="s">
        <v>1576</v>
      </c>
      <c r="M19" s="25" t="s">
        <v>1577</v>
      </c>
      <c r="N19" s="25" t="s">
        <v>1578</v>
      </c>
      <c r="O19" s="25" t="s">
        <v>1579</v>
      </c>
      <c r="P19" s="28" t="s">
        <v>1580</v>
      </c>
    </row>
    <row r="20" spans="2:16" ht="30.75" thickBot="1" x14ac:dyDescent="0.25">
      <c r="B20" s="25">
        <v>635</v>
      </c>
      <c r="C20" s="28"/>
      <c r="D20" s="41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8" t="s">
        <v>1523</v>
      </c>
    </row>
    <row r="21" spans="2:16" ht="60.75" thickBot="1" x14ac:dyDescent="0.25">
      <c r="B21" s="25">
        <v>636</v>
      </c>
      <c r="C21" s="28" t="s">
        <v>1581</v>
      </c>
      <c r="D21" s="41" t="s">
        <v>1582</v>
      </c>
      <c r="E21" s="25" t="s">
        <v>1583</v>
      </c>
      <c r="F21" s="25" t="s">
        <v>1584</v>
      </c>
      <c r="G21" s="25" t="s">
        <v>1585</v>
      </c>
      <c r="H21" s="25" t="s">
        <v>1586</v>
      </c>
      <c r="I21" s="25" t="s">
        <v>1587</v>
      </c>
      <c r="J21" s="25" t="s">
        <v>1588</v>
      </c>
      <c r="K21" s="25" t="s">
        <v>1589</v>
      </c>
      <c r="L21" s="25" t="s">
        <v>1590</v>
      </c>
      <c r="M21" s="25" t="s">
        <v>1591</v>
      </c>
      <c r="N21" s="25" t="s">
        <v>1592</v>
      </c>
      <c r="O21" s="25" t="s">
        <v>1593</v>
      </c>
      <c r="P21" s="28" t="s">
        <v>1594</v>
      </c>
    </row>
    <row r="22" spans="2:16" ht="30.75" thickBot="1" x14ac:dyDescent="0.25">
      <c r="B22" s="25">
        <v>637</v>
      </c>
      <c r="C22" s="28"/>
      <c r="D22" s="41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8" t="s">
        <v>1523</v>
      </c>
    </row>
    <row r="23" spans="2:16" ht="30.75" thickBot="1" x14ac:dyDescent="0.25">
      <c r="B23" s="25">
        <v>638</v>
      </c>
      <c r="C23" s="28"/>
      <c r="D23" s="41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8" t="s">
        <v>1523</v>
      </c>
    </row>
    <row r="24" spans="2:16" ht="15.75" thickBot="1" x14ac:dyDescent="0.25">
      <c r="B24" s="25">
        <v>639</v>
      </c>
      <c r="C24" s="28"/>
      <c r="D24" s="41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8"/>
    </row>
    <row r="25" spans="2:16" ht="15.75" thickBot="1" x14ac:dyDescent="0.25">
      <c r="B25" s="23"/>
      <c r="C25" s="23" t="s">
        <v>1489</v>
      </c>
      <c r="D25" s="38">
        <v>2445905.4900000002</v>
      </c>
      <c r="E25" s="33">
        <v>2306211.62</v>
      </c>
      <c r="F25" s="33">
        <v>2384119.59</v>
      </c>
      <c r="G25" s="33">
        <v>2504407.34</v>
      </c>
      <c r="H25" s="33">
        <v>2750624.06</v>
      </c>
      <c r="I25" s="33">
        <v>2815304.8</v>
      </c>
      <c r="J25" s="33">
        <v>3742863.53</v>
      </c>
      <c r="K25" s="33">
        <v>3595700.17</v>
      </c>
      <c r="L25" s="33">
        <v>4063061.78</v>
      </c>
      <c r="M25" s="33">
        <v>3296530.25</v>
      </c>
      <c r="N25" s="33">
        <v>3225472.93</v>
      </c>
      <c r="O25" s="33">
        <v>2872478.09</v>
      </c>
      <c r="P25" s="33">
        <v>36002679.640000001</v>
      </c>
    </row>
    <row r="26" spans="2:16" x14ac:dyDescent="0.2">
      <c r="D26" s="1" t="e">
        <f>D4+D7</f>
        <v>#VALUE!</v>
      </c>
    </row>
    <row r="28" spans="2:16" x14ac:dyDescent="0.2">
      <c r="B28" t="s">
        <v>1595</v>
      </c>
    </row>
    <row r="29" spans="2:16" ht="13.5" thickBot="1" x14ac:dyDescent="0.25"/>
    <row r="30" spans="2:16" ht="30.75" thickBot="1" x14ac:dyDescent="0.25">
      <c r="B30" s="23" t="s">
        <v>1487</v>
      </c>
      <c r="C30" s="23" t="s">
        <v>1488</v>
      </c>
      <c r="D30" s="38">
        <v>43484</v>
      </c>
      <c r="E30" s="24">
        <v>43515</v>
      </c>
      <c r="F30" s="24">
        <v>43543</v>
      </c>
      <c r="G30" s="24">
        <v>43574</v>
      </c>
      <c r="H30" s="24">
        <v>43604</v>
      </c>
      <c r="I30" s="24">
        <v>43635</v>
      </c>
      <c r="J30" s="24">
        <v>43665</v>
      </c>
      <c r="K30" s="24">
        <v>43696</v>
      </c>
      <c r="L30" s="24">
        <v>43727</v>
      </c>
      <c r="M30" s="24">
        <v>43757</v>
      </c>
      <c r="N30" s="24">
        <v>43788</v>
      </c>
      <c r="O30" s="24">
        <v>43818</v>
      </c>
      <c r="P30" s="23" t="s">
        <v>1489</v>
      </c>
    </row>
    <row r="31" spans="2:16" ht="15.75" thickBot="1" x14ac:dyDescent="0.25">
      <c r="B31" s="34"/>
      <c r="C31" s="34"/>
      <c r="D31" s="43"/>
      <c r="E31" s="34"/>
      <c r="F31" s="34"/>
      <c r="G31" s="34"/>
      <c r="H31" s="34"/>
      <c r="I31" s="34"/>
      <c r="J31" s="34"/>
      <c r="K31" s="34"/>
      <c r="L31" s="34"/>
      <c r="M31" s="34"/>
      <c r="N31" s="34"/>
      <c r="O31" s="34"/>
      <c r="P31" s="34">
        <v>0</v>
      </c>
    </row>
    <row r="32" spans="2:16" ht="45.75" thickBot="1" x14ac:dyDescent="0.25">
      <c r="B32" s="25">
        <v>620</v>
      </c>
      <c r="C32" s="28" t="s">
        <v>1490</v>
      </c>
      <c r="D32" s="44">
        <v>125500</v>
      </c>
      <c r="E32" s="35">
        <v>130000</v>
      </c>
      <c r="F32" s="35">
        <v>129224</v>
      </c>
      <c r="G32" s="35">
        <v>101322</v>
      </c>
      <c r="H32" s="35">
        <v>85095</v>
      </c>
      <c r="I32" s="35">
        <v>90809</v>
      </c>
      <c r="J32" s="35">
        <v>98195</v>
      </c>
      <c r="K32" s="35">
        <v>86920</v>
      </c>
      <c r="L32" s="35">
        <v>119835</v>
      </c>
      <c r="M32" s="35">
        <v>164947</v>
      </c>
      <c r="N32" s="35">
        <v>119835</v>
      </c>
      <c r="O32" s="35">
        <v>143287</v>
      </c>
      <c r="P32" s="29" t="s">
        <v>1596</v>
      </c>
    </row>
    <row r="33" spans="2:16" ht="26.25" thickBot="1" x14ac:dyDescent="0.25">
      <c r="B33" s="25">
        <v>621</v>
      </c>
      <c r="C33" s="26" t="s">
        <v>1597</v>
      </c>
      <c r="D33" s="40" t="s">
        <v>1598</v>
      </c>
      <c r="E33" s="29" t="s">
        <v>1598</v>
      </c>
      <c r="F33" s="29" t="s">
        <v>1598</v>
      </c>
      <c r="G33" s="29" t="s">
        <v>1598</v>
      </c>
      <c r="H33" s="29" t="s">
        <v>1598</v>
      </c>
      <c r="I33" s="29" t="s">
        <v>1598</v>
      </c>
      <c r="J33" s="29" t="s">
        <v>1598</v>
      </c>
      <c r="K33" s="29" t="s">
        <v>1598</v>
      </c>
      <c r="L33" s="29" t="s">
        <v>1598</v>
      </c>
      <c r="M33" s="29" t="s">
        <v>1598</v>
      </c>
      <c r="N33" s="29" t="s">
        <v>1598</v>
      </c>
      <c r="O33" s="29" t="s">
        <v>1598</v>
      </c>
      <c r="P33" s="29" t="s">
        <v>1599</v>
      </c>
    </row>
    <row r="34" spans="2:16" ht="26.25" thickBot="1" x14ac:dyDescent="0.25">
      <c r="B34" s="25">
        <v>622</v>
      </c>
      <c r="C34" s="26" t="s">
        <v>1600</v>
      </c>
      <c r="D34" s="40" t="s">
        <v>1601</v>
      </c>
      <c r="E34" s="29" t="s">
        <v>1602</v>
      </c>
      <c r="F34" s="29" t="s">
        <v>1603</v>
      </c>
      <c r="G34" s="29" t="s">
        <v>1604</v>
      </c>
      <c r="H34" s="29" t="s">
        <v>1605</v>
      </c>
      <c r="I34" s="29" t="s">
        <v>1606</v>
      </c>
      <c r="J34" s="29" t="s">
        <v>1607</v>
      </c>
      <c r="K34" s="29" t="s">
        <v>1608</v>
      </c>
      <c r="L34" s="29" t="s">
        <v>1609</v>
      </c>
      <c r="M34" s="29" t="s">
        <v>1610</v>
      </c>
      <c r="N34" s="29" t="s">
        <v>1609</v>
      </c>
      <c r="O34" s="29" t="s">
        <v>1611</v>
      </c>
      <c r="P34" s="29" t="s">
        <v>1612</v>
      </c>
    </row>
    <row r="35" spans="2:16" ht="26.25" thickBot="1" x14ac:dyDescent="0.25">
      <c r="B35" s="25">
        <v>623</v>
      </c>
      <c r="C35" s="26"/>
      <c r="D35" s="40"/>
      <c r="E35" s="29"/>
      <c r="F35" s="29"/>
      <c r="G35" s="29"/>
      <c r="H35" s="29"/>
      <c r="I35" s="29"/>
      <c r="J35" s="29"/>
      <c r="K35" s="29"/>
      <c r="L35" s="29"/>
      <c r="M35" s="29"/>
      <c r="N35" s="29"/>
      <c r="O35" s="29"/>
      <c r="P35" s="29" t="s">
        <v>1613</v>
      </c>
    </row>
    <row r="36" spans="2:16" ht="26.25" thickBot="1" x14ac:dyDescent="0.25">
      <c r="B36" s="25">
        <v>624</v>
      </c>
      <c r="C36" s="26"/>
      <c r="D36" s="40"/>
      <c r="E36" s="29"/>
      <c r="F36" s="29"/>
      <c r="G36" s="29"/>
      <c r="H36" s="29"/>
      <c r="I36" s="29"/>
      <c r="J36" s="29"/>
      <c r="K36" s="29"/>
      <c r="L36" s="29"/>
      <c r="M36" s="29"/>
      <c r="N36" s="29"/>
      <c r="O36" s="29"/>
      <c r="P36" s="29" t="s">
        <v>1613</v>
      </c>
    </row>
    <row r="37" spans="2:16" ht="39" thickBot="1" x14ac:dyDescent="0.25">
      <c r="B37" s="25">
        <v>625</v>
      </c>
      <c r="C37" s="26" t="s">
        <v>1614</v>
      </c>
      <c r="D37" s="40" t="s">
        <v>1615</v>
      </c>
      <c r="E37" s="29" t="s">
        <v>1616</v>
      </c>
      <c r="F37" s="29" t="s">
        <v>1617</v>
      </c>
      <c r="G37" s="29" t="s">
        <v>1618</v>
      </c>
      <c r="H37" s="29" t="s">
        <v>1619</v>
      </c>
      <c r="I37" s="29" t="s">
        <v>1620</v>
      </c>
      <c r="J37" s="29" t="s">
        <v>1621</v>
      </c>
      <c r="K37" s="29" t="s">
        <v>1622</v>
      </c>
      <c r="L37" s="29" t="s">
        <v>1623</v>
      </c>
      <c r="M37" s="29" t="s">
        <v>1624</v>
      </c>
      <c r="N37" s="29" t="s">
        <v>1623</v>
      </c>
      <c r="O37" s="29" t="s">
        <v>1625</v>
      </c>
      <c r="P37" s="29" t="s">
        <v>1626</v>
      </c>
    </row>
    <row r="38" spans="2:16" ht="26.25" thickBot="1" x14ac:dyDescent="0.25">
      <c r="B38" s="25">
        <v>626</v>
      </c>
      <c r="C38" s="26"/>
      <c r="D38" s="40"/>
      <c r="E38" s="29"/>
      <c r="F38" s="29"/>
      <c r="G38" s="29"/>
      <c r="H38" s="29"/>
      <c r="I38" s="29"/>
      <c r="J38" s="29"/>
      <c r="K38" s="29"/>
      <c r="L38" s="29"/>
      <c r="M38" s="29"/>
      <c r="N38" s="29"/>
      <c r="O38" s="29"/>
      <c r="P38" s="29" t="s">
        <v>1613</v>
      </c>
    </row>
    <row r="39" spans="2:16" ht="60.75" thickBot="1" x14ac:dyDescent="0.25">
      <c r="B39" s="25">
        <v>627</v>
      </c>
      <c r="C39" s="28" t="s">
        <v>1627</v>
      </c>
      <c r="D39" s="41" t="s">
        <v>1628</v>
      </c>
      <c r="E39" s="25" t="s">
        <v>1629</v>
      </c>
      <c r="F39" s="25" t="s">
        <v>1630</v>
      </c>
      <c r="G39" s="25" t="s">
        <v>1631</v>
      </c>
      <c r="H39" s="25" t="s">
        <v>1632</v>
      </c>
      <c r="I39" s="25" t="s">
        <v>1633</v>
      </c>
      <c r="J39" s="25" t="s">
        <v>1634</v>
      </c>
      <c r="K39" s="25" t="s">
        <v>1635</v>
      </c>
      <c r="L39" s="25" t="s">
        <v>1636</v>
      </c>
      <c r="M39" s="25" t="s">
        <v>1637</v>
      </c>
      <c r="N39" s="25" t="s">
        <v>1636</v>
      </c>
      <c r="O39" s="25" t="s">
        <v>1638</v>
      </c>
      <c r="P39" s="29" t="s">
        <v>1639</v>
      </c>
    </row>
    <row r="40" spans="2:16" ht="26.25" thickBot="1" x14ac:dyDescent="0.25">
      <c r="B40" s="36">
        <v>628</v>
      </c>
      <c r="C40" s="37"/>
      <c r="D40" s="41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9" t="s">
        <v>1613</v>
      </c>
    </row>
    <row r="41" spans="2:16" ht="60.75" thickBot="1" x14ac:dyDescent="0.25">
      <c r="B41" s="25">
        <v>629</v>
      </c>
      <c r="C41" s="28" t="s">
        <v>1640</v>
      </c>
      <c r="D41" s="41" t="s">
        <v>1641</v>
      </c>
      <c r="E41" s="25" t="s">
        <v>1642</v>
      </c>
      <c r="F41" s="25" t="s">
        <v>1643</v>
      </c>
      <c r="G41" s="25" t="s">
        <v>1644</v>
      </c>
      <c r="H41" s="25" t="s">
        <v>1645</v>
      </c>
      <c r="I41" s="25" t="s">
        <v>1646</v>
      </c>
      <c r="J41" s="25" t="s">
        <v>1647</v>
      </c>
      <c r="K41" s="25" t="s">
        <v>1648</v>
      </c>
      <c r="L41" s="25" t="s">
        <v>1649</v>
      </c>
      <c r="M41" s="25" t="s">
        <v>1650</v>
      </c>
      <c r="N41" s="25" t="s">
        <v>1649</v>
      </c>
      <c r="O41" s="25" t="s">
        <v>1651</v>
      </c>
      <c r="P41" s="29" t="s">
        <v>1652</v>
      </c>
    </row>
    <row r="42" spans="2:16" ht="26.25" thickBot="1" x14ac:dyDescent="0.25">
      <c r="B42" s="25">
        <v>630</v>
      </c>
      <c r="C42" s="28"/>
      <c r="D42" s="41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9" t="s">
        <v>1613</v>
      </c>
    </row>
    <row r="43" spans="2:16" ht="26.25" thickBot="1" x14ac:dyDescent="0.25">
      <c r="B43" s="25">
        <v>631</v>
      </c>
      <c r="C43" s="28"/>
      <c r="D43" s="41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9" t="s">
        <v>1613</v>
      </c>
    </row>
    <row r="44" spans="2:16" ht="26.25" thickBot="1" x14ac:dyDescent="0.25">
      <c r="B44" s="25">
        <v>632</v>
      </c>
      <c r="C44" s="28"/>
      <c r="D44" s="41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9" t="s">
        <v>1613</v>
      </c>
    </row>
    <row r="45" spans="2:16" ht="26.25" thickBot="1" x14ac:dyDescent="0.25">
      <c r="B45" s="25">
        <v>633</v>
      </c>
      <c r="C45" s="28"/>
      <c r="D45" s="41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9" t="s">
        <v>1613</v>
      </c>
    </row>
    <row r="46" spans="2:16" ht="26.25" thickBot="1" x14ac:dyDescent="0.25">
      <c r="B46" s="25">
        <v>634</v>
      </c>
      <c r="C46" s="28"/>
      <c r="D46" s="41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9" t="s">
        <v>1613</v>
      </c>
    </row>
    <row r="47" spans="2:16" ht="26.25" thickBot="1" x14ac:dyDescent="0.25">
      <c r="B47" s="25">
        <v>635</v>
      </c>
      <c r="C47" s="28"/>
      <c r="D47" s="41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9" t="s">
        <v>1613</v>
      </c>
    </row>
    <row r="48" spans="2:16" ht="26.25" thickBot="1" x14ac:dyDescent="0.25">
      <c r="B48" s="25">
        <v>636</v>
      </c>
      <c r="C48" s="28"/>
      <c r="D48" s="41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9" t="s">
        <v>1613</v>
      </c>
    </row>
    <row r="49" spans="2:16" ht="26.25" thickBot="1" x14ac:dyDescent="0.25">
      <c r="B49" s="25">
        <v>637</v>
      </c>
      <c r="C49" s="28"/>
      <c r="D49" s="41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9" t="s">
        <v>1613</v>
      </c>
    </row>
    <row r="50" spans="2:16" ht="26.25" thickBot="1" x14ac:dyDescent="0.25">
      <c r="B50" s="25">
        <v>638</v>
      </c>
      <c r="C50" s="28"/>
      <c r="D50" s="41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9" t="s">
        <v>1613</v>
      </c>
    </row>
    <row r="51" spans="2:16" ht="26.25" thickBot="1" x14ac:dyDescent="0.25">
      <c r="B51" s="25">
        <v>639</v>
      </c>
      <c r="C51" s="28"/>
      <c r="D51" s="45"/>
      <c r="E51" s="28"/>
      <c r="F51" s="28"/>
      <c r="G51" s="28"/>
      <c r="H51" s="28"/>
      <c r="I51" s="28"/>
      <c r="J51" s="28"/>
      <c r="K51" s="28"/>
      <c r="L51" s="28"/>
      <c r="M51" s="28"/>
      <c r="N51" s="28"/>
      <c r="O51" s="28"/>
      <c r="P51" s="29" t="s">
        <v>1613</v>
      </c>
    </row>
    <row r="52" spans="2:16" ht="30.75" thickBot="1" x14ac:dyDescent="0.25">
      <c r="B52" s="23"/>
      <c r="C52" s="23" t="s">
        <v>1489</v>
      </c>
      <c r="D52" s="38" t="s">
        <v>1755</v>
      </c>
      <c r="E52" s="23" t="s">
        <v>1653</v>
      </c>
      <c r="F52" s="23" t="s">
        <v>1654</v>
      </c>
      <c r="G52" s="23" t="s">
        <v>1655</v>
      </c>
      <c r="H52" s="23" t="s">
        <v>1656</v>
      </c>
      <c r="I52" s="23" t="s">
        <v>1657</v>
      </c>
      <c r="J52" s="23" t="s">
        <v>1658</v>
      </c>
      <c r="K52" s="23" t="s">
        <v>1659</v>
      </c>
      <c r="L52" s="23" t="s">
        <v>1660</v>
      </c>
      <c r="M52" s="23" t="s">
        <v>1756</v>
      </c>
      <c r="N52" s="23" t="s">
        <v>1660</v>
      </c>
      <c r="O52" s="23" t="s">
        <v>1757</v>
      </c>
      <c r="P52" s="23" t="s">
        <v>1661</v>
      </c>
    </row>
    <row r="57" spans="2:16" ht="13.5" thickBot="1" x14ac:dyDescent="0.25">
      <c r="B57" t="s">
        <v>1662</v>
      </c>
    </row>
    <row r="58" spans="2:16" ht="30.75" thickBot="1" x14ac:dyDescent="0.25">
      <c r="B58" s="23" t="s">
        <v>1487</v>
      </c>
      <c r="C58" s="23" t="s">
        <v>1488</v>
      </c>
      <c r="D58" s="38">
        <v>43484</v>
      </c>
      <c r="E58" s="24">
        <v>43515</v>
      </c>
      <c r="F58" s="24">
        <v>43543</v>
      </c>
      <c r="G58" s="24">
        <v>43574</v>
      </c>
      <c r="H58" s="24">
        <v>43604</v>
      </c>
      <c r="I58" s="24">
        <v>43635</v>
      </c>
      <c r="J58" s="24">
        <v>43665</v>
      </c>
      <c r="K58" s="24">
        <v>43696</v>
      </c>
      <c r="L58" s="24">
        <v>43727</v>
      </c>
      <c r="M58" s="24">
        <v>43757</v>
      </c>
      <c r="N58" s="24">
        <v>43788</v>
      </c>
      <c r="O58" s="24">
        <v>43818</v>
      </c>
      <c r="P58" s="23" t="s">
        <v>1489</v>
      </c>
    </row>
    <row r="59" spans="2:16" ht="39" thickBot="1" x14ac:dyDescent="0.25">
      <c r="B59" s="25">
        <v>620</v>
      </c>
      <c r="C59" s="26" t="s">
        <v>1490</v>
      </c>
      <c r="D59" s="39" t="s">
        <v>1663</v>
      </c>
      <c r="E59" s="27" t="s">
        <v>1663</v>
      </c>
      <c r="F59" s="27" t="s">
        <v>1663</v>
      </c>
      <c r="G59" s="27" t="s">
        <v>1663</v>
      </c>
      <c r="H59" s="27" t="s">
        <v>1663</v>
      </c>
      <c r="I59" s="27" t="s">
        <v>1663</v>
      </c>
      <c r="J59" s="27" t="s">
        <v>1663</v>
      </c>
      <c r="K59" s="27" t="s">
        <v>1663</v>
      </c>
      <c r="L59" s="27" t="s">
        <v>1663</v>
      </c>
      <c r="M59" s="27" t="s">
        <v>1663</v>
      </c>
      <c r="N59" s="27" t="s">
        <v>1663</v>
      </c>
      <c r="O59" s="27" t="s">
        <v>1663</v>
      </c>
      <c r="P59" s="28" t="s">
        <v>1664</v>
      </c>
    </row>
    <row r="60" spans="2:16" ht="26.25" thickBot="1" x14ac:dyDescent="0.25">
      <c r="B60" s="25">
        <v>621</v>
      </c>
      <c r="C60" s="26" t="s">
        <v>1597</v>
      </c>
      <c r="D60" s="40">
        <v>9.1199999999999992</v>
      </c>
      <c r="E60" s="29">
        <v>9.1199999999999992</v>
      </c>
      <c r="F60" s="29">
        <v>9.1199999999999992</v>
      </c>
      <c r="G60" s="29">
        <v>9.1199999999999992</v>
      </c>
      <c r="H60" s="29">
        <v>9.1199999999999992</v>
      </c>
      <c r="I60" s="29">
        <v>9.1199999999999992</v>
      </c>
      <c r="J60" s="29">
        <v>10.029999999999999</v>
      </c>
      <c r="K60" s="29">
        <v>10.029999999999999</v>
      </c>
      <c r="L60" s="29">
        <v>10.029999999999999</v>
      </c>
      <c r="M60" s="29">
        <v>10.029999999999999</v>
      </c>
      <c r="N60" s="29">
        <v>10.029999999999999</v>
      </c>
      <c r="O60" s="29">
        <v>10.029999999999999</v>
      </c>
      <c r="P60" s="28"/>
    </row>
    <row r="61" spans="2:16" ht="30.75" thickBot="1" x14ac:dyDescent="0.25">
      <c r="B61" s="25">
        <v>622</v>
      </c>
      <c r="C61" s="26"/>
      <c r="D61" s="40"/>
      <c r="E61" s="29"/>
      <c r="F61" s="29"/>
      <c r="G61" s="29"/>
      <c r="H61" s="29"/>
      <c r="I61" s="29"/>
      <c r="J61" s="29"/>
      <c r="K61" s="29"/>
      <c r="L61" s="29"/>
      <c r="M61" s="29"/>
      <c r="N61" s="29"/>
      <c r="O61" s="29"/>
      <c r="P61" s="28" t="s">
        <v>1665</v>
      </c>
    </row>
    <row r="62" spans="2:16" ht="30.75" thickBot="1" x14ac:dyDescent="0.25">
      <c r="B62" s="25">
        <v>623</v>
      </c>
      <c r="C62" s="26" t="s">
        <v>1494</v>
      </c>
      <c r="D62" s="39">
        <v>21657.7</v>
      </c>
      <c r="E62" s="31">
        <v>23896.29</v>
      </c>
      <c r="F62" s="31">
        <v>31706.26</v>
      </c>
      <c r="G62" s="31">
        <v>25543.13</v>
      </c>
      <c r="H62" s="31">
        <v>33033.99</v>
      </c>
      <c r="I62" s="31">
        <v>35798.25</v>
      </c>
      <c r="J62" s="31">
        <v>33515.06</v>
      </c>
      <c r="K62" s="31">
        <v>30848.13</v>
      </c>
      <c r="L62" s="31">
        <v>22510.12</v>
      </c>
      <c r="M62" s="31">
        <v>27943.99</v>
      </c>
      <c r="N62" s="31">
        <v>26769.88</v>
      </c>
      <c r="O62" s="31">
        <v>24340.77</v>
      </c>
      <c r="P62" s="28" t="s">
        <v>1666</v>
      </c>
    </row>
    <row r="63" spans="2:16" ht="64.5" thickBot="1" x14ac:dyDescent="0.25">
      <c r="B63" s="25">
        <v>624</v>
      </c>
      <c r="C63" s="26" t="s">
        <v>1667</v>
      </c>
      <c r="D63" s="40" t="s">
        <v>1668</v>
      </c>
      <c r="E63" s="29" t="s">
        <v>1668</v>
      </c>
      <c r="F63" s="29" t="s">
        <v>1668</v>
      </c>
      <c r="G63" s="29" t="s">
        <v>1668</v>
      </c>
      <c r="H63" s="29" t="s">
        <v>1668</v>
      </c>
      <c r="I63" s="29" t="s">
        <v>1668</v>
      </c>
      <c r="J63" s="29" t="s">
        <v>1668</v>
      </c>
      <c r="K63" s="29" t="s">
        <v>1668</v>
      </c>
      <c r="L63" s="29" t="s">
        <v>1668</v>
      </c>
      <c r="M63" s="29" t="s">
        <v>1668</v>
      </c>
      <c r="N63" s="29" t="s">
        <v>1668</v>
      </c>
      <c r="O63" s="29" t="s">
        <v>1668</v>
      </c>
      <c r="P63" s="28" t="s">
        <v>1669</v>
      </c>
    </row>
    <row r="64" spans="2:16" ht="30.75" thickBot="1" x14ac:dyDescent="0.25">
      <c r="B64" s="25">
        <v>625</v>
      </c>
      <c r="C64" s="26"/>
      <c r="D64" s="40"/>
      <c r="E64" s="29"/>
      <c r="F64" s="29"/>
      <c r="G64" s="29"/>
      <c r="H64" s="29"/>
      <c r="I64" s="29"/>
      <c r="J64" s="29"/>
      <c r="K64" s="29"/>
      <c r="L64" s="29"/>
      <c r="M64" s="29"/>
      <c r="N64" s="29"/>
      <c r="O64" s="29"/>
      <c r="P64" s="28" t="s">
        <v>1665</v>
      </c>
    </row>
    <row r="65" spans="2:16" ht="39" thickBot="1" x14ac:dyDescent="0.25">
      <c r="B65" s="25">
        <v>626</v>
      </c>
      <c r="C65" s="26" t="s">
        <v>1509</v>
      </c>
      <c r="D65" s="40" t="s">
        <v>1670</v>
      </c>
      <c r="E65" s="29" t="s">
        <v>1671</v>
      </c>
      <c r="F65" s="29" t="s">
        <v>1672</v>
      </c>
      <c r="G65" s="29" t="s">
        <v>1673</v>
      </c>
      <c r="H65" s="29" t="s">
        <v>1674</v>
      </c>
      <c r="I65" s="29" t="s">
        <v>1675</v>
      </c>
      <c r="J65" s="29" t="s">
        <v>1676</v>
      </c>
      <c r="K65" s="29" t="s">
        <v>1677</v>
      </c>
      <c r="L65" s="29" t="s">
        <v>1678</v>
      </c>
      <c r="M65" s="29" t="s">
        <v>1679</v>
      </c>
      <c r="N65" s="29" t="s">
        <v>1680</v>
      </c>
      <c r="O65" s="29" t="s">
        <v>1681</v>
      </c>
      <c r="P65" s="28" t="s">
        <v>1682</v>
      </c>
    </row>
    <row r="66" spans="2:16" ht="30.75" thickBot="1" x14ac:dyDescent="0.25">
      <c r="B66" s="25">
        <v>627</v>
      </c>
      <c r="C66" s="26"/>
      <c r="D66" s="40"/>
      <c r="E66" s="29"/>
      <c r="F66" s="29"/>
      <c r="G66" s="29"/>
      <c r="H66" s="29"/>
      <c r="I66" s="29"/>
      <c r="J66" s="29"/>
      <c r="K66" s="29"/>
      <c r="L66" s="29"/>
      <c r="M66" s="29"/>
      <c r="N66" s="29"/>
      <c r="O66" s="29"/>
      <c r="P66" s="28" t="s">
        <v>1665</v>
      </c>
    </row>
    <row r="67" spans="2:16" ht="39" thickBot="1" x14ac:dyDescent="0.25">
      <c r="B67" s="25">
        <v>628</v>
      </c>
      <c r="C67" s="26" t="s">
        <v>1524</v>
      </c>
      <c r="D67" s="39" t="s">
        <v>1683</v>
      </c>
      <c r="E67" s="27" t="s">
        <v>1684</v>
      </c>
      <c r="F67" s="27" t="s">
        <v>1685</v>
      </c>
      <c r="G67" s="27" t="s">
        <v>1686</v>
      </c>
      <c r="H67" s="27" t="s">
        <v>1687</v>
      </c>
      <c r="I67" s="27" t="s">
        <v>1688</v>
      </c>
      <c r="J67" s="27" t="s">
        <v>1689</v>
      </c>
      <c r="K67" s="27" t="s">
        <v>1690</v>
      </c>
      <c r="L67" s="27" t="s">
        <v>1691</v>
      </c>
      <c r="M67" s="27" t="s">
        <v>1692</v>
      </c>
      <c r="N67" s="27" t="s">
        <v>1693</v>
      </c>
      <c r="O67" s="27" t="s">
        <v>1694</v>
      </c>
      <c r="P67" s="28" t="s">
        <v>1695</v>
      </c>
    </row>
    <row r="68" spans="2:16" ht="90.75" thickBot="1" x14ac:dyDescent="0.25">
      <c r="B68" s="25">
        <v>629</v>
      </c>
      <c r="C68" s="28" t="s">
        <v>1696</v>
      </c>
      <c r="D68" s="41">
        <v>350.1</v>
      </c>
      <c r="E68" s="25">
        <v>350.1</v>
      </c>
      <c r="F68" s="25">
        <v>350.1</v>
      </c>
      <c r="G68" s="25">
        <v>350.1</v>
      </c>
      <c r="H68" s="25">
        <v>350.1</v>
      </c>
      <c r="I68" s="25">
        <v>350.1</v>
      </c>
      <c r="J68" s="25">
        <v>350.1</v>
      </c>
      <c r="K68" s="25">
        <v>350.1</v>
      </c>
      <c r="L68" s="25">
        <v>350.1</v>
      </c>
      <c r="M68" s="25">
        <v>350.1</v>
      </c>
      <c r="N68" s="25">
        <v>350.1</v>
      </c>
      <c r="O68" s="25">
        <v>350.1</v>
      </c>
      <c r="P68" s="28" t="s">
        <v>1697</v>
      </c>
    </row>
    <row r="69" spans="2:16" ht="30.75" thickBot="1" x14ac:dyDescent="0.25">
      <c r="B69" s="25">
        <v>630</v>
      </c>
      <c r="C69" s="28"/>
      <c r="D69" s="41"/>
      <c r="E69" s="25"/>
      <c r="F69" s="25"/>
      <c r="G69" s="25"/>
      <c r="H69" s="25"/>
      <c r="I69" s="25"/>
      <c r="J69" s="25"/>
      <c r="K69" s="25"/>
      <c r="L69" s="25"/>
      <c r="M69" s="25"/>
      <c r="N69" s="26"/>
      <c r="O69" s="25"/>
      <c r="P69" s="28" t="s">
        <v>1665</v>
      </c>
    </row>
    <row r="70" spans="2:16" ht="60.75" thickBot="1" x14ac:dyDescent="0.25">
      <c r="B70" s="25">
        <v>631</v>
      </c>
      <c r="C70" s="28" t="s">
        <v>1540</v>
      </c>
      <c r="D70" s="41" t="s">
        <v>1698</v>
      </c>
      <c r="E70" s="25" t="s">
        <v>1699</v>
      </c>
      <c r="F70" s="25" t="s">
        <v>1700</v>
      </c>
      <c r="G70" s="25" t="s">
        <v>1701</v>
      </c>
      <c r="H70" s="25" t="s">
        <v>1702</v>
      </c>
      <c r="I70" s="25" t="s">
        <v>1703</v>
      </c>
      <c r="J70" s="25" t="s">
        <v>1704</v>
      </c>
      <c r="K70" s="25" t="s">
        <v>1705</v>
      </c>
      <c r="L70" s="25" t="s">
        <v>1706</v>
      </c>
      <c r="M70" s="25" t="s">
        <v>1707</v>
      </c>
      <c r="N70" s="25" t="s">
        <v>1708</v>
      </c>
      <c r="O70" s="25" t="s">
        <v>1709</v>
      </c>
      <c r="P70" s="28" t="s">
        <v>1710</v>
      </c>
    </row>
    <row r="71" spans="2:16" ht="30.75" thickBot="1" x14ac:dyDescent="0.25">
      <c r="B71" s="25">
        <v>632</v>
      </c>
      <c r="C71" s="28"/>
      <c r="D71" s="41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8" t="s">
        <v>1665</v>
      </c>
    </row>
    <row r="72" spans="2:16" ht="30.75" thickBot="1" x14ac:dyDescent="0.25">
      <c r="B72" s="25">
        <v>633</v>
      </c>
      <c r="C72" s="28"/>
      <c r="D72" s="41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8" t="s">
        <v>1665</v>
      </c>
    </row>
    <row r="73" spans="2:16" ht="45.75" thickBot="1" x14ac:dyDescent="0.25">
      <c r="B73" s="25">
        <v>634</v>
      </c>
      <c r="C73" s="28" t="s">
        <v>1554</v>
      </c>
      <c r="D73" s="42" t="s">
        <v>1711</v>
      </c>
      <c r="E73" s="32" t="s">
        <v>1711</v>
      </c>
      <c r="F73" s="32" t="s">
        <v>1712</v>
      </c>
      <c r="G73" s="32" t="s">
        <v>1711</v>
      </c>
      <c r="H73" s="32" t="s">
        <v>1711</v>
      </c>
      <c r="I73" s="32" t="s">
        <v>1713</v>
      </c>
      <c r="J73" s="32" t="s">
        <v>1714</v>
      </c>
      <c r="K73" s="32" t="s">
        <v>1715</v>
      </c>
      <c r="L73" s="32" t="s">
        <v>1716</v>
      </c>
      <c r="M73" s="32" t="s">
        <v>1717</v>
      </c>
      <c r="N73" s="32" t="s">
        <v>1718</v>
      </c>
      <c r="O73" s="32" t="s">
        <v>1719</v>
      </c>
      <c r="P73" s="28" t="s">
        <v>1720</v>
      </c>
    </row>
    <row r="74" spans="2:16" ht="75.75" thickBot="1" x14ac:dyDescent="0.25">
      <c r="B74" s="25">
        <v>635</v>
      </c>
      <c r="C74" s="28" t="s">
        <v>1721</v>
      </c>
      <c r="D74" s="41" t="s">
        <v>1722</v>
      </c>
      <c r="E74" s="25" t="s">
        <v>1722</v>
      </c>
      <c r="F74" s="25" t="s">
        <v>1722</v>
      </c>
      <c r="G74" s="25" t="s">
        <v>1722</v>
      </c>
      <c r="H74" s="25" t="s">
        <v>1722</v>
      </c>
      <c r="I74" s="25" t="s">
        <v>1722</v>
      </c>
      <c r="J74" s="25" t="s">
        <v>1722</v>
      </c>
      <c r="K74" s="25" t="s">
        <v>1722</v>
      </c>
      <c r="L74" s="25" t="s">
        <v>1722</v>
      </c>
      <c r="M74" s="25" t="s">
        <v>1722</v>
      </c>
      <c r="N74" s="25" t="s">
        <v>1722</v>
      </c>
      <c r="O74" s="25" t="s">
        <v>1722</v>
      </c>
      <c r="P74" s="28" t="s">
        <v>1723</v>
      </c>
    </row>
    <row r="75" spans="2:16" ht="26.25" thickBot="1" x14ac:dyDescent="0.25">
      <c r="B75" s="25">
        <v>636</v>
      </c>
      <c r="C75" s="28"/>
      <c r="D75" s="41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9" t="s">
        <v>1665</v>
      </c>
    </row>
    <row r="76" spans="2:16" ht="60.75" thickBot="1" x14ac:dyDescent="0.25">
      <c r="B76" s="25">
        <v>637</v>
      </c>
      <c r="C76" s="28" t="s">
        <v>1581</v>
      </c>
      <c r="D76" s="41" t="s">
        <v>1724</v>
      </c>
      <c r="E76" s="25" t="s">
        <v>1724</v>
      </c>
      <c r="F76" s="25" t="s">
        <v>1725</v>
      </c>
      <c r="G76" s="25" t="s">
        <v>1724</v>
      </c>
      <c r="H76" s="25" t="s">
        <v>1724</v>
      </c>
      <c r="I76" s="25" t="s">
        <v>1726</v>
      </c>
      <c r="J76" s="25" t="s">
        <v>1727</v>
      </c>
      <c r="K76" s="25" t="s">
        <v>1728</v>
      </c>
      <c r="L76" s="25" t="s">
        <v>1729</v>
      </c>
      <c r="M76" s="25" t="s">
        <v>1730</v>
      </c>
      <c r="N76" s="25" t="s">
        <v>1731</v>
      </c>
      <c r="O76" s="25" t="s">
        <v>1732</v>
      </c>
      <c r="P76" s="29" t="s">
        <v>1733</v>
      </c>
    </row>
    <row r="77" spans="2:16" ht="26.25" thickBot="1" x14ac:dyDescent="0.25">
      <c r="B77" s="25">
        <v>638</v>
      </c>
      <c r="C77" s="28"/>
      <c r="D77" s="41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9" t="s">
        <v>1665</v>
      </c>
    </row>
    <row r="78" spans="2:16" ht="26.25" thickBot="1" x14ac:dyDescent="0.25">
      <c r="B78" s="25">
        <v>639</v>
      </c>
      <c r="C78" s="28"/>
      <c r="D78" s="41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9" t="s">
        <v>1665</v>
      </c>
    </row>
    <row r="79" spans="2:16" ht="45.75" thickBot="1" x14ac:dyDescent="0.25">
      <c r="B79" s="23"/>
      <c r="C79" s="23" t="s">
        <v>1489</v>
      </c>
      <c r="D79" s="38" t="s">
        <v>1734</v>
      </c>
      <c r="E79" s="23" t="s">
        <v>1735</v>
      </c>
      <c r="F79" s="23" t="s">
        <v>1736</v>
      </c>
      <c r="G79" s="23" t="s">
        <v>1737</v>
      </c>
      <c r="H79" s="23" t="s">
        <v>1738</v>
      </c>
      <c r="I79" s="23" t="s">
        <v>1739</v>
      </c>
      <c r="J79" s="23" t="s">
        <v>1740</v>
      </c>
      <c r="K79" s="23" t="s">
        <v>1741</v>
      </c>
      <c r="L79" s="23" t="s">
        <v>1758</v>
      </c>
      <c r="M79" s="23" t="s">
        <v>1759</v>
      </c>
      <c r="N79" s="23" t="s">
        <v>1760</v>
      </c>
      <c r="O79" s="23" t="s">
        <v>1742</v>
      </c>
      <c r="P79" s="23" t="s">
        <v>1743</v>
      </c>
    </row>
    <row r="82" spans="2:2" x14ac:dyDescent="0.2">
      <c r="B82" t="s">
        <v>1761</v>
      </c>
    </row>
    <row r="86" spans="2:2" x14ac:dyDescent="0.2">
      <c r="B86" t="s">
        <v>1762</v>
      </c>
    </row>
    <row r="87" spans="2:2" x14ac:dyDescent="0.2">
      <c r="B87" t="s">
        <v>1763</v>
      </c>
    </row>
    <row r="89" spans="2:2" x14ac:dyDescent="0.2">
      <c r="B89" t="s">
        <v>1764</v>
      </c>
    </row>
    <row r="90" spans="2:2" x14ac:dyDescent="0.2">
      <c r="B90" t="s">
        <v>1765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Sheet2</vt:lpstr>
      <vt:lpstr>Sheet5</vt:lpstr>
      <vt:lpstr>Sheet4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Ibrahim Shoucair</dc:creator>
  <cp:keywords/>
  <dc:description/>
  <cp:lastModifiedBy>Joe J. El Khoury</cp:lastModifiedBy>
  <cp:revision/>
  <dcterms:created xsi:type="dcterms:W3CDTF">2016-09-19T10:41:46Z</dcterms:created>
  <dcterms:modified xsi:type="dcterms:W3CDTF">2021-01-30T08:49:39Z</dcterms:modified>
  <cp:category/>
  <cp:contentStatus/>
</cp:coreProperties>
</file>