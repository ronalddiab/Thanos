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3" documentId="8_{0497B0DD-18C1-40BD-B9FC-449099B2A16A}" xr6:coauthVersionLast="36" xr6:coauthVersionMax="36" xr10:uidLastSave="{865F2A70-4A8F-490D-88D8-9B8F1E2404C8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<sst xmlns="http://schemas.openxmlformats.org/spreadsheetml/2006/main" count="136" uniqueCount="43">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</sst>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K8" sqref="K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0</v>
      </c>
      <c r="F4" s="10">
        <v>0.2979</v>
      </c>
      <c r="G4" s="13">
        <f>-'Submetering '!J4+'Submetering '!K4</f>
        <v>0</v>
      </c>
      <c r="H4" s="10">
        <v>0.23119999999999999</v>
      </c>
      <c r="I4" s="13">
        <f>'Submetering '!L4+'Submetering '!M4</f>
        <v>0</v>
      </c>
      <c r="J4" s="10">
        <v>2.94</v>
      </c>
      <c r="K4" s="9"/>
      <c r="L4" s="9"/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0</v>
      </c>
      <c r="F5" s="10">
        <v>0.2979</v>
      </c>
      <c r="G5" s="13">
        <f>-'Submetering '!J5+'Submetering '!K5</f>
        <v>0</v>
      </c>
      <c r="H5" s="10">
        <v>0.23119999999999999</v>
      </c>
      <c r="I5" s="13">
        <f>'Submetering '!L5+'Submetering '!M5</f>
        <v>0</v>
      </c>
      <c r="J5" s="10">
        <v>2.94</v>
      </c>
      <c r="K5" s="9"/>
      <c r="L5" s="9"/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0</v>
      </c>
      <c r="F6" s="10">
        <v>0.2979</v>
      </c>
      <c r="G6" s="13">
        <f>-'Submetering '!J6+'Submetering '!K6</f>
        <v>0</v>
      </c>
      <c r="H6" s="10">
        <v>0.23119999999999999</v>
      </c>
      <c r="I6" s="13">
        <f>'Submetering '!L6+'Submetering '!M6</f>
        <v>0</v>
      </c>
      <c r="J6" s="10">
        <v>2.94</v>
      </c>
      <c r="K6" s="9"/>
      <c r="L6" s="9"/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0</v>
      </c>
      <c r="F7" s="10">
        <v>0.2979</v>
      </c>
      <c r="G7" s="13">
        <f>-'Submetering '!J7+'Submetering '!K7</f>
        <v>0</v>
      </c>
      <c r="H7" s="10">
        <v>0.23119999999999999</v>
      </c>
      <c r="I7" s="13">
        <f>'Submetering '!L7+'Submetering '!M7</f>
        <v>0</v>
      </c>
      <c r="J7" s="10">
        <v>2.94</v>
      </c>
      <c r="K7" s="9"/>
      <c r="L7" s="9"/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0</v>
      </c>
      <c r="F8" s="10">
        <v>0.2979</v>
      </c>
      <c r="G8" s="13">
        <f>-'Submetering '!J8+'Submetering '!K8</f>
        <v>0</v>
      </c>
      <c r="H8" s="10">
        <v>0.23119999999999999</v>
      </c>
      <c r="I8" s="13">
        <f>'Submetering '!L8+'Submetering '!M8</f>
        <v>0</v>
      </c>
      <c r="J8" s="10">
        <v>2.94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0</v>
      </c>
      <c r="F9" s="10">
        <v>0.2979</v>
      </c>
      <c r="G9" s="13">
        <f>-'Submetering '!J9+'Submetering '!K9</f>
        <v>0</v>
      </c>
      <c r="H9" s="10">
        <v>0.23119999999999999</v>
      </c>
      <c r="I9" s="13">
        <f>'Submetering '!L9+'Submetering '!M9</f>
        <v>0</v>
      </c>
      <c r="J9" s="10">
        <v>2.94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0</v>
      </c>
      <c r="F10" s="10">
        <v>0.2979</v>
      </c>
      <c r="G10" s="13">
        <f>-'Submetering '!J10+'Submetering '!K10</f>
        <v>0</v>
      </c>
      <c r="H10" s="10">
        <v>0.23119999999999999</v>
      </c>
      <c r="I10" s="13">
        <f>'Submetering '!L10+'Submetering '!M10</f>
        <v>0</v>
      </c>
      <c r="J10" s="10">
        <v>2.94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0</v>
      </c>
      <c r="F11" s="10">
        <v>0.2979</v>
      </c>
      <c r="G11" s="13">
        <f>-'Submetering '!J11+'Submetering '!K11</f>
        <v>0</v>
      </c>
      <c r="H11" s="10">
        <v>0.23119999999999999</v>
      </c>
      <c r="I11" s="13">
        <f>'Submetering '!L11+'Submetering '!M11</f>
        <v>0</v>
      </c>
      <c r="J11" s="10">
        <v>2.94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0</v>
      </c>
      <c r="F12" s="10">
        <v>0.2979</v>
      </c>
      <c r="G12" s="13">
        <f>-'Submetering '!J12+'Submetering '!K12</f>
        <v>0</v>
      </c>
      <c r="H12" s="10">
        <v>0.23119999999999999</v>
      </c>
      <c r="I12" s="13">
        <f>'Submetering '!L12+'Submetering '!M12</f>
        <v>0</v>
      </c>
      <c r="J12" s="10">
        <v>2.94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0</v>
      </c>
      <c r="F13" s="10">
        <v>0.2979</v>
      </c>
      <c r="G13" s="13">
        <f>-'Submetering '!J13+'Submetering '!K13</f>
        <v>0</v>
      </c>
      <c r="H13" s="10">
        <v>0.23119999999999999</v>
      </c>
      <c r="I13" s="13">
        <f>'Submetering '!L13+'Submetering '!M13</f>
        <v>0</v>
      </c>
      <c r="J13" s="10">
        <v>2.94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0</v>
      </c>
      <c r="F14" s="10">
        <v>0.2979</v>
      </c>
      <c r="G14" s="13">
        <f>-'Submetering '!J14+'Submetering '!K14</f>
        <v>0</v>
      </c>
      <c r="H14" s="10">
        <v>0.23119999999999999</v>
      </c>
      <c r="I14" s="13">
        <f>'Submetering '!L14+'Submetering '!M14</f>
        <v>0</v>
      </c>
      <c r="J14" s="10">
        <v>2.94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0</v>
      </c>
      <c r="F15" s="10">
        <v>0.2979</v>
      </c>
      <c r="G15" s="13">
        <f>-'Submetering '!J15+'Submetering '!K15</f>
        <v>0</v>
      </c>
      <c r="H15" s="10">
        <v>0.23119999999999999</v>
      </c>
      <c r="I15" s="13">
        <f>'Submetering '!L15+'Submetering '!M15</f>
        <v>0</v>
      </c>
      <c r="J15" s="10">
        <v>2.94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0</v>
      </c>
      <c r="F16" s="10">
        <v>0.2979</v>
      </c>
      <c r="G16" s="13">
        <f>-'Submetering '!J16+'Submetering '!K16</f>
        <v>0</v>
      </c>
      <c r="H16" s="10">
        <v>0.23119999999999999</v>
      </c>
      <c r="I16" s="13">
        <f>'Submetering '!L16+'Submetering '!M16</f>
        <v>0</v>
      </c>
      <c r="J16" s="10">
        <v>2.94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0</v>
      </c>
      <c r="F17" s="10">
        <v>0.2979</v>
      </c>
      <c r="G17" s="13">
        <f>-'Submetering '!J17+'Submetering '!K17</f>
        <v>0</v>
      </c>
      <c r="H17" s="10">
        <v>0.23119999999999999</v>
      </c>
      <c r="I17" s="13">
        <f>'Submetering '!L17+'Submetering '!M17</f>
        <v>0</v>
      </c>
      <c r="J17" s="10">
        <v>2.94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0</v>
      </c>
      <c r="F18" s="10">
        <v>0.2979</v>
      </c>
      <c r="G18" s="13">
        <f>-'Submetering '!J18+'Submetering '!K18</f>
        <v>0</v>
      </c>
      <c r="H18" s="10">
        <v>0.23119999999999999</v>
      </c>
      <c r="I18" s="13">
        <f>'Submetering '!L18+'Submetering '!M18</f>
        <v>0</v>
      </c>
      <c r="J18" s="10">
        <v>2.94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C8" sqref="AC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0</v>
      </c>
      <c r="F4" s="33">
        <f>(IF((Electrical!C5-Electrical!C4)&lt;0,"0",(Electrical!C5-Electrical!C4)))*15</f>
        <v>0</v>
      </c>
      <c r="G4" s="33">
        <f>(IF((Electrical!D5-Electrical!D4)&lt;0,"0",(Electrical!D5-Electrical!D4)))*15</f>
        <v>0</v>
      </c>
      <c r="H4" s="33" t="str">
        <f>IF((Electrical!E5-Electrical!E4)&lt;0,"0",(Electrical!E5-Electrical!E4))</f>
        <v>0</v>
      </c>
      <c r="I4" s="33" t="str">
        <f>IF((Electrical!F5-Electrical!F4)&lt;0,"0",(Electrical!F5-Electrical!F4))</f>
        <v>0</v>
      </c>
      <c r="J4" s="33">
        <f>IF((Gas!B5-Gas!B4)&lt;0,"0",(Gas!B5-Gas!B4))</f>
        <v>0</v>
      </c>
      <c r="K4" s="33" t="str">
        <f>IF((Gas!C5-Gas!C4)&lt;0,"0",(Gas!C5-Gas!C4))</f>
        <v>0</v>
      </c>
      <c r="L4" s="33">
        <f>(IF((Water!B5-Water!B4)&lt;0,"0",(Water!B5-Water!B4)))*10</f>
        <v>0</v>
      </c>
      <c r="M4" s="33" t="str">
        <f>IF((Water!C5-Water!C4)&lt;0,"0",(Water!C5-Water!C4))</f>
        <v>0</v>
      </c>
      <c r="N4" s="33">
        <f>IF((Water!D5-Water!D4)&lt;0,"0",(Water!D5-Water!D4))</f>
        <v>0</v>
      </c>
      <c r="O4" s="33" t="str">
        <f>IF((Water!E5-Water!E4)&lt;0,"0",(Water!E5-Water!E4))</f>
        <v>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 t="str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 t="str">
        <f>IF((Water!N5-Water!N4)&lt;0,"0",(Water!N5-Water!N4))</f>
        <v>0</v>
      </c>
      <c r="Y4" s="9"/>
      <c r="Z4" s="9"/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0</v>
      </c>
      <c r="F5" s="33">
        <f>(IF((Electrical!C6-Electrical!C5)&lt;0,"0",(Electrical!C6-Electrical!C5)))*15</f>
        <v>0</v>
      </c>
      <c r="G5" s="33">
        <f>(IF((Electrical!D6-Electrical!D5)&lt;0,"0",(Electrical!D6-Electrical!D5)))*15</f>
        <v>0</v>
      </c>
      <c r="H5" s="33">
        <f>IF((Electrical!E6-Electrical!E5)&lt;0,"0",(Electrical!E6-Electrical!E5))</f>
        <v>0</v>
      </c>
      <c r="I5" s="33">
        <f>IF((Electrical!F6-Electrical!F5)&lt;0,"0",(Electrical!F6-Electrical!F5))</f>
        <v>0</v>
      </c>
      <c r="J5" s="33">
        <f>IF((Gas!B6-Gas!B5)&lt;0,"0",(Gas!B6-Gas!B5))</f>
        <v>0</v>
      </c>
      <c r="K5" s="33">
        <f>IF((Gas!C6-Gas!C5)&lt;0,"0",(Gas!C6-Gas!C5))</f>
        <v>0</v>
      </c>
      <c r="L5" s="33">
        <f>(IF((Water!B6-Water!B5)&lt;0,"0",(Water!B6-Water!B5)))*10</f>
        <v>0</v>
      </c>
      <c r="M5" s="33">
        <f>IF((Water!C6-Water!C5)&lt;0,"0",(Water!C6-Water!C5))</f>
        <v>0</v>
      </c>
      <c r="N5" s="33">
        <f>IF((Water!D6-Water!D5)&lt;0,"0",(Water!D6-Water!D5))</f>
        <v>0</v>
      </c>
      <c r="O5" s="33">
        <f>IF((Water!E6-Water!E5)&lt;0,"0",(Water!E6-Water!E5))</f>
        <v>0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0</v>
      </c>
      <c r="Y5" s="9"/>
      <c r="Z5" s="9"/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0</v>
      </c>
      <c r="F6" s="33">
        <f>(IF((Electrical!C7-Electrical!C6)&lt;0,"0",(Electrical!C7-Electrical!C6)))*15</f>
        <v>0</v>
      </c>
      <c r="G6" s="33">
        <f>(IF((Electrical!D7-Electrical!D6)&lt;0,"0",(Electrical!D7-Electrical!D6)))*15</f>
        <v>0</v>
      </c>
      <c r="H6" s="33">
        <f>IF((Electrical!E7-Electrical!E6)&lt;0,"0",(Electrical!E7-Electrical!E6))</f>
        <v>0</v>
      </c>
      <c r="I6" s="33">
        <f>IF((Electrical!F7-Electrical!F6)&lt;0,"0",(Electrical!F7-Electrical!F6))</f>
        <v>0</v>
      </c>
      <c r="J6" s="33">
        <f>IF((Gas!B7-Gas!B6)&lt;0,"0",(Gas!B7-Gas!B6))</f>
        <v>0</v>
      </c>
      <c r="K6" s="33">
        <f>IF((Gas!C7-Gas!C6)&lt;0,"0",(Gas!C7-Gas!C6))</f>
        <v>0</v>
      </c>
      <c r="L6" s="33">
        <f>(IF((Water!B7-Water!B6)&lt;0,"0",(Water!B7-Water!B6)))*10</f>
        <v>0</v>
      </c>
      <c r="M6" s="33">
        <f>IF((Water!C7-Water!C6)&lt;0,"0",(Water!C7-Water!C6))</f>
        <v>0</v>
      </c>
      <c r="N6" s="33">
        <f>IF((Water!D7-Water!D6)&lt;0,"0",(Water!D7-Water!D6))</f>
        <v>0</v>
      </c>
      <c r="O6" s="33">
        <f>IF((Water!E7-Water!E6)&lt;0,"0",(Water!E7-Water!E6))</f>
        <v>0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0</v>
      </c>
      <c r="Y6" s="9"/>
      <c r="Z6" s="9"/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0</v>
      </c>
      <c r="F7" s="33">
        <f>(IF((Electrical!C8-Electrical!C7)&lt;0,"0",(Electrical!C8-Electrical!C7)))*15</f>
        <v>0</v>
      </c>
      <c r="G7" s="33">
        <f>(IF((Electrical!D8-Electrical!D7)&lt;0,"0",(Electrical!D8-Electrical!D7)))*15</f>
        <v>0</v>
      </c>
      <c r="H7" s="33">
        <f>IF((Electrical!E8-Electrical!E7)&lt;0,"0",(Electrical!E8-Electrical!E7))</f>
        <v>0</v>
      </c>
      <c r="I7" s="33">
        <f>IF((Electrical!F8-Electrical!F7)&lt;0,"0",(Electrical!F8-Electrical!F7))</f>
        <v>0</v>
      </c>
      <c r="J7" s="33">
        <f>IF((Gas!B8-Gas!B7)&lt;0,"0",(Gas!B8-Gas!B7))</f>
        <v>0</v>
      </c>
      <c r="K7" s="33">
        <f>IF((Gas!C8-Gas!C7)&lt;0,"0",(Gas!C8-Gas!C7))</f>
        <v>0</v>
      </c>
      <c r="L7" s="33">
        <f>(IF((Water!B8-Water!B7)&lt;0,"0",(Water!B8-Water!B7)))*10</f>
        <v>0</v>
      </c>
      <c r="M7" s="33">
        <f>IF((Water!C8-Water!C7)&lt;0,"0",(Water!C8-Water!C7))</f>
        <v>0</v>
      </c>
      <c r="N7" s="33">
        <f>IF((Water!D8-Water!D7)&lt;0,"0",(Water!D8-Water!D7))</f>
        <v>0</v>
      </c>
      <c r="O7" s="33">
        <f>IF((Water!E8-Water!E7)&lt;0,"0",(Water!E8-Water!E7))</f>
        <v>0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0</v>
      </c>
      <c r="Y7" s="9"/>
      <c r="Z7" s="9"/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>
        <f>IF((Electrical!E9-Electrical!E8)&lt;0,"0",(Electrical!E9-Electrical!E8))</f>
        <v>0</v>
      </c>
      <c r="I8" s="33">
        <f>IF((Electrical!F9-Electrical!F8)&lt;0,"0",(Electrical!F9-Electrical!F8))</f>
        <v>0</v>
      </c>
      <c r="J8" s="33">
        <f>IF((Gas!B9-Gas!B8)&lt;0,"0",(Gas!B9-Gas!B8))</f>
        <v>0</v>
      </c>
      <c r="K8" s="33">
        <f>IF((Gas!C9-Gas!C8)&lt;0,"0",(Gas!C9-Gas!C8))</f>
        <v>0</v>
      </c>
      <c r="L8" s="33">
        <f>(IF((Water!B9-Water!B8)&lt;0,"0",(Water!B9-Water!B8)))*10</f>
        <v>0</v>
      </c>
      <c r="M8" s="33">
        <f>IF((Water!C9-Water!C8)&lt;0,"0",(Water!C9-Water!C8))</f>
        <v>0</v>
      </c>
      <c r="N8" s="33">
        <f>IF((Water!D9-Water!D8)&lt;0,"0",(Water!D9-Water!D8))</f>
        <v>0</v>
      </c>
      <c r="O8" s="33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2"/>
  <sheetViews>
    <sheetView zoomScale="70" zoomScaleNormal="70" workbookViewId="0">
      <selection activeCell="G4" sqref="G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/>
      <c r="C5" s="28"/>
      <c r="D5" s="45"/>
      <c r="E5" s="45"/>
      <c r="F5" s="45"/>
      <c r="G5" s="27"/>
    </row>
    <row r="6" spans="1:7" x14ac:dyDescent="0.35">
      <c r="A6" s="7">
        <v>4</v>
      </c>
      <c r="B6" s="28"/>
      <c r="C6" s="28"/>
      <c r="D6" s="45"/>
      <c r="E6" s="45"/>
      <c r="F6" s="45"/>
      <c r="G6" s="5"/>
    </row>
    <row r="7" spans="1:7" x14ac:dyDescent="0.35">
      <c r="A7" s="7">
        <v>5</v>
      </c>
      <c r="B7" s="28"/>
      <c r="C7" s="28"/>
      <c r="D7" s="45"/>
      <c r="E7" s="45"/>
      <c r="F7" s="45"/>
      <c r="G7" s="5"/>
    </row>
    <row r="8" spans="1:7" x14ac:dyDescent="0.35">
      <c r="A8" s="7">
        <v>6</v>
      </c>
      <c r="B8" s="28"/>
      <c r="C8" s="28"/>
      <c r="D8" s="45"/>
      <c r="E8" s="45"/>
      <c r="F8" s="45"/>
      <c r="G8" s="5"/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48"/>
    </row>
    <row r="11" spans="1:7" x14ac:dyDescent="0.35">
      <c r="A11" s="7">
        <v>9</v>
      </c>
      <c r="B11" s="28"/>
      <c r="C11" s="28"/>
      <c r="D11" s="45"/>
      <c r="E11" s="45"/>
      <c r="F11" s="45"/>
      <c r="G11" s="48"/>
    </row>
    <row r="12" spans="1:7" x14ac:dyDescent="0.35">
      <c r="A12" s="7">
        <v>10</v>
      </c>
      <c r="B12" s="28"/>
      <c r="C12" s="28"/>
      <c r="D12" s="45"/>
      <c r="E12" s="45"/>
      <c r="F12" s="45"/>
      <c r="G12" s="48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J11" sqref="J1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/>
      <c r="D5" s="27"/>
    </row>
    <row r="6" spans="1:4" x14ac:dyDescent="0.35">
      <c r="A6" s="4">
        <v>4</v>
      </c>
      <c r="B6" s="5">
        <v>0</v>
      </c>
      <c r="C6" s="5"/>
      <c r="D6" s="5"/>
    </row>
    <row r="7" spans="1:4" x14ac:dyDescent="0.35">
      <c r="A7" s="4">
        <v>5</v>
      </c>
      <c r="B7" s="5">
        <v>0</v>
      </c>
      <c r="C7" s="5"/>
      <c r="D7" s="5"/>
    </row>
    <row r="8" spans="1:4" x14ac:dyDescent="0.35">
      <c r="A8" s="4">
        <v>6</v>
      </c>
      <c r="B8" s="5">
        <v>0</v>
      </c>
      <c r="C8" s="5"/>
      <c r="D8" s="5"/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48"/>
    </row>
    <row r="11" spans="1:4" x14ac:dyDescent="0.35">
      <c r="A11" s="4">
        <v>9</v>
      </c>
      <c r="B11" s="5">
        <v>0</v>
      </c>
      <c r="C11" s="5"/>
      <c r="D11" s="48"/>
    </row>
    <row r="12" spans="1:4" x14ac:dyDescent="0.35">
      <c r="A12" s="4">
        <v>10</v>
      </c>
      <c r="B12" s="5">
        <v>0</v>
      </c>
      <c r="C12" s="5"/>
      <c r="D12" s="48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F1" zoomScale="85" zoomScaleNormal="85" workbookViewId="0">
      <selection activeCell="N24" sqref="N2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/>
      <c r="C5" s="5"/>
      <c r="D5" s="5">
        <v>0</v>
      </c>
      <c r="E5" s="5"/>
      <c r="F5" s="5">
        <v>0</v>
      </c>
      <c r="G5" s="5">
        <v>0</v>
      </c>
      <c r="H5" s="5">
        <v>0</v>
      </c>
      <c r="I5" s="5">
        <v>0</v>
      </c>
      <c r="J5" s="5"/>
      <c r="K5" s="5">
        <v>0</v>
      </c>
      <c r="L5" s="5">
        <v>0</v>
      </c>
      <c r="M5" s="5">
        <v>0</v>
      </c>
      <c r="N5" s="5"/>
      <c r="O5" s="27"/>
    </row>
    <row r="6" spans="1:15" x14ac:dyDescent="0.35">
      <c r="A6" s="4">
        <v>4</v>
      </c>
      <c r="B6" s="5"/>
      <c r="C6" s="5"/>
      <c r="D6" s="5">
        <v>0</v>
      </c>
      <c r="E6" s="5"/>
      <c r="F6" s="5">
        <v>0</v>
      </c>
      <c r="G6" s="5">
        <v>0</v>
      </c>
      <c r="H6" s="5">
        <v>0</v>
      </c>
      <c r="I6" s="5">
        <v>0</v>
      </c>
      <c r="J6" s="5"/>
      <c r="K6" s="5">
        <v>0</v>
      </c>
      <c r="L6" s="5">
        <v>0</v>
      </c>
      <c r="M6" s="5">
        <v>0</v>
      </c>
      <c r="N6" s="5"/>
      <c r="O6" s="5"/>
    </row>
    <row r="7" spans="1:15" x14ac:dyDescent="0.35">
      <c r="A7" s="4">
        <v>5</v>
      </c>
      <c r="B7" s="5"/>
      <c r="C7" s="5"/>
      <c r="D7" s="5">
        <v>0</v>
      </c>
      <c r="E7" s="5"/>
      <c r="F7" s="5">
        <v>0</v>
      </c>
      <c r="G7" s="5">
        <v>0</v>
      </c>
      <c r="H7" s="5">
        <v>0</v>
      </c>
      <c r="I7" s="5">
        <v>0</v>
      </c>
      <c r="J7" s="5"/>
      <c r="K7" s="5">
        <v>0</v>
      </c>
      <c r="L7" s="5">
        <v>0</v>
      </c>
      <c r="M7" s="5">
        <v>0</v>
      </c>
      <c r="N7" s="5"/>
      <c r="O7" s="5"/>
    </row>
    <row r="8" spans="1:15" x14ac:dyDescent="0.35">
      <c r="A8" s="4">
        <v>6</v>
      </c>
      <c r="B8" s="5"/>
      <c r="C8" s="5"/>
      <c r="D8" s="5">
        <v>0</v>
      </c>
      <c r="E8" s="5"/>
      <c r="F8" s="5">
        <v>0</v>
      </c>
      <c r="G8" s="5">
        <v>0</v>
      </c>
      <c r="H8" s="5">
        <v>0</v>
      </c>
      <c r="I8" s="5">
        <v>0</v>
      </c>
      <c r="J8" s="5"/>
      <c r="K8" s="5">
        <v>0</v>
      </c>
      <c r="L8" s="5">
        <v>0</v>
      </c>
      <c r="M8" s="5">
        <v>0</v>
      </c>
      <c r="N8" s="5"/>
      <c r="O8" s="5"/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48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48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48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dcmitype/"/>
    <ds:schemaRef ds:uri="c0c63084-832f-4b13-a501-c844d9f3bfed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2024-04-03T00:23:37Z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