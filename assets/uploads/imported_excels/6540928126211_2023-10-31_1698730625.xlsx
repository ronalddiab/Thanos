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filterPrivacy="1"/>
  <xr:revisionPtr revIDLastSave="390" documentId="8_{B9DA16EE-BC11-46C5-AFD1-A8E5598FFCE2}" xr6:coauthVersionLast="47" xr6:coauthVersionMax="47" xr10:uidLastSave="{B6CA82EF-71A1-48E7-BC66-0A38C0C31598}"/>
  <bookViews>
    <workbookView xWindow="-96" yWindow="-96" windowWidth="18192" windowHeight="11472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G2" i="4"/>
  <c r="F2" i="4"/>
  <c r="E2" i="4"/>
  <c r="L3" i="4"/>
  <c r="M3" i="4"/>
  <c r="N3" i="4"/>
  <c r="O3" i="4"/>
  <c r="P3" i="4"/>
  <c r="Q3" i="4"/>
  <c r="R3" i="4"/>
  <c r="S3" i="4"/>
  <c r="T3" i="4"/>
  <c r="U3" i="4"/>
  <c r="V3" i="4"/>
  <c r="W3" i="4"/>
  <c r="X3" i="4"/>
  <c r="L4" i="4"/>
  <c r="M4" i="4"/>
  <c r="N4" i="4"/>
  <c r="O4" i="4"/>
  <c r="P4" i="4"/>
  <c r="Q4" i="4"/>
  <c r="R4" i="4"/>
  <c r="S4" i="4"/>
  <c r="T4" i="4"/>
  <c r="U4" i="4"/>
  <c r="V4" i="4"/>
  <c r="W4" i="4"/>
  <c r="X4" i="4"/>
  <c r="L5" i="4"/>
  <c r="M5" i="4"/>
  <c r="N5" i="4"/>
  <c r="O5" i="4"/>
  <c r="P5" i="4"/>
  <c r="Q5" i="4"/>
  <c r="R5" i="4"/>
  <c r="S5" i="4"/>
  <c r="T5" i="4"/>
  <c r="U5" i="4"/>
  <c r="V5" i="4"/>
  <c r="W5" i="4"/>
  <c r="X5" i="4"/>
  <c r="L6" i="4"/>
  <c r="M6" i="4"/>
  <c r="N6" i="4"/>
  <c r="O6" i="4"/>
  <c r="P6" i="4"/>
  <c r="Q6" i="4"/>
  <c r="R6" i="4"/>
  <c r="S6" i="4"/>
  <c r="T6" i="4"/>
  <c r="U6" i="4"/>
  <c r="V6" i="4"/>
  <c r="W6" i="4"/>
  <c r="X6" i="4"/>
  <c r="L7" i="4"/>
  <c r="M7" i="4"/>
  <c r="N7" i="4"/>
  <c r="O7" i="4"/>
  <c r="P7" i="4"/>
  <c r="Q7" i="4"/>
  <c r="R7" i="4"/>
  <c r="S7" i="4"/>
  <c r="T7" i="4"/>
  <c r="U7" i="4"/>
  <c r="V7" i="4"/>
  <c r="W7" i="4"/>
  <c r="X7" i="4"/>
  <c r="L8" i="4"/>
  <c r="M8" i="4"/>
  <c r="N8" i="4"/>
  <c r="O8" i="4"/>
  <c r="P8" i="4"/>
  <c r="Q8" i="4"/>
  <c r="R8" i="4"/>
  <c r="S8" i="4"/>
  <c r="T8" i="4"/>
  <c r="U8" i="4"/>
  <c r="V8" i="4"/>
  <c r="W8" i="4"/>
  <c r="X8" i="4"/>
  <c r="L9" i="4"/>
  <c r="M9" i="4"/>
  <c r="N9" i="4"/>
  <c r="O9" i="4"/>
  <c r="P9" i="4"/>
  <c r="Q9" i="4"/>
  <c r="R9" i="4"/>
  <c r="S9" i="4"/>
  <c r="T9" i="4"/>
  <c r="U9" i="4"/>
  <c r="V9" i="4"/>
  <c r="W9" i="4"/>
  <c r="X9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M2" i="4"/>
  <c r="N2" i="4"/>
  <c r="O2" i="4"/>
  <c r="P2" i="4"/>
  <c r="Q2" i="4"/>
  <c r="R2" i="4"/>
  <c r="S2" i="4"/>
  <c r="T2" i="4"/>
  <c r="U2" i="4"/>
  <c r="V2" i="4"/>
  <c r="W2" i="4"/>
  <c r="X2" i="4"/>
  <c r="L2" i="4"/>
  <c r="J3" i="4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J32" i="4"/>
  <c r="K32" i="4"/>
  <c r="K2" i="4"/>
  <c r="J2" i="4"/>
  <c r="F3" i="4"/>
  <c r="G3" i="4"/>
  <c r="H3" i="4"/>
  <c r="I3" i="4"/>
  <c r="F4" i="4"/>
  <c r="G4" i="4"/>
  <c r="H4" i="4"/>
  <c r="I4" i="4"/>
  <c r="F5" i="4"/>
  <c r="G5" i="4"/>
  <c r="H5" i="4"/>
  <c r="I5" i="4"/>
  <c r="F6" i="4"/>
  <c r="G6" i="4"/>
  <c r="H6" i="4"/>
  <c r="I6" i="4"/>
  <c r="F7" i="4"/>
  <c r="G7" i="4"/>
  <c r="H7" i="4"/>
  <c r="I7" i="4"/>
  <c r="F8" i="4"/>
  <c r="G8" i="4"/>
  <c r="H8" i="4"/>
  <c r="I8" i="4"/>
  <c r="F9" i="4"/>
  <c r="G9" i="4"/>
  <c r="H9" i="4"/>
  <c r="I9" i="4"/>
  <c r="F10" i="4"/>
  <c r="G10" i="4"/>
  <c r="H10" i="4"/>
  <c r="I10" i="4"/>
  <c r="F11" i="4"/>
  <c r="G11" i="4"/>
  <c r="H11" i="4"/>
  <c r="I11" i="4"/>
  <c r="F12" i="4"/>
  <c r="G12" i="4"/>
  <c r="H12" i="4"/>
  <c r="I12" i="4"/>
  <c r="F13" i="4"/>
  <c r="G13" i="4"/>
  <c r="H13" i="4"/>
  <c r="I13" i="4"/>
  <c r="F14" i="4"/>
  <c r="G14" i="4"/>
  <c r="H14" i="4"/>
  <c r="I14" i="4"/>
  <c r="F15" i="4"/>
  <c r="G15" i="4"/>
  <c r="H15" i="4"/>
  <c r="I15" i="4"/>
  <c r="F16" i="4"/>
  <c r="G16" i="4"/>
  <c r="H16" i="4"/>
  <c r="I16" i="4"/>
  <c r="F17" i="4"/>
  <c r="G17" i="4"/>
  <c r="H17" i="4"/>
  <c r="I17" i="4"/>
  <c r="F18" i="4"/>
  <c r="G18" i="4"/>
  <c r="H18" i="4"/>
  <c r="I18" i="4"/>
  <c r="F19" i="4"/>
  <c r="G19" i="4"/>
  <c r="H19" i="4"/>
  <c r="I19" i="4"/>
  <c r="F20" i="4"/>
  <c r="G20" i="4"/>
  <c r="H20" i="4"/>
  <c r="I20" i="4"/>
  <c r="F21" i="4"/>
  <c r="G21" i="4"/>
  <c r="H21" i="4"/>
  <c r="I21" i="4"/>
  <c r="F22" i="4"/>
  <c r="G22" i="4"/>
  <c r="H22" i="4"/>
  <c r="I22" i="4"/>
  <c r="F23" i="4"/>
  <c r="G23" i="4"/>
  <c r="H23" i="4"/>
  <c r="I23" i="4"/>
  <c r="F24" i="4"/>
  <c r="G24" i="4"/>
  <c r="H24" i="4"/>
  <c r="I24" i="4"/>
  <c r="F25" i="4"/>
  <c r="G25" i="4"/>
  <c r="H25" i="4"/>
  <c r="I25" i="4"/>
  <c r="F26" i="4"/>
  <c r="G26" i="4"/>
  <c r="H26" i="4"/>
  <c r="I26" i="4"/>
  <c r="F27" i="4"/>
  <c r="G27" i="4"/>
  <c r="H27" i="4"/>
  <c r="I27" i="4"/>
  <c r="F28" i="4"/>
  <c r="G28" i="4"/>
  <c r="H28" i="4"/>
  <c r="I28" i="4"/>
  <c r="F29" i="4"/>
  <c r="G29" i="4"/>
  <c r="H29" i="4"/>
  <c r="I29" i="4"/>
  <c r="F30" i="4"/>
  <c r="G30" i="4"/>
  <c r="H30" i="4"/>
  <c r="I30" i="4"/>
  <c r="F31" i="4"/>
  <c r="G31" i="4"/>
  <c r="H31" i="4"/>
  <c r="I31" i="4"/>
  <c r="F32" i="4"/>
  <c r="G32" i="4"/>
  <c r="H32" i="4"/>
  <c r="I32" i="4"/>
  <c r="H2" i="4"/>
  <c r="I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31" i="5" l="1"/>
  <c r="E3" i="5"/>
  <c r="E2" i="5"/>
  <c r="G29" i="5"/>
  <c r="E32" i="5"/>
  <c r="E31" i="5"/>
  <c r="G32" i="5"/>
  <c r="G30" i="5"/>
  <c r="G28" i="5"/>
  <c r="G27" i="5"/>
  <c r="G26" i="5"/>
  <c r="G25" i="5"/>
  <c r="G24" i="5"/>
  <c r="E30" i="5"/>
  <c r="E29" i="5"/>
  <c r="E28" i="5"/>
  <c r="E27" i="5"/>
  <c r="E26" i="5"/>
  <c r="E25" i="5"/>
  <c r="E24" i="5"/>
  <c r="E20" i="5"/>
  <c r="E23" i="5"/>
  <c r="E22" i="5"/>
  <c r="E21" i="5"/>
  <c r="E19" i="5"/>
  <c r="E18" i="5"/>
  <c r="E17" i="5"/>
  <c r="E16" i="5"/>
  <c r="G23" i="5"/>
  <c r="G22" i="5"/>
  <c r="G20" i="5"/>
  <c r="G21" i="5"/>
  <c r="G19" i="5"/>
  <c r="G18" i="5"/>
  <c r="G17" i="5"/>
  <c r="G16" i="5"/>
  <c r="G15" i="5"/>
  <c r="G14" i="5"/>
  <c r="G13" i="5"/>
  <c r="G12" i="5"/>
  <c r="G11" i="5"/>
  <c r="G10" i="5"/>
  <c r="G9" i="5"/>
  <c r="E15" i="5"/>
  <c r="E14" i="5"/>
  <c r="E13" i="5"/>
  <c r="E12" i="5"/>
  <c r="E11" i="5"/>
  <c r="E10" i="5"/>
  <c r="E9" i="5"/>
  <c r="G7" i="5"/>
  <c r="G2" i="5"/>
  <c r="E8" i="5"/>
  <c r="E7" i="5"/>
  <c r="E6" i="5"/>
  <c r="E5" i="5"/>
  <c r="E4" i="5"/>
  <c r="G8" i="5"/>
  <c r="G6" i="5"/>
  <c r="G5" i="5"/>
  <c r="G4" i="5"/>
  <c r="G3" i="5"/>
</calcChain>
</file>

<file path=xl/sharedStrings.xml><?xml version="1.0" encoding="utf-8"?>
<sst xmlns="http://schemas.openxmlformats.org/spreadsheetml/2006/main" count="224" uniqueCount="52">
  <si>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</si>
  <si>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</si>
  <si>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</si>
  <si>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</si>
  <si>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</si>
  <si>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</si>
  <si>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</si>
  <si>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</si>
  <si>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</si>
  <si>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</si>
  <si>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</si>
  <si>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</si>
  <si>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</si>
  <si>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</si>
  <si>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</si>
  <si>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</si>
  <si>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</si>
  <si>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</si>
  <si>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</si>
  <si>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</si>
  <si>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</si>
  <si>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</si>
  <si>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</si>
  <si>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</si>
  <si>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</si>
  <si>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</si>
  <si>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</si>
  <si>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</si>
  <si>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</si>
  <si>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</si>
  <si>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</si>
  <si>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</si>
  <si>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</si>
  <si>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</si>
  <si>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</si>
  <si>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</si>
  <si>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</si>
  <si>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</si>
  <si>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</si>
  <si>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</si>
  <si>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Sharif</t>
  </si>
  <si>
    <t>Parithi</t>
  </si>
  <si>
    <t>Suresh/Venkat</t>
  </si>
  <si>
    <t>Prabha</t>
  </si>
  <si>
    <t>Masud/Suresh/Ullah</t>
  </si>
  <si>
    <t>Veera</t>
  </si>
  <si>
    <t>Masud</t>
  </si>
  <si>
    <t>Masud/Ullah</t>
  </si>
  <si>
    <t>Sharif/Parithi</t>
  </si>
  <si>
    <t>Veera/Prabha</t>
  </si>
  <si>
    <t>Veera/Suresh</t>
  </si>
  <si>
    <t>Cooling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</si>
</sst>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4" fillId="5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vertical="center" wrapText="1"/>
    </xf>
    <xf numFmtId="0" fontId="10" fillId="5" borderId="5" xfId="0" applyFont="1" applyFill="1" applyBorder="1" applyAlignment="1">
      <alignment horizontal="right" vertical="center"/>
    </xf>
    <xf numFmtId="0" fontId="3" fillId="3" borderId="3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right"/>
    </xf>
    <xf numFmtId="0" fontId="10" fillId="5" borderId="5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M33"/>
  <sheetViews>
    <sheetView tabSelected="1" topLeftCell="K1" workbookViewId="0">
      <selection activeCell="O10" sqref="O10"/>
    </sheetView>
  </sheetViews>
  <sheetFormatPr defaultColWidth="11.5234375" defaultRowHeight="14.4" x14ac:dyDescent="0.55000000000000004"/>
  <cols>
    <col min="1" max="1" width="30" style="14" customWidth="1"/>
    <col min="2" max="3" width="11.5234375" style="14"/>
    <col min="4" max="4" width="13.3671875" style="14" customWidth="1"/>
    <col min="5" max="5" width="16.15625" style="44" customWidth="1"/>
    <col min="6" max="6" width="12.5234375" style="41" customWidth="1"/>
    <col min="7" max="7" width="13" style="15" customWidth="1"/>
    <col min="8" max="8" width="11.5234375" style="41"/>
    <col min="9" max="9" width="11.5234375" style="15"/>
    <col min="10" max="10" width="11.5234375" style="41"/>
    <col min="11" max="259" width="11.5234375" style="14"/>
    <col min="260" max="260" width="13.3671875" style="14" customWidth="1"/>
    <col min="261" max="261" width="13" style="14" customWidth="1"/>
    <col min="262" max="262" width="12.5234375" style="14" customWidth="1"/>
    <col min="263" max="263" width="13" style="14" customWidth="1"/>
    <col min="264" max="515" width="11.5234375" style="14"/>
    <col min="516" max="516" width="13.3671875" style="14" customWidth="1"/>
    <col min="517" max="517" width="13" style="14" customWidth="1"/>
    <col min="518" max="518" width="12.5234375" style="14" customWidth="1"/>
    <col min="519" max="519" width="13" style="14" customWidth="1"/>
    <col min="520" max="771" width="11.5234375" style="14"/>
    <col min="772" max="772" width="13.3671875" style="14" customWidth="1"/>
    <col min="773" max="773" width="13" style="14" customWidth="1"/>
    <col min="774" max="774" width="12.5234375" style="14" customWidth="1"/>
    <col min="775" max="775" width="13" style="14" customWidth="1"/>
    <col min="776" max="1027" width="11.5234375" style="14"/>
    <col min="1028" max="1028" width="13.3671875" style="14" customWidth="1"/>
    <col min="1029" max="1029" width="13" style="14" customWidth="1"/>
    <col min="1030" max="1030" width="12.5234375" style="14" customWidth="1"/>
    <col min="1031" max="1031" width="13" style="14" customWidth="1"/>
    <col min="1032" max="1283" width="11.5234375" style="14"/>
    <col min="1284" max="1284" width="13.3671875" style="14" customWidth="1"/>
    <col min="1285" max="1285" width="13" style="14" customWidth="1"/>
    <col min="1286" max="1286" width="12.5234375" style="14" customWidth="1"/>
    <col min="1287" max="1287" width="13" style="14" customWidth="1"/>
    <col min="1288" max="1539" width="11.5234375" style="14"/>
    <col min="1540" max="1540" width="13.3671875" style="14" customWidth="1"/>
    <col min="1541" max="1541" width="13" style="14" customWidth="1"/>
    <col min="1542" max="1542" width="12.5234375" style="14" customWidth="1"/>
    <col min="1543" max="1543" width="13" style="14" customWidth="1"/>
    <col min="1544" max="1795" width="11.5234375" style="14"/>
    <col min="1796" max="1796" width="13.3671875" style="14" customWidth="1"/>
    <col min="1797" max="1797" width="13" style="14" customWidth="1"/>
    <col min="1798" max="1798" width="12.5234375" style="14" customWidth="1"/>
    <col min="1799" max="1799" width="13" style="14" customWidth="1"/>
    <col min="1800" max="2051" width="11.5234375" style="14"/>
    <col min="2052" max="2052" width="13.3671875" style="14" customWidth="1"/>
    <col min="2053" max="2053" width="13" style="14" customWidth="1"/>
    <col min="2054" max="2054" width="12.5234375" style="14" customWidth="1"/>
    <col min="2055" max="2055" width="13" style="14" customWidth="1"/>
    <col min="2056" max="2307" width="11.5234375" style="14"/>
    <col min="2308" max="2308" width="13.3671875" style="14" customWidth="1"/>
    <col min="2309" max="2309" width="13" style="14" customWidth="1"/>
    <col min="2310" max="2310" width="12.5234375" style="14" customWidth="1"/>
    <col min="2311" max="2311" width="13" style="14" customWidth="1"/>
    <col min="2312" max="2563" width="11.5234375" style="14"/>
    <col min="2564" max="2564" width="13.3671875" style="14" customWidth="1"/>
    <col min="2565" max="2565" width="13" style="14" customWidth="1"/>
    <col min="2566" max="2566" width="12.5234375" style="14" customWidth="1"/>
    <col min="2567" max="2567" width="13" style="14" customWidth="1"/>
    <col min="2568" max="2819" width="11.5234375" style="14"/>
    <col min="2820" max="2820" width="13.3671875" style="14" customWidth="1"/>
    <col min="2821" max="2821" width="13" style="14" customWidth="1"/>
    <col min="2822" max="2822" width="12.5234375" style="14" customWidth="1"/>
    <col min="2823" max="2823" width="13" style="14" customWidth="1"/>
    <col min="2824" max="3075" width="11.5234375" style="14"/>
    <col min="3076" max="3076" width="13.3671875" style="14" customWidth="1"/>
    <col min="3077" max="3077" width="13" style="14" customWidth="1"/>
    <col min="3078" max="3078" width="12.5234375" style="14" customWidth="1"/>
    <col min="3079" max="3079" width="13" style="14" customWidth="1"/>
    <col min="3080" max="3331" width="11.5234375" style="14"/>
    <col min="3332" max="3332" width="13.3671875" style="14" customWidth="1"/>
    <col min="3333" max="3333" width="13" style="14" customWidth="1"/>
    <col min="3334" max="3334" width="12.5234375" style="14" customWidth="1"/>
    <col min="3335" max="3335" width="13" style="14" customWidth="1"/>
    <col min="3336" max="3587" width="11.5234375" style="14"/>
    <col min="3588" max="3588" width="13.3671875" style="14" customWidth="1"/>
    <col min="3589" max="3589" width="13" style="14" customWidth="1"/>
    <col min="3590" max="3590" width="12.5234375" style="14" customWidth="1"/>
    <col min="3591" max="3591" width="13" style="14" customWidth="1"/>
    <col min="3592" max="3843" width="11.5234375" style="14"/>
    <col min="3844" max="3844" width="13.3671875" style="14" customWidth="1"/>
    <col min="3845" max="3845" width="13" style="14" customWidth="1"/>
    <col min="3846" max="3846" width="12.5234375" style="14" customWidth="1"/>
    <col min="3847" max="3847" width="13" style="14" customWidth="1"/>
    <col min="3848" max="4099" width="11.5234375" style="14"/>
    <col min="4100" max="4100" width="13.3671875" style="14" customWidth="1"/>
    <col min="4101" max="4101" width="13" style="14" customWidth="1"/>
    <col min="4102" max="4102" width="12.5234375" style="14" customWidth="1"/>
    <col min="4103" max="4103" width="13" style="14" customWidth="1"/>
    <col min="4104" max="4355" width="11.5234375" style="14"/>
    <col min="4356" max="4356" width="13.3671875" style="14" customWidth="1"/>
    <col min="4357" max="4357" width="13" style="14" customWidth="1"/>
    <col min="4358" max="4358" width="12.5234375" style="14" customWidth="1"/>
    <col min="4359" max="4359" width="13" style="14" customWidth="1"/>
    <col min="4360" max="4611" width="11.5234375" style="14"/>
    <col min="4612" max="4612" width="13.3671875" style="14" customWidth="1"/>
    <col min="4613" max="4613" width="13" style="14" customWidth="1"/>
    <col min="4614" max="4614" width="12.5234375" style="14" customWidth="1"/>
    <col min="4615" max="4615" width="13" style="14" customWidth="1"/>
    <col min="4616" max="4867" width="11.5234375" style="14"/>
    <col min="4868" max="4868" width="13.3671875" style="14" customWidth="1"/>
    <col min="4869" max="4869" width="13" style="14" customWidth="1"/>
    <col min="4870" max="4870" width="12.5234375" style="14" customWidth="1"/>
    <col min="4871" max="4871" width="13" style="14" customWidth="1"/>
    <col min="4872" max="5123" width="11.5234375" style="14"/>
    <col min="5124" max="5124" width="13.3671875" style="14" customWidth="1"/>
    <col min="5125" max="5125" width="13" style="14" customWidth="1"/>
    <col min="5126" max="5126" width="12.5234375" style="14" customWidth="1"/>
    <col min="5127" max="5127" width="13" style="14" customWidth="1"/>
    <col min="5128" max="5379" width="11.5234375" style="14"/>
    <col min="5380" max="5380" width="13.3671875" style="14" customWidth="1"/>
    <col min="5381" max="5381" width="13" style="14" customWidth="1"/>
    <col min="5382" max="5382" width="12.5234375" style="14" customWidth="1"/>
    <col min="5383" max="5383" width="13" style="14" customWidth="1"/>
    <col min="5384" max="5635" width="11.5234375" style="14"/>
    <col min="5636" max="5636" width="13.3671875" style="14" customWidth="1"/>
    <col min="5637" max="5637" width="13" style="14" customWidth="1"/>
    <col min="5638" max="5638" width="12.5234375" style="14" customWidth="1"/>
    <col min="5639" max="5639" width="13" style="14" customWidth="1"/>
    <col min="5640" max="5891" width="11.5234375" style="14"/>
    <col min="5892" max="5892" width="13.3671875" style="14" customWidth="1"/>
    <col min="5893" max="5893" width="13" style="14" customWidth="1"/>
    <col min="5894" max="5894" width="12.5234375" style="14" customWidth="1"/>
    <col min="5895" max="5895" width="13" style="14" customWidth="1"/>
    <col min="5896" max="6147" width="11.5234375" style="14"/>
    <col min="6148" max="6148" width="13.3671875" style="14" customWidth="1"/>
    <col min="6149" max="6149" width="13" style="14" customWidth="1"/>
    <col min="6150" max="6150" width="12.5234375" style="14" customWidth="1"/>
    <col min="6151" max="6151" width="13" style="14" customWidth="1"/>
    <col min="6152" max="6403" width="11.5234375" style="14"/>
    <col min="6404" max="6404" width="13.3671875" style="14" customWidth="1"/>
    <col min="6405" max="6405" width="13" style="14" customWidth="1"/>
    <col min="6406" max="6406" width="12.5234375" style="14" customWidth="1"/>
    <col min="6407" max="6407" width="13" style="14" customWidth="1"/>
    <col min="6408" max="6659" width="11.5234375" style="14"/>
    <col min="6660" max="6660" width="13.3671875" style="14" customWidth="1"/>
    <col min="6661" max="6661" width="13" style="14" customWidth="1"/>
    <col min="6662" max="6662" width="12.5234375" style="14" customWidth="1"/>
    <col min="6663" max="6663" width="13" style="14" customWidth="1"/>
    <col min="6664" max="6915" width="11.5234375" style="14"/>
    <col min="6916" max="6916" width="13.3671875" style="14" customWidth="1"/>
    <col min="6917" max="6917" width="13" style="14" customWidth="1"/>
    <col min="6918" max="6918" width="12.5234375" style="14" customWidth="1"/>
    <col min="6919" max="6919" width="13" style="14" customWidth="1"/>
    <col min="6920" max="7171" width="11.5234375" style="14"/>
    <col min="7172" max="7172" width="13.3671875" style="14" customWidth="1"/>
    <col min="7173" max="7173" width="13" style="14" customWidth="1"/>
    <col min="7174" max="7174" width="12.5234375" style="14" customWidth="1"/>
    <col min="7175" max="7175" width="13" style="14" customWidth="1"/>
    <col min="7176" max="7427" width="11.5234375" style="14"/>
    <col min="7428" max="7428" width="13.3671875" style="14" customWidth="1"/>
    <col min="7429" max="7429" width="13" style="14" customWidth="1"/>
    <col min="7430" max="7430" width="12.5234375" style="14" customWidth="1"/>
    <col min="7431" max="7431" width="13" style="14" customWidth="1"/>
    <col min="7432" max="7683" width="11.5234375" style="14"/>
    <col min="7684" max="7684" width="13.3671875" style="14" customWidth="1"/>
    <col min="7685" max="7685" width="13" style="14" customWidth="1"/>
    <col min="7686" max="7686" width="12.5234375" style="14" customWidth="1"/>
    <col min="7687" max="7687" width="13" style="14" customWidth="1"/>
    <col min="7688" max="7939" width="11.5234375" style="14"/>
    <col min="7940" max="7940" width="13.3671875" style="14" customWidth="1"/>
    <col min="7941" max="7941" width="13" style="14" customWidth="1"/>
    <col min="7942" max="7942" width="12.5234375" style="14" customWidth="1"/>
    <col min="7943" max="7943" width="13" style="14" customWidth="1"/>
    <col min="7944" max="8195" width="11.5234375" style="14"/>
    <col min="8196" max="8196" width="13.3671875" style="14" customWidth="1"/>
    <col min="8197" max="8197" width="13" style="14" customWidth="1"/>
    <col min="8198" max="8198" width="12.5234375" style="14" customWidth="1"/>
    <col min="8199" max="8199" width="13" style="14" customWidth="1"/>
    <col min="8200" max="8451" width="11.5234375" style="14"/>
    <col min="8452" max="8452" width="13.3671875" style="14" customWidth="1"/>
    <col min="8453" max="8453" width="13" style="14" customWidth="1"/>
    <col min="8454" max="8454" width="12.5234375" style="14" customWidth="1"/>
    <col min="8455" max="8455" width="13" style="14" customWidth="1"/>
    <col min="8456" max="8707" width="11.5234375" style="14"/>
    <col min="8708" max="8708" width="13.3671875" style="14" customWidth="1"/>
    <col min="8709" max="8709" width="13" style="14" customWidth="1"/>
    <col min="8710" max="8710" width="12.5234375" style="14" customWidth="1"/>
    <col min="8711" max="8711" width="13" style="14" customWidth="1"/>
    <col min="8712" max="8963" width="11.5234375" style="14"/>
    <col min="8964" max="8964" width="13.3671875" style="14" customWidth="1"/>
    <col min="8965" max="8965" width="13" style="14" customWidth="1"/>
    <col min="8966" max="8966" width="12.5234375" style="14" customWidth="1"/>
    <col min="8967" max="8967" width="13" style="14" customWidth="1"/>
    <col min="8968" max="9219" width="11.5234375" style="14"/>
    <col min="9220" max="9220" width="13.3671875" style="14" customWidth="1"/>
    <col min="9221" max="9221" width="13" style="14" customWidth="1"/>
    <col min="9222" max="9222" width="12.5234375" style="14" customWidth="1"/>
    <col min="9223" max="9223" width="13" style="14" customWidth="1"/>
    <col min="9224" max="9475" width="11.5234375" style="14"/>
    <col min="9476" max="9476" width="13.3671875" style="14" customWidth="1"/>
    <col min="9477" max="9477" width="13" style="14" customWidth="1"/>
    <col min="9478" max="9478" width="12.5234375" style="14" customWidth="1"/>
    <col min="9479" max="9479" width="13" style="14" customWidth="1"/>
    <col min="9480" max="9731" width="11.5234375" style="14"/>
    <col min="9732" max="9732" width="13.3671875" style="14" customWidth="1"/>
    <col min="9733" max="9733" width="13" style="14" customWidth="1"/>
    <col min="9734" max="9734" width="12.5234375" style="14" customWidth="1"/>
    <col min="9735" max="9735" width="13" style="14" customWidth="1"/>
    <col min="9736" max="9987" width="11.5234375" style="14"/>
    <col min="9988" max="9988" width="13.3671875" style="14" customWidth="1"/>
    <col min="9989" max="9989" width="13" style="14" customWidth="1"/>
    <col min="9990" max="9990" width="12.5234375" style="14" customWidth="1"/>
    <col min="9991" max="9991" width="13" style="14" customWidth="1"/>
    <col min="9992" max="10243" width="11.5234375" style="14"/>
    <col min="10244" max="10244" width="13.3671875" style="14" customWidth="1"/>
    <col min="10245" max="10245" width="13" style="14" customWidth="1"/>
    <col min="10246" max="10246" width="12.5234375" style="14" customWidth="1"/>
    <col min="10247" max="10247" width="13" style="14" customWidth="1"/>
    <col min="10248" max="10499" width="11.5234375" style="14"/>
    <col min="10500" max="10500" width="13.3671875" style="14" customWidth="1"/>
    <col min="10501" max="10501" width="13" style="14" customWidth="1"/>
    <col min="10502" max="10502" width="12.5234375" style="14" customWidth="1"/>
    <col min="10503" max="10503" width="13" style="14" customWidth="1"/>
    <col min="10504" max="10755" width="11.5234375" style="14"/>
    <col min="10756" max="10756" width="13.3671875" style="14" customWidth="1"/>
    <col min="10757" max="10757" width="13" style="14" customWidth="1"/>
    <col min="10758" max="10758" width="12.5234375" style="14" customWidth="1"/>
    <col min="10759" max="10759" width="13" style="14" customWidth="1"/>
    <col min="10760" max="11011" width="11.5234375" style="14"/>
    <col min="11012" max="11012" width="13.3671875" style="14" customWidth="1"/>
    <col min="11013" max="11013" width="13" style="14" customWidth="1"/>
    <col min="11014" max="11014" width="12.5234375" style="14" customWidth="1"/>
    <col min="11015" max="11015" width="13" style="14" customWidth="1"/>
    <col min="11016" max="11267" width="11.5234375" style="14"/>
    <col min="11268" max="11268" width="13.3671875" style="14" customWidth="1"/>
    <col min="11269" max="11269" width="13" style="14" customWidth="1"/>
    <col min="11270" max="11270" width="12.5234375" style="14" customWidth="1"/>
    <col min="11271" max="11271" width="13" style="14" customWidth="1"/>
    <col min="11272" max="11523" width="11.5234375" style="14"/>
    <col min="11524" max="11524" width="13.3671875" style="14" customWidth="1"/>
    <col min="11525" max="11525" width="13" style="14" customWidth="1"/>
    <col min="11526" max="11526" width="12.5234375" style="14" customWidth="1"/>
    <col min="11527" max="11527" width="13" style="14" customWidth="1"/>
    <col min="11528" max="11779" width="11.5234375" style="14"/>
    <col min="11780" max="11780" width="13.3671875" style="14" customWidth="1"/>
    <col min="11781" max="11781" width="13" style="14" customWidth="1"/>
    <col min="11782" max="11782" width="12.5234375" style="14" customWidth="1"/>
    <col min="11783" max="11783" width="13" style="14" customWidth="1"/>
    <col min="11784" max="12035" width="11.5234375" style="14"/>
    <col min="12036" max="12036" width="13.3671875" style="14" customWidth="1"/>
    <col min="12037" max="12037" width="13" style="14" customWidth="1"/>
    <col min="12038" max="12038" width="12.5234375" style="14" customWidth="1"/>
    <col min="12039" max="12039" width="13" style="14" customWidth="1"/>
    <col min="12040" max="12291" width="11.5234375" style="14"/>
    <col min="12292" max="12292" width="13.3671875" style="14" customWidth="1"/>
    <col min="12293" max="12293" width="13" style="14" customWidth="1"/>
    <col min="12294" max="12294" width="12.5234375" style="14" customWidth="1"/>
    <col min="12295" max="12295" width="13" style="14" customWidth="1"/>
    <col min="12296" max="12547" width="11.5234375" style="14"/>
    <col min="12548" max="12548" width="13.3671875" style="14" customWidth="1"/>
    <col min="12549" max="12549" width="13" style="14" customWidth="1"/>
    <col min="12550" max="12550" width="12.5234375" style="14" customWidth="1"/>
    <col min="12551" max="12551" width="13" style="14" customWidth="1"/>
    <col min="12552" max="12803" width="11.5234375" style="14"/>
    <col min="12804" max="12804" width="13.3671875" style="14" customWidth="1"/>
    <col min="12805" max="12805" width="13" style="14" customWidth="1"/>
    <col min="12806" max="12806" width="12.5234375" style="14" customWidth="1"/>
    <col min="12807" max="12807" width="13" style="14" customWidth="1"/>
    <col min="12808" max="13059" width="11.5234375" style="14"/>
    <col min="13060" max="13060" width="13.3671875" style="14" customWidth="1"/>
    <col min="13061" max="13061" width="13" style="14" customWidth="1"/>
    <col min="13062" max="13062" width="12.5234375" style="14" customWidth="1"/>
    <col min="13063" max="13063" width="13" style="14" customWidth="1"/>
    <col min="13064" max="13315" width="11.5234375" style="14"/>
    <col min="13316" max="13316" width="13.3671875" style="14" customWidth="1"/>
    <col min="13317" max="13317" width="13" style="14" customWidth="1"/>
    <col min="13318" max="13318" width="12.5234375" style="14" customWidth="1"/>
    <col min="13319" max="13319" width="13" style="14" customWidth="1"/>
    <col min="13320" max="13571" width="11.5234375" style="14"/>
    <col min="13572" max="13572" width="13.3671875" style="14" customWidth="1"/>
    <col min="13573" max="13573" width="13" style="14" customWidth="1"/>
    <col min="13574" max="13574" width="12.5234375" style="14" customWidth="1"/>
    <col min="13575" max="13575" width="13" style="14" customWidth="1"/>
    <col min="13576" max="13827" width="11.5234375" style="14"/>
    <col min="13828" max="13828" width="13.3671875" style="14" customWidth="1"/>
    <col min="13829" max="13829" width="13" style="14" customWidth="1"/>
    <col min="13830" max="13830" width="12.5234375" style="14" customWidth="1"/>
    <col min="13831" max="13831" width="13" style="14" customWidth="1"/>
    <col min="13832" max="14083" width="11.5234375" style="14"/>
    <col min="14084" max="14084" width="13.3671875" style="14" customWidth="1"/>
    <col min="14085" max="14085" width="13" style="14" customWidth="1"/>
    <col min="14086" max="14086" width="12.5234375" style="14" customWidth="1"/>
    <col min="14087" max="14087" width="13" style="14" customWidth="1"/>
    <col min="14088" max="14339" width="11.5234375" style="14"/>
    <col min="14340" max="14340" width="13.3671875" style="14" customWidth="1"/>
    <col min="14341" max="14341" width="13" style="14" customWidth="1"/>
    <col min="14342" max="14342" width="12.5234375" style="14" customWidth="1"/>
    <col min="14343" max="14343" width="13" style="14" customWidth="1"/>
    <col min="14344" max="14595" width="11.5234375" style="14"/>
    <col min="14596" max="14596" width="13.3671875" style="14" customWidth="1"/>
    <col min="14597" max="14597" width="13" style="14" customWidth="1"/>
    <col min="14598" max="14598" width="12.5234375" style="14" customWidth="1"/>
    <col min="14599" max="14599" width="13" style="14" customWidth="1"/>
    <col min="14600" max="14851" width="11.5234375" style="14"/>
    <col min="14852" max="14852" width="13.3671875" style="14" customWidth="1"/>
    <col min="14853" max="14853" width="13" style="14" customWidth="1"/>
    <col min="14854" max="14854" width="12.5234375" style="14" customWidth="1"/>
    <col min="14855" max="14855" width="13" style="14" customWidth="1"/>
    <col min="14856" max="15107" width="11.5234375" style="14"/>
    <col min="15108" max="15108" width="13.3671875" style="14" customWidth="1"/>
    <col min="15109" max="15109" width="13" style="14" customWidth="1"/>
    <col min="15110" max="15110" width="12.5234375" style="14" customWidth="1"/>
    <col min="15111" max="15111" width="13" style="14" customWidth="1"/>
    <col min="15112" max="15363" width="11.5234375" style="14"/>
    <col min="15364" max="15364" width="13.3671875" style="14" customWidth="1"/>
    <col min="15365" max="15365" width="13" style="14" customWidth="1"/>
    <col min="15366" max="15366" width="12.5234375" style="14" customWidth="1"/>
    <col min="15367" max="15367" width="13" style="14" customWidth="1"/>
    <col min="15368" max="15619" width="11.5234375" style="14"/>
    <col min="15620" max="15620" width="13.3671875" style="14" customWidth="1"/>
    <col min="15621" max="15621" width="13" style="14" customWidth="1"/>
    <col min="15622" max="15622" width="12.5234375" style="14" customWidth="1"/>
    <col min="15623" max="15623" width="13" style="14" customWidth="1"/>
    <col min="15624" max="15875" width="11.5234375" style="14"/>
    <col min="15876" max="15876" width="13.3671875" style="14" customWidth="1"/>
    <col min="15877" max="15877" width="13" style="14" customWidth="1"/>
    <col min="15878" max="15878" width="12.5234375" style="14" customWidth="1"/>
    <col min="15879" max="15879" width="13" style="14" customWidth="1"/>
    <col min="15880" max="16131" width="11.5234375" style="14"/>
    <col min="16132" max="16132" width="13.3671875" style="14" customWidth="1"/>
    <col min="16133" max="16133" width="13" style="14" customWidth="1"/>
    <col min="16134" max="16134" width="12.5234375" style="14" customWidth="1"/>
    <col min="16135" max="16135" width="13" style="14" customWidth="1"/>
    <col min="16136" max="16384" width="11.5234375" style="14"/>
  </cols>
  <sheetData>
    <row r="1" spans="1:13" s="11" customFormat="1" ht="43.2" x14ac:dyDescent="0.55000000000000004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  <c r="M1" s="11" t="s">
        <v>51</v>
      </c>
    </row>
    <row r="2" spans="1:13" s="9" customFormat="1" ht="12.3" x14ac:dyDescent="0.4">
      <c r="A2" s="9" t="s">
        <v>39</v>
      </c>
      <c r="B2" s="9">
        <v>1</v>
      </c>
      <c r="C2" s="10">
        <v>8</v>
      </c>
      <c r="D2" s="9">
        <v>2023</v>
      </c>
      <c r="E2" s="43">
        <f>'Submetering '!E2+'Submetering '!F2+'Submetering '!G2</f>
        <v>10605</v>
      </c>
      <c r="F2" s="10">
        <v>0.27739999999999998</v>
      </c>
      <c r="G2" s="13">
        <f>-'Submetering '!J2+'Submetering '!K2</f>
        <v>624</v>
      </c>
      <c r="H2" s="10">
        <v>0.21909999999999999</v>
      </c>
      <c r="I2" s="13">
        <f>'Submetering '!L2*10</f>
        <v>100</v>
      </c>
      <c r="J2" s="10">
        <v>2.74</v>
      </c>
      <c r="K2" s="9">
        <v>123</v>
      </c>
      <c r="L2" s="9">
        <v>123</v>
      </c>
      <c r="M2" s="9">
        <v>11</v>
      </c>
    </row>
    <row r="3" spans="1:13" s="12" customFormat="1" x14ac:dyDescent="0.55000000000000004">
      <c r="A3" s="9" t="s">
        <v>39</v>
      </c>
      <c r="B3" s="12">
        <f>B2+1</f>
        <v>2</v>
      </c>
      <c r="C3" s="10">
        <v>8</v>
      </c>
      <c r="D3" s="9">
        <v>2023</v>
      </c>
      <c r="E3" s="43">
        <f>'Submetering '!E3+'Submetering '!F3+'Submetering '!G3</f>
        <v>857</v>
      </c>
      <c r="F3" s="10">
        <v>0.27739999999999998</v>
      </c>
      <c r="G3" s="13">
        <f>-'Submetering '!J3+'Submetering '!K3</f>
        <v>638</v>
      </c>
      <c r="H3" s="10">
        <v>0.21909999999999999</v>
      </c>
      <c r="I3" s="13">
        <f>'Submetering '!L3*10</f>
        <v>70</v>
      </c>
      <c r="J3" s="10">
        <v>2.74</v>
      </c>
      <c r="K3" s="9">
        <v>133</v>
      </c>
      <c r="L3" s="9">
        <v>133</v>
      </c>
      <c r="M3" s="12">
        <v>11.4</v>
      </c>
    </row>
    <row r="4" spans="1:13" s="12" customFormat="1" x14ac:dyDescent="0.55000000000000004">
      <c r="A4" s="9" t="s">
        <v>39</v>
      </c>
      <c r="B4" s="12">
        <f t="shared" ref="B4:B32" si="0">B3+1</f>
        <v>3</v>
      </c>
      <c r="C4" s="10">
        <v>8</v>
      </c>
      <c r="D4" s="9">
        <v>2023</v>
      </c>
      <c r="E4" s="43">
        <f>'Submetering '!E4+'Submetering '!F4+'Submetering '!G4</f>
        <v>632</v>
      </c>
      <c r="F4" s="10">
        <v>0.27739999999999998</v>
      </c>
      <c r="G4" s="13">
        <f>-'Submetering '!J4+'Submetering '!K4</f>
        <v>580</v>
      </c>
      <c r="H4" s="10">
        <v>0.21909999999999999</v>
      </c>
      <c r="I4" s="13">
        <f>'Submetering '!L4*10</f>
        <v>90</v>
      </c>
      <c r="J4" s="10">
        <v>2.74</v>
      </c>
      <c r="K4" s="9">
        <v>125</v>
      </c>
      <c r="L4" s="9">
        <v>125</v>
      </c>
      <c r="M4" s="12">
        <v>8.6</v>
      </c>
    </row>
    <row r="5" spans="1:13" s="12" customFormat="1" x14ac:dyDescent="0.55000000000000004">
      <c r="A5" s="9" t="s">
        <v>39</v>
      </c>
      <c r="B5" s="12">
        <f t="shared" si="0"/>
        <v>4</v>
      </c>
      <c r="C5" s="10">
        <v>8</v>
      </c>
      <c r="D5" s="9">
        <v>2023</v>
      </c>
      <c r="E5" s="43">
        <f>'Submetering '!E5+'Submetering '!F5+'Submetering '!G5</f>
        <v>852</v>
      </c>
      <c r="F5" s="10">
        <v>0.27739999999999998</v>
      </c>
      <c r="G5" s="13">
        <f>-'Submetering '!J5+'Submetering '!K5</f>
        <v>629</v>
      </c>
      <c r="H5" s="10">
        <v>0.21909999999999999</v>
      </c>
      <c r="I5" s="13">
        <f>'Submetering '!L5*10</f>
        <v>80</v>
      </c>
      <c r="J5" s="10">
        <v>2.74</v>
      </c>
      <c r="K5" s="9">
        <v>110</v>
      </c>
      <c r="L5" s="9">
        <v>110</v>
      </c>
      <c r="M5" s="12">
        <v>10.6</v>
      </c>
    </row>
    <row r="6" spans="1:13" s="12" customFormat="1" x14ac:dyDescent="0.55000000000000004">
      <c r="A6" s="9" t="s">
        <v>39</v>
      </c>
      <c r="B6" s="12">
        <f t="shared" si="0"/>
        <v>5</v>
      </c>
      <c r="C6" s="10">
        <v>8</v>
      </c>
      <c r="D6" s="9">
        <v>2023</v>
      </c>
      <c r="E6" s="43">
        <f>'Submetering '!E6+'Submetering '!F6+'Submetering '!G6</f>
        <v>792</v>
      </c>
      <c r="F6" s="10">
        <v>0.27739999999999998</v>
      </c>
      <c r="G6" s="13">
        <f>-'Submetering '!J6+'Submetering '!K6</f>
        <v>661</v>
      </c>
      <c r="H6" s="10">
        <v>0.21909999999999999</v>
      </c>
      <c r="I6" s="13">
        <f>'Submetering '!L6*10</f>
        <v>90</v>
      </c>
      <c r="J6" s="10">
        <v>2.74</v>
      </c>
      <c r="K6" s="9">
        <v>110</v>
      </c>
      <c r="L6" s="9">
        <v>110</v>
      </c>
      <c r="M6" s="12">
        <v>11.6</v>
      </c>
    </row>
    <row r="7" spans="1:13" s="12" customFormat="1" x14ac:dyDescent="0.55000000000000004">
      <c r="A7" s="9" t="s">
        <v>39</v>
      </c>
      <c r="B7" s="12">
        <f t="shared" si="0"/>
        <v>6</v>
      </c>
      <c r="C7" s="10">
        <v>8</v>
      </c>
      <c r="D7" s="9">
        <v>2023</v>
      </c>
      <c r="E7" s="43">
        <f>'Submetering '!E7+'Submetering '!F7+'Submetering '!G7</f>
        <v>728</v>
      </c>
      <c r="F7" s="10">
        <v>0.27739999999999998</v>
      </c>
      <c r="G7" s="13">
        <f>-'Submetering '!J7+'Submetering '!K7</f>
        <v>649</v>
      </c>
      <c r="H7" s="10">
        <v>0.21909999999999999</v>
      </c>
      <c r="I7" s="13">
        <f>'Submetering '!L7*10</f>
        <v>70</v>
      </c>
      <c r="J7" s="10">
        <v>2.74</v>
      </c>
      <c r="K7" s="9">
        <v>85</v>
      </c>
      <c r="L7" s="9">
        <v>85</v>
      </c>
      <c r="M7" s="12">
        <v>11.1</v>
      </c>
    </row>
    <row r="8" spans="1:13" s="12" customFormat="1" x14ac:dyDescent="0.55000000000000004">
      <c r="A8" s="9" t="s">
        <v>39</v>
      </c>
      <c r="B8" s="12">
        <f t="shared" si="0"/>
        <v>7</v>
      </c>
      <c r="C8" s="10">
        <v>8</v>
      </c>
      <c r="D8" s="9">
        <v>2023</v>
      </c>
      <c r="E8" s="43">
        <f>'Submetering '!E8+'Submetering '!F8+'Submetering '!G8</f>
        <v>753</v>
      </c>
      <c r="F8" s="10">
        <v>0.27739999999999998</v>
      </c>
      <c r="G8" s="13">
        <f>-'Submetering '!J8+'Submetering '!K8</f>
        <v>555</v>
      </c>
      <c r="H8" s="10">
        <v>0.21909999999999999</v>
      </c>
      <c r="I8" s="13">
        <f>'Submetering '!L8*10</f>
        <v>90</v>
      </c>
      <c r="J8" s="10">
        <v>2.74</v>
      </c>
      <c r="K8" s="9">
        <v>88</v>
      </c>
      <c r="L8" s="9">
        <v>88</v>
      </c>
      <c r="M8" s="12">
        <v>11.4</v>
      </c>
    </row>
    <row r="9" spans="1:13" s="12" customFormat="1" x14ac:dyDescent="0.55000000000000004">
      <c r="A9" s="9" t="s">
        <v>39</v>
      </c>
      <c r="B9" s="12">
        <f t="shared" si="0"/>
        <v>8</v>
      </c>
      <c r="C9" s="10">
        <v>8</v>
      </c>
      <c r="D9" s="9">
        <v>2023</v>
      </c>
      <c r="E9" s="43">
        <f>'Submetering '!E9+'Submetering '!F9+'Submetering '!G9</f>
        <v>708</v>
      </c>
      <c r="F9" s="10">
        <v>0.27739999999999998</v>
      </c>
      <c r="G9" s="13">
        <f>-'Submetering '!J9+'Submetering '!K9</f>
        <v>712</v>
      </c>
      <c r="H9" s="10">
        <v>0.21909999999999999</v>
      </c>
      <c r="I9" s="13">
        <f>'Submetering '!L9*10</f>
        <v>70</v>
      </c>
      <c r="J9" s="10">
        <v>2.74</v>
      </c>
      <c r="K9" s="9">
        <v>92</v>
      </c>
      <c r="L9" s="9">
        <v>92</v>
      </c>
      <c r="M9" s="12">
        <v>10.6</v>
      </c>
    </row>
    <row r="10" spans="1:13" s="12" customFormat="1" x14ac:dyDescent="0.55000000000000004">
      <c r="A10" s="9" t="s">
        <v>39</v>
      </c>
      <c r="B10" s="12">
        <f t="shared" si="0"/>
        <v>9</v>
      </c>
      <c r="C10" s="10">
        <v>8</v>
      </c>
      <c r="D10" s="9">
        <v>2023</v>
      </c>
      <c r="E10" s="43">
        <f>'Submetering '!E10+'Submetering '!F10+'Submetering '!G10</f>
        <v>824</v>
      </c>
      <c r="F10" s="10">
        <v>0.27739999999999998</v>
      </c>
      <c r="G10" s="13">
        <f>-'Submetering '!J10+'Submetering '!K10</f>
        <v>624</v>
      </c>
      <c r="H10" s="10">
        <v>0.21909999999999999</v>
      </c>
      <c r="I10" s="13">
        <f>'Submetering '!L10*10</f>
        <v>80</v>
      </c>
      <c r="J10" s="10">
        <v>2.74</v>
      </c>
      <c r="K10" s="9">
        <v>112</v>
      </c>
      <c r="L10" s="9">
        <v>112</v>
      </c>
      <c r="M10" s="12">
        <v>11.5</v>
      </c>
    </row>
    <row r="11" spans="1:13" s="12" customFormat="1" x14ac:dyDescent="0.55000000000000004">
      <c r="A11" s="9" t="s">
        <v>39</v>
      </c>
      <c r="B11" s="12">
        <f t="shared" si="0"/>
        <v>10</v>
      </c>
      <c r="C11" s="10">
        <v>8</v>
      </c>
      <c r="D11" s="9">
        <v>2023</v>
      </c>
      <c r="E11" s="43">
        <f>'Submetering '!E11+'Submetering '!F11+'Submetering '!G11</f>
        <v>741</v>
      </c>
      <c r="F11" s="10">
        <v>0.27739999999999998</v>
      </c>
      <c r="G11" s="13">
        <f>-'Submetering '!J11+'Submetering '!K11</f>
        <v>523</v>
      </c>
      <c r="H11" s="10">
        <v>0.21909999999999999</v>
      </c>
      <c r="I11" s="13">
        <f>'Submetering '!L11*10</f>
        <v>80</v>
      </c>
      <c r="J11" s="10">
        <v>2.74</v>
      </c>
      <c r="K11" s="9">
        <v>91</v>
      </c>
      <c r="L11" s="9">
        <v>91</v>
      </c>
      <c r="M11" s="12">
        <v>11.3</v>
      </c>
    </row>
    <row r="12" spans="1:13" s="12" customFormat="1" x14ac:dyDescent="0.55000000000000004">
      <c r="A12" s="9" t="s">
        <v>39</v>
      </c>
      <c r="B12" s="12">
        <f t="shared" si="0"/>
        <v>11</v>
      </c>
      <c r="C12" s="10">
        <v>8</v>
      </c>
      <c r="D12" s="9">
        <v>2023</v>
      </c>
      <c r="E12" s="43">
        <f>'Submetering '!E12+'Submetering '!F12+'Submetering '!G12</f>
        <v>782</v>
      </c>
      <c r="F12" s="10">
        <v>0.27739999999999998</v>
      </c>
      <c r="G12" s="13">
        <f>-'Submetering '!J12+'Submetering '!K12</f>
        <v>657</v>
      </c>
      <c r="H12" s="10">
        <v>0.21909999999999999</v>
      </c>
      <c r="I12" s="13">
        <f>'Submetering '!L12*10</f>
        <v>70</v>
      </c>
      <c r="J12" s="10">
        <v>2.74</v>
      </c>
      <c r="K12" s="9">
        <v>99</v>
      </c>
      <c r="L12" s="9">
        <v>99</v>
      </c>
      <c r="M12" s="12">
        <v>11.2</v>
      </c>
    </row>
    <row r="13" spans="1:13" s="12" customFormat="1" x14ac:dyDescent="0.55000000000000004">
      <c r="A13" s="9" t="s">
        <v>39</v>
      </c>
      <c r="B13" s="12">
        <f t="shared" si="0"/>
        <v>12</v>
      </c>
      <c r="C13" s="10">
        <v>8</v>
      </c>
      <c r="D13" s="9">
        <v>2023</v>
      </c>
      <c r="E13" s="43">
        <f>'Submetering '!E13+'Submetering '!F13+'Submetering '!G13</f>
        <v>772</v>
      </c>
      <c r="F13" s="10">
        <v>0.27739999999999998</v>
      </c>
      <c r="G13" s="13">
        <f>-'Submetering '!J13+'Submetering '!K13</f>
        <v>615</v>
      </c>
      <c r="H13" s="10">
        <v>0.21909999999999999</v>
      </c>
      <c r="I13" s="13">
        <f>'Submetering '!L13*10</f>
        <v>100</v>
      </c>
      <c r="J13" s="10">
        <v>2.74</v>
      </c>
      <c r="K13" s="9">
        <v>99</v>
      </c>
      <c r="L13" s="9">
        <v>99</v>
      </c>
      <c r="M13" s="12">
        <v>11.4</v>
      </c>
    </row>
    <row r="14" spans="1:13" s="12" customFormat="1" x14ac:dyDescent="0.55000000000000004">
      <c r="A14" s="9" t="s">
        <v>39</v>
      </c>
      <c r="B14" s="12">
        <f t="shared" si="0"/>
        <v>13</v>
      </c>
      <c r="C14" s="10">
        <v>8</v>
      </c>
      <c r="D14" s="9">
        <v>2023</v>
      </c>
      <c r="E14" s="43">
        <f>'Submetering '!E14+'Submetering '!F14+'Submetering '!G14</f>
        <v>705</v>
      </c>
      <c r="F14" s="10">
        <v>0.27739999999999998</v>
      </c>
      <c r="G14" s="13">
        <f>-'Submetering '!J14+'Submetering '!K14</f>
        <v>595</v>
      </c>
      <c r="H14" s="10">
        <v>0.21909999999999999</v>
      </c>
      <c r="I14" s="13">
        <f>'Submetering '!L14*10</f>
        <v>90</v>
      </c>
      <c r="J14" s="10">
        <v>2.74</v>
      </c>
      <c r="K14" s="9">
        <v>114</v>
      </c>
      <c r="L14" s="9">
        <v>114</v>
      </c>
      <c r="M14" s="12">
        <v>11</v>
      </c>
    </row>
    <row r="15" spans="1:13" s="12" customFormat="1" x14ac:dyDescent="0.55000000000000004">
      <c r="A15" s="9" t="s">
        <v>39</v>
      </c>
      <c r="B15" s="12">
        <f t="shared" si="0"/>
        <v>14</v>
      </c>
      <c r="C15" s="10">
        <v>8</v>
      </c>
      <c r="D15" s="9">
        <v>2023</v>
      </c>
      <c r="E15" s="43">
        <f>'Submetering '!E15+'Submetering '!F15+'Submetering '!G15</f>
        <v>748</v>
      </c>
      <c r="F15" s="10">
        <v>0.27739999999999998</v>
      </c>
      <c r="G15" s="13">
        <f>-'Submetering '!J15+'Submetering '!K15</f>
        <v>486</v>
      </c>
      <c r="H15" s="10">
        <v>0.21909999999999999</v>
      </c>
      <c r="I15" s="13">
        <f>'Submetering '!L15*10</f>
        <v>80</v>
      </c>
      <c r="J15" s="10">
        <v>2.74</v>
      </c>
      <c r="K15" s="9">
        <v>133</v>
      </c>
      <c r="L15" s="9">
        <v>133</v>
      </c>
      <c r="M15" s="12">
        <v>9.4</v>
      </c>
    </row>
    <row r="16" spans="1:13" s="12" customFormat="1" x14ac:dyDescent="0.55000000000000004">
      <c r="A16" s="9" t="s">
        <v>39</v>
      </c>
      <c r="B16" s="12">
        <f t="shared" si="0"/>
        <v>15</v>
      </c>
      <c r="C16" s="10">
        <v>8</v>
      </c>
      <c r="D16" s="9">
        <v>2023</v>
      </c>
      <c r="E16" s="43">
        <f>'Submetering '!E16+'Submetering '!F16+'Submetering '!G16</f>
        <v>740</v>
      </c>
      <c r="F16" s="10">
        <v>0.27739999999999998</v>
      </c>
      <c r="G16" s="13">
        <f>-'Submetering '!J16+'Submetering '!K16</f>
        <v>565</v>
      </c>
      <c r="H16" s="10">
        <v>0.21909999999999999</v>
      </c>
      <c r="I16" s="13">
        <f>'Submetering '!L16*10</f>
        <v>80</v>
      </c>
      <c r="J16" s="10">
        <v>2.74</v>
      </c>
      <c r="K16" s="9">
        <v>132</v>
      </c>
      <c r="L16" s="9">
        <v>132</v>
      </c>
      <c r="M16" s="12">
        <v>9.9</v>
      </c>
    </row>
    <row r="17" spans="1:13" s="12" customFormat="1" x14ac:dyDescent="0.55000000000000004">
      <c r="A17" s="9" t="s">
        <v>39</v>
      </c>
      <c r="B17" s="12">
        <f t="shared" si="0"/>
        <v>16</v>
      </c>
      <c r="C17" s="10">
        <v>8</v>
      </c>
      <c r="D17" s="9">
        <v>2023</v>
      </c>
      <c r="E17" s="43">
        <f>'Submetering '!E17+'Submetering '!F17+'Submetering '!G17</f>
        <v>805</v>
      </c>
      <c r="F17" s="10">
        <v>0.27739999999999998</v>
      </c>
      <c r="G17" s="13">
        <f>-'Submetering '!J17+'Submetering '!K17</f>
        <v>641</v>
      </c>
      <c r="H17" s="10">
        <v>0.21909999999999999</v>
      </c>
      <c r="I17" s="13">
        <f>'Submetering '!L17*10</f>
        <v>90</v>
      </c>
      <c r="J17" s="10">
        <v>2.74</v>
      </c>
      <c r="K17" s="9">
        <v>148</v>
      </c>
      <c r="L17" s="9">
        <v>148</v>
      </c>
      <c r="M17" s="12">
        <v>10.6</v>
      </c>
    </row>
    <row r="18" spans="1:13" s="12" customFormat="1" x14ac:dyDescent="0.55000000000000004">
      <c r="A18" s="9" t="s">
        <v>39</v>
      </c>
      <c r="B18" s="12">
        <f t="shared" si="0"/>
        <v>17</v>
      </c>
      <c r="C18" s="10">
        <v>8</v>
      </c>
      <c r="D18" s="9">
        <v>2023</v>
      </c>
      <c r="E18" s="43">
        <f>'Submetering '!E18+'Submetering '!F18+'Submetering '!G18</f>
        <v>771</v>
      </c>
      <c r="F18" s="10">
        <v>0.27739999999999998</v>
      </c>
      <c r="G18" s="13">
        <f>-'Submetering '!J18+'Submetering '!K18</f>
        <v>611</v>
      </c>
      <c r="H18" s="10">
        <v>0.21909999999999999</v>
      </c>
      <c r="I18" s="13">
        <f>'Submetering '!L18*10</f>
        <v>90</v>
      </c>
      <c r="J18" s="10">
        <v>2.74</v>
      </c>
      <c r="K18" s="9">
        <v>166</v>
      </c>
      <c r="L18" s="9">
        <v>166</v>
      </c>
      <c r="M18" s="12">
        <v>10.9</v>
      </c>
    </row>
    <row r="19" spans="1:13" s="12" customFormat="1" x14ac:dyDescent="0.55000000000000004">
      <c r="A19" s="9" t="s">
        <v>39</v>
      </c>
      <c r="B19" s="12">
        <f t="shared" si="0"/>
        <v>18</v>
      </c>
      <c r="C19" s="10">
        <v>8</v>
      </c>
      <c r="D19" s="9">
        <v>2023</v>
      </c>
      <c r="E19" s="43">
        <f>'Submetering '!E19+'Submetering '!F19+'Submetering '!G19</f>
        <v>809</v>
      </c>
      <c r="F19" s="10">
        <v>0.27739999999999998</v>
      </c>
      <c r="G19" s="13">
        <f>-'Submetering '!J19+'Submetering '!K19</f>
        <v>655</v>
      </c>
      <c r="H19" s="10">
        <v>0.21909999999999999</v>
      </c>
      <c r="I19" s="13">
        <f>'Submetering '!L19*10</f>
        <v>90</v>
      </c>
      <c r="J19" s="10">
        <v>2.74</v>
      </c>
      <c r="K19" s="9">
        <v>169</v>
      </c>
      <c r="L19" s="9">
        <v>169</v>
      </c>
      <c r="M19" s="12">
        <v>9.3000000000000007</v>
      </c>
    </row>
    <row r="20" spans="1:13" s="12" customFormat="1" x14ac:dyDescent="0.55000000000000004">
      <c r="A20" s="9" t="s">
        <v>39</v>
      </c>
      <c r="B20" s="12">
        <f t="shared" si="0"/>
        <v>19</v>
      </c>
      <c r="C20" s="10">
        <v>8</v>
      </c>
      <c r="D20" s="9">
        <v>2023</v>
      </c>
      <c r="E20" s="43">
        <f>'Submetering '!E20+'Submetering '!F20+'Submetering '!G20</f>
        <v>711</v>
      </c>
      <c r="F20" s="10">
        <v>0.27739999999999998</v>
      </c>
      <c r="G20" s="13">
        <f>-'Submetering '!J20+'Submetering '!K20</f>
        <v>798</v>
      </c>
      <c r="H20" s="10">
        <v>0.21909999999999999</v>
      </c>
      <c r="I20" s="13">
        <f>'Submetering '!L20*10</f>
        <v>90</v>
      </c>
      <c r="J20" s="10">
        <v>2.74</v>
      </c>
      <c r="K20" s="9">
        <v>157</v>
      </c>
      <c r="L20" s="9">
        <v>157</v>
      </c>
      <c r="M20" s="12">
        <v>9.4</v>
      </c>
    </row>
    <row r="21" spans="1:13" s="12" customFormat="1" x14ac:dyDescent="0.55000000000000004">
      <c r="A21" s="9" t="s">
        <v>39</v>
      </c>
      <c r="B21" s="12">
        <f t="shared" si="0"/>
        <v>20</v>
      </c>
      <c r="C21" s="10">
        <v>8</v>
      </c>
      <c r="D21" s="9">
        <v>2023</v>
      </c>
      <c r="E21" s="43">
        <f>'Submetering '!E21+'Submetering '!F21+'Submetering '!G21</f>
        <v>770</v>
      </c>
      <c r="F21" s="10">
        <v>0.27739999999999998</v>
      </c>
      <c r="G21" s="13">
        <f>-'Submetering '!J21+'Submetering '!K21</f>
        <v>678</v>
      </c>
      <c r="H21" s="10">
        <v>0.21909999999999999</v>
      </c>
      <c r="I21" s="13">
        <f>'Submetering '!L21*10</f>
        <v>110</v>
      </c>
      <c r="J21" s="10">
        <v>2.74</v>
      </c>
      <c r="K21" s="9">
        <v>124</v>
      </c>
      <c r="L21" s="9">
        <v>124</v>
      </c>
      <c r="M21" s="12">
        <v>10.5</v>
      </c>
    </row>
    <row r="22" spans="1:13" s="12" customFormat="1" x14ac:dyDescent="0.55000000000000004">
      <c r="A22" s="9" t="s">
        <v>39</v>
      </c>
      <c r="B22" s="12">
        <f t="shared" si="0"/>
        <v>21</v>
      </c>
      <c r="C22" s="10">
        <v>8</v>
      </c>
      <c r="D22" s="9">
        <v>2023</v>
      </c>
      <c r="E22" s="43">
        <f>'Submetering '!E22+'Submetering '!F22+'Submetering '!G22</f>
        <v>709</v>
      </c>
      <c r="F22" s="10">
        <v>0.27739999999999998</v>
      </c>
      <c r="G22" s="13">
        <f>-'Submetering '!J22+'Submetering '!K22</f>
        <v>586</v>
      </c>
      <c r="H22" s="10">
        <v>0.21909999999999999</v>
      </c>
      <c r="I22" s="13">
        <f>'Submetering '!L22*10</f>
        <v>70</v>
      </c>
      <c r="J22" s="10">
        <v>2.74</v>
      </c>
      <c r="K22" s="9">
        <v>129</v>
      </c>
      <c r="L22" s="9">
        <v>129</v>
      </c>
      <c r="M22" s="12">
        <v>8.9</v>
      </c>
    </row>
    <row r="23" spans="1:13" s="12" customFormat="1" x14ac:dyDescent="0.55000000000000004">
      <c r="A23" s="9" t="s">
        <v>39</v>
      </c>
      <c r="B23" s="12">
        <f t="shared" si="0"/>
        <v>22</v>
      </c>
      <c r="C23" s="10">
        <v>8</v>
      </c>
      <c r="D23" s="9">
        <v>2023</v>
      </c>
      <c r="E23" s="43">
        <f>'Submetering '!E23+'Submetering '!F23+'Submetering '!G23</f>
        <v>793</v>
      </c>
      <c r="F23" s="10">
        <v>0.27739999999999998</v>
      </c>
      <c r="G23" s="13">
        <f>-'Submetering '!J23+'Submetering '!K23</f>
        <v>707</v>
      </c>
      <c r="H23" s="10">
        <v>0.21909999999999999</v>
      </c>
      <c r="I23" s="13">
        <f>'Submetering '!L23*10</f>
        <v>90</v>
      </c>
      <c r="J23" s="10">
        <v>2.74</v>
      </c>
      <c r="K23" s="9">
        <v>142</v>
      </c>
      <c r="L23" s="9">
        <v>142</v>
      </c>
      <c r="M23" s="12">
        <v>10.9</v>
      </c>
    </row>
    <row r="24" spans="1:13" s="12" customFormat="1" x14ac:dyDescent="0.55000000000000004">
      <c r="A24" s="9" t="s">
        <v>39</v>
      </c>
      <c r="B24" s="12">
        <f t="shared" si="0"/>
        <v>23</v>
      </c>
      <c r="C24" s="10">
        <v>8</v>
      </c>
      <c r="D24" s="9">
        <v>2023</v>
      </c>
      <c r="E24" s="43">
        <f>'Submetering '!E24+'Submetering '!F24+'Submetering '!G24</f>
        <v>780</v>
      </c>
      <c r="F24" s="10">
        <v>0.27739999999999998</v>
      </c>
      <c r="G24" s="13">
        <f>-'Submetering '!J24+'Submetering '!K24</f>
        <v>606</v>
      </c>
      <c r="H24" s="10">
        <v>0.21909999999999999</v>
      </c>
      <c r="I24" s="13">
        <f>'Submetering '!L24*10</f>
        <v>90</v>
      </c>
      <c r="J24" s="10">
        <v>2.74</v>
      </c>
      <c r="K24" s="9">
        <v>152</v>
      </c>
      <c r="L24" s="9">
        <v>152</v>
      </c>
      <c r="M24" s="12">
        <v>11.2</v>
      </c>
    </row>
    <row r="25" spans="1:13" s="12" customFormat="1" x14ac:dyDescent="0.55000000000000004">
      <c r="A25" s="9" t="s">
        <v>39</v>
      </c>
      <c r="B25" s="12">
        <f t="shared" si="0"/>
        <v>24</v>
      </c>
      <c r="C25" s="10">
        <v>8</v>
      </c>
      <c r="D25" s="9">
        <v>2023</v>
      </c>
      <c r="E25" s="43">
        <f>'Submetering '!E25+'Submetering '!F25+'Submetering '!G25</f>
        <v>804</v>
      </c>
      <c r="F25" s="10">
        <v>0.27739999999999998</v>
      </c>
      <c r="G25" s="13">
        <f>-'Submetering '!J25+'Submetering '!K25</f>
        <v>675</v>
      </c>
      <c r="H25" s="10">
        <v>0.21909999999999999</v>
      </c>
      <c r="I25" s="13">
        <f>'Submetering '!L25*10</f>
        <v>90</v>
      </c>
      <c r="J25" s="10">
        <v>2.74</v>
      </c>
      <c r="K25" s="9">
        <v>141</v>
      </c>
      <c r="L25" s="9">
        <v>141</v>
      </c>
      <c r="M25" s="12">
        <v>11</v>
      </c>
    </row>
    <row r="26" spans="1:13" s="12" customFormat="1" x14ac:dyDescent="0.55000000000000004">
      <c r="A26" s="9" t="s">
        <v>39</v>
      </c>
      <c r="B26" s="12">
        <f>B25+1</f>
        <v>25</v>
      </c>
      <c r="C26" s="10">
        <v>8</v>
      </c>
      <c r="D26" s="9">
        <v>2023</v>
      </c>
      <c r="E26" s="43">
        <f>'Submetering '!E26+'Submetering '!F26+'Submetering '!G26</f>
        <v>817</v>
      </c>
      <c r="F26" s="10">
        <v>0.27739999999999998</v>
      </c>
      <c r="G26" s="13">
        <f>-'Submetering '!J26+'Submetering '!K26</f>
        <v>689</v>
      </c>
      <c r="H26" s="10">
        <v>0.21909999999999999</v>
      </c>
      <c r="I26" s="13">
        <f>'Submetering '!L26*10</f>
        <v>100</v>
      </c>
      <c r="J26" s="10">
        <v>2.74</v>
      </c>
      <c r="K26" s="9">
        <v>140</v>
      </c>
      <c r="L26" s="9">
        <v>140</v>
      </c>
      <c r="M26" s="12">
        <v>10.5</v>
      </c>
    </row>
    <row r="27" spans="1:13" s="12" customFormat="1" x14ac:dyDescent="0.55000000000000004">
      <c r="A27" s="9" t="s">
        <v>39</v>
      </c>
      <c r="B27" s="12">
        <f t="shared" si="0"/>
        <v>26</v>
      </c>
      <c r="C27" s="10">
        <v>8</v>
      </c>
      <c r="D27" s="9">
        <v>2023</v>
      </c>
      <c r="E27" s="43">
        <f>'Submetering '!E27+'Submetering '!F27+'Submetering '!G27</f>
        <v>821</v>
      </c>
      <c r="F27" s="10">
        <v>0.27739999999999998</v>
      </c>
      <c r="G27" s="13">
        <f>-'Submetering '!J27+'Submetering '!K27</f>
        <v>766</v>
      </c>
      <c r="H27" s="10">
        <v>0.21909999999999999</v>
      </c>
      <c r="I27" s="13">
        <f>'Submetering '!L27*10</f>
        <v>100</v>
      </c>
      <c r="J27" s="10">
        <v>2.74</v>
      </c>
      <c r="K27" s="9">
        <v>146</v>
      </c>
      <c r="L27" s="9">
        <v>146</v>
      </c>
      <c r="M27" s="12">
        <v>9.3000000000000007</v>
      </c>
    </row>
    <row r="28" spans="1:13" s="12" customFormat="1" x14ac:dyDescent="0.55000000000000004">
      <c r="A28" s="9" t="s">
        <v>39</v>
      </c>
      <c r="B28" s="12">
        <f t="shared" si="0"/>
        <v>27</v>
      </c>
      <c r="C28" s="10">
        <v>8</v>
      </c>
      <c r="D28" s="9">
        <v>2023</v>
      </c>
      <c r="E28" s="43">
        <f>'Submetering '!E28+'Submetering '!F28+'Submetering '!G28</f>
        <v>809</v>
      </c>
      <c r="F28" s="10">
        <v>0.27739999999999998</v>
      </c>
      <c r="G28" s="13">
        <f>-'Submetering '!J28+'Submetering '!K28</f>
        <v>708</v>
      </c>
      <c r="H28" s="10">
        <v>0.21909999999999999</v>
      </c>
      <c r="I28" s="13">
        <f>'Submetering '!L28*10</f>
        <v>100</v>
      </c>
      <c r="J28" s="10">
        <v>2.74</v>
      </c>
      <c r="K28" s="9">
        <v>96</v>
      </c>
      <c r="L28" s="9">
        <v>96</v>
      </c>
      <c r="M28" s="12">
        <v>10.199999999999999</v>
      </c>
    </row>
    <row r="29" spans="1:13" s="12" customFormat="1" x14ac:dyDescent="0.55000000000000004">
      <c r="A29" s="9" t="s">
        <v>39</v>
      </c>
      <c r="B29" s="12">
        <f t="shared" si="0"/>
        <v>28</v>
      </c>
      <c r="C29" s="10">
        <v>8</v>
      </c>
      <c r="D29" s="9">
        <v>2023</v>
      </c>
      <c r="E29" s="43">
        <f>'Submetering '!E29+'Submetering '!F29+'Submetering '!G29</f>
        <v>731</v>
      </c>
      <c r="F29" s="10">
        <v>0.27739999999999998</v>
      </c>
      <c r="G29" s="13">
        <f>-'Submetering '!J29+'Submetering '!K29</f>
        <v>655</v>
      </c>
      <c r="H29" s="10">
        <v>0.21909999999999999</v>
      </c>
      <c r="I29" s="13">
        <f>'Submetering '!L29*10</f>
        <v>80</v>
      </c>
      <c r="J29" s="10">
        <v>2.74</v>
      </c>
      <c r="K29" s="9">
        <v>150</v>
      </c>
      <c r="L29" s="9">
        <v>150</v>
      </c>
      <c r="M29" s="12">
        <v>10.199999999999999</v>
      </c>
    </row>
    <row r="30" spans="1:13" s="12" customFormat="1" x14ac:dyDescent="0.55000000000000004">
      <c r="A30" s="9" t="s">
        <v>39</v>
      </c>
      <c r="B30" s="12">
        <f t="shared" si="0"/>
        <v>29</v>
      </c>
      <c r="C30" s="10">
        <v>8</v>
      </c>
      <c r="D30" s="9">
        <v>2023</v>
      </c>
      <c r="E30" s="43">
        <f>'Submetering '!E30+'Submetering '!F30+'Submetering '!G30</f>
        <v>890</v>
      </c>
      <c r="F30" s="10">
        <v>0.27739999999999998</v>
      </c>
      <c r="G30" s="13">
        <f>-'Submetering '!J30+'Submetering '!K30</f>
        <v>743</v>
      </c>
      <c r="H30" s="10">
        <v>0.21909999999999999</v>
      </c>
      <c r="I30" s="13">
        <f>'Submetering '!L30*10</f>
        <v>90</v>
      </c>
      <c r="J30" s="10">
        <v>2.74</v>
      </c>
      <c r="K30" s="9">
        <v>135</v>
      </c>
      <c r="L30" s="9">
        <v>135</v>
      </c>
      <c r="M30" s="12">
        <v>10.7</v>
      </c>
    </row>
    <row r="31" spans="1:13" s="9" customFormat="1" x14ac:dyDescent="0.55000000000000004">
      <c r="A31" s="9" t="s">
        <v>39</v>
      </c>
      <c r="B31" s="12">
        <f t="shared" si="0"/>
        <v>30</v>
      </c>
      <c r="C31" s="10">
        <v>8</v>
      </c>
      <c r="D31" s="9">
        <v>2023</v>
      </c>
      <c r="E31" s="43">
        <f>'Submetering '!E31+'Submetering '!F31+'Submetering '!G31</f>
        <v>713</v>
      </c>
      <c r="F31" s="10">
        <v>0.27739999999999998</v>
      </c>
      <c r="G31" s="13">
        <f>-'Submetering '!J31+'Submetering '!K31</f>
        <v>618</v>
      </c>
      <c r="H31" s="10">
        <v>0.21909999999999999</v>
      </c>
      <c r="I31" s="13">
        <f>'Submetering '!L31*10</f>
        <v>80</v>
      </c>
      <c r="J31" s="10">
        <v>2.74</v>
      </c>
      <c r="K31" s="9">
        <v>148</v>
      </c>
      <c r="L31" s="9">
        <v>148</v>
      </c>
      <c r="M31" s="9">
        <v>10.4</v>
      </c>
    </row>
    <row r="32" spans="1:13" s="9" customFormat="1" x14ac:dyDescent="0.55000000000000004">
      <c r="A32" s="9" t="s">
        <v>39</v>
      </c>
      <c r="B32" s="12">
        <f t="shared" si="0"/>
        <v>31</v>
      </c>
      <c r="C32" s="10">
        <v>8</v>
      </c>
      <c r="D32" s="9">
        <v>2023</v>
      </c>
      <c r="E32" s="43">
        <f>'Submetering '!E32+'Submetering '!F32+'Submetering '!G32</f>
        <v>801</v>
      </c>
      <c r="F32" s="10">
        <v>0.27739999999999998</v>
      </c>
      <c r="G32" s="13">
        <f>-'Submetering '!J32+'Submetering '!K32</f>
        <v>753</v>
      </c>
      <c r="H32" s="10">
        <v>0.21909999999999999</v>
      </c>
      <c r="I32" s="13">
        <f>'Submetering '!L32*10</f>
        <v>100</v>
      </c>
      <c r="J32" s="10">
        <v>2.74</v>
      </c>
      <c r="K32" s="9">
        <v>94</v>
      </c>
      <c r="L32" s="9">
        <v>94</v>
      </c>
      <c r="M32" s="9">
        <v>11.2</v>
      </c>
    </row>
    <row r="33" spans="3:8" x14ac:dyDescent="0.55000000000000004">
      <c r="C33" s="10"/>
      <c r="H33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zoomScale="80" zoomScaleNormal="80" workbookViewId="0">
      <selection activeCell="L14" sqref="L14"/>
    </sheetView>
  </sheetViews>
  <sheetFormatPr defaultColWidth="11.5234375" defaultRowHeight="14.4" x14ac:dyDescent="0.55000000000000004"/>
  <cols>
    <col min="1" max="1" width="18.3671875" style="14" customWidth="1"/>
    <col min="2" max="3" width="11.5234375" style="14"/>
    <col min="4" max="4" width="13.3671875" style="14" customWidth="1"/>
    <col min="5" max="5" width="13" style="15" customWidth="1"/>
    <col min="6" max="6" width="12.5234375" style="14" customWidth="1"/>
    <col min="7" max="7" width="13" style="15" customWidth="1"/>
    <col min="8" max="10" width="11.5234375" style="14"/>
    <col min="11" max="11" width="17.47265625" style="14" customWidth="1"/>
    <col min="12" max="12" width="11.5234375" style="15"/>
    <col min="13" max="14" width="11.5234375" style="14"/>
    <col min="15" max="15" width="14" style="14" customWidth="1"/>
    <col min="16" max="16" width="11.5234375" style="14"/>
    <col min="17" max="24" width="11.5234375" style="34"/>
    <col min="25" max="259" width="11.5234375" style="14"/>
    <col min="260" max="260" width="13.3671875" style="14" customWidth="1"/>
    <col min="261" max="261" width="13" style="14" customWidth="1"/>
    <col min="262" max="262" width="12.5234375" style="14" customWidth="1"/>
    <col min="263" max="263" width="13" style="14" customWidth="1"/>
    <col min="264" max="270" width="11.5234375" style="14"/>
    <col min="271" max="271" width="14" style="14" customWidth="1"/>
    <col min="272" max="515" width="11.5234375" style="14"/>
    <col min="516" max="516" width="13.3671875" style="14" customWidth="1"/>
    <col min="517" max="517" width="13" style="14" customWidth="1"/>
    <col min="518" max="518" width="12.5234375" style="14" customWidth="1"/>
    <col min="519" max="519" width="13" style="14" customWidth="1"/>
    <col min="520" max="526" width="11.5234375" style="14"/>
    <col min="527" max="527" width="14" style="14" customWidth="1"/>
    <col min="528" max="771" width="11.5234375" style="14"/>
    <col min="772" max="772" width="13.3671875" style="14" customWidth="1"/>
    <col min="773" max="773" width="13" style="14" customWidth="1"/>
    <col min="774" max="774" width="12.5234375" style="14" customWidth="1"/>
    <col min="775" max="775" width="13" style="14" customWidth="1"/>
    <col min="776" max="782" width="11.5234375" style="14"/>
    <col min="783" max="783" width="14" style="14" customWidth="1"/>
    <col min="784" max="1027" width="11.5234375" style="14"/>
    <col min="1028" max="1028" width="13.3671875" style="14" customWidth="1"/>
    <col min="1029" max="1029" width="13" style="14" customWidth="1"/>
    <col min="1030" max="1030" width="12.5234375" style="14" customWidth="1"/>
    <col min="1031" max="1031" width="13" style="14" customWidth="1"/>
    <col min="1032" max="1038" width="11.5234375" style="14"/>
    <col min="1039" max="1039" width="14" style="14" customWidth="1"/>
    <col min="1040" max="1283" width="11.5234375" style="14"/>
    <col min="1284" max="1284" width="13.3671875" style="14" customWidth="1"/>
    <col min="1285" max="1285" width="13" style="14" customWidth="1"/>
    <col min="1286" max="1286" width="12.5234375" style="14" customWidth="1"/>
    <col min="1287" max="1287" width="13" style="14" customWidth="1"/>
    <col min="1288" max="1294" width="11.5234375" style="14"/>
    <col min="1295" max="1295" width="14" style="14" customWidth="1"/>
    <col min="1296" max="1539" width="11.5234375" style="14"/>
    <col min="1540" max="1540" width="13.3671875" style="14" customWidth="1"/>
    <col min="1541" max="1541" width="13" style="14" customWidth="1"/>
    <col min="1542" max="1542" width="12.5234375" style="14" customWidth="1"/>
    <col min="1543" max="1543" width="13" style="14" customWidth="1"/>
    <col min="1544" max="1550" width="11.5234375" style="14"/>
    <col min="1551" max="1551" width="14" style="14" customWidth="1"/>
    <col min="1552" max="1795" width="11.5234375" style="14"/>
    <col min="1796" max="1796" width="13.3671875" style="14" customWidth="1"/>
    <col min="1797" max="1797" width="13" style="14" customWidth="1"/>
    <col min="1798" max="1798" width="12.5234375" style="14" customWidth="1"/>
    <col min="1799" max="1799" width="13" style="14" customWidth="1"/>
    <col min="1800" max="1806" width="11.5234375" style="14"/>
    <col min="1807" max="1807" width="14" style="14" customWidth="1"/>
    <col min="1808" max="2051" width="11.5234375" style="14"/>
    <col min="2052" max="2052" width="13.3671875" style="14" customWidth="1"/>
    <col min="2053" max="2053" width="13" style="14" customWidth="1"/>
    <col min="2054" max="2054" width="12.5234375" style="14" customWidth="1"/>
    <col min="2055" max="2055" width="13" style="14" customWidth="1"/>
    <col min="2056" max="2062" width="11.5234375" style="14"/>
    <col min="2063" max="2063" width="14" style="14" customWidth="1"/>
    <col min="2064" max="2307" width="11.5234375" style="14"/>
    <col min="2308" max="2308" width="13.3671875" style="14" customWidth="1"/>
    <col min="2309" max="2309" width="13" style="14" customWidth="1"/>
    <col min="2310" max="2310" width="12.5234375" style="14" customWidth="1"/>
    <col min="2311" max="2311" width="13" style="14" customWidth="1"/>
    <col min="2312" max="2318" width="11.5234375" style="14"/>
    <col min="2319" max="2319" width="14" style="14" customWidth="1"/>
    <col min="2320" max="2563" width="11.5234375" style="14"/>
    <col min="2564" max="2564" width="13.3671875" style="14" customWidth="1"/>
    <col min="2565" max="2565" width="13" style="14" customWidth="1"/>
    <col min="2566" max="2566" width="12.5234375" style="14" customWidth="1"/>
    <col min="2567" max="2567" width="13" style="14" customWidth="1"/>
    <col min="2568" max="2574" width="11.5234375" style="14"/>
    <col min="2575" max="2575" width="14" style="14" customWidth="1"/>
    <col min="2576" max="2819" width="11.5234375" style="14"/>
    <col min="2820" max="2820" width="13.3671875" style="14" customWidth="1"/>
    <col min="2821" max="2821" width="13" style="14" customWidth="1"/>
    <col min="2822" max="2822" width="12.5234375" style="14" customWidth="1"/>
    <col min="2823" max="2823" width="13" style="14" customWidth="1"/>
    <col min="2824" max="2830" width="11.5234375" style="14"/>
    <col min="2831" max="2831" width="14" style="14" customWidth="1"/>
    <col min="2832" max="3075" width="11.5234375" style="14"/>
    <col min="3076" max="3076" width="13.3671875" style="14" customWidth="1"/>
    <col min="3077" max="3077" width="13" style="14" customWidth="1"/>
    <col min="3078" max="3078" width="12.5234375" style="14" customWidth="1"/>
    <col min="3079" max="3079" width="13" style="14" customWidth="1"/>
    <col min="3080" max="3086" width="11.5234375" style="14"/>
    <col min="3087" max="3087" width="14" style="14" customWidth="1"/>
    <col min="3088" max="3331" width="11.5234375" style="14"/>
    <col min="3332" max="3332" width="13.3671875" style="14" customWidth="1"/>
    <col min="3333" max="3333" width="13" style="14" customWidth="1"/>
    <col min="3334" max="3334" width="12.5234375" style="14" customWidth="1"/>
    <col min="3335" max="3335" width="13" style="14" customWidth="1"/>
    <col min="3336" max="3342" width="11.5234375" style="14"/>
    <col min="3343" max="3343" width="14" style="14" customWidth="1"/>
    <col min="3344" max="3587" width="11.5234375" style="14"/>
    <col min="3588" max="3588" width="13.3671875" style="14" customWidth="1"/>
    <col min="3589" max="3589" width="13" style="14" customWidth="1"/>
    <col min="3590" max="3590" width="12.5234375" style="14" customWidth="1"/>
    <col min="3591" max="3591" width="13" style="14" customWidth="1"/>
    <col min="3592" max="3598" width="11.5234375" style="14"/>
    <col min="3599" max="3599" width="14" style="14" customWidth="1"/>
    <col min="3600" max="3843" width="11.5234375" style="14"/>
    <col min="3844" max="3844" width="13.3671875" style="14" customWidth="1"/>
    <col min="3845" max="3845" width="13" style="14" customWidth="1"/>
    <col min="3846" max="3846" width="12.5234375" style="14" customWidth="1"/>
    <col min="3847" max="3847" width="13" style="14" customWidth="1"/>
    <col min="3848" max="3854" width="11.5234375" style="14"/>
    <col min="3855" max="3855" width="14" style="14" customWidth="1"/>
    <col min="3856" max="4099" width="11.5234375" style="14"/>
    <col min="4100" max="4100" width="13.3671875" style="14" customWidth="1"/>
    <col min="4101" max="4101" width="13" style="14" customWidth="1"/>
    <col min="4102" max="4102" width="12.5234375" style="14" customWidth="1"/>
    <col min="4103" max="4103" width="13" style="14" customWidth="1"/>
    <col min="4104" max="4110" width="11.5234375" style="14"/>
    <col min="4111" max="4111" width="14" style="14" customWidth="1"/>
    <col min="4112" max="4355" width="11.5234375" style="14"/>
    <col min="4356" max="4356" width="13.3671875" style="14" customWidth="1"/>
    <col min="4357" max="4357" width="13" style="14" customWidth="1"/>
    <col min="4358" max="4358" width="12.5234375" style="14" customWidth="1"/>
    <col min="4359" max="4359" width="13" style="14" customWidth="1"/>
    <col min="4360" max="4366" width="11.5234375" style="14"/>
    <col min="4367" max="4367" width="14" style="14" customWidth="1"/>
    <col min="4368" max="4611" width="11.5234375" style="14"/>
    <col min="4612" max="4612" width="13.3671875" style="14" customWidth="1"/>
    <col min="4613" max="4613" width="13" style="14" customWidth="1"/>
    <col min="4614" max="4614" width="12.5234375" style="14" customWidth="1"/>
    <col min="4615" max="4615" width="13" style="14" customWidth="1"/>
    <col min="4616" max="4622" width="11.5234375" style="14"/>
    <col min="4623" max="4623" width="14" style="14" customWidth="1"/>
    <col min="4624" max="4867" width="11.5234375" style="14"/>
    <col min="4868" max="4868" width="13.3671875" style="14" customWidth="1"/>
    <col min="4869" max="4869" width="13" style="14" customWidth="1"/>
    <col min="4870" max="4870" width="12.5234375" style="14" customWidth="1"/>
    <col min="4871" max="4871" width="13" style="14" customWidth="1"/>
    <col min="4872" max="4878" width="11.5234375" style="14"/>
    <col min="4879" max="4879" width="14" style="14" customWidth="1"/>
    <col min="4880" max="5123" width="11.5234375" style="14"/>
    <col min="5124" max="5124" width="13.3671875" style="14" customWidth="1"/>
    <col min="5125" max="5125" width="13" style="14" customWidth="1"/>
    <col min="5126" max="5126" width="12.5234375" style="14" customWidth="1"/>
    <col min="5127" max="5127" width="13" style="14" customWidth="1"/>
    <col min="5128" max="5134" width="11.5234375" style="14"/>
    <col min="5135" max="5135" width="14" style="14" customWidth="1"/>
    <col min="5136" max="5379" width="11.5234375" style="14"/>
    <col min="5380" max="5380" width="13.3671875" style="14" customWidth="1"/>
    <col min="5381" max="5381" width="13" style="14" customWidth="1"/>
    <col min="5382" max="5382" width="12.5234375" style="14" customWidth="1"/>
    <col min="5383" max="5383" width="13" style="14" customWidth="1"/>
    <col min="5384" max="5390" width="11.5234375" style="14"/>
    <col min="5391" max="5391" width="14" style="14" customWidth="1"/>
    <col min="5392" max="5635" width="11.5234375" style="14"/>
    <col min="5636" max="5636" width="13.3671875" style="14" customWidth="1"/>
    <col min="5637" max="5637" width="13" style="14" customWidth="1"/>
    <col min="5638" max="5638" width="12.5234375" style="14" customWidth="1"/>
    <col min="5639" max="5639" width="13" style="14" customWidth="1"/>
    <col min="5640" max="5646" width="11.5234375" style="14"/>
    <col min="5647" max="5647" width="14" style="14" customWidth="1"/>
    <col min="5648" max="5891" width="11.5234375" style="14"/>
    <col min="5892" max="5892" width="13.3671875" style="14" customWidth="1"/>
    <col min="5893" max="5893" width="13" style="14" customWidth="1"/>
    <col min="5894" max="5894" width="12.5234375" style="14" customWidth="1"/>
    <col min="5895" max="5895" width="13" style="14" customWidth="1"/>
    <col min="5896" max="5902" width="11.5234375" style="14"/>
    <col min="5903" max="5903" width="14" style="14" customWidth="1"/>
    <col min="5904" max="6147" width="11.5234375" style="14"/>
    <col min="6148" max="6148" width="13.3671875" style="14" customWidth="1"/>
    <col min="6149" max="6149" width="13" style="14" customWidth="1"/>
    <col min="6150" max="6150" width="12.5234375" style="14" customWidth="1"/>
    <col min="6151" max="6151" width="13" style="14" customWidth="1"/>
    <col min="6152" max="6158" width="11.5234375" style="14"/>
    <col min="6159" max="6159" width="14" style="14" customWidth="1"/>
    <col min="6160" max="6403" width="11.5234375" style="14"/>
    <col min="6404" max="6404" width="13.3671875" style="14" customWidth="1"/>
    <col min="6405" max="6405" width="13" style="14" customWidth="1"/>
    <col min="6406" max="6406" width="12.5234375" style="14" customWidth="1"/>
    <col min="6407" max="6407" width="13" style="14" customWidth="1"/>
    <col min="6408" max="6414" width="11.5234375" style="14"/>
    <col min="6415" max="6415" width="14" style="14" customWidth="1"/>
    <col min="6416" max="6659" width="11.5234375" style="14"/>
    <col min="6660" max="6660" width="13.3671875" style="14" customWidth="1"/>
    <col min="6661" max="6661" width="13" style="14" customWidth="1"/>
    <col min="6662" max="6662" width="12.5234375" style="14" customWidth="1"/>
    <col min="6663" max="6663" width="13" style="14" customWidth="1"/>
    <col min="6664" max="6670" width="11.5234375" style="14"/>
    <col min="6671" max="6671" width="14" style="14" customWidth="1"/>
    <col min="6672" max="6915" width="11.5234375" style="14"/>
    <col min="6916" max="6916" width="13.3671875" style="14" customWidth="1"/>
    <col min="6917" max="6917" width="13" style="14" customWidth="1"/>
    <col min="6918" max="6918" width="12.5234375" style="14" customWidth="1"/>
    <col min="6919" max="6919" width="13" style="14" customWidth="1"/>
    <col min="6920" max="6926" width="11.5234375" style="14"/>
    <col min="6927" max="6927" width="14" style="14" customWidth="1"/>
    <col min="6928" max="7171" width="11.5234375" style="14"/>
    <col min="7172" max="7172" width="13.3671875" style="14" customWidth="1"/>
    <col min="7173" max="7173" width="13" style="14" customWidth="1"/>
    <col min="7174" max="7174" width="12.5234375" style="14" customWidth="1"/>
    <col min="7175" max="7175" width="13" style="14" customWidth="1"/>
    <col min="7176" max="7182" width="11.5234375" style="14"/>
    <col min="7183" max="7183" width="14" style="14" customWidth="1"/>
    <col min="7184" max="7427" width="11.5234375" style="14"/>
    <col min="7428" max="7428" width="13.3671875" style="14" customWidth="1"/>
    <col min="7429" max="7429" width="13" style="14" customWidth="1"/>
    <col min="7430" max="7430" width="12.5234375" style="14" customWidth="1"/>
    <col min="7431" max="7431" width="13" style="14" customWidth="1"/>
    <col min="7432" max="7438" width="11.5234375" style="14"/>
    <col min="7439" max="7439" width="14" style="14" customWidth="1"/>
    <col min="7440" max="7683" width="11.5234375" style="14"/>
    <col min="7684" max="7684" width="13.3671875" style="14" customWidth="1"/>
    <col min="7685" max="7685" width="13" style="14" customWidth="1"/>
    <col min="7686" max="7686" width="12.5234375" style="14" customWidth="1"/>
    <col min="7687" max="7687" width="13" style="14" customWidth="1"/>
    <col min="7688" max="7694" width="11.5234375" style="14"/>
    <col min="7695" max="7695" width="14" style="14" customWidth="1"/>
    <col min="7696" max="7939" width="11.5234375" style="14"/>
    <col min="7940" max="7940" width="13.3671875" style="14" customWidth="1"/>
    <col min="7941" max="7941" width="13" style="14" customWidth="1"/>
    <col min="7942" max="7942" width="12.5234375" style="14" customWidth="1"/>
    <col min="7943" max="7943" width="13" style="14" customWidth="1"/>
    <col min="7944" max="7950" width="11.5234375" style="14"/>
    <col min="7951" max="7951" width="14" style="14" customWidth="1"/>
    <col min="7952" max="8195" width="11.5234375" style="14"/>
    <col min="8196" max="8196" width="13.3671875" style="14" customWidth="1"/>
    <col min="8197" max="8197" width="13" style="14" customWidth="1"/>
    <col min="8198" max="8198" width="12.5234375" style="14" customWidth="1"/>
    <col min="8199" max="8199" width="13" style="14" customWidth="1"/>
    <col min="8200" max="8206" width="11.5234375" style="14"/>
    <col min="8207" max="8207" width="14" style="14" customWidth="1"/>
    <col min="8208" max="8451" width="11.5234375" style="14"/>
    <col min="8452" max="8452" width="13.3671875" style="14" customWidth="1"/>
    <col min="8453" max="8453" width="13" style="14" customWidth="1"/>
    <col min="8454" max="8454" width="12.5234375" style="14" customWidth="1"/>
    <col min="8455" max="8455" width="13" style="14" customWidth="1"/>
    <col min="8456" max="8462" width="11.5234375" style="14"/>
    <col min="8463" max="8463" width="14" style="14" customWidth="1"/>
    <col min="8464" max="8707" width="11.5234375" style="14"/>
    <col min="8708" max="8708" width="13.3671875" style="14" customWidth="1"/>
    <col min="8709" max="8709" width="13" style="14" customWidth="1"/>
    <col min="8710" max="8710" width="12.5234375" style="14" customWidth="1"/>
    <col min="8711" max="8711" width="13" style="14" customWidth="1"/>
    <col min="8712" max="8718" width="11.5234375" style="14"/>
    <col min="8719" max="8719" width="14" style="14" customWidth="1"/>
    <col min="8720" max="8963" width="11.5234375" style="14"/>
    <col min="8964" max="8964" width="13.3671875" style="14" customWidth="1"/>
    <col min="8965" max="8965" width="13" style="14" customWidth="1"/>
    <col min="8966" max="8966" width="12.5234375" style="14" customWidth="1"/>
    <col min="8967" max="8967" width="13" style="14" customWidth="1"/>
    <col min="8968" max="8974" width="11.5234375" style="14"/>
    <col min="8975" max="8975" width="14" style="14" customWidth="1"/>
    <col min="8976" max="9219" width="11.5234375" style="14"/>
    <col min="9220" max="9220" width="13.3671875" style="14" customWidth="1"/>
    <col min="9221" max="9221" width="13" style="14" customWidth="1"/>
    <col min="9222" max="9222" width="12.5234375" style="14" customWidth="1"/>
    <col min="9223" max="9223" width="13" style="14" customWidth="1"/>
    <col min="9224" max="9230" width="11.5234375" style="14"/>
    <col min="9231" max="9231" width="14" style="14" customWidth="1"/>
    <col min="9232" max="9475" width="11.5234375" style="14"/>
    <col min="9476" max="9476" width="13.3671875" style="14" customWidth="1"/>
    <col min="9477" max="9477" width="13" style="14" customWidth="1"/>
    <col min="9478" max="9478" width="12.5234375" style="14" customWidth="1"/>
    <col min="9479" max="9479" width="13" style="14" customWidth="1"/>
    <col min="9480" max="9486" width="11.5234375" style="14"/>
    <col min="9487" max="9487" width="14" style="14" customWidth="1"/>
    <col min="9488" max="9731" width="11.5234375" style="14"/>
    <col min="9732" max="9732" width="13.3671875" style="14" customWidth="1"/>
    <col min="9733" max="9733" width="13" style="14" customWidth="1"/>
    <col min="9734" max="9734" width="12.5234375" style="14" customWidth="1"/>
    <col min="9735" max="9735" width="13" style="14" customWidth="1"/>
    <col min="9736" max="9742" width="11.5234375" style="14"/>
    <col min="9743" max="9743" width="14" style="14" customWidth="1"/>
    <col min="9744" max="9987" width="11.5234375" style="14"/>
    <col min="9988" max="9988" width="13.3671875" style="14" customWidth="1"/>
    <col min="9989" max="9989" width="13" style="14" customWidth="1"/>
    <col min="9990" max="9990" width="12.5234375" style="14" customWidth="1"/>
    <col min="9991" max="9991" width="13" style="14" customWidth="1"/>
    <col min="9992" max="9998" width="11.5234375" style="14"/>
    <col min="9999" max="9999" width="14" style="14" customWidth="1"/>
    <col min="10000" max="10243" width="11.5234375" style="14"/>
    <col min="10244" max="10244" width="13.3671875" style="14" customWidth="1"/>
    <col min="10245" max="10245" width="13" style="14" customWidth="1"/>
    <col min="10246" max="10246" width="12.5234375" style="14" customWidth="1"/>
    <col min="10247" max="10247" width="13" style="14" customWidth="1"/>
    <col min="10248" max="10254" width="11.5234375" style="14"/>
    <col min="10255" max="10255" width="14" style="14" customWidth="1"/>
    <col min="10256" max="10499" width="11.5234375" style="14"/>
    <col min="10500" max="10500" width="13.3671875" style="14" customWidth="1"/>
    <col min="10501" max="10501" width="13" style="14" customWidth="1"/>
    <col min="10502" max="10502" width="12.5234375" style="14" customWidth="1"/>
    <col min="10503" max="10503" width="13" style="14" customWidth="1"/>
    <col min="10504" max="10510" width="11.5234375" style="14"/>
    <col min="10511" max="10511" width="14" style="14" customWidth="1"/>
    <col min="10512" max="10755" width="11.5234375" style="14"/>
    <col min="10756" max="10756" width="13.3671875" style="14" customWidth="1"/>
    <col min="10757" max="10757" width="13" style="14" customWidth="1"/>
    <col min="10758" max="10758" width="12.5234375" style="14" customWidth="1"/>
    <col min="10759" max="10759" width="13" style="14" customWidth="1"/>
    <col min="10760" max="10766" width="11.5234375" style="14"/>
    <col min="10767" max="10767" width="14" style="14" customWidth="1"/>
    <col min="10768" max="11011" width="11.5234375" style="14"/>
    <col min="11012" max="11012" width="13.3671875" style="14" customWidth="1"/>
    <col min="11013" max="11013" width="13" style="14" customWidth="1"/>
    <col min="11014" max="11014" width="12.5234375" style="14" customWidth="1"/>
    <col min="11015" max="11015" width="13" style="14" customWidth="1"/>
    <col min="11016" max="11022" width="11.5234375" style="14"/>
    <col min="11023" max="11023" width="14" style="14" customWidth="1"/>
    <col min="11024" max="11267" width="11.5234375" style="14"/>
    <col min="11268" max="11268" width="13.3671875" style="14" customWidth="1"/>
    <col min="11269" max="11269" width="13" style="14" customWidth="1"/>
    <col min="11270" max="11270" width="12.5234375" style="14" customWidth="1"/>
    <col min="11271" max="11271" width="13" style="14" customWidth="1"/>
    <col min="11272" max="11278" width="11.5234375" style="14"/>
    <col min="11279" max="11279" width="14" style="14" customWidth="1"/>
    <col min="11280" max="11523" width="11.5234375" style="14"/>
    <col min="11524" max="11524" width="13.3671875" style="14" customWidth="1"/>
    <col min="11525" max="11525" width="13" style="14" customWidth="1"/>
    <col min="11526" max="11526" width="12.5234375" style="14" customWidth="1"/>
    <col min="11527" max="11527" width="13" style="14" customWidth="1"/>
    <col min="11528" max="11534" width="11.5234375" style="14"/>
    <col min="11535" max="11535" width="14" style="14" customWidth="1"/>
    <col min="11536" max="11779" width="11.5234375" style="14"/>
    <col min="11780" max="11780" width="13.3671875" style="14" customWidth="1"/>
    <col min="11781" max="11781" width="13" style="14" customWidth="1"/>
    <col min="11782" max="11782" width="12.5234375" style="14" customWidth="1"/>
    <col min="11783" max="11783" width="13" style="14" customWidth="1"/>
    <col min="11784" max="11790" width="11.5234375" style="14"/>
    <col min="11791" max="11791" width="14" style="14" customWidth="1"/>
    <col min="11792" max="12035" width="11.5234375" style="14"/>
    <col min="12036" max="12036" width="13.3671875" style="14" customWidth="1"/>
    <col min="12037" max="12037" width="13" style="14" customWidth="1"/>
    <col min="12038" max="12038" width="12.5234375" style="14" customWidth="1"/>
    <col min="12039" max="12039" width="13" style="14" customWidth="1"/>
    <col min="12040" max="12046" width="11.5234375" style="14"/>
    <col min="12047" max="12047" width="14" style="14" customWidth="1"/>
    <col min="12048" max="12291" width="11.5234375" style="14"/>
    <col min="12292" max="12292" width="13.3671875" style="14" customWidth="1"/>
    <col min="12293" max="12293" width="13" style="14" customWidth="1"/>
    <col min="12294" max="12294" width="12.5234375" style="14" customWidth="1"/>
    <col min="12295" max="12295" width="13" style="14" customWidth="1"/>
    <col min="12296" max="12302" width="11.5234375" style="14"/>
    <col min="12303" max="12303" width="14" style="14" customWidth="1"/>
    <col min="12304" max="12547" width="11.5234375" style="14"/>
    <col min="12548" max="12548" width="13.3671875" style="14" customWidth="1"/>
    <col min="12549" max="12549" width="13" style="14" customWidth="1"/>
    <col min="12550" max="12550" width="12.5234375" style="14" customWidth="1"/>
    <col min="12551" max="12551" width="13" style="14" customWidth="1"/>
    <col min="12552" max="12558" width="11.5234375" style="14"/>
    <col min="12559" max="12559" width="14" style="14" customWidth="1"/>
    <col min="12560" max="12803" width="11.5234375" style="14"/>
    <col min="12804" max="12804" width="13.3671875" style="14" customWidth="1"/>
    <col min="12805" max="12805" width="13" style="14" customWidth="1"/>
    <col min="12806" max="12806" width="12.5234375" style="14" customWidth="1"/>
    <col min="12807" max="12807" width="13" style="14" customWidth="1"/>
    <col min="12808" max="12814" width="11.5234375" style="14"/>
    <col min="12815" max="12815" width="14" style="14" customWidth="1"/>
    <col min="12816" max="13059" width="11.5234375" style="14"/>
    <col min="13060" max="13060" width="13.3671875" style="14" customWidth="1"/>
    <col min="13061" max="13061" width="13" style="14" customWidth="1"/>
    <col min="13062" max="13062" width="12.5234375" style="14" customWidth="1"/>
    <col min="13063" max="13063" width="13" style="14" customWidth="1"/>
    <col min="13064" max="13070" width="11.5234375" style="14"/>
    <col min="13071" max="13071" width="14" style="14" customWidth="1"/>
    <col min="13072" max="13315" width="11.5234375" style="14"/>
    <col min="13316" max="13316" width="13.3671875" style="14" customWidth="1"/>
    <col min="13317" max="13317" width="13" style="14" customWidth="1"/>
    <col min="13318" max="13318" width="12.5234375" style="14" customWidth="1"/>
    <col min="13319" max="13319" width="13" style="14" customWidth="1"/>
    <col min="13320" max="13326" width="11.5234375" style="14"/>
    <col min="13327" max="13327" width="14" style="14" customWidth="1"/>
    <col min="13328" max="13571" width="11.5234375" style="14"/>
    <col min="13572" max="13572" width="13.3671875" style="14" customWidth="1"/>
    <col min="13573" max="13573" width="13" style="14" customWidth="1"/>
    <col min="13574" max="13574" width="12.5234375" style="14" customWidth="1"/>
    <col min="13575" max="13575" width="13" style="14" customWidth="1"/>
    <col min="13576" max="13582" width="11.5234375" style="14"/>
    <col min="13583" max="13583" width="14" style="14" customWidth="1"/>
    <col min="13584" max="13827" width="11.5234375" style="14"/>
    <col min="13828" max="13828" width="13.3671875" style="14" customWidth="1"/>
    <col min="13829" max="13829" width="13" style="14" customWidth="1"/>
    <col min="13830" max="13830" width="12.5234375" style="14" customWidth="1"/>
    <col min="13831" max="13831" width="13" style="14" customWidth="1"/>
    <col min="13832" max="13838" width="11.5234375" style="14"/>
    <col min="13839" max="13839" width="14" style="14" customWidth="1"/>
    <col min="13840" max="14083" width="11.5234375" style="14"/>
    <col min="14084" max="14084" width="13.3671875" style="14" customWidth="1"/>
    <col min="14085" max="14085" width="13" style="14" customWidth="1"/>
    <col min="14086" max="14086" width="12.5234375" style="14" customWidth="1"/>
    <col min="14087" max="14087" width="13" style="14" customWidth="1"/>
    <col min="14088" max="14094" width="11.5234375" style="14"/>
    <col min="14095" max="14095" width="14" style="14" customWidth="1"/>
    <col min="14096" max="14339" width="11.5234375" style="14"/>
    <col min="14340" max="14340" width="13.3671875" style="14" customWidth="1"/>
    <col min="14341" max="14341" width="13" style="14" customWidth="1"/>
    <col min="14342" max="14342" width="12.5234375" style="14" customWidth="1"/>
    <col min="14343" max="14343" width="13" style="14" customWidth="1"/>
    <col min="14344" max="14350" width="11.5234375" style="14"/>
    <col min="14351" max="14351" width="14" style="14" customWidth="1"/>
    <col min="14352" max="14595" width="11.5234375" style="14"/>
    <col min="14596" max="14596" width="13.3671875" style="14" customWidth="1"/>
    <col min="14597" max="14597" width="13" style="14" customWidth="1"/>
    <col min="14598" max="14598" width="12.5234375" style="14" customWidth="1"/>
    <col min="14599" max="14599" width="13" style="14" customWidth="1"/>
    <col min="14600" max="14606" width="11.5234375" style="14"/>
    <col min="14607" max="14607" width="14" style="14" customWidth="1"/>
    <col min="14608" max="14851" width="11.5234375" style="14"/>
    <col min="14852" max="14852" width="13.3671875" style="14" customWidth="1"/>
    <col min="14853" max="14853" width="13" style="14" customWidth="1"/>
    <col min="14854" max="14854" width="12.5234375" style="14" customWidth="1"/>
    <col min="14855" max="14855" width="13" style="14" customWidth="1"/>
    <col min="14856" max="14862" width="11.5234375" style="14"/>
    <col min="14863" max="14863" width="14" style="14" customWidth="1"/>
    <col min="14864" max="15107" width="11.5234375" style="14"/>
    <col min="15108" max="15108" width="13.3671875" style="14" customWidth="1"/>
    <col min="15109" max="15109" width="13" style="14" customWidth="1"/>
    <col min="15110" max="15110" width="12.5234375" style="14" customWidth="1"/>
    <col min="15111" max="15111" width="13" style="14" customWidth="1"/>
    <col min="15112" max="15118" width="11.5234375" style="14"/>
    <col min="15119" max="15119" width="14" style="14" customWidth="1"/>
    <col min="15120" max="15363" width="11.5234375" style="14"/>
    <col min="15364" max="15364" width="13.3671875" style="14" customWidth="1"/>
    <col min="15365" max="15365" width="13" style="14" customWidth="1"/>
    <col min="15366" max="15366" width="12.5234375" style="14" customWidth="1"/>
    <col min="15367" max="15367" width="13" style="14" customWidth="1"/>
    <col min="15368" max="15374" width="11.5234375" style="14"/>
    <col min="15375" max="15375" width="14" style="14" customWidth="1"/>
    <col min="15376" max="15619" width="11.5234375" style="14"/>
    <col min="15620" max="15620" width="13.3671875" style="14" customWidth="1"/>
    <col min="15621" max="15621" width="13" style="14" customWidth="1"/>
    <col min="15622" max="15622" width="12.5234375" style="14" customWidth="1"/>
    <col min="15623" max="15623" width="13" style="14" customWidth="1"/>
    <col min="15624" max="15630" width="11.5234375" style="14"/>
    <col min="15631" max="15631" width="14" style="14" customWidth="1"/>
    <col min="15632" max="15875" width="11.5234375" style="14"/>
    <col min="15876" max="15876" width="13.3671875" style="14" customWidth="1"/>
    <col min="15877" max="15877" width="13" style="14" customWidth="1"/>
    <col min="15878" max="15878" width="12.5234375" style="14" customWidth="1"/>
    <col min="15879" max="15879" width="13" style="14" customWidth="1"/>
    <col min="15880" max="15886" width="11.5234375" style="14"/>
    <col min="15887" max="15887" width="14" style="14" customWidth="1"/>
    <col min="15888" max="16131" width="11.5234375" style="14"/>
    <col min="16132" max="16132" width="13.3671875" style="14" customWidth="1"/>
    <col min="16133" max="16133" width="13" style="14" customWidth="1"/>
    <col min="16134" max="16134" width="12.5234375" style="14" customWidth="1"/>
    <col min="16135" max="16135" width="13" style="14" customWidth="1"/>
    <col min="16136" max="16142" width="11.5234375" style="14"/>
    <col min="16143" max="16143" width="14" style="14" customWidth="1"/>
    <col min="16144" max="16384" width="11.5234375" style="14"/>
  </cols>
  <sheetData>
    <row r="1" spans="1:26" s="8" customFormat="1" ht="86.4" x14ac:dyDescent="0.55000000000000004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55000000000000004">
      <c r="A2" s="9" t="s">
        <v>36</v>
      </c>
      <c r="B2" s="9">
        <v>1</v>
      </c>
      <c r="C2" s="10">
        <v>8</v>
      </c>
      <c r="D2" s="9">
        <v>2023</v>
      </c>
      <c r="E2" s="33">
        <f>(IF((Electrical!B3-Electrical!B2)&lt;0,"0",(Electrical!B3-Electrical!B2)))*15</f>
        <v>2835</v>
      </c>
      <c r="F2" s="33">
        <f>(IF((Electrical!C3-Electrical!C2)&lt;0,"0",(Electrical!C3-Electrical!C2)))*15</f>
        <v>3810</v>
      </c>
      <c r="G2" s="33">
        <f>(IF((Electrical!D3-Electrical!D2)&lt;0,"0",(Electrical!D3-Electrical!D2))*15)</f>
        <v>3960</v>
      </c>
      <c r="H2" s="33">
        <f>IF((Electrical!E3-Electrical!E2)&lt;0,"0",(Electrical!E3-Electrical!E2))</f>
        <v>3404</v>
      </c>
      <c r="I2" s="33">
        <f>IF((Electrical!F3-Electrical!F2)&lt;0,"0",(Electrical!F3-Electrical!F2))</f>
        <v>358</v>
      </c>
      <c r="J2" s="33">
        <f>IF((Gas!B3-Gas!B2)&lt;0,"0",(Gas!B3-Gas!B2))</f>
        <v>0</v>
      </c>
      <c r="K2" s="33">
        <f>IF((Gas!C3-Gas!C2)&lt;0,"0",(Gas!C3-Gas!C2))</f>
        <v>624</v>
      </c>
      <c r="L2" s="33">
        <f>IF((Water!B3-Water!B2)&lt;0,"0",(Water!B3-Water!B2))</f>
        <v>10</v>
      </c>
      <c r="M2" s="33">
        <f>IF((Water!C3-Water!C2)&lt;0,"0",(Water!C3-Water!C2))</f>
        <v>20</v>
      </c>
      <c r="N2" s="33">
        <f>IF((Water!D3-Water!D2)&lt;0,"0",(Water!D3-Water!D2))</f>
        <v>0</v>
      </c>
      <c r="O2" s="33">
        <f>IF((Water!E3-Water!E2)&lt;0,"0",(Water!E3-Water!E2))</f>
        <v>9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31</v>
      </c>
      <c r="Y2" s="9">
        <v>123</v>
      </c>
      <c r="Z2" s="9">
        <v>123</v>
      </c>
    </row>
    <row r="3" spans="1:26" s="9" customFormat="1" x14ac:dyDescent="0.55000000000000004">
      <c r="A3" s="9" t="s">
        <v>36</v>
      </c>
      <c r="B3" s="12">
        <f>B2+1</f>
        <v>2</v>
      </c>
      <c r="C3" s="10">
        <v>8</v>
      </c>
      <c r="D3" s="9">
        <v>2023</v>
      </c>
      <c r="E3" s="33">
        <f>IF((Electrical!B4-Electrical!B3)&lt;0,"0",(Electrical!B4-Electrical!B3))</f>
        <v>370</v>
      </c>
      <c r="F3" s="33">
        <f>IF((Electrical!C4-Electrical!C3)&lt;0,"0",(Electrical!C4-Electrical!C3))</f>
        <v>250</v>
      </c>
      <c r="G3" s="33">
        <f>IF((Electrical!D4-Electrical!D3)&lt;0,"0",(Electrical!D4-Electrical!D3))</f>
        <v>237</v>
      </c>
      <c r="H3" s="33">
        <f>IF((Electrical!E4-Electrical!E3)&lt;0,"0",(Electrical!E4-Electrical!E3))</f>
        <v>3465</v>
      </c>
      <c r="I3" s="33">
        <f>IF((Electrical!F4-Electrical!F3)&lt;0,"0",(Electrical!F4-Electrical!F3))</f>
        <v>340</v>
      </c>
      <c r="J3" s="33">
        <f>IF((Gas!B4-Gas!B3)&lt;0,"0",(Gas!B4-Gas!B3))</f>
        <v>0</v>
      </c>
      <c r="K3" s="33">
        <f>IF((Gas!C4-Gas!C3)&lt;0,"0",(Gas!C4-Gas!C3))</f>
        <v>638</v>
      </c>
      <c r="L3" s="33">
        <f>IF((Water!B4-Water!B3)&lt;0,"0",(Water!B4-Water!B3))</f>
        <v>7</v>
      </c>
      <c r="M3" s="33">
        <f>IF((Water!C4-Water!C3)&lt;0,"0",(Water!C4-Water!C3))</f>
        <v>24</v>
      </c>
      <c r="N3" s="33">
        <f>IF((Water!D4-Water!D3)&lt;0,"0",(Water!D4-Water!D3))</f>
        <v>0</v>
      </c>
      <c r="O3" s="33">
        <f>IF((Water!E4-Water!E3)&lt;0,"0",(Water!E4-Water!E3))</f>
        <v>8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3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35</v>
      </c>
      <c r="Y3" s="9">
        <v>133</v>
      </c>
      <c r="Z3" s="9">
        <v>133</v>
      </c>
    </row>
    <row r="4" spans="1:26" s="12" customFormat="1" x14ac:dyDescent="0.55000000000000004">
      <c r="A4" s="9" t="s">
        <v>36</v>
      </c>
      <c r="B4" s="12">
        <f t="shared" ref="B4:B32" si="0">B3+1</f>
        <v>3</v>
      </c>
      <c r="C4" s="10">
        <v>8</v>
      </c>
      <c r="D4" s="9">
        <v>2023</v>
      </c>
      <c r="E4" s="33">
        <f>IF((Electrical!B5-Electrical!B4)&lt;0,"0",(Electrical!B5-Electrical!B4))</f>
        <v>243</v>
      </c>
      <c r="F4" s="33">
        <f>IF((Electrical!C5-Electrical!C4)&lt;0,"0",(Electrical!C5-Electrical!C4))</f>
        <v>148</v>
      </c>
      <c r="G4" s="33">
        <f>IF((Electrical!D5-Electrical!D4)&lt;0,"0",(Electrical!D5-Electrical!D4))</f>
        <v>241</v>
      </c>
      <c r="H4" s="33">
        <f>IF((Electrical!E5-Electrical!E4)&lt;0,"0",(Electrical!E5-Electrical!E4))</f>
        <v>2731</v>
      </c>
      <c r="I4" s="33">
        <f>IF((Electrical!F5-Electrical!F4)&lt;0,"0",(Electrical!F5-Electrical!F4))</f>
        <v>353</v>
      </c>
      <c r="J4" s="33">
        <f>IF((Gas!B5-Gas!B4)&lt;0,"0",(Gas!B5-Gas!B4))</f>
        <v>0</v>
      </c>
      <c r="K4" s="33">
        <f>IF((Gas!C5-Gas!C4)&lt;0,"0",(Gas!C5-Gas!C4))</f>
        <v>580</v>
      </c>
      <c r="L4" s="33">
        <f>IF((Water!B5-Water!B4)&lt;0,"0",(Water!B5-Water!B4))</f>
        <v>9</v>
      </c>
      <c r="M4" s="33">
        <f>IF((Water!C5-Water!C4)&lt;0,"0",(Water!C5-Water!C4))</f>
        <v>30</v>
      </c>
      <c r="N4" s="33">
        <f>IF((Water!D5-Water!D4)&lt;0,"0",(Water!D5-Water!D4))</f>
        <v>0</v>
      </c>
      <c r="O4" s="33">
        <f>IF((Water!E5-Water!E4)&lt;0,"0",(Water!E5-Water!E4))</f>
        <v>8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30</v>
      </c>
      <c r="Y4" s="9">
        <v>125</v>
      </c>
      <c r="Z4" s="9">
        <v>125</v>
      </c>
    </row>
    <row r="5" spans="1:26" s="12" customFormat="1" x14ac:dyDescent="0.55000000000000004">
      <c r="A5" s="9" t="s">
        <v>36</v>
      </c>
      <c r="B5" s="12">
        <f t="shared" si="0"/>
        <v>4</v>
      </c>
      <c r="C5" s="10">
        <v>8</v>
      </c>
      <c r="D5" s="9">
        <v>2023</v>
      </c>
      <c r="E5" s="33">
        <f>IF((Electrical!B6-Electrical!B5)&lt;0,"0",(Electrical!B6-Electrical!B5))</f>
        <v>218</v>
      </c>
      <c r="F5" s="33">
        <f>IF((Electrical!C6-Electrical!C5)&lt;0,"0",(Electrical!C6-Electrical!C5))</f>
        <v>371</v>
      </c>
      <c r="G5" s="33">
        <f>IF((Electrical!D6-Electrical!D5)&lt;0,"0",(Electrical!D6-Electrical!D5))</f>
        <v>263</v>
      </c>
      <c r="H5" s="33">
        <f>IF((Electrical!E6-Electrical!E5)&lt;0,"0",(Electrical!E6-Electrical!E5))</f>
        <v>3399</v>
      </c>
      <c r="I5" s="33">
        <f>IF((Electrical!F6-Electrical!F5)&lt;0,"0",(Electrical!F6-Electrical!F5))</f>
        <v>387</v>
      </c>
      <c r="J5" s="33">
        <f>IF((Gas!B6-Gas!B5)&lt;0,"0",(Gas!B6-Gas!B5))</f>
        <v>0</v>
      </c>
      <c r="K5" s="33">
        <f>IF((Gas!C6-Gas!C5)&lt;0,"0",(Gas!C6-Gas!C5))</f>
        <v>629</v>
      </c>
      <c r="L5" s="33">
        <f>IF((Water!B6-Water!B5)&lt;0,"0",(Water!B6-Water!B5))</f>
        <v>8</v>
      </c>
      <c r="M5" s="33">
        <f>IF((Water!C6-Water!C5)&lt;0,"0",(Water!C6-Water!C5))</f>
        <v>16</v>
      </c>
      <c r="N5" s="33">
        <f>IF((Water!D6-Water!D5)&lt;0,"0",(Water!D6-Water!D5))</f>
        <v>0</v>
      </c>
      <c r="O5" s="33">
        <f>IF((Water!E6-Water!E5)&lt;0,"0",(Water!E6-Water!E5))</f>
        <v>9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0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31</v>
      </c>
      <c r="Y5" s="9">
        <v>110</v>
      </c>
      <c r="Z5" s="9">
        <v>110</v>
      </c>
    </row>
    <row r="6" spans="1:26" s="12" customFormat="1" x14ac:dyDescent="0.55000000000000004">
      <c r="A6" s="9" t="s">
        <v>36</v>
      </c>
      <c r="B6" s="12">
        <f t="shared" si="0"/>
        <v>5</v>
      </c>
      <c r="C6" s="10">
        <v>8</v>
      </c>
      <c r="D6" s="9">
        <v>2023</v>
      </c>
      <c r="E6" s="33">
        <f>IF((Electrical!B7-Electrical!B6)&lt;0,"0",(Electrical!B7-Electrical!B6))</f>
        <v>277</v>
      </c>
      <c r="F6" s="33">
        <f>IF((Electrical!C7-Electrical!C6)&lt;0,"0",(Electrical!C7-Electrical!C6))</f>
        <v>251</v>
      </c>
      <c r="G6" s="33">
        <f>IF((Electrical!D7-Electrical!D6)&lt;0,"0",(Electrical!D7-Electrical!D6))</f>
        <v>264</v>
      </c>
      <c r="H6" s="33">
        <f>IF((Electrical!E7-Electrical!E6)&lt;0,"0",(Electrical!E7-Electrical!E6))</f>
        <v>3548</v>
      </c>
      <c r="I6" s="33">
        <f>IF((Electrical!F7-Electrical!F6)&lt;0,"0",(Electrical!F7-Electrical!F6))</f>
        <v>370</v>
      </c>
      <c r="J6" s="33">
        <f>IF((Gas!B7-Gas!B6)&lt;0,"0",(Gas!B7-Gas!B6))</f>
        <v>0</v>
      </c>
      <c r="K6" s="33">
        <f>IF((Gas!C7-Gas!C6)&lt;0,"0",(Gas!C7-Gas!C6))</f>
        <v>661</v>
      </c>
      <c r="L6" s="33">
        <f>IF((Water!B7-Water!B6)&lt;0,"0",(Water!B7-Water!B6))</f>
        <v>9</v>
      </c>
      <c r="M6" s="33">
        <f>IF((Water!C7-Water!C6)&lt;0,"0",(Water!C7-Water!C6))</f>
        <v>25</v>
      </c>
      <c r="N6" s="33">
        <f>IF((Water!D7-Water!D6)&lt;0,"0",(Water!D7-Water!D6))</f>
        <v>0</v>
      </c>
      <c r="O6" s="33">
        <f>IF((Water!E7-Water!E6)&lt;0,"0",(Water!E7-Water!E6))</f>
        <v>8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110</v>
      </c>
      <c r="Z6" s="9">
        <v>110</v>
      </c>
    </row>
    <row r="7" spans="1:26" s="12" customFormat="1" x14ac:dyDescent="0.55000000000000004">
      <c r="A7" s="9" t="s">
        <v>36</v>
      </c>
      <c r="B7" s="12">
        <f t="shared" si="0"/>
        <v>6</v>
      </c>
      <c r="C7" s="10">
        <v>8</v>
      </c>
      <c r="D7" s="9">
        <v>2023</v>
      </c>
      <c r="E7" s="33">
        <f>IF((Electrical!B8-Electrical!B7)&lt;0,"0",(Electrical!B8-Electrical!B7))</f>
        <v>279</v>
      </c>
      <c r="F7" s="33">
        <f>IF((Electrical!C8-Electrical!C7)&lt;0,"0",(Electrical!C8-Electrical!C7))</f>
        <v>215</v>
      </c>
      <c r="G7" s="33">
        <f>IF((Electrical!D8-Electrical!D7)&lt;0,"0",(Electrical!D8-Electrical!D7))</f>
        <v>234</v>
      </c>
      <c r="H7" s="33">
        <f>IF((Electrical!E8-Electrical!E7)&lt;0,"0",(Electrical!E8-Electrical!E7))</f>
        <v>3182</v>
      </c>
      <c r="I7" s="33">
        <f>IF((Electrical!F8-Electrical!F7)&lt;0,"0",(Electrical!F8-Electrical!F7))</f>
        <v>374</v>
      </c>
      <c r="J7" s="33">
        <f>IF((Gas!B8-Gas!B7)&lt;0,"0",(Gas!B8-Gas!B7))</f>
        <v>0</v>
      </c>
      <c r="K7" s="33">
        <f>IF((Gas!C8-Gas!C7)&lt;0,"0",(Gas!C8-Gas!C7))</f>
        <v>649</v>
      </c>
      <c r="L7" s="33">
        <f>IF((Water!B8-Water!B7)&lt;0,"0",(Water!B8-Water!B7))</f>
        <v>7</v>
      </c>
      <c r="M7" s="33">
        <f>IF((Water!C8-Water!C7)&lt;0,"0",(Water!C8-Water!C7))</f>
        <v>30</v>
      </c>
      <c r="N7" s="33">
        <f>IF((Water!D8-Water!D7)&lt;0,"0",(Water!D8-Water!D7))</f>
        <v>0</v>
      </c>
      <c r="O7" s="33">
        <f>IF((Water!E8-Water!E7)&lt;0,"0",(Water!E8-Water!E7))</f>
        <v>7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1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31</v>
      </c>
      <c r="Y7" s="9">
        <v>85</v>
      </c>
      <c r="Z7" s="9">
        <v>85</v>
      </c>
    </row>
    <row r="8" spans="1:26" s="12" customFormat="1" x14ac:dyDescent="0.55000000000000004">
      <c r="A8" s="9" t="s">
        <v>36</v>
      </c>
      <c r="B8" s="12">
        <f t="shared" si="0"/>
        <v>7</v>
      </c>
      <c r="C8" s="10">
        <v>8</v>
      </c>
      <c r="D8" s="9">
        <v>2023</v>
      </c>
      <c r="E8" s="33">
        <f>IF((Electrical!B9-Electrical!B8)&lt;0,"0",(Electrical!B9-Electrical!B8))</f>
        <v>256</v>
      </c>
      <c r="F8" s="33">
        <f>IF((Electrical!C9-Electrical!C8)&lt;0,"0",(Electrical!C9-Electrical!C8))</f>
        <v>246</v>
      </c>
      <c r="G8" s="33">
        <f>IF((Electrical!D9-Electrical!D8)&lt;0,"0",(Electrical!D9-Electrical!D8))</f>
        <v>251</v>
      </c>
      <c r="H8" s="33">
        <f>IF((Electrical!E9-Electrical!E8)&lt;0,"0",(Electrical!E9-Electrical!E8))</f>
        <v>3886</v>
      </c>
      <c r="I8" s="33">
        <f>IF((Electrical!F9-Electrical!F8)&lt;0,"0",(Electrical!F9-Electrical!F8))</f>
        <v>292</v>
      </c>
      <c r="J8" s="33">
        <f>IF((Gas!B9-Gas!B8)&lt;0,"0",(Gas!B9-Gas!B8))</f>
        <v>0</v>
      </c>
      <c r="K8" s="33">
        <f>IF((Gas!C9-Gas!C8)&lt;0,"0",(Gas!C9-Gas!C8))</f>
        <v>555</v>
      </c>
      <c r="L8" s="33">
        <f>IF((Water!B9-Water!B8)&lt;0,"0",(Water!B9-Water!B8))</f>
        <v>9</v>
      </c>
      <c r="M8" s="33">
        <f>IF((Water!C9-Water!C8)&lt;0,"0",(Water!C9-Water!C8))</f>
        <v>26</v>
      </c>
      <c r="N8" s="33">
        <f>IF((Water!D9-Water!D8)&lt;0,"0",(Water!D9-Water!D8))</f>
        <v>0</v>
      </c>
      <c r="O8" s="33">
        <f>IF((Water!E9-Water!E8)&lt;0,"0",(Water!E9-Water!E8))</f>
        <v>6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31</v>
      </c>
      <c r="Y8" s="9">
        <v>88</v>
      </c>
      <c r="Z8" s="9">
        <v>88</v>
      </c>
    </row>
    <row r="9" spans="1:26" s="12" customFormat="1" x14ac:dyDescent="0.55000000000000004">
      <c r="A9" s="9" t="s">
        <v>36</v>
      </c>
      <c r="B9" s="12">
        <f t="shared" si="0"/>
        <v>8</v>
      </c>
      <c r="C9" s="10">
        <v>8</v>
      </c>
      <c r="D9" s="9">
        <v>2023</v>
      </c>
      <c r="E9" s="33">
        <f>IF((Electrical!B10-Electrical!B9)&lt;0,"0",(Electrical!B10-Electrical!B9))</f>
        <v>200</v>
      </c>
      <c r="F9" s="33">
        <f>IF((Electrical!C10-Electrical!C9)&lt;0,"0",(Electrical!C10-Electrical!C9))</f>
        <v>256</v>
      </c>
      <c r="G9" s="33">
        <f>IF((Electrical!D10-Electrical!D9)&lt;0,"0",(Electrical!D10-Electrical!D9))</f>
        <v>252</v>
      </c>
      <c r="H9" s="33">
        <f>IF((Electrical!E10-Electrical!E9)&lt;0,"0",(Electrical!E10-Electrical!E9))</f>
        <v>2773</v>
      </c>
      <c r="I9" s="33">
        <f>IF((Electrical!F10-Electrical!F9)&lt;0,"0",(Electrical!F10-Electrical!F9))</f>
        <v>397</v>
      </c>
      <c r="J9" s="33">
        <f>IF((Gas!B10-Gas!B9)&lt;0,"0",(Gas!B10-Gas!B9))</f>
        <v>0</v>
      </c>
      <c r="K9" s="33">
        <f>IF((Gas!C10-Gas!C9)&lt;0,"0",(Gas!C10-Gas!C9))</f>
        <v>712</v>
      </c>
      <c r="L9" s="33">
        <f>IF((Water!B10-Water!B9)&lt;0,"0",(Water!B10-Water!B9))</f>
        <v>7</v>
      </c>
      <c r="M9" s="33">
        <f>IF((Water!C10-Water!C9)&lt;0,"0",(Water!C10-Water!C9))</f>
        <v>29</v>
      </c>
      <c r="N9" s="33">
        <f>IF((Water!D10-Water!D9)&lt;0,"0",(Water!D10-Water!D9))</f>
        <v>0</v>
      </c>
      <c r="O9" s="33">
        <f>IF((Water!E10-Water!E9)&lt;0,"0",(Water!E10-Water!E9))</f>
        <v>6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9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32</v>
      </c>
      <c r="Y9" s="9">
        <v>92</v>
      </c>
      <c r="Z9" s="9">
        <v>92</v>
      </c>
    </row>
    <row r="10" spans="1:26" s="12" customFormat="1" x14ac:dyDescent="0.55000000000000004">
      <c r="A10" s="9" t="s">
        <v>36</v>
      </c>
      <c r="B10" s="12">
        <f t="shared" si="0"/>
        <v>9</v>
      </c>
      <c r="C10" s="10">
        <v>8</v>
      </c>
      <c r="D10" s="9">
        <v>2023</v>
      </c>
      <c r="E10" s="33">
        <f>IF((Electrical!B11-Electrical!B10)&lt;0,"0",(Electrical!B11-Electrical!B10))</f>
        <v>342</v>
      </c>
      <c r="F10" s="33">
        <f>IF((Electrical!C11-Electrical!C10)&lt;0,"0",(Electrical!C11-Electrical!C10))</f>
        <v>224</v>
      </c>
      <c r="G10" s="33">
        <f>IF((Electrical!D11-Electrical!D10)&lt;0,"0",(Electrical!D11-Electrical!D10))</f>
        <v>258</v>
      </c>
      <c r="H10" s="33">
        <f>IF((Electrical!E11-Electrical!E10)&lt;0,"0",(Electrical!E11-Electrical!E10))</f>
        <v>3466</v>
      </c>
      <c r="I10" s="33">
        <f>IF((Electrical!F11-Electrical!F10)&lt;0,"0",(Electrical!F11-Electrical!F10))</f>
        <v>324</v>
      </c>
      <c r="J10" s="33">
        <f>IF((Gas!B11-Gas!B10)&lt;0,"0",(Gas!B11-Gas!B10))</f>
        <v>0</v>
      </c>
      <c r="K10" s="33">
        <f>IF((Gas!C11-Gas!C10)&lt;0,"0",(Gas!C11-Gas!C10))</f>
        <v>624</v>
      </c>
      <c r="L10" s="33">
        <f>IF((Water!B11-Water!B10)&lt;0,"0",(Water!B11-Water!B10))</f>
        <v>8</v>
      </c>
      <c r="M10" s="33">
        <f>IF((Water!C11-Water!C10)&lt;0,"0",(Water!C11-Water!C10))</f>
        <v>29</v>
      </c>
      <c r="N10" s="33">
        <f>IF((Water!D11-Water!D10)&lt;0,"0",(Water!D11-Water!D10))</f>
        <v>0</v>
      </c>
      <c r="O10" s="33">
        <f>IF((Water!E11-Water!E10)&lt;0,"0",(Water!E11-Water!E10))</f>
        <v>6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1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48</v>
      </c>
      <c r="Y10" s="9">
        <v>112</v>
      </c>
      <c r="Z10" s="9">
        <v>112</v>
      </c>
    </row>
    <row r="11" spans="1:26" s="12" customFormat="1" x14ac:dyDescent="0.55000000000000004">
      <c r="A11" s="9" t="s">
        <v>36</v>
      </c>
      <c r="B11" s="12">
        <f t="shared" si="0"/>
        <v>10</v>
      </c>
      <c r="C11" s="10">
        <v>8</v>
      </c>
      <c r="D11" s="9">
        <v>2023</v>
      </c>
      <c r="E11" s="33">
        <f>IF((Electrical!B12-Electrical!B11)&lt;0,"0",(Electrical!B12-Electrical!B11))</f>
        <v>259</v>
      </c>
      <c r="F11" s="33">
        <f>IF((Electrical!C12-Electrical!C11)&lt;0,"0",(Electrical!C12-Electrical!C11))</f>
        <v>245</v>
      </c>
      <c r="G11" s="33">
        <f>IF((Electrical!D12-Electrical!D11)&lt;0,"0",(Electrical!D12-Electrical!D11))</f>
        <v>237</v>
      </c>
      <c r="H11" s="33">
        <f>IF((Electrical!E12-Electrical!E11)&lt;0,"0",(Electrical!E12-Electrical!E11))</f>
        <v>2920</v>
      </c>
      <c r="I11" s="33">
        <f>IF((Electrical!F12-Electrical!F11)&lt;0,"0",(Electrical!F12-Electrical!F11))</f>
        <v>370</v>
      </c>
      <c r="J11" s="33">
        <f>IF((Gas!B12-Gas!B11)&lt;0,"0",(Gas!B12-Gas!B11))</f>
        <v>0</v>
      </c>
      <c r="K11" s="33">
        <f>IF((Gas!C12-Gas!C11)&lt;0,"0",(Gas!C12-Gas!C11))</f>
        <v>523</v>
      </c>
      <c r="L11" s="33">
        <f>IF((Water!B12-Water!B11)&lt;0,"0",(Water!B12-Water!B11))</f>
        <v>8</v>
      </c>
      <c r="M11" s="33">
        <f>IF((Water!C12-Water!C11)&lt;0,"0",(Water!C12-Water!C11))</f>
        <v>32</v>
      </c>
      <c r="N11" s="33">
        <f>IF((Water!D12-Water!D11)&lt;0,"0",(Water!D12-Water!D11))</f>
        <v>0</v>
      </c>
      <c r="O11" s="33">
        <f>IF((Water!E12-Water!E11)&lt;0,"0",(Water!E12-Water!E11))</f>
        <v>8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6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31</v>
      </c>
      <c r="Y11" s="9">
        <v>91</v>
      </c>
      <c r="Z11" s="9">
        <v>91</v>
      </c>
    </row>
    <row r="12" spans="1:26" s="12" customFormat="1" x14ac:dyDescent="0.55000000000000004">
      <c r="A12" s="9" t="s">
        <v>36</v>
      </c>
      <c r="B12" s="12">
        <f t="shared" si="0"/>
        <v>11</v>
      </c>
      <c r="C12" s="10">
        <v>8</v>
      </c>
      <c r="D12" s="9">
        <v>2023</v>
      </c>
      <c r="E12" s="33">
        <f>IF((Electrical!B13-Electrical!B12)&lt;0,"0",(Electrical!B13-Electrical!B12))</f>
        <v>266</v>
      </c>
      <c r="F12" s="33">
        <f>IF((Electrical!C13-Electrical!C12)&lt;0,"0",(Electrical!C13-Electrical!C12))</f>
        <v>255</v>
      </c>
      <c r="G12" s="33">
        <f>IF((Electrical!D13-Electrical!D12)&lt;0,"0",(Electrical!D13-Electrical!D12))</f>
        <v>261</v>
      </c>
      <c r="H12" s="33">
        <f>IF((Electrical!E13-Electrical!E12)&lt;0,"0",(Electrical!E13-Electrical!E12))</f>
        <v>3318</v>
      </c>
      <c r="I12" s="33">
        <f>IF((Electrical!F13-Electrical!F12)&lt;0,"0",(Electrical!F13-Electrical!F12))</f>
        <v>339</v>
      </c>
      <c r="J12" s="33">
        <f>IF((Gas!B13-Gas!B12)&lt;0,"0",(Gas!B13-Gas!B12))</f>
        <v>0</v>
      </c>
      <c r="K12" s="33">
        <f>IF((Gas!C13-Gas!C12)&lt;0,"0",(Gas!C13-Gas!C12))</f>
        <v>657</v>
      </c>
      <c r="L12" s="33">
        <f>IF((Water!B13-Water!B12)&lt;0,"0",(Water!B13-Water!B12))</f>
        <v>7</v>
      </c>
      <c r="M12" s="33">
        <f>IF((Water!C13-Water!C12)&lt;0,"0",(Water!C13-Water!C12))</f>
        <v>23</v>
      </c>
      <c r="N12" s="33">
        <f>IF((Water!D13-Water!D12)&lt;0,"0",(Water!D13-Water!D12))</f>
        <v>0</v>
      </c>
      <c r="O12" s="33">
        <f>IF((Water!E13-Water!E12)&lt;0,"0",(Water!E13-Water!E12))</f>
        <v>6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32</v>
      </c>
      <c r="Y12" s="9">
        <v>99</v>
      </c>
      <c r="Z12" s="9">
        <v>99</v>
      </c>
    </row>
    <row r="13" spans="1:26" s="12" customFormat="1" x14ac:dyDescent="0.55000000000000004">
      <c r="A13" s="9" t="s">
        <v>36</v>
      </c>
      <c r="B13" s="12">
        <f t="shared" si="0"/>
        <v>12</v>
      </c>
      <c r="C13" s="10">
        <v>8</v>
      </c>
      <c r="D13" s="9">
        <v>2023</v>
      </c>
      <c r="E13" s="33">
        <f>IF((Electrical!B14-Electrical!B13)&lt;0,"0",(Electrical!B14-Electrical!B13))</f>
        <v>309</v>
      </c>
      <c r="F13" s="33">
        <f>IF((Electrical!C14-Electrical!C13)&lt;0,"0",(Electrical!C14-Electrical!C13))</f>
        <v>211</v>
      </c>
      <c r="G13" s="33">
        <f>IF((Electrical!D14-Electrical!D13)&lt;0,"0",(Electrical!D14-Electrical!D13))</f>
        <v>252</v>
      </c>
      <c r="H13" s="33">
        <f>IF((Electrical!E14-Electrical!E13)&lt;0,"0",(Electrical!E14-Electrical!E13))</f>
        <v>3416</v>
      </c>
      <c r="I13" s="33">
        <f>IF((Electrical!F14-Electrical!F13)&lt;0,"0",(Electrical!F14-Electrical!F13))</f>
        <v>379</v>
      </c>
      <c r="J13" s="33">
        <f>IF((Gas!B14-Gas!B13)&lt;0,"0",(Gas!B14-Gas!B13))</f>
        <v>0</v>
      </c>
      <c r="K13" s="33">
        <f>IF((Gas!C14-Gas!C13)&lt;0,"0",(Gas!C14-Gas!C13))</f>
        <v>615</v>
      </c>
      <c r="L13" s="33">
        <f>IF((Water!B14-Water!B13)&lt;0,"0",(Water!B14-Water!B13))</f>
        <v>10</v>
      </c>
      <c r="M13" s="33">
        <f>IF((Water!C14-Water!C13)&lt;0,"0",(Water!C14-Water!C13))</f>
        <v>30</v>
      </c>
      <c r="N13" s="33">
        <f>IF((Water!D14-Water!D13)&lt;0,"0",(Water!D14-Water!D13))</f>
        <v>0</v>
      </c>
      <c r="O13" s="33">
        <f>IF((Water!E14-Water!E13)&lt;0,"0",(Water!E14-Water!E13))</f>
        <v>10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2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32</v>
      </c>
      <c r="Y13" s="9">
        <v>99</v>
      </c>
      <c r="Z13" s="9">
        <v>99</v>
      </c>
    </row>
    <row r="14" spans="1:26" s="12" customFormat="1" x14ac:dyDescent="0.55000000000000004">
      <c r="A14" s="9" t="s">
        <v>36</v>
      </c>
      <c r="B14" s="12">
        <f t="shared" si="0"/>
        <v>13</v>
      </c>
      <c r="C14" s="10">
        <v>8</v>
      </c>
      <c r="D14" s="9">
        <v>2023</v>
      </c>
      <c r="E14" s="33">
        <f>IF((Electrical!B15-Electrical!B14)&lt;0,"0",(Electrical!B15-Electrical!B14))</f>
        <v>206</v>
      </c>
      <c r="F14" s="33">
        <f>IF((Electrical!C15-Electrical!C14)&lt;0,"0",(Electrical!C15-Electrical!C14))</f>
        <v>250</v>
      </c>
      <c r="G14" s="33">
        <f>IF((Electrical!D15-Electrical!D14)&lt;0,"0",(Electrical!D15-Electrical!D14))</f>
        <v>249</v>
      </c>
      <c r="H14" s="33">
        <f>IF((Electrical!E15-Electrical!E14)&lt;0,"0",(Electrical!E15-Electrical!E14))</f>
        <v>3339</v>
      </c>
      <c r="I14" s="33">
        <f>IF((Electrical!F15-Electrical!F14)&lt;0,"0",(Electrical!F15-Electrical!F14))</f>
        <v>379</v>
      </c>
      <c r="J14" s="33">
        <f>IF((Gas!B15-Gas!B14)&lt;0,"0",(Gas!B15-Gas!B14))</f>
        <v>0</v>
      </c>
      <c r="K14" s="33">
        <f>IF((Gas!C15-Gas!C14)&lt;0,"0",(Gas!C15-Gas!C14))</f>
        <v>595</v>
      </c>
      <c r="L14" s="33">
        <f>IF((Water!B15-Water!B14)&lt;0,"0",(Water!B15-Water!B14))</f>
        <v>9</v>
      </c>
      <c r="M14" s="33">
        <f>IF((Water!C15-Water!C14)&lt;0,"0",(Water!C15-Water!C14))</f>
        <v>29</v>
      </c>
      <c r="N14" s="33">
        <f>IF((Water!D15-Water!D14)&lt;0,"0",(Water!D15-Water!D14))</f>
        <v>0</v>
      </c>
      <c r="O14" s="33">
        <f>IF((Water!E15-Water!E14)&lt;0,"0",(Water!E15-Water!E14))</f>
        <v>12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1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31</v>
      </c>
      <c r="Y14" s="9">
        <v>114</v>
      </c>
      <c r="Z14" s="9">
        <v>114</v>
      </c>
    </row>
    <row r="15" spans="1:26" s="12" customFormat="1" x14ac:dyDescent="0.55000000000000004">
      <c r="A15" s="9" t="s">
        <v>36</v>
      </c>
      <c r="B15" s="12">
        <f t="shared" si="0"/>
        <v>14</v>
      </c>
      <c r="C15" s="10">
        <v>8</v>
      </c>
      <c r="D15" s="9">
        <v>2023</v>
      </c>
      <c r="E15" s="33">
        <f>IF((Electrical!B16-Electrical!B15)&lt;0,"0",(Electrical!B16-Electrical!B15))</f>
        <v>295</v>
      </c>
      <c r="F15" s="33">
        <f>IF((Electrical!C16-Electrical!C15)&lt;0,"0",(Electrical!C16-Electrical!C15))</f>
        <v>228</v>
      </c>
      <c r="G15" s="33">
        <f>IF((Electrical!D16-Electrical!D15)&lt;0,"0",(Electrical!D16-Electrical!D15))</f>
        <v>225</v>
      </c>
      <c r="H15" s="33">
        <f>IF((Electrical!E16-Electrical!E15)&lt;0,"0",(Electrical!E16-Electrical!E15))</f>
        <v>2879</v>
      </c>
      <c r="I15" s="33">
        <f>IF((Electrical!F16-Electrical!F15)&lt;0,"0",(Electrical!F16-Electrical!F15))</f>
        <v>365</v>
      </c>
      <c r="J15" s="33">
        <f>IF((Gas!B16-Gas!B15)&lt;0,"0",(Gas!B16-Gas!B15))</f>
        <v>0</v>
      </c>
      <c r="K15" s="33">
        <f>IF((Gas!C16-Gas!C15)&lt;0,"0",(Gas!C16-Gas!C15))</f>
        <v>486</v>
      </c>
      <c r="L15" s="33">
        <f>IF((Water!B16-Water!B15)&lt;0,"0",(Water!B16-Water!B15))</f>
        <v>8</v>
      </c>
      <c r="M15" s="33">
        <f>IF((Water!C16-Water!C15)&lt;0,"0",(Water!C16-Water!C15))</f>
        <v>32</v>
      </c>
      <c r="N15" s="33">
        <f>IF((Water!D16-Water!D15)&lt;0,"0",(Water!D16-Water!D15))</f>
        <v>0</v>
      </c>
      <c r="O15" s="33">
        <f>IF((Water!E16-Water!E15)&lt;0,"0",(Water!E16-Water!E15))</f>
        <v>8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9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32</v>
      </c>
      <c r="Y15" s="9">
        <v>133</v>
      </c>
      <c r="Z15" s="9">
        <v>133</v>
      </c>
    </row>
    <row r="16" spans="1:26" s="12" customFormat="1" x14ac:dyDescent="0.55000000000000004">
      <c r="A16" s="9" t="s">
        <v>36</v>
      </c>
      <c r="B16" s="12">
        <f t="shared" si="0"/>
        <v>15</v>
      </c>
      <c r="C16" s="10">
        <v>8</v>
      </c>
      <c r="D16" s="9">
        <v>2023</v>
      </c>
      <c r="E16" s="33">
        <f>IF((Electrical!B17-Electrical!B16)&lt;0,"0",(Electrical!B17-Electrical!B16))</f>
        <v>286</v>
      </c>
      <c r="F16" s="33">
        <f>IF((Electrical!C17-Electrical!C16)&lt;0,"0",(Electrical!C17-Electrical!C16))</f>
        <v>208</v>
      </c>
      <c r="G16" s="33">
        <f>IF((Electrical!D17-Electrical!D16)&lt;0,"0",(Electrical!D17-Electrical!D16))</f>
        <v>246</v>
      </c>
      <c r="H16" s="33">
        <f>IF((Electrical!E17-Electrical!E16)&lt;0,"0",(Electrical!E17-Electrical!E16))</f>
        <v>3104</v>
      </c>
      <c r="I16" s="33">
        <f>IF((Electrical!F17-Electrical!F16)&lt;0,"0",(Electrical!F17-Electrical!F16))</f>
        <v>375</v>
      </c>
      <c r="J16" s="33">
        <f>IF((Gas!B17-Gas!B16)&lt;0,"0",(Gas!B17-Gas!B16))</f>
        <v>0</v>
      </c>
      <c r="K16" s="33">
        <f>IF((Gas!C17-Gas!C16)&lt;0,"0",(Gas!C17-Gas!C16))</f>
        <v>565</v>
      </c>
      <c r="L16" s="33">
        <f>IF((Water!B17-Water!B16)&lt;0,"0",(Water!B17-Water!B16))</f>
        <v>8</v>
      </c>
      <c r="M16" s="33">
        <f>IF((Water!C17-Water!C16)&lt;0,"0",(Water!C17-Water!C16))</f>
        <v>5</v>
      </c>
      <c r="N16" s="33">
        <f>IF((Water!D17-Water!D16)&lt;0,"0",(Water!D17-Water!D16))</f>
        <v>0</v>
      </c>
      <c r="O16" s="33">
        <f>IF((Water!E17-Water!E16)&lt;0,"0",(Water!E17-Water!E16))</f>
        <v>9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0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32</v>
      </c>
      <c r="Y16" s="9">
        <v>132</v>
      </c>
      <c r="Z16" s="9">
        <v>132</v>
      </c>
    </row>
    <row r="17" spans="1:26" s="12" customFormat="1" x14ac:dyDescent="0.55000000000000004">
      <c r="A17" s="9" t="s">
        <v>36</v>
      </c>
      <c r="B17" s="12">
        <f t="shared" si="0"/>
        <v>16</v>
      </c>
      <c r="C17" s="10">
        <v>8</v>
      </c>
      <c r="D17" s="9">
        <v>2023</v>
      </c>
      <c r="E17" s="33">
        <f>IF((Electrical!B18-Electrical!B17)&lt;0,"0",(Electrical!B18-Electrical!B17))</f>
        <v>289</v>
      </c>
      <c r="F17" s="33">
        <f>IF((Electrical!C18-Electrical!C17)&lt;0,"0",(Electrical!C18-Electrical!C17))</f>
        <v>237</v>
      </c>
      <c r="G17" s="33">
        <f>IF((Electrical!D18-Electrical!D17)&lt;0,"0",(Electrical!D18-Electrical!D17))</f>
        <v>279</v>
      </c>
      <c r="H17" s="33">
        <f>IF((Electrical!E18-Electrical!E17)&lt;0,"0",(Electrical!E18-Electrical!E17))</f>
        <v>3355</v>
      </c>
      <c r="I17" s="33">
        <f>IF((Electrical!F18-Electrical!F17)&lt;0,"0",(Electrical!F18-Electrical!F17))</f>
        <v>378</v>
      </c>
      <c r="J17" s="33">
        <f>IF((Gas!B18-Gas!B17)&lt;0,"0",(Gas!B18-Gas!B17))</f>
        <v>0</v>
      </c>
      <c r="K17" s="33">
        <f>IF((Gas!C18-Gas!C17)&lt;0,"0",(Gas!C18-Gas!C17))</f>
        <v>641</v>
      </c>
      <c r="L17" s="33">
        <f>IF((Water!B18-Water!B17)&lt;0,"0",(Water!B18-Water!B17))</f>
        <v>9</v>
      </c>
      <c r="M17" s="33">
        <f>IF((Water!C18-Water!C17)&lt;0,"0",(Water!C18-Water!C17))</f>
        <v>45</v>
      </c>
      <c r="N17" s="33">
        <f>IF((Water!D18-Water!D17)&lt;0,"0",(Water!D18-Water!D17))</f>
        <v>0</v>
      </c>
      <c r="O17" s="33">
        <f>IF((Water!E18-Water!E17)&lt;0,"0",(Water!E18-Water!E17))</f>
        <v>9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31</v>
      </c>
      <c r="Y17" s="9">
        <v>148</v>
      </c>
      <c r="Z17" s="9">
        <v>148</v>
      </c>
    </row>
    <row r="18" spans="1:26" s="12" customFormat="1" x14ac:dyDescent="0.55000000000000004">
      <c r="A18" s="9" t="s">
        <v>36</v>
      </c>
      <c r="B18" s="12">
        <f t="shared" si="0"/>
        <v>17</v>
      </c>
      <c r="C18" s="10">
        <v>8</v>
      </c>
      <c r="D18" s="9">
        <v>2023</v>
      </c>
      <c r="E18" s="33">
        <f>IF((Electrical!B19-Electrical!B18)&lt;0,"0",(Electrical!B19-Electrical!B18))</f>
        <v>280</v>
      </c>
      <c r="F18" s="33">
        <f>IF((Electrical!C19-Electrical!C18)&lt;0,"0",(Electrical!C19-Electrical!C18))</f>
        <v>233</v>
      </c>
      <c r="G18" s="33">
        <f>IF((Electrical!D19-Electrical!D18)&lt;0,"0",(Electrical!D19-Electrical!D18))</f>
        <v>258</v>
      </c>
      <c r="H18" s="33">
        <f>IF((Electrical!E19-Electrical!E18)&lt;0,"0",(Electrical!E19-Electrical!E18))</f>
        <v>3445</v>
      </c>
      <c r="I18" s="33">
        <f>IF((Electrical!F19-Electrical!F18)&lt;0,"0",(Electrical!F19-Electrical!F18))</f>
        <v>364</v>
      </c>
      <c r="J18" s="33">
        <f>IF((Gas!B19-Gas!B18)&lt;0,"0",(Gas!B19-Gas!B18))</f>
        <v>0</v>
      </c>
      <c r="K18" s="33">
        <f>IF((Gas!C19-Gas!C18)&lt;0,"0",(Gas!C19-Gas!C18))</f>
        <v>611</v>
      </c>
      <c r="L18" s="33">
        <f>IF((Water!B19-Water!B18)&lt;0,"0",(Water!B19-Water!B18))</f>
        <v>9</v>
      </c>
      <c r="M18" s="33">
        <f>IF((Water!C19-Water!C18)&lt;0,"0",(Water!C19-Water!C18))</f>
        <v>25</v>
      </c>
      <c r="N18" s="33">
        <f>IF((Water!D19-Water!D18)&lt;0,"0",(Water!D19-Water!D18))</f>
        <v>0</v>
      </c>
      <c r="O18" s="33">
        <f>IF((Water!E19-Water!E18)&lt;0,"0",(Water!E19-Water!E18))</f>
        <v>12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2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48</v>
      </c>
      <c r="Y18" s="9">
        <v>166</v>
      </c>
      <c r="Z18" s="9">
        <v>166</v>
      </c>
    </row>
    <row r="19" spans="1:26" s="12" customFormat="1" x14ac:dyDescent="0.55000000000000004">
      <c r="A19" s="9" t="s">
        <v>36</v>
      </c>
      <c r="B19" s="12">
        <f t="shared" si="0"/>
        <v>18</v>
      </c>
      <c r="C19" s="10">
        <v>8</v>
      </c>
      <c r="D19" s="9">
        <v>2023</v>
      </c>
      <c r="E19" s="33">
        <f>IF((Electrical!B20-Electrical!B19)&lt;0,"0",(Electrical!B20-Electrical!B19))</f>
        <v>342</v>
      </c>
      <c r="F19" s="33">
        <f>IF((Electrical!C20-Electrical!C19)&lt;0,"0",(Electrical!C20-Electrical!C19))</f>
        <v>193</v>
      </c>
      <c r="G19" s="33">
        <f>IF((Electrical!D20-Electrical!D19)&lt;0,"0",(Electrical!D20-Electrical!D19))</f>
        <v>274</v>
      </c>
      <c r="H19" s="33">
        <f>IF((Electrical!E20-Electrical!E19)&lt;0,"0",(Electrical!E20-Electrical!E19))</f>
        <v>3370</v>
      </c>
      <c r="I19" s="33">
        <f>IF((Electrical!F20-Electrical!F19)&lt;0,"0",(Electrical!F20-Electrical!F19))</f>
        <v>409</v>
      </c>
      <c r="J19" s="33">
        <f>IF((Gas!B20-Gas!B19)&lt;0,"0",(Gas!B20-Gas!B19))</f>
        <v>0</v>
      </c>
      <c r="K19" s="33">
        <f>IF((Gas!C20-Gas!C19)&lt;0,"0",(Gas!C20-Gas!C19))</f>
        <v>655</v>
      </c>
      <c r="L19" s="33">
        <f>IF((Water!B20-Water!B19)&lt;0,"0",(Water!B20-Water!B19))</f>
        <v>9</v>
      </c>
      <c r="M19" s="33">
        <f>IF((Water!C20-Water!C19)&lt;0,"0",(Water!C20-Water!C19))</f>
        <v>31</v>
      </c>
      <c r="N19" s="33">
        <f>IF((Water!D20-Water!D19)&lt;0,"0",(Water!D20-Water!D19))</f>
        <v>0</v>
      </c>
      <c r="O19" s="33">
        <f>IF((Water!E20-Water!E19)&lt;0,"0",(Water!E20-Water!E19))</f>
        <v>13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0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16</v>
      </c>
      <c r="Y19" s="9">
        <v>169</v>
      </c>
      <c r="Z19" s="9">
        <v>169</v>
      </c>
    </row>
    <row r="20" spans="1:26" s="12" customFormat="1" x14ac:dyDescent="0.55000000000000004">
      <c r="A20" s="9" t="s">
        <v>36</v>
      </c>
      <c r="B20" s="12">
        <f t="shared" si="0"/>
        <v>19</v>
      </c>
      <c r="C20" s="10">
        <v>8</v>
      </c>
      <c r="D20" s="9">
        <v>2023</v>
      </c>
      <c r="E20" s="33">
        <f>IF((Electrical!B21-Electrical!B20)&lt;0,"0",(Electrical!B21-Electrical!B20))</f>
        <v>260</v>
      </c>
      <c r="F20" s="33">
        <f>IF((Electrical!C21-Electrical!C20)&lt;0,"0",(Electrical!C21-Electrical!C20))</f>
        <v>216</v>
      </c>
      <c r="G20" s="33">
        <f>IF((Electrical!D21-Electrical!D20)&lt;0,"0",(Electrical!D21-Electrical!D20))</f>
        <v>235</v>
      </c>
      <c r="H20" s="33">
        <f>IF((Electrical!E21-Electrical!E20)&lt;0,"0",(Electrical!E21-Electrical!E20))</f>
        <v>2913</v>
      </c>
      <c r="I20" s="33">
        <f>IF((Electrical!F21-Electrical!F20)&lt;0,"0",(Electrical!F21-Electrical!F20))</f>
        <v>425</v>
      </c>
      <c r="J20" s="33">
        <f>IF((Gas!B21-Gas!B20)&lt;0,"0",(Gas!B21-Gas!B20))</f>
        <v>0</v>
      </c>
      <c r="K20" s="33">
        <f>IF((Gas!C21-Gas!C20)&lt;0,"0",(Gas!C21-Gas!C20))</f>
        <v>798</v>
      </c>
      <c r="L20" s="33">
        <f>IF((Water!B21-Water!B20)&lt;0,"0",(Water!B21-Water!B20))</f>
        <v>9</v>
      </c>
      <c r="M20" s="33">
        <f>IF((Water!C21-Water!C20)&lt;0,"0",(Water!C21-Water!C20))</f>
        <v>19</v>
      </c>
      <c r="N20" s="33">
        <f>IF((Water!D21-Water!D20)&lt;0,"0",(Water!D21-Water!D20))</f>
        <v>0</v>
      </c>
      <c r="O20" s="33">
        <f>IF((Water!E21-Water!E20)&lt;0,"0",(Water!E21-Water!E20))</f>
        <v>14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31</v>
      </c>
      <c r="Y20" s="9">
        <v>157</v>
      </c>
      <c r="Z20" s="9">
        <v>157</v>
      </c>
    </row>
    <row r="21" spans="1:26" s="12" customFormat="1" x14ac:dyDescent="0.55000000000000004">
      <c r="A21" s="9" t="s">
        <v>36</v>
      </c>
      <c r="B21" s="12">
        <f t="shared" si="0"/>
        <v>20</v>
      </c>
      <c r="C21" s="10">
        <v>8</v>
      </c>
      <c r="D21" s="9">
        <v>2023</v>
      </c>
      <c r="E21" s="33">
        <f>IF((Electrical!B22-Electrical!B21)&lt;0,"0",(Electrical!B22-Electrical!B21))</f>
        <v>286</v>
      </c>
      <c r="F21" s="33">
        <f>IF((Electrical!C22-Electrical!C21)&lt;0,"0",(Electrical!C22-Electrical!C21))</f>
        <v>231</v>
      </c>
      <c r="G21" s="33">
        <f>IF((Electrical!D22-Electrical!D21)&lt;0,"0",(Electrical!D22-Electrical!D21))</f>
        <v>253</v>
      </c>
      <c r="H21" s="33">
        <f>IF((Electrical!E22-Electrical!E21)&lt;0,"0",(Electrical!E22-Electrical!E21))</f>
        <v>3594</v>
      </c>
      <c r="I21" s="33">
        <f>IF((Electrical!F22-Electrical!F21)&lt;0,"0",(Electrical!F22-Electrical!F21))</f>
        <v>402</v>
      </c>
      <c r="J21" s="33">
        <f>IF((Gas!B22-Gas!B21)&lt;0,"0",(Gas!B22-Gas!B21))</f>
        <v>0</v>
      </c>
      <c r="K21" s="33">
        <f>IF((Gas!C22-Gas!C21)&lt;0,"0",(Gas!C22-Gas!C21))</f>
        <v>678</v>
      </c>
      <c r="L21" s="33">
        <f>IF((Water!B22-Water!B21)&lt;0,"0",(Water!B22-Water!B21))</f>
        <v>11</v>
      </c>
      <c r="M21" s="33">
        <f>IF((Water!C22-Water!C21)&lt;0,"0",(Water!C22-Water!C21))</f>
        <v>22</v>
      </c>
      <c r="N21" s="33">
        <f>IF((Water!D22-Water!D21)&lt;0,"0",(Water!D22-Water!D21))</f>
        <v>0</v>
      </c>
      <c r="O21" s="33">
        <f>IF((Water!E22-Water!E21)&lt;0,"0",(Water!E22-Water!E21))</f>
        <v>13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31</v>
      </c>
      <c r="Y21" s="9">
        <v>124</v>
      </c>
      <c r="Z21" s="9">
        <v>124</v>
      </c>
    </row>
    <row r="22" spans="1:26" s="12" customFormat="1" x14ac:dyDescent="0.55000000000000004">
      <c r="A22" s="9" t="s">
        <v>36</v>
      </c>
      <c r="B22" s="12">
        <f t="shared" si="0"/>
        <v>21</v>
      </c>
      <c r="C22" s="10">
        <v>8</v>
      </c>
      <c r="D22" s="9">
        <v>2023</v>
      </c>
      <c r="E22" s="33">
        <f>IF((Electrical!B23-Electrical!B22)&lt;0,"0",(Electrical!B23-Electrical!B22))</f>
        <v>354</v>
      </c>
      <c r="F22" s="33">
        <f>IF((Electrical!C23-Electrical!C22)&lt;0,"0",(Electrical!C23-Electrical!C22))</f>
        <v>112</v>
      </c>
      <c r="G22" s="33">
        <f>IF((Electrical!D23-Electrical!D22)&lt;0,"0",(Electrical!D23-Electrical!D22))</f>
        <v>243</v>
      </c>
      <c r="H22" s="33">
        <f>IF((Electrical!E23-Electrical!E22)&lt;0,"0",(Electrical!E23-Electrical!E22))</f>
        <v>2800</v>
      </c>
      <c r="I22" s="33">
        <f>IF((Electrical!F23-Electrical!F22)&lt;0,"0",(Electrical!F23-Electrical!F22))</f>
        <v>374</v>
      </c>
      <c r="J22" s="33">
        <f>IF((Gas!B23-Gas!B22)&lt;0,"0",(Gas!B23-Gas!B22))</f>
        <v>0</v>
      </c>
      <c r="K22" s="33">
        <f>IF((Gas!C23-Gas!C22)&lt;0,"0",(Gas!C23-Gas!C22))</f>
        <v>586</v>
      </c>
      <c r="L22" s="33">
        <f>IF((Water!B23-Water!B22)&lt;0,"0",(Water!B23-Water!B22))</f>
        <v>7</v>
      </c>
      <c r="M22" s="33">
        <f>IF((Water!C23-Water!C22)&lt;0,"0",(Water!C23-Water!C22))</f>
        <v>18</v>
      </c>
      <c r="N22" s="33">
        <f>IF((Water!D23-Water!D22)&lt;0,"0",(Water!D23-Water!D22))</f>
        <v>0</v>
      </c>
      <c r="O22" s="33">
        <f>IF((Water!E23-Water!E22)&lt;0,"0",(Water!E23-Water!E22))</f>
        <v>9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32</v>
      </c>
      <c r="Y22" s="9">
        <v>129</v>
      </c>
      <c r="Z22" s="9">
        <v>129</v>
      </c>
    </row>
    <row r="23" spans="1:26" s="12" customFormat="1" x14ac:dyDescent="0.55000000000000004">
      <c r="A23" s="9" t="s">
        <v>36</v>
      </c>
      <c r="B23" s="12">
        <f t="shared" si="0"/>
        <v>22</v>
      </c>
      <c r="C23" s="10">
        <v>8</v>
      </c>
      <c r="D23" s="9">
        <v>2023</v>
      </c>
      <c r="E23" s="33">
        <f>IF((Electrical!B24-Electrical!B23)&lt;0,"0",(Electrical!B24-Electrical!B23))</f>
        <v>332</v>
      </c>
      <c r="F23" s="33">
        <f>IF((Electrical!C24-Electrical!C23)&lt;0,"0",(Electrical!C24-Electrical!C23))</f>
        <v>189</v>
      </c>
      <c r="G23" s="33">
        <f>IF((Electrical!D24-Electrical!D23)&lt;0,"0",(Electrical!D24-Electrical!D23))</f>
        <v>272</v>
      </c>
      <c r="H23" s="33">
        <f>IF((Electrical!E24-Electrical!E23)&lt;0,"0",(Electrical!E24-Electrical!E23))</f>
        <v>3481</v>
      </c>
      <c r="I23" s="33">
        <f>IF((Electrical!F24-Electrical!F23)&lt;0,"0",(Electrical!F24-Electrical!F23))</f>
        <v>394</v>
      </c>
      <c r="J23" s="33">
        <f>IF((Gas!B24-Gas!B23)&lt;0,"0",(Gas!B24-Gas!B23))</f>
        <v>0</v>
      </c>
      <c r="K23" s="33">
        <f>IF((Gas!C24-Gas!C23)&lt;0,"0",(Gas!C24-Gas!C23))</f>
        <v>707</v>
      </c>
      <c r="L23" s="33">
        <f>IF((Water!B24-Water!B23)&lt;0,"0",(Water!B24-Water!B23))</f>
        <v>9</v>
      </c>
      <c r="M23" s="33">
        <f>IF((Water!C24-Water!C23)&lt;0,"0",(Water!C24-Water!C23))</f>
        <v>24</v>
      </c>
      <c r="N23" s="33">
        <f>IF((Water!D24-Water!D23)&lt;0,"0",(Water!D24-Water!D23))</f>
        <v>0</v>
      </c>
      <c r="O23" s="33">
        <f>IF((Water!E24-Water!E23)&lt;0,"0",(Water!E24-Water!E23))</f>
        <v>9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16</v>
      </c>
      <c r="Y23" s="9">
        <v>142</v>
      </c>
      <c r="Z23" s="9">
        <v>142</v>
      </c>
    </row>
    <row r="24" spans="1:26" s="12" customFormat="1" x14ac:dyDescent="0.55000000000000004">
      <c r="A24" s="9" t="s">
        <v>36</v>
      </c>
      <c r="B24" s="12">
        <f t="shared" si="0"/>
        <v>23</v>
      </c>
      <c r="C24" s="10">
        <v>8</v>
      </c>
      <c r="D24" s="9">
        <v>2023</v>
      </c>
      <c r="E24" s="33">
        <f>IF((Electrical!B25-Electrical!B24)&lt;0,"0",(Electrical!B25-Electrical!B24))</f>
        <v>286</v>
      </c>
      <c r="F24" s="33">
        <f>IF((Electrical!C25-Electrical!C24)&lt;0,"0",(Electrical!C25-Electrical!C24))</f>
        <v>233</v>
      </c>
      <c r="G24" s="33">
        <f>IF((Electrical!D25-Electrical!D24)&lt;0,"0",(Electrical!D25-Electrical!D24))</f>
        <v>261</v>
      </c>
      <c r="H24" s="33">
        <f>IF((Electrical!E25-Electrical!E24)&lt;0,"0",(Electrical!E25-Electrical!E24))</f>
        <v>3618</v>
      </c>
      <c r="I24" s="33">
        <f>IF((Electrical!F25-Electrical!F24)&lt;0,"0",(Electrical!F25-Electrical!F24))</f>
        <v>379</v>
      </c>
      <c r="J24" s="33">
        <f>IF((Gas!B25-Gas!B24)&lt;0,"0",(Gas!B25-Gas!B24))</f>
        <v>0</v>
      </c>
      <c r="K24" s="33">
        <f>IF((Gas!C25-Gas!C24)&lt;0,"0",(Gas!C25-Gas!C24))</f>
        <v>606</v>
      </c>
      <c r="L24" s="33">
        <f>IF((Water!B25-Water!B24)&lt;0,"0",(Water!B25-Water!B24))</f>
        <v>9</v>
      </c>
      <c r="M24" s="33">
        <f>IF((Water!C25-Water!C24)&lt;0,"0",(Water!C25-Water!C24))</f>
        <v>24</v>
      </c>
      <c r="N24" s="33">
        <f>IF((Water!D25-Water!D24)&lt;0,"0",(Water!D25-Water!D24))</f>
        <v>0</v>
      </c>
      <c r="O24" s="33">
        <f>IF((Water!E25-Water!E24)&lt;0,"0",(Water!E25-Water!E24))</f>
        <v>9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17</v>
      </c>
      <c r="Y24" s="9">
        <v>152</v>
      </c>
      <c r="Z24" s="9">
        <v>152</v>
      </c>
    </row>
    <row r="25" spans="1:26" s="12" customFormat="1" x14ac:dyDescent="0.55000000000000004">
      <c r="A25" s="9" t="s">
        <v>36</v>
      </c>
      <c r="B25" s="12">
        <f t="shared" si="0"/>
        <v>24</v>
      </c>
      <c r="C25" s="10">
        <v>8</v>
      </c>
      <c r="D25" s="9">
        <v>2023</v>
      </c>
      <c r="E25" s="33">
        <f>IF((Electrical!B26-Electrical!B25)&lt;0,"0",(Electrical!B26-Electrical!B25))</f>
        <v>351</v>
      </c>
      <c r="F25" s="33">
        <f>IF((Electrical!C26-Electrical!C25)&lt;0,"0",(Electrical!C26-Electrical!C25))</f>
        <v>186</v>
      </c>
      <c r="G25" s="33">
        <f>IF((Electrical!D26-Electrical!D25)&lt;0,"0",(Electrical!D26-Electrical!D25))</f>
        <v>267</v>
      </c>
      <c r="H25" s="33">
        <f>IF((Electrical!E26-Electrical!E25)&lt;0,"0",(Electrical!E26-Electrical!E25))</f>
        <v>3618</v>
      </c>
      <c r="I25" s="33">
        <f>IF((Electrical!F26-Electrical!F25)&lt;0,"0",(Electrical!F26-Electrical!F25))</f>
        <v>348</v>
      </c>
      <c r="J25" s="33">
        <f>IF((Gas!B26-Gas!B25)&lt;0,"0",(Gas!B26-Gas!B25))</f>
        <v>0</v>
      </c>
      <c r="K25" s="33">
        <f>IF((Gas!C26-Gas!C25)&lt;0,"0",(Gas!C26-Gas!C25))</f>
        <v>675</v>
      </c>
      <c r="L25" s="33">
        <f>IF((Water!B26-Water!B25)&lt;0,"0",(Water!B26-Water!B25))</f>
        <v>9</v>
      </c>
      <c r="M25" s="33">
        <f>IF((Water!C26-Water!C25)&lt;0,"0",(Water!C26-Water!C25))</f>
        <v>32</v>
      </c>
      <c r="N25" s="33">
        <f>IF((Water!D26-Water!D25)&lt;0,"0",(Water!D26-Water!D25))</f>
        <v>0</v>
      </c>
      <c r="O25" s="33">
        <f>IF((Water!E26-Water!E25)&lt;0,"0",(Water!E26-Water!E25))</f>
        <v>10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3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77</v>
      </c>
      <c r="Y25" s="9">
        <v>141</v>
      </c>
      <c r="Z25" s="9">
        <v>141</v>
      </c>
    </row>
    <row r="26" spans="1:26" s="12" customFormat="1" x14ac:dyDescent="0.55000000000000004">
      <c r="A26" s="9" t="s">
        <v>36</v>
      </c>
      <c r="B26" s="12">
        <f>B25+1</f>
        <v>25</v>
      </c>
      <c r="C26" s="10">
        <v>8</v>
      </c>
      <c r="D26" s="9">
        <v>2023</v>
      </c>
      <c r="E26" s="33">
        <f>IF((Electrical!B27-Electrical!B26)&lt;0,"0",(Electrical!B27-Electrical!B26))</f>
        <v>346</v>
      </c>
      <c r="F26" s="33">
        <f>IF((Electrical!C27-Electrical!C26)&lt;0,"0",(Electrical!C27-Electrical!C26))</f>
        <v>193</v>
      </c>
      <c r="G26" s="33">
        <f>IF((Electrical!D27-Electrical!D26)&lt;0,"0",(Electrical!D27-Electrical!D26))</f>
        <v>278</v>
      </c>
      <c r="H26" s="33">
        <f>IF((Electrical!E27-Electrical!E26)&lt;0,"0",(Electrical!E27-Electrical!E26))</f>
        <v>5205</v>
      </c>
      <c r="I26" s="33">
        <f>IF((Electrical!F27-Electrical!F26)&lt;0,"0",(Electrical!F27-Electrical!F26))</f>
        <v>372</v>
      </c>
      <c r="J26" s="33">
        <f>IF((Gas!B27-Gas!B26)&lt;0,"0",(Gas!B27-Gas!B26))</f>
        <v>0</v>
      </c>
      <c r="K26" s="33">
        <f>IF((Gas!C27-Gas!C26)&lt;0,"0",(Gas!C27-Gas!C26))</f>
        <v>689</v>
      </c>
      <c r="L26" s="33">
        <f>IF((Water!B27-Water!B26)&lt;0,"0",(Water!B27-Water!B26))</f>
        <v>10</v>
      </c>
      <c r="M26" s="33">
        <f>IF((Water!C27-Water!C26)&lt;0,"0",(Water!C27-Water!C26))</f>
        <v>33</v>
      </c>
      <c r="N26" s="33">
        <f>IF((Water!D27-Water!D26)&lt;0,"0",(Water!D27-Water!D26))</f>
        <v>0</v>
      </c>
      <c r="O26" s="33">
        <f>IF((Water!E27-Water!E26)&lt;0,"0",(Water!E27-Water!E26))</f>
        <v>10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32</v>
      </c>
      <c r="Y26" s="9">
        <v>140</v>
      </c>
      <c r="Z26" s="9">
        <v>140</v>
      </c>
    </row>
    <row r="27" spans="1:26" s="12" customFormat="1" x14ac:dyDescent="0.55000000000000004">
      <c r="A27" s="9" t="s">
        <v>36</v>
      </c>
      <c r="B27" s="12">
        <f t="shared" si="0"/>
        <v>26</v>
      </c>
      <c r="C27" s="10">
        <v>8</v>
      </c>
      <c r="D27" s="9">
        <v>2023</v>
      </c>
      <c r="E27" s="33">
        <f>IF((Electrical!B28-Electrical!B27)&lt;0,"0",(Electrical!B28-Electrical!B27))</f>
        <v>316</v>
      </c>
      <c r="F27" s="33">
        <f>IF((Electrical!C28-Electrical!C27)&lt;0,"0",(Electrical!C28-Electrical!C27))</f>
        <v>232</v>
      </c>
      <c r="G27" s="33">
        <f>IF((Electrical!D28-Electrical!D27)&lt;0,"0",(Electrical!D28-Electrical!D27))</f>
        <v>273</v>
      </c>
      <c r="H27" s="33">
        <f>IF((Electrical!E28-Electrical!E27)&lt;0,"0",(Electrical!E28-Electrical!E27))</f>
        <v>2539</v>
      </c>
      <c r="I27" s="33">
        <f>IF((Electrical!F28-Electrical!F27)&lt;0,"0",(Electrical!F28-Electrical!F27))</f>
        <v>375</v>
      </c>
      <c r="J27" s="33">
        <f>IF((Gas!B28-Gas!B27)&lt;0,"0",(Gas!B28-Gas!B27))</f>
        <v>0</v>
      </c>
      <c r="K27" s="33">
        <f>IF((Gas!C28-Gas!C27)&lt;0,"0",(Gas!C28-Gas!C27))</f>
        <v>766</v>
      </c>
      <c r="L27" s="33">
        <f>IF((Water!B28-Water!B27)&lt;0,"0",(Water!B28-Water!B27))</f>
        <v>10</v>
      </c>
      <c r="M27" s="33">
        <f>IF((Water!C28-Water!C27)&lt;0,"0",(Water!C28-Water!C27))</f>
        <v>22</v>
      </c>
      <c r="N27" s="33">
        <f>IF((Water!D28-Water!D27)&lt;0,"0",(Water!D28-Water!D27))</f>
        <v>0</v>
      </c>
      <c r="O27" s="33">
        <f>IF((Water!E28-Water!E27)&lt;0,"0",(Water!E28-Water!E27))</f>
        <v>11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1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32</v>
      </c>
      <c r="Y27" s="9">
        <v>146</v>
      </c>
      <c r="Z27" s="9">
        <v>146</v>
      </c>
    </row>
    <row r="28" spans="1:26" s="12" customFormat="1" x14ac:dyDescent="0.55000000000000004">
      <c r="A28" s="9" t="s">
        <v>36</v>
      </c>
      <c r="B28" s="12">
        <f t="shared" si="0"/>
        <v>27</v>
      </c>
      <c r="C28" s="10">
        <v>8</v>
      </c>
      <c r="D28" s="9">
        <v>2023</v>
      </c>
      <c r="E28" s="33">
        <f>IF((Electrical!B29-Electrical!B28)&lt;0,"0",(Electrical!B29-Electrical!B28))</f>
        <v>355</v>
      </c>
      <c r="F28" s="33">
        <f>IF((Electrical!C29-Electrical!C28)&lt;0,"0",(Electrical!C29-Electrical!C28))</f>
        <v>185</v>
      </c>
      <c r="G28" s="33">
        <f>IF((Electrical!D29-Electrical!D28)&lt;0,"0",(Electrical!D29-Electrical!D28))</f>
        <v>269</v>
      </c>
      <c r="H28" s="33">
        <f>IF((Electrical!E29-Electrical!E28)&lt;0,"0",(Electrical!E29-Electrical!E28))</f>
        <v>3469</v>
      </c>
      <c r="I28" s="33">
        <f>IF((Electrical!F29-Electrical!F28)&lt;0,"0",(Electrical!F29-Electrical!F28))</f>
        <v>390</v>
      </c>
      <c r="J28" s="33">
        <f>IF((Gas!B29-Gas!B28)&lt;0,"0",(Gas!B29-Gas!B28))</f>
        <v>0</v>
      </c>
      <c r="K28" s="33">
        <f>IF((Gas!C29-Gas!C28)&lt;0,"0",(Gas!C29-Gas!C28))</f>
        <v>708</v>
      </c>
      <c r="L28" s="33">
        <f>IF((Water!B29-Water!B28)&lt;0,"0",(Water!B29-Water!B28))</f>
        <v>10</v>
      </c>
      <c r="M28" s="33">
        <f>IF((Water!C29-Water!C28)&lt;0,"0",(Water!C29-Water!C28))</f>
        <v>23</v>
      </c>
      <c r="N28" s="33">
        <f>IF((Water!D29-Water!D28)&lt;0,"0",(Water!D29-Water!D28))</f>
        <v>0</v>
      </c>
      <c r="O28" s="33">
        <f>IF((Water!E29-Water!E28)&lt;0,"0",(Water!E29-Water!E28))</f>
        <v>10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1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32</v>
      </c>
      <c r="Y28" s="9">
        <v>96</v>
      </c>
      <c r="Z28" s="9">
        <v>96</v>
      </c>
    </row>
    <row r="29" spans="1:26" s="12" customFormat="1" x14ac:dyDescent="0.55000000000000004">
      <c r="A29" s="9" t="s">
        <v>36</v>
      </c>
      <c r="B29" s="12">
        <f t="shared" si="0"/>
        <v>28</v>
      </c>
      <c r="C29" s="10">
        <v>8</v>
      </c>
      <c r="D29" s="9">
        <v>2023</v>
      </c>
      <c r="E29" s="33">
        <f>IF((Electrical!B30-Electrical!B29)&lt;0,"0",(Electrical!B30-Electrical!B29))</f>
        <v>315</v>
      </c>
      <c r="F29" s="33">
        <f>IF((Electrical!C30-Electrical!C29)&lt;0,"0",(Electrical!C30-Electrical!C29))</f>
        <v>186</v>
      </c>
      <c r="G29" s="33">
        <f>IF((Electrical!D30-Electrical!D29)&lt;0,"0",(Electrical!D30-Electrical!D29))</f>
        <v>230</v>
      </c>
      <c r="H29" s="33">
        <f>IF((Electrical!E30-Electrical!E29)&lt;0,"0",(Electrical!E30-Electrical!E29))</f>
        <v>3398</v>
      </c>
      <c r="I29" s="33">
        <f>IF((Electrical!F30-Electrical!F29)&lt;0,"0",(Electrical!F30-Electrical!F29))</f>
        <v>364</v>
      </c>
      <c r="J29" s="33">
        <f>IF((Gas!B30-Gas!B29)&lt;0,"0",(Gas!B30-Gas!B29))</f>
        <v>0</v>
      </c>
      <c r="K29" s="33">
        <f>IF((Gas!C30-Gas!C29)&lt;0,"0",(Gas!C30-Gas!C29))</f>
        <v>655</v>
      </c>
      <c r="L29" s="33">
        <f>IF((Water!B30-Water!B29)&lt;0,"0",(Water!B30-Water!B29))</f>
        <v>8</v>
      </c>
      <c r="M29" s="33">
        <f>IF((Water!C30-Water!C29)&lt;0,"0",(Water!C30-Water!C29))</f>
        <v>26</v>
      </c>
      <c r="N29" s="33">
        <f>IF((Water!D30-Water!D29)&lt;0,"0",(Water!D30-Water!D29))</f>
        <v>0</v>
      </c>
      <c r="O29" s="33">
        <f>IF((Water!E30-Water!E29)&lt;0,"0",(Water!E30-Water!E29))</f>
        <v>8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4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33</v>
      </c>
      <c r="Y29" s="9">
        <v>150</v>
      </c>
      <c r="Z29" s="9">
        <v>150</v>
      </c>
    </row>
    <row r="30" spans="1:26" s="12" customFormat="1" x14ac:dyDescent="0.55000000000000004">
      <c r="A30" s="9" t="s">
        <v>36</v>
      </c>
      <c r="B30" s="12">
        <f t="shared" si="0"/>
        <v>29</v>
      </c>
      <c r="C30" s="10">
        <v>8</v>
      </c>
      <c r="D30" s="9">
        <v>2023</v>
      </c>
      <c r="E30" s="33">
        <f>IF((Electrical!B31-Electrical!B30)&lt;0,"0",(Electrical!B31-Electrical!B30))</f>
        <v>394</v>
      </c>
      <c r="F30" s="33">
        <f>IF((Electrical!C31-Electrical!C30)&lt;0,"0",(Electrical!C31-Electrical!C30))</f>
        <v>229</v>
      </c>
      <c r="G30" s="33">
        <f>IF((Electrical!D31-Electrical!D30)&lt;0,"0",(Electrical!D31-Electrical!D30))</f>
        <v>267</v>
      </c>
      <c r="H30" s="33">
        <f>IF((Electrical!E31-Electrical!E30)&lt;0,"0",(Electrical!E31-Electrical!E30))</f>
        <v>4482</v>
      </c>
      <c r="I30" s="33">
        <f>IF((Electrical!F31-Electrical!F30)&lt;0,"0",(Electrical!F31-Electrical!F30))</f>
        <v>360</v>
      </c>
      <c r="J30" s="33">
        <f>IF((Gas!B31-Gas!B30)&lt;0,"0",(Gas!B31-Gas!B30))</f>
        <v>0</v>
      </c>
      <c r="K30" s="33">
        <f>IF((Gas!C31-Gas!C30)&lt;0,"0",(Gas!C31-Gas!C30))</f>
        <v>743</v>
      </c>
      <c r="L30" s="33">
        <f>IF((Water!B31-Water!B30)&lt;0,"0",(Water!B31-Water!B30))</f>
        <v>9</v>
      </c>
      <c r="M30" s="33">
        <f>IF((Water!C31-Water!C30)&lt;0,"0",(Water!C31-Water!C30))</f>
        <v>28</v>
      </c>
      <c r="N30" s="33">
        <f>IF((Water!D31-Water!D30)&lt;0,"0",(Water!D31-Water!D30))</f>
        <v>0</v>
      </c>
      <c r="O30" s="33">
        <f>IF((Water!E31-Water!E30)&lt;0,"0",(Water!E31-Water!E30))</f>
        <v>8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31</v>
      </c>
      <c r="Y30" s="9">
        <v>135</v>
      </c>
      <c r="Z30" s="9">
        <v>135</v>
      </c>
    </row>
    <row r="31" spans="1:26" s="12" customFormat="1" x14ac:dyDescent="0.55000000000000004">
      <c r="A31" s="9" t="s">
        <v>36</v>
      </c>
      <c r="B31" s="12">
        <f t="shared" si="0"/>
        <v>30</v>
      </c>
      <c r="C31" s="10">
        <v>8</v>
      </c>
      <c r="D31" s="9">
        <v>2023</v>
      </c>
      <c r="E31" s="33">
        <f>IF((Electrical!B32-Electrical!B31)&lt;0,"0",(Electrical!B32-Electrical!B31))</f>
        <v>276</v>
      </c>
      <c r="F31" s="33">
        <f>IF((Electrical!C32-Electrical!C31)&lt;0,"0",(Electrical!C32-Electrical!C31))</f>
        <v>176</v>
      </c>
      <c r="G31" s="33">
        <f>IF((Electrical!D32-Electrical!D31)&lt;0,"0",(Electrical!D32-Electrical!D31))</f>
        <v>261</v>
      </c>
      <c r="H31" s="33">
        <f>IF((Electrical!E32-Electrical!E31)&lt;0,"0",(Electrical!E32-Electrical!E31))</f>
        <v>2717</v>
      </c>
      <c r="I31" s="33">
        <f>IF((Electrical!F32-Electrical!F31)&lt;0,"0",(Electrical!F32-Electrical!F31))</f>
        <v>376</v>
      </c>
      <c r="J31" s="33">
        <f>IF((Gas!B32-Gas!B31)&lt;0,"0",(Gas!B32-Gas!B31))</f>
        <v>0</v>
      </c>
      <c r="K31" s="33">
        <f>IF((Gas!C32-Gas!C31)&lt;0,"0",(Gas!C32-Gas!C31))</f>
        <v>618</v>
      </c>
      <c r="L31" s="33">
        <f>IF((Water!B32-Water!B31)&lt;0,"0",(Water!B32-Water!B31))</f>
        <v>8</v>
      </c>
      <c r="M31" s="33">
        <f>IF((Water!C32-Water!C31)&lt;0,"0",(Water!C32-Water!C31))</f>
        <v>27</v>
      </c>
      <c r="N31" s="33">
        <f>IF((Water!D32-Water!D31)&lt;0,"0",(Water!D32-Water!D31))</f>
        <v>0</v>
      </c>
      <c r="O31" s="33">
        <f>IF((Water!E32-Water!E31)&lt;0,"0",(Water!E32-Water!E31))</f>
        <v>6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39</v>
      </c>
      <c r="Y31" s="9">
        <v>148</v>
      </c>
      <c r="Z31" s="9">
        <v>148</v>
      </c>
    </row>
    <row r="32" spans="1:26" s="9" customFormat="1" x14ac:dyDescent="0.55000000000000004">
      <c r="A32" s="9" t="s">
        <v>36</v>
      </c>
      <c r="B32" s="12">
        <f t="shared" si="0"/>
        <v>31</v>
      </c>
      <c r="C32" s="10">
        <v>8</v>
      </c>
      <c r="D32" s="9">
        <v>2023</v>
      </c>
      <c r="E32" s="33">
        <f>IF((Electrical!B33-Electrical!B32)&lt;0,"0",(Electrical!B33-Electrical!B32))</f>
        <v>344</v>
      </c>
      <c r="F32" s="33">
        <f>IF((Electrical!C33-Electrical!C32)&lt;0,"0",(Electrical!C33-Electrical!C32))</f>
        <v>197</v>
      </c>
      <c r="G32" s="33">
        <f>IF((Electrical!D33-Electrical!D32)&lt;0,"0",(Electrical!D33-Electrical!D32))</f>
        <v>260</v>
      </c>
      <c r="H32" s="33">
        <f>IF((Electrical!E33-Electrical!E32)&lt;0,"0",(Electrical!E33-Electrical!E32))</f>
        <v>3757</v>
      </c>
      <c r="I32" s="33">
        <f>IF((Electrical!F33-Electrical!F32)&lt;0,"0",(Electrical!F33-Electrical!F32))</f>
        <v>358</v>
      </c>
      <c r="J32" s="33">
        <f>IF((Gas!B33-Gas!B32)&lt;0,"0",(Gas!B33-Gas!B32))</f>
        <v>0</v>
      </c>
      <c r="K32" s="33">
        <f>IF((Gas!C33-Gas!C32)&lt;0,"0",(Gas!C33-Gas!C32))</f>
        <v>753</v>
      </c>
      <c r="L32" s="33">
        <f>IF((Water!B33-Water!B32)&lt;0,"0",(Water!B33-Water!B32))</f>
        <v>10</v>
      </c>
      <c r="M32" s="33">
        <f>IF((Water!C33-Water!C32)&lt;0,"0",(Water!C33-Water!C32))</f>
        <v>24</v>
      </c>
      <c r="N32" s="33">
        <f>IF((Water!D33-Water!D32)&lt;0,"0",(Water!D33-Water!D32))</f>
        <v>0</v>
      </c>
      <c r="O32" s="33">
        <f>IF((Water!E33-Water!E32)&lt;0,"0",(Water!E33-Water!E32))</f>
        <v>6</v>
      </c>
      <c r="P32" s="33">
        <f>IF((Water!F33-Water!F32)&lt;0,"0",(Water!F33-Water!F32))</f>
        <v>0</v>
      </c>
      <c r="Q32" s="33">
        <f>IF((Water!G33-Water!G32)&lt;0,"0",(Water!G33-Water!G32))</f>
        <v>0</v>
      </c>
      <c r="R32" s="33">
        <f>IF((Water!H33-Water!H32)&lt;0,"0",(Water!H33-Water!H32))</f>
        <v>0</v>
      </c>
      <c r="S32" s="33">
        <f>IF((Water!I33-Water!I32)&lt;0,"0",(Water!I33-Water!I32))</f>
        <v>0</v>
      </c>
      <c r="T32" s="33">
        <f>IF((Water!J33-Water!J32)&lt;0,"0",(Water!J33-Water!J32))</f>
        <v>6</v>
      </c>
      <c r="U32" s="33">
        <f>IF((Water!K33-Water!K32)&lt;0,"0",(Water!K33-Water!K32))</f>
        <v>0</v>
      </c>
      <c r="V32" s="33">
        <f>IF((Water!L33-Water!L32)&lt;0,"0",(Water!L33-Water!L32))</f>
        <v>0</v>
      </c>
      <c r="W32" s="33">
        <f>IF((Water!M33-Water!M32)&lt;0,"0",(Water!M33-Water!M32))</f>
        <v>0</v>
      </c>
      <c r="X32" s="33">
        <f>IF((Water!N33-Water!N32)&lt;0,"0",(Water!N33-Water!N32))</f>
        <v>40</v>
      </c>
      <c r="Y32" s="9">
        <v>94</v>
      </c>
      <c r="Z32" s="9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zoomScale="70" zoomScaleNormal="70" workbookViewId="0">
      <selection activeCell="I33" sqref="I33"/>
    </sheetView>
  </sheetViews>
  <sheetFormatPr defaultColWidth="8.734375" defaultRowHeight="15.6" x14ac:dyDescent="0.6"/>
  <cols>
    <col min="1" max="1" width="8.734375" style="26"/>
    <col min="2" max="2" width="16.1015625" style="26" customWidth="1"/>
    <col min="3" max="3" width="16.5234375" style="26" customWidth="1"/>
    <col min="4" max="4" width="18.47265625" style="49" customWidth="1"/>
    <col min="5" max="5" width="18.62890625" style="49" customWidth="1"/>
    <col min="6" max="6" width="21" style="49" customWidth="1"/>
    <col min="7" max="7" width="30.3671875" style="26" customWidth="1"/>
    <col min="8" max="8" width="19" style="26" customWidth="1"/>
    <col min="9" max="9" width="13.734375" style="26" customWidth="1"/>
    <col min="10" max="10" width="14.26171875" style="26" customWidth="1"/>
    <col min="11" max="11" width="15" style="26" customWidth="1"/>
    <col min="12" max="12" width="14.5234375" style="26" customWidth="1"/>
    <col min="13" max="13" width="14.26171875" style="26" customWidth="1"/>
    <col min="14" max="14" width="10.3671875" style="26" customWidth="1"/>
    <col min="15" max="16384" width="8.734375" style="26"/>
  </cols>
  <sheetData>
    <row r="1" spans="1:7" ht="112.5" customHeight="1" x14ac:dyDescent="0.6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48" t="s">
        <v>23</v>
      </c>
      <c r="G1" s="25" t="s">
        <v>17</v>
      </c>
    </row>
    <row r="2" spans="1:7" s="30" customFormat="1" ht="50.4" customHeight="1" x14ac:dyDescent="0.6">
      <c r="A2" s="29">
        <v>31</v>
      </c>
      <c r="B2" s="28">
        <v>50397</v>
      </c>
      <c r="C2" s="28">
        <v>37264</v>
      </c>
      <c r="D2" s="50">
        <v>35935</v>
      </c>
      <c r="E2" s="50">
        <v>466256</v>
      </c>
      <c r="F2" s="50">
        <v>54576</v>
      </c>
      <c r="G2" s="5" t="s">
        <v>40</v>
      </c>
    </row>
    <row r="3" spans="1:7" ht="15.75" customHeight="1" x14ac:dyDescent="0.6">
      <c r="A3" s="7">
        <v>1</v>
      </c>
      <c r="B3" s="46">
        <v>50586</v>
      </c>
      <c r="C3" s="46">
        <v>37518</v>
      </c>
      <c r="D3" s="47">
        <v>36199</v>
      </c>
      <c r="E3" s="47">
        <v>469660</v>
      </c>
      <c r="F3" s="47">
        <v>54934</v>
      </c>
      <c r="G3" s="5" t="s">
        <v>40</v>
      </c>
    </row>
    <row r="4" spans="1:7" x14ac:dyDescent="0.6">
      <c r="A4" s="7">
        <v>2</v>
      </c>
      <c r="B4" s="28">
        <v>50956</v>
      </c>
      <c r="C4" s="28">
        <v>37768</v>
      </c>
      <c r="D4" s="47">
        <v>36436</v>
      </c>
      <c r="E4" s="47">
        <v>473125</v>
      </c>
      <c r="F4" s="47">
        <v>55274</v>
      </c>
      <c r="G4" s="5" t="s">
        <v>41</v>
      </c>
    </row>
    <row r="5" spans="1:7" x14ac:dyDescent="0.6">
      <c r="A5" s="7">
        <v>3</v>
      </c>
      <c r="B5" s="28">
        <v>51199</v>
      </c>
      <c r="C5" s="28">
        <v>37916</v>
      </c>
      <c r="D5" s="47">
        <v>36677</v>
      </c>
      <c r="E5" s="47">
        <v>475856</v>
      </c>
      <c r="F5" s="47">
        <v>55627</v>
      </c>
      <c r="G5" s="5" t="s">
        <v>41</v>
      </c>
    </row>
    <row r="6" spans="1:7" x14ac:dyDescent="0.6">
      <c r="A6" s="7">
        <v>4</v>
      </c>
      <c r="B6" s="28">
        <v>51417</v>
      </c>
      <c r="C6" s="28">
        <v>38287</v>
      </c>
      <c r="D6" s="47">
        <v>36940</v>
      </c>
      <c r="E6" s="47">
        <v>479255</v>
      </c>
      <c r="F6" s="47">
        <v>56014</v>
      </c>
      <c r="G6" s="5" t="s">
        <v>42</v>
      </c>
    </row>
    <row r="7" spans="1:7" x14ac:dyDescent="0.6">
      <c r="A7" s="7">
        <v>5</v>
      </c>
      <c r="B7" s="28">
        <v>51694</v>
      </c>
      <c r="C7" s="28">
        <v>38538</v>
      </c>
      <c r="D7" s="47">
        <v>37204</v>
      </c>
      <c r="E7" s="47">
        <v>482803</v>
      </c>
      <c r="F7" s="47">
        <v>56384</v>
      </c>
      <c r="G7" s="5" t="s">
        <v>42</v>
      </c>
    </row>
    <row r="8" spans="1:7" x14ac:dyDescent="0.6">
      <c r="A8" s="7">
        <v>6</v>
      </c>
      <c r="B8" s="28">
        <v>51973</v>
      </c>
      <c r="C8" s="28">
        <v>38753</v>
      </c>
      <c r="D8" s="47">
        <v>37438</v>
      </c>
      <c r="E8" s="47">
        <v>485985</v>
      </c>
      <c r="F8" s="47">
        <v>56758</v>
      </c>
      <c r="G8" s="5" t="s">
        <v>43</v>
      </c>
    </row>
    <row r="9" spans="1:7" x14ac:dyDescent="0.6">
      <c r="A9" s="7">
        <v>7</v>
      </c>
      <c r="B9" s="28">
        <v>52229</v>
      </c>
      <c r="C9" s="28">
        <v>38999</v>
      </c>
      <c r="D9" s="47">
        <v>37689</v>
      </c>
      <c r="E9" s="47">
        <v>489871</v>
      </c>
      <c r="F9" s="47">
        <v>57050</v>
      </c>
      <c r="G9" s="5" t="s">
        <v>43</v>
      </c>
    </row>
    <row r="10" spans="1:7" x14ac:dyDescent="0.6">
      <c r="A10" s="7">
        <v>8</v>
      </c>
      <c r="B10" s="28">
        <v>52429</v>
      </c>
      <c r="C10" s="28">
        <v>39255</v>
      </c>
      <c r="D10" s="47">
        <v>37941</v>
      </c>
      <c r="E10" s="47">
        <v>492644</v>
      </c>
      <c r="F10" s="47">
        <v>57447</v>
      </c>
      <c r="G10" s="5" t="s">
        <v>41</v>
      </c>
    </row>
    <row r="11" spans="1:7" x14ac:dyDescent="0.6">
      <c r="A11" s="7">
        <v>9</v>
      </c>
      <c r="B11" s="28">
        <v>52771</v>
      </c>
      <c r="C11" s="28">
        <v>39479</v>
      </c>
      <c r="D11" s="47">
        <v>38199</v>
      </c>
      <c r="E11" s="47">
        <v>496110</v>
      </c>
      <c r="F11" s="47">
        <v>57771</v>
      </c>
      <c r="G11" s="5" t="s">
        <v>41</v>
      </c>
    </row>
    <row r="12" spans="1:7" x14ac:dyDescent="0.6">
      <c r="A12" s="7">
        <v>10</v>
      </c>
      <c r="B12" s="28">
        <v>53030</v>
      </c>
      <c r="C12" s="28">
        <v>39724</v>
      </c>
      <c r="D12" s="47">
        <v>38436</v>
      </c>
      <c r="E12" s="47">
        <v>499030</v>
      </c>
      <c r="F12" s="47">
        <v>58141</v>
      </c>
      <c r="G12" s="5" t="s">
        <v>42</v>
      </c>
    </row>
    <row r="13" spans="1:7" x14ac:dyDescent="0.6">
      <c r="A13" s="7">
        <v>11</v>
      </c>
      <c r="B13" s="28">
        <v>53296</v>
      </c>
      <c r="C13" s="28">
        <v>39979</v>
      </c>
      <c r="D13" s="47">
        <v>38697</v>
      </c>
      <c r="E13" s="47">
        <v>502348</v>
      </c>
      <c r="F13" s="47">
        <v>58480</v>
      </c>
      <c r="G13" s="27" t="s">
        <v>44</v>
      </c>
    </row>
    <row r="14" spans="1:7" x14ac:dyDescent="0.6">
      <c r="A14" s="7">
        <v>12</v>
      </c>
      <c r="B14" s="28">
        <v>53605</v>
      </c>
      <c r="C14" s="28">
        <v>40190</v>
      </c>
      <c r="D14" s="47">
        <v>38949</v>
      </c>
      <c r="E14" s="47">
        <v>505764</v>
      </c>
      <c r="F14" s="47">
        <v>58859</v>
      </c>
      <c r="G14" s="5" t="s">
        <v>41</v>
      </c>
    </row>
    <row r="15" spans="1:7" x14ac:dyDescent="0.6">
      <c r="A15" s="7">
        <v>13</v>
      </c>
      <c r="B15" s="28">
        <v>53811</v>
      </c>
      <c r="C15" s="28">
        <v>40440</v>
      </c>
      <c r="D15" s="47">
        <v>39198</v>
      </c>
      <c r="E15" s="47">
        <v>509103</v>
      </c>
      <c r="F15" s="47">
        <v>59238</v>
      </c>
      <c r="G15" s="5" t="s">
        <v>41</v>
      </c>
    </row>
    <row r="16" spans="1:7" x14ac:dyDescent="0.6">
      <c r="A16" s="7">
        <v>14</v>
      </c>
      <c r="B16" s="28">
        <v>54106</v>
      </c>
      <c r="C16" s="28">
        <v>40668</v>
      </c>
      <c r="D16" s="47">
        <v>39423</v>
      </c>
      <c r="E16" s="47">
        <v>511982</v>
      </c>
      <c r="F16" s="47">
        <v>59603</v>
      </c>
      <c r="G16" s="5" t="s">
        <v>45</v>
      </c>
    </row>
    <row r="17" spans="1:7" x14ac:dyDescent="0.6">
      <c r="A17" s="7">
        <v>15</v>
      </c>
      <c r="B17" s="28">
        <v>54392</v>
      </c>
      <c r="C17" s="28">
        <v>40876</v>
      </c>
      <c r="D17" s="47">
        <v>39669</v>
      </c>
      <c r="E17" s="47">
        <v>515086</v>
      </c>
      <c r="F17" s="47">
        <v>59978</v>
      </c>
      <c r="G17" s="5" t="s">
        <v>41</v>
      </c>
    </row>
    <row r="18" spans="1:7" x14ac:dyDescent="0.6">
      <c r="A18" s="7">
        <v>16</v>
      </c>
      <c r="B18" s="28">
        <v>54681</v>
      </c>
      <c r="C18" s="28">
        <v>41113</v>
      </c>
      <c r="D18" s="47">
        <v>39948</v>
      </c>
      <c r="E18" s="47">
        <v>518441</v>
      </c>
      <c r="F18" s="47">
        <v>60356</v>
      </c>
      <c r="G18" s="5" t="s">
        <v>42</v>
      </c>
    </row>
    <row r="19" spans="1:7" x14ac:dyDescent="0.6">
      <c r="A19" s="7">
        <v>17</v>
      </c>
      <c r="B19" s="28">
        <v>54961</v>
      </c>
      <c r="C19" s="28">
        <v>41346</v>
      </c>
      <c r="D19" s="47">
        <v>40206</v>
      </c>
      <c r="E19" s="47">
        <v>521886</v>
      </c>
      <c r="F19" s="47">
        <v>60720</v>
      </c>
      <c r="G19" s="5" t="s">
        <v>45</v>
      </c>
    </row>
    <row r="20" spans="1:7" x14ac:dyDescent="0.6">
      <c r="A20" s="7">
        <v>18</v>
      </c>
      <c r="B20" s="28">
        <v>55303</v>
      </c>
      <c r="C20" s="28">
        <v>41539</v>
      </c>
      <c r="D20" s="47">
        <v>40480</v>
      </c>
      <c r="E20" s="47">
        <v>525256</v>
      </c>
      <c r="F20" s="47">
        <v>61129</v>
      </c>
      <c r="G20" s="5" t="s">
        <v>43</v>
      </c>
    </row>
    <row r="21" spans="1:7" x14ac:dyDescent="0.6">
      <c r="A21" s="7">
        <v>19</v>
      </c>
      <c r="B21" s="28">
        <v>55563</v>
      </c>
      <c r="C21" s="28">
        <v>41755</v>
      </c>
      <c r="D21" s="47">
        <v>40715</v>
      </c>
      <c r="E21" s="47">
        <v>528169</v>
      </c>
      <c r="F21" s="47">
        <v>61554</v>
      </c>
      <c r="G21" s="5" t="s">
        <v>43</v>
      </c>
    </row>
    <row r="22" spans="1:7" x14ac:dyDescent="0.6">
      <c r="A22" s="7">
        <v>20</v>
      </c>
      <c r="B22" s="28">
        <v>55849</v>
      </c>
      <c r="C22" s="28">
        <v>41986</v>
      </c>
      <c r="D22" s="47">
        <v>40968</v>
      </c>
      <c r="E22" s="47">
        <v>531763</v>
      </c>
      <c r="F22" s="47">
        <v>61956</v>
      </c>
      <c r="G22" s="5" t="s">
        <v>41</v>
      </c>
    </row>
    <row r="23" spans="1:7" x14ac:dyDescent="0.6">
      <c r="A23" s="7">
        <v>21</v>
      </c>
      <c r="B23" s="28">
        <v>56203</v>
      </c>
      <c r="C23" s="28">
        <v>42098</v>
      </c>
      <c r="D23" s="47">
        <v>41211</v>
      </c>
      <c r="E23" s="47">
        <v>534563</v>
      </c>
      <c r="F23" s="47">
        <v>62330</v>
      </c>
      <c r="G23" s="5" t="s">
        <v>41</v>
      </c>
    </row>
    <row r="24" spans="1:7" x14ac:dyDescent="0.6">
      <c r="A24" s="7">
        <v>22</v>
      </c>
      <c r="B24" s="28">
        <v>56535</v>
      </c>
      <c r="C24" s="28">
        <v>42287</v>
      </c>
      <c r="D24" s="47">
        <v>41483</v>
      </c>
      <c r="E24" s="47">
        <v>538044</v>
      </c>
      <c r="F24" s="47">
        <v>62724</v>
      </c>
      <c r="G24" s="27" t="s">
        <v>46</v>
      </c>
    </row>
    <row r="25" spans="1:7" x14ac:dyDescent="0.6">
      <c r="A25" s="7">
        <v>23</v>
      </c>
      <c r="B25" s="28">
        <v>56821</v>
      </c>
      <c r="C25" s="28">
        <v>42520</v>
      </c>
      <c r="D25" s="47">
        <v>41744</v>
      </c>
      <c r="E25" s="47">
        <v>541662</v>
      </c>
      <c r="F25" s="47">
        <v>63103</v>
      </c>
      <c r="G25" s="27" t="s">
        <v>46</v>
      </c>
    </row>
    <row r="26" spans="1:7" x14ac:dyDescent="0.6">
      <c r="A26" s="7">
        <v>24</v>
      </c>
      <c r="B26" s="28">
        <v>57172</v>
      </c>
      <c r="C26" s="28">
        <v>42706</v>
      </c>
      <c r="D26" s="47">
        <v>42011</v>
      </c>
      <c r="E26" s="47">
        <v>545280</v>
      </c>
      <c r="F26" s="47">
        <v>63451</v>
      </c>
      <c r="G26" s="27" t="s">
        <v>47</v>
      </c>
    </row>
    <row r="27" spans="1:7" x14ac:dyDescent="0.6">
      <c r="A27" s="7">
        <v>25</v>
      </c>
      <c r="B27" s="28">
        <v>57518</v>
      </c>
      <c r="C27" s="28">
        <v>42899</v>
      </c>
      <c r="D27" s="47">
        <v>42289</v>
      </c>
      <c r="E27" s="47">
        <v>550485</v>
      </c>
      <c r="F27" s="47">
        <v>63823</v>
      </c>
      <c r="G27" s="27" t="s">
        <v>46</v>
      </c>
    </row>
    <row r="28" spans="1:7" x14ac:dyDescent="0.6">
      <c r="A28" s="7">
        <v>26</v>
      </c>
      <c r="B28" s="28">
        <v>57834</v>
      </c>
      <c r="C28" s="28">
        <v>43131</v>
      </c>
      <c r="D28" s="47">
        <v>42562</v>
      </c>
      <c r="E28" s="47">
        <v>553024</v>
      </c>
      <c r="F28" s="47">
        <v>64198</v>
      </c>
      <c r="G28" s="27" t="s">
        <v>48</v>
      </c>
    </row>
    <row r="29" spans="1:7" x14ac:dyDescent="0.6">
      <c r="A29" s="7">
        <v>27</v>
      </c>
      <c r="B29" s="28">
        <v>58189</v>
      </c>
      <c r="C29" s="28">
        <v>43316</v>
      </c>
      <c r="D29" s="47">
        <v>42831</v>
      </c>
      <c r="E29" s="47">
        <v>556493</v>
      </c>
      <c r="F29" s="47">
        <v>64588</v>
      </c>
      <c r="G29" s="27" t="s">
        <v>48</v>
      </c>
    </row>
    <row r="30" spans="1:7" x14ac:dyDescent="0.6">
      <c r="A30" s="7">
        <v>28</v>
      </c>
      <c r="B30" s="28">
        <v>58504</v>
      </c>
      <c r="C30" s="28">
        <v>43502</v>
      </c>
      <c r="D30" s="47">
        <v>43061</v>
      </c>
      <c r="E30" s="47">
        <v>559891</v>
      </c>
      <c r="F30" s="47">
        <v>64952</v>
      </c>
      <c r="G30" s="27" t="s">
        <v>41</v>
      </c>
    </row>
    <row r="31" spans="1:7" x14ac:dyDescent="0.6">
      <c r="A31" s="7">
        <v>29</v>
      </c>
      <c r="B31" s="28">
        <v>58898</v>
      </c>
      <c r="C31" s="28">
        <v>43731</v>
      </c>
      <c r="D31" s="47">
        <v>43328</v>
      </c>
      <c r="E31" s="47">
        <v>564373</v>
      </c>
      <c r="F31" s="47">
        <v>65312</v>
      </c>
      <c r="G31" s="5" t="s">
        <v>45</v>
      </c>
    </row>
    <row r="32" spans="1:7" x14ac:dyDescent="0.6">
      <c r="A32" s="7">
        <v>30</v>
      </c>
      <c r="B32" s="28">
        <v>59174</v>
      </c>
      <c r="C32" s="28">
        <v>43907</v>
      </c>
      <c r="D32" s="47">
        <v>43589</v>
      </c>
      <c r="E32" s="47">
        <v>567090</v>
      </c>
      <c r="F32" s="47">
        <v>65688</v>
      </c>
      <c r="G32" s="5" t="s">
        <v>49</v>
      </c>
    </row>
    <row r="33" spans="1:7" x14ac:dyDescent="0.6">
      <c r="A33" s="7">
        <v>31</v>
      </c>
      <c r="B33" s="28">
        <v>59518</v>
      </c>
      <c r="C33" s="28">
        <v>44104</v>
      </c>
      <c r="D33" s="47">
        <v>43849</v>
      </c>
      <c r="E33" s="47">
        <v>570847</v>
      </c>
      <c r="F33" s="47">
        <v>66046</v>
      </c>
      <c r="G33" s="5" t="s">
        <v>50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5"/>
  <sheetViews>
    <sheetView topLeftCell="A13" zoomScale="85" zoomScaleNormal="85" workbookViewId="0">
      <selection activeCell="D33" sqref="D33"/>
    </sheetView>
  </sheetViews>
  <sheetFormatPr defaultRowHeight="14.4" x14ac:dyDescent="0.55000000000000004"/>
  <cols>
    <col min="2" max="2" width="21.1015625" customWidth="1"/>
    <col min="3" max="3" width="20.7890625" customWidth="1"/>
    <col min="4" max="4" width="24" customWidth="1"/>
    <col min="6" max="6" width="11.26171875" customWidth="1"/>
    <col min="9" max="9" width="2.7890625" customWidth="1"/>
  </cols>
  <sheetData>
    <row r="1" spans="1:4" ht="48.25" customHeight="1" x14ac:dyDescent="0.55000000000000004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55000000000000004">
      <c r="A2" s="31">
        <v>31</v>
      </c>
      <c r="B2" s="5">
        <v>0</v>
      </c>
      <c r="C2" s="5">
        <v>47176</v>
      </c>
      <c r="D2" s="5" t="s">
        <v>40</v>
      </c>
    </row>
    <row r="3" spans="1:4" x14ac:dyDescent="0.55000000000000004">
      <c r="A3" s="4">
        <v>1</v>
      </c>
      <c r="B3" s="5">
        <v>0</v>
      </c>
      <c r="C3" s="5">
        <v>47800</v>
      </c>
      <c r="D3" s="5" t="s">
        <v>40</v>
      </c>
    </row>
    <row r="4" spans="1:4" x14ac:dyDescent="0.55000000000000004">
      <c r="A4" s="4">
        <v>2</v>
      </c>
      <c r="B4" s="5">
        <v>0</v>
      </c>
      <c r="C4" s="5">
        <v>48438</v>
      </c>
      <c r="D4" s="5" t="s">
        <v>41</v>
      </c>
    </row>
    <row r="5" spans="1:4" x14ac:dyDescent="0.55000000000000004">
      <c r="A5" s="4">
        <v>3</v>
      </c>
      <c r="B5" s="5">
        <v>0</v>
      </c>
      <c r="C5" s="5">
        <v>49018</v>
      </c>
      <c r="D5" s="5" t="s">
        <v>41</v>
      </c>
    </row>
    <row r="6" spans="1:4" x14ac:dyDescent="0.55000000000000004">
      <c r="A6" s="4">
        <v>4</v>
      </c>
      <c r="B6" s="5">
        <v>0</v>
      </c>
      <c r="C6" s="5">
        <v>49647</v>
      </c>
      <c r="D6" s="5" t="s">
        <v>42</v>
      </c>
    </row>
    <row r="7" spans="1:4" x14ac:dyDescent="0.55000000000000004">
      <c r="A7" s="4">
        <v>5</v>
      </c>
      <c r="B7" s="5">
        <v>0</v>
      </c>
      <c r="C7" s="5">
        <v>50308</v>
      </c>
      <c r="D7" s="5" t="s">
        <v>42</v>
      </c>
    </row>
    <row r="8" spans="1:4" x14ac:dyDescent="0.55000000000000004">
      <c r="A8" s="4">
        <v>6</v>
      </c>
      <c r="B8" s="5">
        <v>0</v>
      </c>
      <c r="C8" s="5">
        <v>50957</v>
      </c>
      <c r="D8" s="5" t="s">
        <v>43</v>
      </c>
    </row>
    <row r="9" spans="1:4" x14ac:dyDescent="0.55000000000000004">
      <c r="A9" s="4">
        <v>7</v>
      </c>
      <c r="B9" s="5">
        <v>0</v>
      </c>
      <c r="C9" s="5">
        <v>51512</v>
      </c>
      <c r="D9" s="5" t="s">
        <v>43</v>
      </c>
    </row>
    <row r="10" spans="1:4" x14ac:dyDescent="0.55000000000000004">
      <c r="A10" s="4">
        <v>8</v>
      </c>
      <c r="B10" s="5">
        <v>0</v>
      </c>
      <c r="C10" s="5">
        <v>52224</v>
      </c>
      <c r="D10" s="5" t="s">
        <v>41</v>
      </c>
    </row>
    <row r="11" spans="1:4" x14ac:dyDescent="0.55000000000000004">
      <c r="A11" s="4">
        <v>9</v>
      </c>
      <c r="B11" s="5">
        <v>0</v>
      </c>
      <c r="C11" s="5">
        <v>52848</v>
      </c>
      <c r="D11" s="5" t="s">
        <v>41</v>
      </c>
    </row>
    <row r="12" spans="1:4" x14ac:dyDescent="0.55000000000000004">
      <c r="A12" s="4">
        <v>10</v>
      </c>
      <c r="B12" s="5">
        <v>0</v>
      </c>
      <c r="C12" s="5">
        <v>53371</v>
      </c>
      <c r="D12" s="5" t="s">
        <v>42</v>
      </c>
    </row>
    <row r="13" spans="1:4" ht="15.6" x14ac:dyDescent="0.55000000000000004">
      <c r="A13" s="4">
        <v>11</v>
      </c>
      <c r="B13" s="5">
        <v>0</v>
      </c>
      <c r="C13" s="5">
        <v>54028</v>
      </c>
      <c r="D13" s="27" t="s">
        <v>44</v>
      </c>
    </row>
    <row r="14" spans="1:4" x14ac:dyDescent="0.55000000000000004">
      <c r="A14" s="4">
        <v>12</v>
      </c>
      <c r="B14" s="5">
        <v>0</v>
      </c>
      <c r="C14" s="5">
        <v>54643</v>
      </c>
      <c r="D14" s="5" t="s">
        <v>41</v>
      </c>
    </row>
    <row r="15" spans="1:4" x14ac:dyDescent="0.55000000000000004">
      <c r="A15" s="4">
        <v>13</v>
      </c>
      <c r="B15" s="5">
        <v>0</v>
      </c>
      <c r="C15" s="5">
        <v>55238</v>
      </c>
      <c r="D15" s="5" t="s">
        <v>41</v>
      </c>
    </row>
    <row r="16" spans="1:4" x14ac:dyDescent="0.55000000000000004">
      <c r="A16" s="4">
        <v>14</v>
      </c>
      <c r="B16" s="5">
        <v>0</v>
      </c>
      <c r="C16" s="5">
        <v>55724</v>
      </c>
      <c r="D16" s="5" t="s">
        <v>45</v>
      </c>
    </row>
    <row r="17" spans="1:4" x14ac:dyDescent="0.55000000000000004">
      <c r="A17" s="4">
        <v>15</v>
      </c>
      <c r="B17" s="5">
        <v>0</v>
      </c>
      <c r="C17" s="5">
        <v>56289</v>
      </c>
      <c r="D17" s="5" t="s">
        <v>41</v>
      </c>
    </row>
    <row r="18" spans="1:4" x14ac:dyDescent="0.55000000000000004">
      <c r="A18" s="4">
        <v>16</v>
      </c>
      <c r="B18" s="5">
        <v>0</v>
      </c>
      <c r="C18" s="5">
        <v>56930</v>
      </c>
      <c r="D18" s="5" t="s">
        <v>42</v>
      </c>
    </row>
    <row r="19" spans="1:4" x14ac:dyDescent="0.55000000000000004">
      <c r="A19" s="4">
        <v>17</v>
      </c>
      <c r="B19" s="5">
        <v>0</v>
      </c>
      <c r="C19" s="5">
        <v>57541</v>
      </c>
      <c r="D19" s="5" t="s">
        <v>45</v>
      </c>
    </row>
    <row r="20" spans="1:4" x14ac:dyDescent="0.55000000000000004">
      <c r="A20" s="4">
        <v>18</v>
      </c>
      <c r="B20" s="5">
        <v>0</v>
      </c>
      <c r="C20" s="5">
        <v>58196</v>
      </c>
      <c r="D20" s="5" t="s">
        <v>43</v>
      </c>
    </row>
    <row r="21" spans="1:4" x14ac:dyDescent="0.55000000000000004">
      <c r="A21" s="4">
        <v>19</v>
      </c>
      <c r="B21" s="5">
        <v>0</v>
      </c>
      <c r="C21" s="5">
        <v>58994</v>
      </c>
      <c r="D21" s="5" t="s">
        <v>43</v>
      </c>
    </row>
    <row r="22" spans="1:4" x14ac:dyDescent="0.55000000000000004">
      <c r="A22" s="4">
        <v>20</v>
      </c>
      <c r="B22" s="5">
        <v>0</v>
      </c>
      <c r="C22" s="5">
        <v>59672</v>
      </c>
      <c r="D22" s="5" t="s">
        <v>41</v>
      </c>
    </row>
    <row r="23" spans="1:4" x14ac:dyDescent="0.55000000000000004">
      <c r="A23" s="4">
        <v>21</v>
      </c>
      <c r="B23" s="5">
        <v>0</v>
      </c>
      <c r="C23" s="5">
        <v>60258</v>
      </c>
      <c r="D23" s="5" t="s">
        <v>41</v>
      </c>
    </row>
    <row r="24" spans="1:4" ht="15.6" x14ac:dyDescent="0.55000000000000004">
      <c r="A24" s="4">
        <v>22</v>
      </c>
      <c r="B24" s="5">
        <v>0</v>
      </c>
      <c r="C24" s="5">
        <v>60965</v>
      </c>
      <c r="D24" s="27" t="s">
        <v>46</v>
      </c>
    </row>
    <row r="25" spans="1:4" ht="15.6" x14ac:dyDescent="0.55000000000000004">
      <c r="A25" s="4">
        <v>23</v>
      </c>
      <c r="B25" s="5">
        <v>0</v>
      </c>
      <c r="C25" s="5">
        <v>61571</v>
      </c>
      <c r="D25" s="27" t="s">
        <v>46</v>
      </c>
    </row>
    <row r="26" spans="1:4" ht="15.6" x14ac:dyDescent="0.55000000000000004">
      <c r="A26" s="4">
        <v>24</v>
      </c>
      <c r="B26" s="5">
        <v>0</v>
      </c>
      <c r="C26" s="5">
        <v>62246</v>
      </c>
      <c r="D26" s="27" t="s">
        <v>47</v>
      </c>
    </row>
    <row r="27" spans="1:4" ht="15.6" x14ac:dyDescent="0.55000000000000004">
      <c r="A27" s="4">
        <v>25</v>
      </c>
      <c r="B27" s="5">
        <v>0</v>
      </c>
      <c r="C27" s="5">
        <v>62935</v>
      </c>
      <c r="D27" s="27" t="s">
        <v>46</v>
      </c>
    </row>
    <row r="28" spans="1:4" ht="15.6" x14ac:dyDescent="0.55000000000000004">
      <c r="A28" s="4">
        <v>26</v>
      </c>
      <c r="B28" s="5">
        <v>0</v>
      </c>
      <c r="C28" s="5">
        <v>63701</v>
      </c>
      <c r="D28" s="27" t="s">
        <v>48</v>
      </c>
    </row>
    <row r="29" spans="1:4" ht="15.6" x14ac:dyDescent="0.55000000000000004">
      <c r="A29" s="4">
        <v>27</v>
      </c>
      <c r="B29" s="5">
        <v>0</v>
      </c>
      <c r="C29" s="5">
        <v>64409</v>
      </c>
      <c r="D29" s="27" t="s">
        <v>48</v>
      </c>
    </row>
    <row r="30" spans="1:4" ht="15.6" x14ac:dyDescent="0.55000000000000004">
      <c r="A30" s="4">
        <v>28</v>
      </c>
      <c r="B30" s="5">
        <v>0</v>
      </c>
      <c r="C30" s="5">
        <v>65064</v>
      </c>
      <c r="D30" s="27" t="s">
        <v>41</v>
      </c>
    </row>
    <row r="31" spans="1:4" x14ac:dyDescent="0.55000000000000004">
      <c r="A31" s="4">
        <v>29</v>
      </c>
      <c r="B31" s="5">
        <v>0</v>
      </c>
      <c r="C31" s="5">
        <v>65807</v>
      </c>
      <c r="D31" s="5" t="s">
        <v>45</v>
      </c>
    </row>
    <row r="32" spans="1:4" x14ac:dyDescent="0.55000000000000004">
      <c r="A32" s="4">
        <v>30</v>
      </c>
      <c r="B32" s="5">
        <v>0</v>
      </c>
      <c r="C32" s="5">
        <v>66425</v>
      </c>
      <c r="D32" s="5" t="s">
        <v>49</v>
      </c>
    </row>
    <row r="33" spans="1:4" x14ac:dyDescent="0.55000000000000004">
      <c r="A33" s="4">
        <v>31</v>
      </c>
      <c r="B33" s="5">
        <v>0</v>
      </c>
      <c r="C33" s="5">
        <v>67178</v>
      </c>
      <c r="D33" s="5" t="s">
        <v>50</v>
      </c>
    </row>
    <row r="35" spans="1:4" ht="15.6" x14ac:dyDescent="0.6">
      <c r="A35" s="6" t="s">
        <v>37</v>
      </c>
      <c r="B35" s="6"/>
      <c r="C35" s="19"/>
      <c r="D35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opLeftCell="A11" zoomScale="85" zoomScaleNormal="85" workbookViewId="0">
      <selection activeCell="O33" sqref="O33"/>
    </sheetView>
  </sheetViews>
  <sheetFormatPr defaultRowHeight="14.4" x14ac:dyDescent="0.55000000000000004"/>
  <cols>
    <col min="1" max="1" width="11.1015625" customWidth="1"/>
    <col min="2" max="2" width="19.62890625" customWidth="1"/>
    <col min="3" max="3" width="18.734375" customWidth="1"/>
    <col min="4" max="4" width="18.7890625" customWidth="1"/>
    <col min="5" max="5" width="16.26171875" customWidth="1"/>
    <col min="6" max="6" width="18.62890625" customWidth="1"/>
    <col min="7" max="7" width="18.15625" customWidth="1"/>
    <col min="8" max="8" width="16.62890625" customWidth="1"/>
    <col min="9" max="9" width="15.1015625" customWidth="1"/>
    <col min="10" max="10" width="14.26171875" customWidth="1"/>
    <col min="11" max="11" width="17.734375" customWidth="1"/>
    <col min="12" max="12" width="15" customWidth="1"/>
    <col min="13" max="13" width="16.62890625" customWidth="1"/>
    <col min="14" max="14" width="15.3671875" customWidth="1"/>
    <col min="15" max="15" width="24.15625" customWidth="1"/>
  </cols>
  <sheetData>
    <row r="1" spans="1:15" ht="47.25" customHeight="1" x14ac:dyDescent="0.55000000000000004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55000000000000004">
      <c r="A2" s="31">
        <v>31</v>
      </c>
      <c r="B2" s="5">
        <v>1037</v>
      </c>
      <c r="C2" s="5">
        <v>5465</v>
      </c>
      <c r="D2" s="5">
        <v>0</v>
      </c>
      <c r="E2" s="5">
        <v>264</v>
      </c>
      <c r="F2" s="5">
        <v>0</v>
      </c>
      <c r="G2" s="5">
        <v>0</v>
      </c>
      <c r="H2" s="5">
        <v>0</v>
      </c>
      <c r="I2" s="5">
        <v>0</v>
      </c>
      <c r="J2" s="5">
        <v>48</v>
      </c>
      <c r="K2" s="5">
        <v>0</v>
      </c>
      <c r="L2" s="5">
        <v>0</v>
      </c>
      <c r="M2" s="5">
        <v>0</v>
      </c>
      <c r="N2" s="5">
        <v>4986</v>
      </c>
      <c r="O2" s="45"/>
    </row>
    <row r="3" spans="1:15" x14ac:dyDescent="0.55000000000000004">
      <c r="A3" s="4">
        <v>1</v>
      </c>
      <c r="B3" s="5">
        <v>1047</v>
      </c>
      <c r="C3" s="5">
        <v>5485</v>
      </c>
      <c r="D3" s="5">
        <v>0</v>
      </c>
      <c r="E3" s="5">
        <v>273</v>
      </c>
      <c r="F3" s="5">
        <v>0</v>
      </c>
      <c r="G3" s="5">
        <v>0</v>
      </c>
      <c r="H3" s="5">
        <v>0</v>
      </c>
      <c r="I3" s="5">
        <v>0</v>
      </c>
      <c r="J3" s="5">
        <v>48</v>
      </c>
      <c r="K3" s="5">
        <v>0</v>
      </c>
      <c r="L3" s="5">
        <v>0</v>
      </c>
      <c r="M3" s="5">
        <v>0</v>
      </c>
      <c r="N3" s="5">
        <v>5017</v>
      </c>
      <c r="O3" s="5" t="s">
        <v>40</v>
      </c>
    </row>
    <row r="4" spans="1:15" x14ac:dyDescent="0.55000000000000004">
      <c r="A4" s="4">
        <v>2</v>
      </c>
      <c r="B4" s="5">
        <v>1054</v>
      </c>
      <c r="C4" s="5">
        <v>5509</v>
      </c>
      <c r="D4" s="5">
        <v>0</v>
      </c>
      <c r="E4" s="5">
        <v>281</v>
      </c>
      <c r="F4" s="5">
        <v>0</v>
      </c>
      <c r="G4" s="5">
        <v>0</v>
      </c>
      <c r="H4" s="5">
        <v>0</v>
      </c>
      <c r="I4" s="5">
        <v>0</v>
      </c>
      <c r="J4" s="5">
        <v>51</v>
      </c>
      <c r="K4" s="5">
        <v>0</v>
      </c>
      <c r="L4" s="5">
        <v>0</v>
      </c>
      <c r="M4" s="5">
        <v>0</v>
      </c>
      <c r="N4" s="5">
        <v>5052</v>
      </c>
      <c r="O4" s="5" t="s">
        <v>41</v>
      </c>
    </row>
    <row r="5" spans="1:15" x14ac:dyDescent="0.55000000000000004">
      <c r="A5" s="4">
        <v>3</v>
      </c>
      <c r="B5" s="5">
        <v>1063</v>
      </c>
      <c r="C5" s="5">
        <v>5539</v>
      </c>
      <c r="D5" s="5">
        <v>0</v>
      </c>
      <c r="E5" s="5">
        <v>289</v>
      </c>
      <c r="F5" s="5">
        <v>0</v>
      </c>
      <c r="G5" s="5">
        <v>0</v>
      </c>
      <c r="H5" s="5">
        <v>0</v>
      </c>
      <c r="I5" s="5">
        <v>0</v>
      </c>
      <c r="J5" s="5">
        <v>51</v>
      </c>
      <c r="K5" s="5">
        <v>0</v>
      </c>
      <c r="L5" s="5">
        <v>0</v>
      </c>
      <c r="M5" s="5">
        <v>0</v>
      </c>
      <c r="N5" s="5">
        <v>5082</v>
      </c>
      <c r="O5" s="5" t="s">
        <v>41</v>
      </c>
    </row>
    <row r="6" spans="1:15" x14ac:dyDescent="0.55000000000000004">
      <c r="A6" s="4">
        <v>4</v>
      </c>
      <c r="B6" s="5">
        <v>1071</v>
      </c>
      <c r="C6" s="5">
        <v>5555</v>
      </c>
      <c r="D6" s="5">
        <v>0</v>
      </c>
      <c r="E6" s="5">
        <v>298</v>
      </c>
      <c r="F6" s="5">
        <v>0</v>
      </c>
      <c r="G6" s="5">
        <v>0</v>
      </c>
      <c r="H6" s="5">
        <v>0</v>
      </c>
      <c r="I6" s="5">
        <v>0</v>
      </c>
      <c r="J6" s="5">
        <v>51</v>
      </c>
      <c r="K6" s="5">
        <v>0</v>
      </c>
      <c r="L6" s="5">
        <v>0</v>
      </c>
      <c r="M6" s="5">
        <v>0</v>
      </c>
      <c r="N6" s="5">
        <v>5113</v>
      </c>
      <c r="O6" s="5" t="s">
        <v>42</v>
      </c>
    </row>
    <row r="7" spans="1:15" x14ac:dyDescent="0.55000000000000004">
      <c r="A7" s="4">
        <v>5</v>
      </c>
      <c r="B7" s="5">
        <v>1080</v>
      </c>
      <c r="C7" s="5">
        <v>5580</v>
      </c>
      <c r="D7" s="5">
        <v>0</v>
      </c>
      <c r="E7" s="5">
        <v>306</v>
      </c>
      <c r="F7" s="5">
        <v>0</v>
      </c>
      <c r="G7" s="5">
        <v>0</v>
      </c>
      <c r="H7" s="5">
        <v>0</v>
      </c>
      <c r="I7" s="5">
        <v>0</v>
      </c>
      <c r="J7" s="5">
        <v>51</v>
      </c>
      <c r="K7" s="5">
        <v>0</v>
      </c>
      <c r="L7" s="5">
        <v>0</v>
      </c>
      <c r="M7" s="5">
        <v>0</v>
      </c>
      <c r="N7" s="5">
        <v>5145</v>
      </c>
      <c r="O7" s="5" t="s">
        <v>42</v>
      </c>
    </row>
    <row r="8" spans="1:15" x14ac:dyDescent="0.55000000000000004">
      <c r="A8" s="4">
        <v>6</v>
      </c>
      <c r="B8" s="5">
        <v>1087</v>
      </c>
      <c r="C8" s="5">
        <v>5610</v>
      </c>
      <c r="D8" s="5">
        <v>0</v>
      </c>
      <c r="E8" s="5">
        <v>313</v>
      </c>
      <c r="F8" s="5">
        <v>0</v>
      </c>
      <c r="G8" s="5">
        <v>0</v>
      </c>
      <c r="H8" s="5">
        <v>0</v>
      </c>
      <c r="I8" s="5">
        <v>0</v>
      </c>
      <c r="J8" s="5">
        <v>52</v>
      </c>
      <c r="K8" s="5">
        <v>0</v>
      </c>
      <c r="L8" s="5">
        <v>0</v>
      </c>
      <c r="M8" s="5">
        <v>0</v>
      </c>
      <c r="N8" s="5">
        <v>5176</v>
      </c>
      <c r="O8" s="5" t="s">
        <v>43</v>
      </c>
    </row>
    <row r="9" spans="1:15" x14ac:dyDescent="0.55000000000000004">
      <c r="A9" s="4">
        <v>7</v>
      </c>
      <c r="B9" s="5">
        <v>1096</v>
      </c>
      <c r="C9" s="5">
        <v>5636</v>
      </c>
      <c r="D9" s="5">
        <v>0</v>
      </c>
      <c r="E9" s="5">
        <v>319</v>
      </c>
      <c r="F9" s="5">
        <v>0</v>
      </c>
      <c r="G9" s="5">
        <v>0</v>
      </c>
      <c r="H9" s="5">
        <v>0</v>
      </c>
      <c r="I9" s="5">
        <v>0</v>
      </c>
      <c r="J9" s="5">
        <v>52</v>
      </c>
      <c r="K9" s="5">
        <v>0</v>
      </c>
      <c r="L9" s="5">
        <v>0</v>
      </c>
      <c r="M9" s="5">
        <v>0</v>
      </c>
      <c r="N9" s="5">
        <v>5207</v>
      </c>
      <c r="O9" s="5" t="s">
        <v>43</v>
      </c>
    </row>
    <row r="10" spans="1:15" x14ac:dyDescent="0.55000000000000004">
      <c r="A10" s="4">
        <v>8</v>
      </c>
      <c r="B10" s="5">
        <v>1103</v>
      </c>
      <c r="C10" s="5">
        <v>5665</v>
      </c>
      <c r="D10" s="5">
        <v>0</v>
      </c>
      <c r="E10" s="5">
        <v>325</v>
      </c>
      <c r="F10" s="5">
        <v>0</v>
      </c>
      <c r="G10" s="5">
        <v>0</v>
      </c>
      <c r="H10" s="5">
        <v>0</v>
      </c>
      <c r="I10" s="5">
        <v>0</v>
      </c>
      <c r="J10" s="5">
        <v>61</v>
      </c>
      <c r="K10" s="5">
        <v>0</v>
      </c>
      <c r="L10" s="5">
        <v>0</v>
      </c>
      <c r="M10" s="5">
        <v>0</v>
      </c>
      <c r="N10" s="5">
        <v>5239</v>
      </c>
      <c r="O10" s="5" t="s">
        <v>41</v>
      </c>
    </row>
    <row r="11" spans="1:15" x14ac:dyDescent="0.55000000000000004">
      <c r="A11" s="4">
        <v>9</v>
      </c>
      <c r="B11" s="5">
        <v>1111</v>
      </c>
      <c r="C11" s="5">
        <v>5694</v>
      </c>
      <c r="D11" s="5">
        <v>0</v>
      </c>
      <c r="E11" s="5">
        <v>331</v>
      </c>
      <c r="F11" s="5">
        <v>0</v>
      </c>
      <c r="G11" s="5">
        <v>0</v>
      </c>
      <c r="H11" s="5">
        <v>0</v>
      </c>
      <c r="I11" s="5">
        <v>0</v>
      </c>
      <c r="J11" s="5">
        <v>62</v>
      </c>
      <c r="K11" s="5">
        <v>0</v>
      </c>
      <c r="L11" s="5">
        <v>0</v>
      </c>
      <c r="M11" s="5">
        <v>0</v>
      </c>
      <c r="N11" s="5">
        <v>5287</v>
      </c>
      <c r="O11" s="5" t="s">
        <v>41</v>
      </c>
    </row>
    <row r="12" spans="1:15" x14ac:dyDescent="0.55000000000000004">
      <c r="A12" s="4">
        <v>10</v>
      </c>
      <c r="B12" s="5">
        <v>1119</v>
      </c>
      <c r="C12" s="5">
        <v>5726</v>
      </c>
      <c r="D12" s="5">
        <v>0</v>
      </c>
      <c r="E12" s="5">
        <v>339</v>
      </c>
      <c r="F12" s="5">
        <v>0</v>
      </c>
      <c r="G12" s="5">
        <v>0</v>
      </c>
      <c r="H12" s="5">
        <v>0</v>
      </c>
      <c r="I12" s="5">
        <v>0</v>
      </c>
      <c r="J12" s="5">
        <v>68</v>
      </c>
      <c r="K12" s="5">
        <v>0</v>
      </c>
      <c r="L12" s="5">
        <v>0</v>
      </c>
      <c r="M12" s="5">
        <v>0</v>
      </c>
      <c r="N12" s="5">
        <v>5318</v>
      </c>
      <c r="O12" s="5" t="s">
        <v>42</v>
      </c>
    </row>
    <row r="13" spans="1:15" ht="15.6" x14ac:dyDescent="0.55000000000000004">
      <c r="A13" s="4">
        <v>11</v>
      </c>
      <c r="B13" s="5">
        <v>1126</v>
      </c>
      <c r="C13" s="5">
        <v>5749</v>
      </c>
      <c r="D13" s="5">
        <v>0</v>
      </c>
      <c r="E13" s="5">
        <v>345</v>
      </c>
      <c r="F13" s="5">
        <v>0</v>
      </c>
      <c r="G13" s="5">
        <v>0</v>
      </c>
      <c r="H13" s="5">
        <v>0</v>
      </c>
      <c r="I13" s="5">
        <v>0</v>
      </c>
      <c r="J13" s="5">
        <v>68</v>
      </c>
      <c r="K13" s="5">
        <v>0</v>
      </c>
      <c r="L13" s="5">
        <v>0</v>
      </c>
      <c r="M13" s="5">
        <v>0</v>
      </c>
      <c r="N13" s="5">
        <v>5350</v>
      </c>
      <c r="O13" s="27" t="s">
        <v>44</v>
      </c>
    </row>
    <row r="14" spans="1:15" x14ac:dyDescent="0.55000000000000004">
      <c r="A14" s="4">
        <v>12</v>
      </c>
      <c r="B14" s="5">
        <v>1136</v>
      </c>
      <c r="C14" s="5">
        <v>5779</v>
      </c>
      <c r="D14" s="5">
        <v>0</v>
      </c>
      <c r="E14" s="5">
        <v>355</v>
      </c>
      <c r="F14" s="5">
        <v>0</v>
      </c>
      <c r="G14" s="5">
        <v>0</v>
      </c>
      <c r="H14" s="5">
        <v>0</v>
      </c>
      <c r="I14" s="5">
        <v>0</v>
      </c>
      <c r="J14" s="5">
        <v>70</v>
      </c>
      <c r="K14" s="5">
        <v>0</v>
      </c>
      <c r="L14" s="5">
        <v>0</v>
      </c>
      <c r="M14" s="5">
        <v>0</v>
      </c>
      <c r="N14" s="5">
        <v>5382</v>
      </c>
      <c r="O14" s="5" t="s">
        <v>41</v>
      </c>
    </row>
    <row r="15" spans="1:15" x14ac:dyDescent="0.55000000000000004">
      <c r="A15" s="4">
        <v>13</v>
      </c>
      <c r="B15" s="5">
        <v>1145</v>
      </c>
      <c r="C15" s="5">
        <v>5808</v>
      </c>
      <c r="D15" s="5">
        <v>0</v>
      </c>
      <c r="E15" s="5">
        <v>367</v>
      </c>
      <c r="F15" s="5">
        <v>0</v>
      </c>
      <c r="G15" s="5">
        <v>0</v>
      </c>
      <c r="H15" s="5">
        <v>0</v>
      </c>
      <c r="I15" s="5">
        <v>0</v>
      </c>
      <c r="J15" s="5">
        <v>71</v>
      </c>
      <c r="K15" s="5">
        <v>0</v>
      </c>
      <c r="L15" s="5">
        <v>0</v>
      </c>
      <c r="M15" s="5">
        <v>0</v>
      </c>
      <c r="N15" s="5">
        <v>5413</v>
      </c>
      <c r="O15" s="5" t="s">
        <v>41</v>
      </c>
    </row>
    <row r="16" spans="1:15" x14ac:dyDescent="0.55000000000000004">
      <c r="A16" s="4">
        <v>14</v>
      </c>
      <c r="B16" s="5">
        <v>1153</v>
      </c>
      <c r="C16" s="5">
        <v>5840</v>
      </c>
      <c r="D16" s="5">
        <v>0</v>
      </c>
      <c r="E16" s="5">
        <v>375</v>
      </c>
      <c r="F16" s="5">
        <v>0</v>
      </c>
      <c r="G16" s="5">
        <v>0</v>
      </c>
      <c r="H16" s="5">
        <v>0</v>
      </c>
      <c r="I16" s="5">
        <v>0</v>
      </c>
      <c r="J16" s="5">
        <v>80</v>
      </c>
      <c r="K16" s="5">
        <v>0</v>
      </c>
      <c r="L16" s="5">
        <v>0</v>
      </c>
      <c r="M16" s="5">
        <v>0</v>
      </c>
      <c r="N16" s="5">
        <v>5445</v>
      </c>
      <c r="O16" s="5" t="s">
        <v>45</v>
      </c>
    </row>
    <row r="17" spans="1:15" x14ac:dyDescent="0.55000000000000004">
      <c r="A17" s="4">
        <v>15</v>
      </c>
      <c r="B17" s="5">
        <v>1161</v>
      </c>
      <c r="C17" s="5">
        <v>5845</v>
      </c>
      <c r="D17" s="5">
        <v>0</v>
      </c>
      <c r="E17" s="5">
        <v>384</v>
      </c>
      <c r="F17" s="5">
        <v>0</v>
      </c>
      <c r="G17" s="5">
        <v>0</v>
      </c>
      <c r="H17" s="5">
        <v>0</v>
      </c>
      <c r="I17" s="5">
        <v>0</v>
      </c>
      <c r="J17" s="5">
        <v>80</v>
      </c>
      <c r="K17" s="5">
        <v>0</v>
      </c>
      <c r="L17" s="5">
        <v>0</v>
      </c>
      <c r="M17" s="5">
        <v>0</v>
      </c>
      <c r="N17" s="5">
        <v>5477</v>
      </c>
      <c r="O17" s="5" t="s">
        <v>41</v>
      </c>
    </row>
    <row r="18" spans="1:15" x14ac:dyDescent="0.55000000000000004">
      <c r="A18" s="4">
        <v>16</v>
      </c>
      <c r="B18" s="5">
        <v>1170</v>
      </c>
      <c r="C18" s="5">
        <v>5890</v>
      </c>
      <c r="D18" s="5">
        <v>0</v>
      </c>
      <c r="E18" s="5">
        <v>393</v>
      </c>
      <c r="F18" s="5">
        <v>0</v>
      </c>
      <c r="G18" s="5">
        <v>0</v>
      </c>
      <c r="H18" s="5">
        <v>0</v>
      </c>
      <c r="I18" s="5">
        <v>0</v>
      </c>
      <c r="J18" s="5">
        <v>80</v>
      </c>
      <c r="K18" s="5">
        <v>0</v>
      </c>
      <c r="L18" s="5">
        <v>0</v>
      </c>
      <c r="M18" s="5">
        <v>0</v>
      </c>
      <c r="N18" s="5">
        <v>5508</v>
      </c>
      <c r="O18" s="5" t="s">
        <v>42</v>
      </c>
    </row>
    <row r="19" spans="1:15" x14ac:dyDescent="0.55000000000000004">
      <c r="A19" s="4">
        <v>17</v>
      </c>
      <c r="B19" s="5">
        <v>1179</v>
      </c>
      <c r="C19" s="5">
        <v>5915</v>
      </c>
      <c r="D19" s="5">
        <v>0</v>
      </c>
      <c r="E19" s="5">
        <v>405</v>
      </c>
      <c r="F19" s="5">
        <v>0</v>
      </c>
      <c r="G19" s="5">
        <v>0</v>
      </c>
      <c r="H19" s="5">
        <v>0</v>
      </c>
      <c r="I19" s="5">
        <v>0</v>
      </c>
      <c r="J19" s="5">
        <v>82</v>
      </c>
      <c r="K19" s="5">
        <v>0</v>
      </c>
      <c r="L19" s="5">
        <v>0</v>
      </c>
      <c r="M19" s="5">
        <v>0</v>
      </c>
      <c r="N19" s="5">
        <v>5556</v>
      </c>
      <c r="O19" s="5" t="s">
        <v>45</v>
      </c>
    </row>
    <row r="20" spans="1:15" x14ac:dyDescent="0.55000000000000004">
      <c r="A20" s="4">
        <v>18</v>
      </c>
      <c r="B20" s="5">
        <v>1188</v>
      </c>
      <c r="C20" s="5">
        <v>5946</v>
      </c>
      <c r="D20" s="5">
        <v>0</v>
      </c>
      <c r="E20" s="5">
        <v>418</v>
      </c>
      <c r="F20" s="5">
        <v>0</v>
      </c>
      <c r="G20" s="5">
        <v>0</v>
      </c>
      <c r="H20" s="5">
        <v>0</v>
      </c>
      <c r="I20" s="5">
        <v>0</v>
      </c>
      <c r="J20" s="5">
        <v>82</v>
      </c>
      <c r="K20" s="5">
        <v>0</v>
      </c>
      <c r="L20" s="5">
        <v>0</v>
      </c>
      <c r="M20" s="5">
        <v>0</v>
      </c>
      <c r="N20" s="5">
        <v>5572</v>
      </c>
      <c r="O20" s="5" t="s">
        <v>43</v>
      </c>
    </row>
    <row r="21" spans="1:15" x14ac:dyDescent="0.55000000000000004">
      <c r="A21" s="4">
        <v>19</v>
      </c>
      <c r="B21" s="5">
        <v>1197</v>
      </c>
      <c r="C21" s="5">
        <v>5965</v>
      </c>
      <c r="D21" s="5">
        <v>0</v>
      </c>
      <c r="E21" s="5">
        <v>432</v>
      </c>
      <c r="F21" s="5">
        <v>0</v>
      </c>
      <c r="G21" s="5">
        <v>0</v>
      </c>
      <c r="H21" s="5">
        <v>0</v>
      </c>
      <c r="I21" s="5">
        <v>0</v>
      </c>
      <c r="J21" s="5">
        <v>82</v>
      </c>
      <c r="K21" s="5">
        <v>0</v>
      </c>
      <c r="L21" s="5">
        <v>0</v>
      </c>
      <c r="M21" s="5">
        <v>0</v>
      </c>
      <c r="N21" s="5">
        <v>5603</v>
      </c>
      <c r="O21" s="5" t="s">
        <v>43</v>
      </c>
    </row>
    <row r="22" spans="1:15" x14ac:dyDescent="0.55000000000000004">
      <c r="A22" s="4">
        <v>20</v>
      </c>
      <c r="B22" s="5">
        <v>1208</v>
      </c>
      <c r="C22" s="5">
        <v>5987</v>
      </c>
      <c r="D22" s="5">
        <v>0</v>
      </c>
      <c r="E22" s="5">
        <v>445</v>
      </c>
      <c r="F22" s="5">
        <v>0</v>
      </c>
      <c r="G22" s="5">
        <v>0</v>
      </c>
      <c r="H22" s="5">
        <v>0</v>
      </c>
      <c r="I22" s="5">
        <v>0</v>
      </c>
      <c r="J22" s="5">
        <v>82</v>
      </c>
      <c r="K22" s="5">
        <v>0</v>
      </c>
      <c r="L22" s="5">
        <v>0</v>
      </c>
      <c r="M22" s="5">
        <v>0</v>
      </c>
      <c r="N22" s="5">
        <v>5634</v>
      </c>
      <c r="O22" s="5" t="s">
        <v>41</v>
      </c>
    </row>
    <row r="23" spans="1:15" x14ac:dyDescent="0.55000000000000004">
      <c r="A23" s="4">
        <v>21</v>
      </c>
      <c r="B23" s="5">
        <v>1215</v>
      </c>
      <c r="C23" s="5">
        <v>6005</v>
      </c>
      <c r="D23" s="5">
        <v>0</v>
      </c>
      <c r="E23" s="5">
        <v>454</v>
      </c>
      <c r="F23" s="5">
        <v>0</v>
      </c>
      <c r="G23" s="5">
        <v>0</v>
      </c>
      <c r="H23" s="5">
        <v>0</v>
      </c>
      <c r="I23" s="5">
        <v>0</v>
      </c>
      <c r="J23" s="5">
        <v>82</v>
      </c>
      <c r="K23" s="5">
        <v>0</v>
      </c>
      <c r="L23" s="5">
        <v>0</v>
      </c>
      <c r="M23" s="5">
        <v>0</v>
      </c>
      <c r="N23" s="5">
        <v>5666</v>
      </c>
      <c r="O23" s="5" t="s">
        <v>41</v>
      </c>
    </row>
    <row r="24" spans="1:15" ht="15.6" x14ac:dyDescent="0.55000000000000004">
      <c r="A24" s="4">
        <v>22</v>
      </c>
      <c r="B24" s="5">
        <v>1224</v>
      </c>
      <c r="C24" s="5">
        <v>6029</v>
      </c>
      <c r="D24" s="5">
        <v>0</v>
      </c>
      <c r="E24" s="5">
        <v>463</v>
      </c>
      <c r="F24" s="5">
        <v>0</v>
      </c>
      <c r="G24" s="5">
        <v>0</v>
      </c>
      <c r="H24" s="5">
        <v>0</v>
      </c>
      <c r="I24" s="5">
        <v>0</v>
      </c>
      <c r="J24" s="5">
        <v>82</v>
      </c>
      <c r="K24" s="5">
        <v>0</v>
      </c>
      <c r="L24" s="5">
        <v>0</v>
      </c>
      <c r="M24" s="5">
        <v>0</v>
      </c>
      <c r="N24" s="5">
        <v>5682</v>
      </c>
      <c r="O24" s="27" t="s">
        <v>46</v>
      </c>
    </row>
    <row r="25" spans="1:15" ht="15.6" x14ac:dyDescent="0.55000000000000004">
      <c r="A25" s="4">
        <v>23</v>
      </c>
      <c r="B25" s="5">
        <v>1233</v>
      </c>
      <c r="C25" s="5">
        <v>6053</v>
      </c>
      <c r="D25" s="5">
        <v>0</v>
      </c>
      <c r="E25" s="5">
        <v>472</v>
      </c>
      <c r="F25" s="5">
        <v>0</v>
      </c>
      <c r="G25" s="5">
        <v>0</v>
      </c>
      <c r="H25" s="5">
        <v>0</v>
      </c>
      <c r="I25" s="5">
        <v>0</v>
      </c>
      <c r="J25" s="5">
        <v>82</v>
      </c>
      <c r="K25" s="5">
        <v>0</v>
      </c>
      <c r="L25" s="5">
        <v>0</v>
      </c>
      <c r="M25" s="5">
        <v>0</v>
      </c>
      <c r="N25" s="5">
        <v>5699</v>
      </c>
      <c r="O25" s="27" t="s">
        <v>46</v>
      </c>
    </row>
    <row r="26" spans="1:15" ht="15.6" x14ac:dyDescent="0.55000000000000004">
      <c r="A26" s="4">
        <v>24</v>
      </c>
      <c r="B26" s="5">
        <v>1242</v>
      </c>
      <c r="C26" s="5">
        <v>6085</v>
      </c>
      <c r="D26" s="5">
        <v>0</v>
      </c>
      <c r="E26" s="5">
        <v>482</v>
      </c>
      <c r="F26" s="5">
        <v>0</v>
      </c>
      <c r="G26" s="5">
        <v>0</v>
      </c>
      <c r="H26" s="5">
        <v>0</v>
      </c>
      <c r="I26" s="5">
        <v>0</v>
      </c>
      <c r="J26" s="5">
        <v>85</v>
      </c>
      <c r="K26" s="5">
        <v>0</v>
      </c>
      <c r="L26" s="5">
        <v>0</v>
      </c>
      <c r="M26" s="5">
        <v>0</v>
      </c>
      <c r="N26" s="5">
        <v>5776</v>
      </c>
      <c r="O26" s="27" t="s">
        <v>47</v>
      </c>
    </row>
    <row r="27" spans="1:15" ht="15.6" x14ac:dyDescent="0.55000000000000004">
      <c r="A27" s="4">
        <v>25</v>
      </c>
      <c r="B27" s="5">
        <v>1252</v>
      </c>
      <c r="C27" s="5">
        <v>6118</v>
      </c>
      <c r="D27" s="5">
        <v>0</v>
      </c>
      <c r="E27" s="5">
        <v>492</v>
      </c>
      <c r="F27" s="5">
        <v>0</v>
      </c>
      <c r="G27" s="5">
        <v>0</v>
      </c>
      <c r="H27" s="5">
        <v>0</v>
      </c>
      <c r="I27" s="5">
        <v>0</v>
      </c>
      <c r="J27" s="5">
        <v>85</v>
      </c>
      <c r="K27" s="5">
        <v>0</v>
      </c>
      <c r="L27" s="5">
        <v>0</v>
      </c>
      <c r="M27" s="5">
        <v>0</v>
      </c>
      <c r="N27" s="5">
        <v>5808</v>
      </c>
      <c r="O27" s="27" t="s">
        <v>46</v>
      </c>
    </row>
    <row r="28" spans="1:15" ht="15.6" x14ac:dyDescent="0.55000000000000004">
      <c r="A28" s="4">
        <v>26</v>
      </c>
      <c r="B28" s="5">
        <v>1262</v>
      </c>
      <c r="C28" s="5">
        <v>6140</v>
      </c>
      <c r="D28" s="5">
        <v>0</v>
      </c>
      <c r="E28" s="5">
        <v>503</v>
      </c>
      <c r="F28" s="5">
        <v>0</v>
      </c>
      <c r="G28" s="5">
        <v>0</v>
      </c>
      <c r="H28" s="5">
        <v>0</v>
      </c>
      <c r="I28" s="5">
        <v>0</v>
      </c>
      <c r="J28" s="5">
        <v>86</v>
      </c>
      <c r="K28" s="5">
        <v>0</v>
      </c>
      <c r="L28" s="5">
        <v>0</v>
      </c>
      <c r="M28" s="5">
        <v>0</v>
      </c>
      <c r="N28" s="5">
        <v>5840</v>
      </c>
      <c r="O28" s="27" t="s">
        <v>48</v>
      </c>
    </row>
    <row r="29" spans="1:15" ht="15.6" x14ac:dyDescent="0.55000000000000004">
      <c r="A29" s="4">
        <v>27</v>
      </c>
      <c r="B29" s="5">
        <v>1272</v>
      </c>
      <c r="C29" s="5">
        <v>6163</v>
      </c>
      <c r="D29" s="5">
        <v>0</v>
      </c>
      <c r="E29" s="5">
        <v>513</v>
      </c>
      <c r="F29" s="5">
        <v>0</v>
      </c>
      <c r="G29" s="5">
        <v>0</v>
      </c>
      <c r="H29" s="5">
        <v>0</v>
      </c>
      <c r="I29" s="5">
        <v>0</v>
      </c>
      <c r="J29" s="5">
        <v>87</v>
      </c>
      <c r="K29" s="5">
        <v>0</v>
      </c>
      <c r="L29" s="5">
        <v>0</v>
      </c>
      <c r="M29" s="5">
        <v>0</v>
      </c>
      <c r="N29" s="5">
        <v>5872</v>
      </c>
      <c r="O29" s="27" t="s">
        <v>48</v>
      </c>
    </row>
    <row r="30" spans="1:15" ht="15.6" x14ac:dyDescent="0.55000000000000004">
      <c r="A30" s="4">
        <v>28</v>
      </c>
      <c r="B30" s="5">
        <v>1280</v>
      </c>
      <c r="C30" s="5">
        <v>6189</v>
      </c>
      <c r="D30" s="5">
        <v>0</v>
      </c>
      <c r="E30" s="5">
        <v>521</v>
      </c>
      <c r="F30" s="5">
        <v>0</v>
      </c>
      <c r="G30" s="5">
        <v>0</v>
      </c>
      <c r="H30" s="5">
        <v>0</v>
      </c>
      <c r="I30" s="5">
        <v>0</v>
      </c>
      <c r="J30" s="5">
        <v>91</v>
      </c>
      <c r="K30" s="5">
        <v>0</v>
      </c>
      <c r="L30" s="5">
        <v>0</v>
      </c>
      <c r="M30" s="5">
        <v>0</v>
      </c>
      <c r="N30" s="5">
        <v>5905</v>
      </c>
      <c r="O30" s="27" t="s">
        <v>41</v>
      </c>
    </row>
    <row r="31" spans="1:15" x14ac:dyDescent="0.55000000000000004">
      <c r="A31" s="4">
        <v>29</v>
      </c>
      <c r="B31" s="5">
        <v>1289</v>
      </c>
      <c r="C31" s="5">
        <v>6217</v>
      </c>
      <c r="D31" s="5">
        <v>0</v>
      </c>
      <c r="E31" s="5">
        <v>529</v>
      </c>
      <c r="F31" s="5">
        <v>0</v>
      </c>
      <c r="G31" s="5">
        <v>0</v>
      </c>
      <c r="H31" s="5">
        <v>0</v>
      </c>
      <c r="I31" s="5">
        <v>0</v>
      </c>
      <c r="J31" s="5">
        <v>91</v>
      </c>
      <c r="K31" s="5">
        <v>0</v>
      </c>
      <c r="L31" s="5">
        <v>0</v>
      </c>
      <c r="M31" s="5">
        <v>0</v>
      </c>
      <c r="N31" s="5">
        <v>5936</v>
      </c>
      <c r="O31" s="5" t="s">
        <v>45</v>
      </c>
    </row>
    <row r="32" spans="1:15" x14ac:dyDescent="0.55000000000000004">
      <c r="A32" s="4">
        <v>30</v>
      </c>
      <c r="B32" s="5">
        <v>1297</v>
      </c>
      <c r="C32" s="5">
        <v>6244</v>
      </c>
      <c r="D32" s="5">
        <v>0</v>
      </c>
      <c r="E32" s="5">
        <v>535</v>
      </c>
      <c r="F32" s="5">
        <v>0</v>
      </c>
      <c r="G32" s="5">
        <v>0</v>
      </c>
      <c r="H32" s="5">
        <v>0</v>
      </c>
      <c r="I32" s="5">
        <v>0</v>
      </c>
      <c r="J32" s="5">
        <v>91</v>
      </c>
      <c r="K32" s="5">
        <v>0</v>
      </c>
      <c r="L32" s="5">
        <v>0</v>
      </c>
      <c r="M32" s="5">
        <v>0</v>
      </c>
      <c r="N32" s="5">
        <v>5975</v>
      </c>
      <c r="O32" s="5" t="s">
        <v>49</v>
      </c>
    </row>
    <row r="33" spans="1:15" x14ac:dyDescent="0.55000000000000004">
      <c r="A33" s="4">
        <v>31</v>
      </c>
      <c r="B33" s="5">
        <v>1307</v>
      </c>
      <c r="C33" s="5">
        <v>6268</v>
      </c>
      <c r="D33" s="5">
        <v>0</v>
      </c>
      <c r="E33" s="5">
        <v>541</v>
      </c>
      <c r="F33" s="5">
        <v>0</v>
      </c>
      <c r="G33" s="5">
        <v>0</v>
      </c>
      <c r="H33" s="5">
        <v>0</v>
      </c>
      <c r="I33" s="5">
        <v>0</v>
      </c>
      <c r="J33" s="5">
        <v>97</v>
      </c>
      <c r="K33" s="5">
        <v>0</v>
      </c>
      <c r="L33" s="5">
        <v>0</v>
      </c>
      <c r="M33" s="5">
        <v>0</v>
      </c>
      <c r="N33" s="5">
        <v>6015</v>
      </c>
      <c r="O33" s="5" t="s">
        <v>50</v>
      </c>
    </row>
    <row r="34" spans="1:15" ht="15.6" x14ac:dyDescent="0.6">
      <c r="A34" s="6" t="s">
        <v>3</v>
      </c>
      <c r="D34" s="5"/>
    </row>
    <row r="35" spans="1:15" ht="15.6" x14ac:dyDescent="0.6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9" ma:contentTypeDescription="Create a new document." ma:contentTypeScope="" ma:versionID="0a6baf05582ea9d6613572b2e12a3aee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2f084a8075b419f02b47b181f76f9ca2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298FDF-3171-4221-8CA0-F559C4BB0EFF}">
  <ds:schemaRefs>
    <ds:schemaRef ds:uri="http://purl.org/dc/elements/1.1/"/>
    <ds:schemaRef ds:uri="c0c63084-832f-4b13-a501-c844d9f3bfed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2485E8B-5DEB-4F54-B4D7-FB97360240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CC3880E-2FEB-4FBD-B65E-19FB4CA45D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2023-10-31T05:37:29Z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