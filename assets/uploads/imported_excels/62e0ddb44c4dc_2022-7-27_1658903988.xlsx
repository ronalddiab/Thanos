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3" i="3" l="1"/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<sst xmlns="http://schemas.openxmlformats.org/spreadsheetml/2006/main" count="605" uniqueCount="75">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</sst>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89" workbookViewId="0">
      <selection activeCell="U199" sqref="U19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2.7</v>
      </c>
      <c r="G153" s="4">
        <f>'Gas Water'!M156</f>
        <v>2104</v>
      </c>
      <c r="H153" s="132">
        <v>13.68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2.7</v>
      </c>
      <c r="G154" s="4">
        <f>'Gas Water'!M157</f>
        <v>2090</v>
      </c>
      <c r="H154" s="132">
        <v>13.68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2.7</v>
      </c>
      <c r="G155" s="4">
        <f>'Gas Water'!M158</f>
        <v>2199</v>
      </c>
      <c r="H155" s="132">
        <v>13.68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2.7</v>
      </c>
      <c r="G156" s="4">
        <f>'Gas Water'!M159</f>
        <v>1989</v>
      </c>
      <c r="H156" s="132">
        <v>13.68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2.7</v>
      </c>
      <c r="G157" s="4">
        <f>'Gas Water'!M160</f>
        <v>1883</v>
      </c>
      <c r="H157" s="132">
        <v>13.68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2.7</v>
      </c>
      <c r="G158" s="4">
        <f>'Gas Water'!M161</f>
        <v>2207</v>
      </c>
      <c r="H158" s="132">
        <v>13.68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2.7</v>
      </c>
      <c r="G159" s="4">
        <f>'Gas Water'!M162</f>
        <v>2211</v>
      </c>
      <c r="H159" s="132">
        <v>13.68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2.7</v>
      </c>
      <c r="G160" s="4">
        <f>'Gas Water'!M163</f>
        <v>1972</v>
      </c>
      <c r="H160" s="132">
        <v>13.68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2.7</v>
      </c>
      <c r="G161" s="4">
        <f>'Gas Water'!M164</f>
        <v>2167</v>
      </c>
      <c r="H161" s="132">
        <v>13.68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2.7</v>
      </c>
      <c r="G162" s="4">
        <f>'Gas Water'!M165</f>
        <v>1791</v>
      </c>
      <c r="H162" s="132">
        <v>13.68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2.7</v>
      </c>
      <c r="G163" s="4">
        <f>'Gas Water'!M166</f>
        <v>2018</v>
      </c>
      <c r="H163" s="132">
        <v>13.68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2.7</v>
      </c>
      <c r="G164" s="4">
        <f>'Gas Water'!M167</f>
        <v>1875</v>
      </c>
      <c r="H164" s="132">
        <v>13.68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2.7</v>
      </c>
      <c r="G165" s="4">
        <f>'Gas Water'!M168</f>
        <v>1967</v>
      </c>
      <c r="H165" s="132">
        <v>13.68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2.7</v>
      </c>
      <c r="G166" s="4">
        <f>'Gas Water'!M169</f>
        <v>1704</v>
      </c>
      <c r="H166" s="132">
        <v>13.68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2.7</v>
      </c>
      <c r="G167" s="4">
        <f>'Gas Water'!M170</f>
        <v>1988</v>
      </c>
      <c r="H167" s="132">
        <v>13.68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2.7</v>
      </c>
      <c r="G168" s="4">
        <f>'Gas Water'!M171</f>
        <v>1889</v>
      </c>
      <c r="H168" s="132">
        <v>13.68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2.7</v>
      </c>
      <c r="G169" s="4">
        <f>'Gas Water'!M172</f>
        <v>2461</v>
      </c>
      <c r="H169" s="132">
        <v>13.68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2.7</v>
      </c>
      <c r="G170" s="4">
        <f>'Gas Water'!M173</f>
        <v>1893</v>
      </c>
      <c r="H170" s="132">
        <v>13.68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2.7</v>
      </c>
      <c r="G171" s="4">
        <f>'Gas Water'!M174</f>
        <v>1983</v>
      </c>
      <c r="H171" s="132">
        <v>13.68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2.7</v>
      </c>
      <c r="G172" s="4">
        <f>'Gas Water'!M175</f>
        <v>1814</v>
      </c>
      <c r="H172" s="132">
        <v>13.68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2.7</v>
      </c>
      <c r="G173" s="4">
        <f>'Gas Water'!M176</f>
        <v>1915</v>
      </c>
      <c r="H173" s="132">
        <v>13.68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2.7</v>
      </c>
      <c r="G174" s="4">
        <f>'Gas Water'!M177</f>
        <v>22731</v>
      </c>
      <c r="H174" s="132">
        <v>13.68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2.7</v>
      </c>
      <c r="G175" s="4">
        <f>'Gas Water'!M178</f>
        <v>1890</v>
      </c>
      <c r="H175" s="132">
        <v>13.68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2.7</v>
      </c>
      <c r="G176" s="4">
        <f>'Gas Water'!M179</f>
        <v>1760</v>
      </c>
      <c r="H176" s="132">
        <v>13.68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2.7</v>
      </c>
      <c r="G177" s="4">
        <f>'Gas Water'!M180</f>
        <v>1951</v>
      </c>
      <c r="H177" s="132">
        <v>13.68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2.7</v>
      </c>
      <c r="G178" s="4">
        <f>'Gas Water'!M181</f>
        <v>1802</v>
      </c>
      <c r="H178" s="132">
        <v>13.68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2.7</v>
      </c>
      <c r="G179" s="4">
        <f>'Gas Water'!M182</f>
        <v>1826</v>
      </c>
      <c r="H179" s="132">
        <v>13.68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2">
        <v>2.7</v>
      </c>
      <c r="G180" s="4">
        <f>'Gas Water'!M183</f>
        <v>1987</v>
      </c>
      <c r="H180" s="132">
        <v>13.68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2">
        <v>2.7</v>
      </c>
      <c r="G181" s="4">
        <f>'Gas Water'!M184</f>
        <v>1921</v>
      </c>
      <c r="H181" s="132">
        <v>13.68</v>
      </c>
      <c r="I181" s="2">
        <f>'Gas Water'!L184</f>
        <v>292</v>
      </c>
      <c r="J181" s="132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2">
        <v>2.7</v>
      </c>
      <c r="G182" s="4">
        <f>'Gas Water'!M185</f>
        <v>1749</v>
      </c>
      <c r="H182" s="132">
        <v>13.68</v>
      </c>
      <c r="I182" s="2">
        <f>'Gas Water'!L185</f>
        <v>281</v>
      </c>
      <c r="J182" s="132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2">
        <v>2.7</v>
      </c>
      <c r="G183" s="4">
        <f>'Gas Water'!M186</f>
        <v>1735</v>
      </c>
      <c r="H183" s="132">
        <v>13.68</v>
      </c>
      <c r="I183" s="2">
        <f>'Gas Water'!L186</f>
        <v>308</v>
      </c>
      <c r="J183" s="132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2">
        <v>2.7</v>
      </c>
      <c r="G184" s="4">
        <f>'Gas Water'!M187</f>
        <v>1765</v>
      </c>
      <c r="H184" s="132">
        <v>13.68</v>
      </c>
      <c r="I184" s="2">
        <f>'Gas Water'!L187</f>
        <v>301</v>
      </c>
      <c r="J184" s="132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2">
        <v>2.7</v>
      </c>
      <c r="G185" s="4">
        <f>'Gas Water'!M188</f>
        <v>1955</v>
      </c>
      <c r="H185" s="132">
        <v>13.68</v>
      </c>
      <c r="I185" s="2">
        <f>'Gas Water'!L188</f>
        <v>323</v>
      </c>
      <c r="J185" s="132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2">
        <v>2.7</v>
      </c>
      <c r="G186" s="4">
        <f>'Gas Water'!M189</f>
        <v>1731</v>
      </c>
      <c r="H186" s="132">
        <v>13.68</v>
      </c>
      <c r="I186" s="2">
        <f>'Gas Water'!L189</f>
        <v>273</v>
      </c>
      <c r="J186" s="132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2">
        <v>2.7</v>
      </c>
      <c r="G187" s="4">
        <f>'Gas Water'!M190</f>
        <v>1863</v>
      </c>
      <c r="H187" s="132">
        <v>13.68</v>
      </c>
      <c r="I187" s="2">
        <f>'Gas Water'!L190</f>
        <v>374</v>
      </c>
      <c r="J187" s="132">
        <v>22.4</v>
      </c>
      <c r="K187" s="5">
        <v>145</v>
      </c>
      <c r="L187" s="5">
        <v>255</v>
      </c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2">
        <v>2.7</v>
      </c>
      <c r="G188" s="4">
        <f>'Gas Water'!M191</f>
        <v>1805</v>
      </c>
      <c r="H188" s="132">
        <v>13.68</v>
      </c>
      <c r="I188" s="2">
        <f>'Gas Water'!L191</f>
        <v>415</v>
      </c>
      <c r="J188" s="132">
        <v>22.4</v>
      </c>
      <c r="K188" s="5">
        <v>136</v>
      </c>
      <c r="L188" s="5">
        <v>263</v>
      </c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2">
        <v>2.7</v>
      </c>
      <c r="G189" s="4">
        <f>'Gas Water'!M192</f>
        <v>1713</v>
      </c>
      <c r="H189" s="132">
        <v>13.68</v>
      </c>
      <c r="I189" s="2">
        <f>'Gas Water'!L192</f>
        <v>284</v>
      </c>
      <c r="J189" s="132">
        <v>22.4</v>
      </c>
      <c r="K189" s="5">
        <v>166</v>
      </c>
      <c r="L189" s="5">
        <v>307</v>
      </c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2">
        <v>2.7</v>
      </c>
      <c r="G190" s="4">
        <f>'Gas Water'!M193</f>
        <v>1713</v>
      </c>
      <c r="H190" s="132">
        <v>13.68</v>
      </c>
      <c r="I190" s="2">
        <f>'Gas Water'!L193</f>
        <v>301</v>
      </c>
      <c r="J190" s="132">
        <v>22.4</v>
      </c>
      <c r="K190" s="5">
        <v>162</v>
      </c>
      <c r="L190" s="5">
        <v>278</v>
      </c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2">
        <v>2.7</v>
      </c>
      <c r="G191" s="4">
        <f>'Gas Water'!M194</f>
        <v>1701</v>
      </c>
      <c r="H191" s="132">
        <v>13.68</v>
      </c>
      <c r="I191" s="2">
        <f>'Gas Water'!L194</f>
        <v>309</v>
      </c>
      <c r="J191" s="132">
        <v>22.4</v>
      </c>
      <c r="K191" s="5">
        <v>149</v>
      </c>
      <c r="L191" s="5">
        <v>255</v>
      </c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2">
        <v>2.7</v>
      </c>
      <c r="G192" s="4">
        <f>'Gas Water'!M195</f>
        <v>1818</v>
      </c>
      <c r="H192" s="132">
        <v>13.68</v>
      </c>
      <c r="I192" s="2">
        <f>'Gas Water'!L195</f>
        <v>228</v>
      </c>
      <c r="J192" s="132">
        <v>22.4</v>
      </c>
      <c r="K192" s="5">
        <v>142</v>
      </c>
      <c r="L192" s="5">
        <v>251</v>
      </c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2">
        <v>2.7</v>
      </c>
      <c r="G193" s="4">
        <f>'Gas Water'!M196</f>
        <v>1805</v>
      </c>
      <c r="H193" s="132">
        <v>13.68</v>
      </c>
      <c r="I193" s="2">
        <f>'Gas Water'!L196</f>
        <v>255</v>
      </c>
      <c r="J193" s="132">
        <v>22.4</v>
      </c>
      <c r="K193" s="5">
        <v>135</v>
      </c>
      <c r="L193" s="5">
        <v>287</v>
      </c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2">
        <v>2.7</v>
      </c>
      <c r="G194" s="4">
        <f>'Gas Water'!M197</f>
        <v>1739</v>
      </c>
      <c r="H194" s="132">
        <v>13.68</v>
      </c>
      <c r="I194" s="2">
        <f>'Gas Water'!L197</f>
        <v>263</v>
      </c>
      <c r="J194" s="132">
        <v>22.4</v>
      </c>
      <c r="K194" s="5">
        <v>152</v>
      </c>
      <c r="L194" s="5">
        <v>311</v>
      </c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2">
        <v>2.7</v>
      </c>
      <c r="G195" s="4">
        <f>'Gas Water'!M198</f>
        <v>1769</v>
      </c>
      <c r="H195" s="132">
        <v>13.68</v>
      </c>
      <c r="I195" s="2">
        <f>'Gas Water'!L198</f>
        <v>275</v>
      </c>
      <c r="J195" s="132">
        <v>22.4</v>
      </c>
      <c r="K195" s="5">
        <v>146</v>
      </c>
      <c r="L195" s="5">
        <v>293</v>
      </c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2">
        <v>2.7</v>
      </c>
      <c r="G196" s="4">
        <f>'Gas Water'!M199</f>
        <v>1871</v>
      </c>
      <c r="H196" s="132">
        <v>13.68</v>
      </c>
      <c r="I196" s="2">
        <f>'Gas Water'!L199</f>
        <v>298</v>
      </c>
      <c r="J196" s="132">
        <v>22.4</v>
      </c>
      <c r="K196" s="5">
        <v>157</v>
      </c>
      <c r="L196" s="5">
        <v>314</v>
      </c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2">
        <v>2.7</v>
      </c>
      <c r="G197" s="4">
        <f>'Gas Water'!M200</f>
        <v>1622</v>
      </c>
      <c r="H197" s="132">
        <v>13.68</v>
      </c>
      <c r="I197" s="2">
        <f>'Gas Water'!L200</f>
        <v>282</v>
      </c>
      <c r="J197" s="132">
        <v>22.4</v>
      </c>
      <c r="K197" s="5">
        <v>156</v>
      </c>
      <c r="L197" s="5">
        <v>311</v>
      </c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2">
        <v>2.7</v>
      </c>
      <c r="G198" s="4">
        <f>'Gas Water'!M201</f>
        <v>1532</v>
      </c>
      <c r="H198" s="132">
        <v>13.68</v>
      </c>
      <c r="I198" s="2">
        <f>'Gas Water'!L201</f>
        <v>342</v>
      </c>
      <c r="J198" s="132">
        <v>22.4</v>
      </c>
      <c r="K198" s="5">
        <v>155</v>
      </c>
      <c r="L198" s="5">
        <v>312</v>
      </c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2">
        <v>2.7</v>
      </c>
      <c r="G199" s="4">
        <f>'Gas Water'!M202</f>
        <v>1513</v>
      </c>
      <c r="H199" s="132">
        <v>13.68</v>
      </c>
      <c r="I199" s="2">
        <f>'Gas Water'!L202</f>
        <v>315</v>
      </c>
      <c r="J199" s="132">
        <v>22.4</v>
      </c>
      <c r="K199" s="5">
        <v>154</v>
      </c>
      <c r="L199" s="5">
        <v>323</v>
      </c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2">
        <v>2.7</v>
      </c>
      <c r="G200" s="4">
        <f>'Gas Water'!M203</f>
        <v>1752</v>
      </c>
      <c r="H200" s="132">
        <v>13.68</v>
      </c>
      <c r="I200" s="2">
        <f>'Gas Water'!L203</f>
        <v>334</v>
      </c>
      <c r="J200" s="132">
        <v>22.4</v>
      </c>
      <c r="K200" s="5">
        <v>160</v>
      </c>
      <c r="L200" s="5">
        <v>329</v>
      </c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2">
        <v>2.7</v>
      </c>
      <c r="G201" s="4">
        <f>'Gas Water'!M204</f>
        <v>1761</v>
      </c>
      <c r="H201" s="132">
        <v>13.68</v>
      </c>
      <c r="I201" s="2">
        <f>'Gas Water'!L204</f>
        <v>384</v>
      </c>
      <c r="J201" s="132">
        <v>22.4</v>
      </c>
      <c r="K201" s="5">
        <v>157</v>
      </c>
      <c r="L201" s="5">
        <v>308</v>
      </c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32">
        <v>2.7</v>
      </c>
      <c r="G202" s="4">
        <f>'Gas Water'!M205</f>
        <v>1837</v>
      </c>
      <c r="H202" s="132">
        <v>13.68</v>
      </c>
      <c r="I202" s="2">
        <f>'Gas Water'!L205</f>
        <v>354</v>
      </c>
      <c r="J202" s="132">
        <v>22.4</v>
      </c>
      <c r="K202" s="5">
        <v>144</v>
      </c>
      <c r="L202" s="5">
        <v>290</v>
      </c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32">
        <v>2.7</v>
      </c>
      <c r="G203" s="4">
        <f>'Gas Water'!M206</f>
        <v>1623</v>
      </c>
      <c r="H203" s="132">
        <v>13.68</v>
      </c>
      <c r="I203" s="2">
        <f>'Gas Water'!L206</f>
        <v>333</v>
      </c>
      <c r="J203" s="132">
        <v>22.4</v>
      </c>
      <c r="K203" s="5">
        <v>157</v>
      </c>
      <c r="L203" s="5">
        <v>309</v>
      </c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32">
        <v>2.7</v>
      </c>
      <c r="G204" s="4">
        <f>'Gas Water'!M207</f>
        <v>1621</v>
      </c>
      <c r="H204" s="132">
        <v>13.68</v>
      </c>
      <c r="I204" s="2">
        <f>'Gas Water'!L207</f>
        <v>354</v>
      </c>
      <c r="J204" s="132">
        <v>22.4</v>
      </c>
      <c r="K204" s="5">
        <v>166</v>
      </c>
      <c r="L204" s="5">
        <v>288</v>
      </c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32">
        <v>2.7</v>
      </c>
      <c r="G205" s="4">
        <f>'Gas Water'!M208</f>
        <v>1536</v>
      </c>
      <c r="H205" s="132">
        <v>13.68</v>
      </c>
      <c r="I205" s="2">
        <f>'Gas Water'!L208</f>
        <v>297</v>
      </c>
      <c r="J205" s="132">
        <v>22.4</v>
      </c>
      <c r="K205" s="5">
        <v>161</v>
      </c>
      <c r="L205" s="5">
        <v>286</v>
      </c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32">
        <v>2.7</v>
      </c>
      <c r="G206" s="4">
        <f>'Gas Water'!M209</f>
        <v>1515</v>
      </c>
      <c r="H206" s="132">
        <v>13.68</v>
      </c>
      <c r="I206" s="2">
        <f>'Gas Water'!L209</f>
        <v>271</v>
      </c>
      <c r="J206" s="132">
        <v>22.4</v>
      </c>
      <c r="K206" s="5">
        <v>146</v>
      </c>
      <c r="L206" s="5">
        <v>291</v>
      </c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32">
        <v>2.7</v>
      </c>
      <c r="G207" s="4">
        <f>'Gas Water'!M210</f>
        <v>1435</v>
      </c>
      <c r="H207" s="132">
        <v>13.68</v>
      </c>
      <c r="I207" s="2">
        <f>'Gas Water'!L210</f>
        <v>296</v>
      </c>
      <c r="J207" s="132">
        <v>22.4</v>
      </c>
      <c r="K207" s="5">
        <v>146</v>
      </c>
      <c r="L207" s="5">
        <v>292</v>
      </c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32">
        <v>2.7</v>
      </c>
      <c r="G208" s="4">
        <f>'Gas Water'!M211</f>
        <v>1554</v>
      </c>
      <c r="H208" s="132">
        <v>13.68</v>
      </c>
      <c r="I208" s="2">
        <f>'Gas Water'!L211</f>
        <v>321</v>
      </c>
      <c r="J208" s="132">
        <v>22.4</v>
      </c>
      <c r="K208" s="5">
        <v>142</v>
      </c>
      <c r="L208" s="5">
        <v>287</v>
      </c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82" workbookViewId="0">
      <selection activeCell="T182" sqref="T182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6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6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6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6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6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6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6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6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6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6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7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7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6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6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6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7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7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6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6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6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7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7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6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6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6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7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7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6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6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8" t="s">
        <v>35</v>
      </c>
      <c r="Q30" s="159" t="s">
        <v>36</v>
      </c>
      <c r="R30" s="19">
        <f t="shared" si="7"/>
        <v>1</v>
      </c>
      <c r="S30" s="19">
        <f t="shared" si="8"/>
        <v>0</v>
      </c>
      <c r="T30" s="157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7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0" t="s">
        <v>37</v>
      </c>
      <c r="Q32" s="161" t="s">
        <v>38</v>
      </c>
      <c r="R32" s="19">
        <f t="shared" si="7"/>
        <v>1</v>
      </c>
      <c r="S32" s="19">
        <f t="shared" si="8"/>
        <v>0</v>
      </c>
      <c r="T32" s="157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6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6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6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7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7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6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6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6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7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7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6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6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6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7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7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6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6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6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7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7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6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6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7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7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7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8" t="s">
        <v>35</v>
      </c>
      <c r="Q58" s="159" t="s">
        <v>42</v>
      </c>
      <c r="R58" s="19">
        <f t="shared" si="7"/>
        <v>1</v>
      </c>
      <c r="S58" s="19">
        <f t="shared" si="8"/>
        <v>0</v>
      </c>
      <c r="T58" s="157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6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0" t="s">
        <v>37</v>
      </c>
      <c r="Q60" s="161" t="s">
        <v>38</v>
      </c>
      <c r="R60" s="19">
        <f t="shared" si="7"/>
        <v>1</v>
      </c>
      <c r="S60" s="19">
        <f t="shared" si="8"/>
        <v>0</v>
      </c>
      <c r="T60" s="156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6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6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6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6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7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7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6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6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6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7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7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6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6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6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7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7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6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6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6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7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7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6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6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7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7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7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7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6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6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8" t="s">
        <v>35</v>
      </c>
      <c r="Q90" s="159" t="s">
        <v>42</v>
      </c>
      <c r="R90" s="19">
        <f t="shared" si="39"/>
        <v>1</v>
      </c>
      <c r="S90" s="19">
        <f t="shared" si="40"/>
        <v>0</v>
      </c>
      <c r="T90" s="157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7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0" t="s">
        <v>37</v>
      </c>
      <c r="Q92" s="161" t="s">
        <v>38</v>
      </c>
      <c r="R92" s="19">
        <f t="shared" si="39"/>
        <v>1</v>
      </c>
      <c r="S92" s="19">
        <f t="shared" si="40"/>
        <v>0</v>
      </c>
      <c r="T92" s="157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6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6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6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7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7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6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6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6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7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7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6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6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6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7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7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6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6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6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7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7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6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6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7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7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7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7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6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8" t="s">
        <v>35</v>
      </c>
      <c r="Q120" s="159" t="s">
        <v>42</v>
      </c>
      <c r="R120" s="19">
        <f t="shared" si="61"/>
        <v>1</v>
      </c>
      <c r="S120" s="19">
        <f t="shared" si="40"/>
        <v>0</v>
      </c>
      <c r="T120" s="156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7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0" t="s">
        <v>37</v>
      </c>
      <c r="Q122" s="161" t="s">
        <v>38</v>
      </c>
      <c r="R122" s="19">
        <f t="shared" si="61"/>
        <v>1</v>
      </c>
      <c r="S122" s="19">
        <f t="shared" si="40"/>
        <v>0</v>
      </c>
      <c r="T122" s="157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6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6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6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7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7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6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6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6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7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7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6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6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6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7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7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6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6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6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7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7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6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6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7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7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7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7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6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6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8" t="s">
        <v>35</v>
      </c>
      <c r="Q151" s="159" t="s">
        <v>42</v>
      </c>
      <c r="R151" s="19">
        <f t="shared" si="61"/>
        <v>1</v>
      </c>
      <c r="S151" s="19">
        <f t="shared" si="71"/>
        <v>0</v>
      </c>
      <c r="T151" s="156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6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0" t="s">
        <v>37</v>
      </c>
      <c r="Q153" s="161" t="s">
        <v>38</v>
      </c>
      <c r="R153" s="19">
        <f t="shared" si="61"/>
        <v>1</v>
      </c>
      <c r="S153" s="19">
        <f t="shared" si="71"/>
        <v>0</v>
      </c>
      <c r="T153" s="156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6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6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6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7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7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6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6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6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7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7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6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6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6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7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7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6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6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6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7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7"/>
    </row>
    <row r="174" spans="1:20" ht="15.75" thickBot="1" x14ac:dyDescent="0.3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6"/>
    </row>
    <row r="175" spans="1:20" ht="15.75" thickBot="1" x14ac:dyDescent="0.3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3.1999116701698659E-2</v>
      </c>
      <c r="Q175" s="66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6"/>
    </row>
    <row r="176" spans="1:20" ht="15.75" thickBot="1" x14ac:dyDescent="0.3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7"/>
    </row>
    <row r="177" spans="1:20" ht="15.75" thickBot="1" x14ac:dyDescent="0.3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7"/>
    </row>
    <row r="178" spans="1:20" x14ac:dyDescent="0.25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3710</v>
      </c>
      <c r="Q178" s="71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7"/>
    </row>
    <row r="179" spans="1:20" x14ac:dyDescent="0.25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7"/>
    </row>
    <row r="180" spans="1:20" x14ac:dyDescent="0.25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6"/>
    </row>
    <row r="181" spans="1:20" x14ac:dyDescent="0.25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8" t="s">
        <v>35</v>
      </c>
      <c r="Q181" s="159" t="s">
        <v>42</v>
      </c>
      <c r="R181" s="19">
        <f t="shared" si="78"/>
        <v>1</v>
      </c>
      <c r="S181" s="19">
        <f t="shared" si="71"/>
        <v>0</v>
      </c>
      <c r="T181" s="156"/>
    </row>
    <row r="182" spans="1:20" x14ac:dyDescent="0.25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66072019</v>
      </c>
      <c r="O182" s="58">
        <f t="shared" si="70"/>
        <v>3710</v>
      </c>
      <c r="P182" s="76">
        <f>P180*Q185</f>
        <v>0</v>
      </c>
      <c r="Q182" s="77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6"/>
    </row>
    <row r="183" spans="1:20" x14ac:dyDescent="0.25">
      <c r="A183" s="51">
        <v>44741</v>
      </c>
      <c r="D183" s="136">
        <v>0.14199999999999999</v>
      </c>
      <c r="E183" s="137">
        <v>2979.3980000000001</v>
      </c>
      <c r="F183" s="138">
        <v>86.554000000000002</v>
      </c>
      <c r="G183" s="56"/>
      <c r="H183" s="56">
        <v>4140</v>
      </c>
      <c r="I183" s="56">
        <f t="shared" si="76"/>
        <v>35305.920000001024</v>
      </c>
      <c r="J183" s="56">
        <f t="shared" si="77"/>
        <v>1113.6600000000226</v>
      </c>
      <c r="K183" s="57">
        <f t="shared" si="72"/>
        <v>3.1543151969980962E-2</v>
      </c>
      <c r="L183" s="56">
        <f t="shared" si="73"/>
        <v>1113.6600000000226</v>
      </c>
      <c r="M183" s="57">
        <f t="shared" si="74"/>
        <v>3.1543151969980962E-2</v>
      </c>
      <c r="N183" s="58">
        <v>66072019</v>
      </c>
      <c r="O183" s="58">
        <f t="shared" si="70"/>
        <v>0</v>
      </c>
      <c r="P183" s="160" t="s">
        <v>37</v>
      </c>
      <c r="Q183" s="161" t="s">
        <v>38</v>
      </c>
      <c r="R183" s="19">
        <f t="shared" si="78"/>
        <v>1</v>
      </c>
      <c r="S183" s="19">
        <f t="shared" si="71"/>
        <v>0</v>
      </c>
      <c r="T183" s="156"/>
    </row>
    <row r="184" spans="1:20" x14ac:dyDescent="0.25">
      <c r="A184" s="51">
        <v>44742</v>
      </c>
      <c r="D184" s="136">
        <v>0.14199999999999999</v>
      </c>
      <c r="E184" s="137">
        <v>2987.8969999999999</v>
      </c>
      <c r="F184" s="138">
        <v>86.822999999999993</v>
      </c>
      <c r="G184" s="81"/>
      <c r="H184" s="56">
        <v>4140</v>
      </c>
      <c r="I184" s="56">
        <f t="shared" si="76"/>
        <v>35185.859999999157</v>
      </c>
      <c r="J184" s="56">
        <f t="shared" si="77"/>
        <v>1113.6599999999637</v>
      </c>
      <c r="K184" s="57">
        <f t="shared" si="72"/>
        <v>3.1650782444993253E-2</v>
      </c>
      <c r="L184" s="56">
        <f t="shared" si="73"/>
        <v>1113.6599999999637</v>
      </c>
      <c r="M184" s="57">
        <f t="shared" si="74"/>
        <v>3.1650782444993253E-2</v>
      </c>
      <c r="N184" s="82">
        <v>66072019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6"/>
    </row>
    <row r="185" spans="1:20" x14ac:dyDescent="0.25">
      <c r="A185" s="51">
        <v>44743</v>
      </c>
      <c r="D185" s="136">
        <v>0.14199999999999999</v>
      </c>
      <c r="E185" s="137">
        <v>2997.36</v>
      </c>
      <c r="F185" s="138">
        <v>87.146000000000001</v>
      </c>
      <c r="G185" s="56"/>
      <c r="H185" s="56">
        <v>4140</v>
      </c>
      <c r="I185" s="56">
        <f t="shared" si="76"/>
        <v>39176.8200000008</v>
      </c>
      <c r="J185" s="56">
        <f t="shared" si="77"/>
        <v>1337.2200000000312</v>
      </c>
      <c r="K185" s="57">
        <f t="shared" si="72"/>
        <v>3.4132938814329591E-2</v>
      </c>
      <c r="L185" s="56">
        <f t="shared" si="73"/>
        <v>1337.2200000000312</v>
      </c>
      <c r="M185" s="57">
        <f t="shared" si="74"/>
        <v>3.4132938814329591E-2</v>
      </c>
      <c r="N185" s="58">
        <v>66072019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6"/>
    </row>
    <row r="186" spans="1:20" x14ac:dyDescent="0.25">
      <c r="A186" s="51">
        <v>44744</v>
      </c>
      <c r="D186" s="136">
        <v>0.14199999999999999</v>
      </c>
      <c r="E186" s="137">
        <v>3006.6170000000002</v>
      </c>
      <c r="F186" s="138">
        <v>87.447999999999993</v>
      </c>
      <c r="G186" s="56"/>
      <c r="H186" s="56">
        <v>4140</v>
      </c>
      <c r="I186" s="56">
        <f t="shared" si="76"/>
        <v>38323.980000000258</v>
      </c>
      <c r="J186" s="56">
        <f t="shared" si="77"/>
        <v>1250.2799999999688</v>
      </c>
      <c r="K186" s="57">
        <f t="shared" si="72"/>
        <v>3.2623960246299065E-2</v>
      </c>
      <c r="L186" s="56">
        <f t="shared" si="73"/>
        <v>1250.2799999999688</v>
      </c>
      <c r="M186" s="57">
        <f t="shared" si="74"/>
        <v>3.2623960246299065E-2</v>
      </c>
      <c r="N186" s="58">
        <v>66072019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6"/>
    </row>
    <row r="187" spans="1:20" x14ac:dyDescent="0.25">
      <c r="A187" s="51">
        <v>44745</v>
      </c>
      <c r="D187" s="136">
        <v>0.14199999999999999</v>
      </c>
      <c r="E187" s="137">
        <v>3015.116</v>
      </c>
      <c r="F187" s="138">
        <v>87.731999999999999</v>
      </c>
      <c r="G187" s="56"/>
      <c r="H187" s="56">
        <v>4140</v>
      </c>
      <c r="I187" s="56">
        <f t="shared" si="76"/>
        <v>35185.859999999157</v>
      </c>
      <c r="J187" s="56">
        <f t="shared" si="77"/>
        <v>1175.760000000025</v>
      </c>
      <c r="K187" s="57">
        <f t="shared" si="72"/>
        <v>3.3415695964232599E-2</v>
      </c>
      <c r="L187" s="56">
        <f t="shared" si="73"/>
        <v>1175.760000000025</v>
      </c>
      <c r="M187" s="57">
        <f t="shared" si="74"/>
        <v>3.3415695964232599E-2</v>
      </c>
      <c r="N187" s="58">
        <v>66072019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7"/>
    </row>
    <row r="188" spans="1:20" x14ac:dyDescent="0.25">
      <c r="A188" s="51">
        <v>44746</v>
      </c>
      <c r="D188" s="136">
        <v>0.14199999999999999</v>
      </c>
      <c r="E188" s="137">
        <v>3023.663</v>
      </c>
      <c r="F188" s="138">
        <v>88.006</v>
      </c>
      <c r="G188" s="56"/>
      <c r="H188" s="56">
        <v>4140</v>
      </c>
      <c r="I188" s="56">
        <f t="shared" si="76"/>
        <v>35384.580000000104</v>
      </c>
      <c r="J188" s="56">
        <f t="shared" si="77"/>
        <v>1134.3600000000038</v>
      </c>
      <c r="K188" s="57">
        <f t="shared" si="72"/>
        <v>3.2058032058032072E-2</v>
      </c>
      <c r="L188" s="56">
        <f t="shared" si="73"/>
        <v>1134.3600000000038</v>
      </c>
      <c r="M188" s="57">
        <f t="shared" si="74"/>
        <v>3.2058032058032072E-2</v>
      </c>
      <c r="N188" s="58">
        <v>66072019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7"/>
    </row>
    <row r="189" spans="1:20" x14ac:dyDescent="0.25">
      <c r="A189" s="51">
        <v>44747</v>
      </c>
      <c r="D189" s="136">
        <v>0.14199999999999999</v>
      </c>
      <c r="E189" s="137">
        <v>3032.8440000000001</v>
      </c>
      <c r="F189" s="138">
        <v>88.366</v>
      </c>
      <c r="G189" s="56"/>
      <c r="H189" s="56">
        <v>4140</v>
      </c>
      <c r="I189" s="56">
        <f t="shared" si="76"/>
        <v>38009.340000000164</v>
      </c>
      <c r="J189" s="56">
        <f t="shared" si="77"/>
        <v>1490.3999999999976</v>
      </c>
      <c r="K189" s="57">
        <f t="shared" si="72"/>
        <v>3.92114148785533E-2</v>
      </c>
      <c r="L189" s="56">
        <f t="shared" si="73"/>
        <v>1490.3999999999976</v>
      </c>
      <c r="M189" s="57">
        <f t="shared" si="74"/>
        <v>3.92114148785533E-2</v>
      </c>
      <c r="N189" s="58">
        <v>66072019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6"/>
    </row>
    <row r="190" spans="1:20" x14ac:dyDescent="0.25">
      <c r="A190" s="51">
        <v>44748</v>
      </c>
      <c r="D190" s="136">
        <v>0.14199999999999999</v>
      </c>
      <c r="E190" s="137">
        <v>3041.8969999999999</v>
      </c>
      <c r="F190" s="138">
        <v>88.710999999999999</v>
      </c>
      <c r="G190" s="56"/>
      <c r="H190" s="56">
        <v>4140</v>
      </c>
      <c r="I190" s="56">
        <f t="shared" si="76"/>
        <v>37479.419999999518</v>
      </c>
      <c r="J190" s="56">
        <f t="shared" si="77"/>
        <v>1428.2999999999952</v>
      </c>
      <c r="K190" s="57">
        <f t="shared" si="72"/>
        <v>3.810891417209801E-2</v>
      </c>
      <c r="L190" s="56">
        <f t="shared" si="73"/>
        <v>1428.2999999999952</v>
      </c>
      <c r="M190" s="57">
        <f t="shared" si="74"/>
        <v>3.810891417209801E-2</v>
      </c>
      <c r="N190" s="58">
        <v>66072019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6"/>
    </row>
    <row r="191" spans="1:20" x14ac:dyDescent="0.25">
      <c r="A191" s="51">
        <v>44749</v>
      </c>
      <c r="D191" s="136">
        <v>0.14199999999999999</v>
      </c>
      <c r="E191" s="137">
        <v>3051.6460000000002</v>
      </c>
      <c r="F191" s="138">
        <v>89.05</v>
      </c>
      <c r="G191" s="56"/>
      <c r="H191" s="56">
        <v>4140</v>
      </c>
      <c r="I191" s="56">
        <f t="shared" si="76"/>
        <v>40360.860000001041</v>
      </c>
      <c r="J191" s="56">
        <f t="shared" si="77"/>
        <v>1403.4599999999944</v>
      </c>
      <c r="K191" s="57">
        <f t="shared" si="72"/>
        <v>3.4772797209969217E-2</v>
      </c>
      <c r="L191" s="56">
        <f t="shared" si="73"/>
        <v>1403.4599999999944</v>
      </c>
      <c r="M191" s="57">
        <f t="shared" si="74"/>
        <v>3.4772797209969217E-2</v>
      </c>
      <c r="N191" s="58">
        <v>66072019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6"/>
    </row>
    <row r="192" spans="1:20" x14ac:dyDescent="0.25">
      <c r="A192" s="51">
        <v>44750</v>
      </c>
      <c r="D192" s="136">
        <v>0.14199999999999999</v>
      </c>
      <c r="E192" s="137">
        <v>3059.84</v>
      </c>
      <c r="F192" s="138">
        <v>89.347999999999999</v>
      </c>
      <c r="G192" s="56"/>
      <c r="H192" s="56">
        <v>4140</v>
      </c>
      <c r="I192" s="56">
        <f t="shared" si="76"/>
        <v>33923.159999999836</v>
      </c>
      <c r="J192" s="56">
        <f t="shared" si="77"/>
        <v>1233.7200000000075</v>
      </c>
      <c r="K192" s="57">
        <f t="shared" si="72"/>
        <v>3.6368074200635009E-2</v>
      </c>
      <c r="L192" s="56">
        <f t="shared" si="73"/>
        <v>1233.7200000000075</v>
      </c>
      <c r="M192" s="57">
        <f t="shared" si="74"/>
        <v>3.6368074200635009E-2</v>
      </c>
      <c r="N192" s="58">
        <v>66072019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7"/>
    </row>
    <row r="193" spans="1:20" x14ac:dyDescent="0.25">
      <c r="A193" s="51">
        <v>44751</v>
      </c>
      <c r="D193" s="136">
        <v>0.14199999999999999</v>
      </c>
      <c r="E193" s="137">
        <v>3068.49</v>
      </c>
      <c r="F193" s="138">
        <v>89.661000000000001</v>
      </c>
      <c r="G193" s="56"/>
      <c r="H193" s="56">
        <v>4140</v>
      </c>
      <c r="I193" s="56">
        <f t="shared" si="76"/>
        <v>35810.999999998494</v>
      </c>
      <c r="J193" s="56">
        <f t="shared" si="77"/>
        <v>1295.8200000000099</v>
      </c>
      <c r="K193" s="57">
        <f t="shared" si="72"/>
        <v>3.6184971098267696E-2</v>
      </c>
      <c r="L193" s="56">
        <f t="shared" si="73"/>
        <v>1295.8200000000099</v>
      </c>
      <c r="M193" s="57">
        <f t="shared" si="74"/>
        <v>3.6184971098267696E-2</v>
      </c>
      <c r="N193" s="58">
        <v>66072019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7"/>
    </row>
    <row r="194" spans="1:20" x14ac:dyDescent="0.25">
      <c r="A194" s="51">
        <v>44752</v>
      </c>
      <c r="D194" s="136">
        <v>0.14199999999999999</v>
      </c>
      <c r="E194" s="137">
        <v>3076.598</v>
      </c>
      <c r="F194" s="138">
        <v>89.864000000000004</v>
      </c>
      <c r="G194" s="56"/>
      <c r="H194" s="56">
        <v>4140</v>
      </c>
      <c r="I194" s="56">
        <f t="shared" si="76"/>
        <v>33567.120000000723</v>
      </c>
      <c r="J194" s="56">
        <f t="shared" si="77"/>
        <v>840.42000000001224</v>
      </c>
      <c r="K194" s="57">
        <f t="shared" si="72"/>
        <v>2.5037000493339737E-2</v>
      </c>
      <c r="L194" s="56">
        <f t="shared" si="73"/>
        <v>840.42000000001224</v>
      </c>
      <c r="M194" s="57">
        <f t="shared" si="74"/>
        <v>2.5037000493339737E-2</v>
      </c>
      <c r="N194" s="58">
        <v>66072019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6"/>
    </row>
    <row r="195" spans="1:20" x14ac:dyDescent="0.25">
      <c r="A195" s="51">
        <v>44753</v>
      </c>
      <c r="D195" s="136">
        <v>0.14199999999999999</v>
      </c>
      <c r="E195" s="137">
        <v>3084.5369999999998</v>
      </c>
      <c r="F195" s="138">
        <v>90.12</v>
      </c>
      <c r="G195" s="56"/>
      <c r="H195" s="56">
        <v>4140</v>
      </c>
      <c r="I195" s="56">
        <f t="shared" si="76"/>
        <v>32867.459999999381</v>
      </c>
      <c r="J195" s="56">
        <f t="shared" si="77"/>
        <v>1059.8400000000011</v>
      </c>
      <c r="K195" s="57">
        <f t="shared" si="72"/>
        <v>3.2245874795314912E-2</v>
      </c>
      <c r="L195" s="56">
        <f t="shared" si="73"/>
        <v>1059.8400000000011</v>
      </c>
      <c r="M195" s="57">
        <f t="shared" si="74"/>
        <v>3.2245874795314912E-2</v>
      </c>
      <c r="N195" s="58">
        <v>66072019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6"/>
    </row>
    <row r="196" spans="1:20" x14ac:dyDescent="0.25">
      <c r="A196" s="51">
        <v>44754</v>
      </c>
      <c r="D196" s="136">
        <v>0.14199999999999999</v>
      </c>
      <c r="E196" s="137">
        <v>3092.6619999999998</v>
      </c>
      <c r="F196" s="138">
        <v>90.462000000000003</v>
      </c>
      <c r="G196" s="56"/>
      <c r="H196" s="56">
        <v>4140</v>
      </c>
      <c r="I196" s="56">
        <f t="shared" si="76"/>
        <v>33637.5</v>
      </c>
      <c r="J196" s="56">
        <f t="shared" si="77"/>
        <v>1415.8799999999949</v>
      </c>
      <c r="K196" s="57">
        <f t="shared" si="72"/>
        <v>4.209230769230754E-2</v>
      </c>
      <c r="L196" s="56">
        <f t="shared" si="73"/>
        <v>1415.8799999999949</v>
      </c>
      <c r="M196" s="57">
        <f t="shared" si="74"/>
        <v>4.209230769230754E-2</v>
      </c>
      <c r="N196" s="58">
        <v>66072019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6"/>
    </row>
    <row r="197" spans="1:20" x14ac:dyDescent="0.25">
      <c r="A197" s="51">
        <v>44755</v>
      </c>
      <c r="D197" s="136">
        <v>0.14199999999999999</v>
      </c>
      <c r="E197" s="137">
        <v>3100.788</v>
      </c>
      <c r="F197" s="138">
        <v>90.685000000000002</v>
      </c>
      <c r="G197" s="56"/>
      <c r="H197" s="56">
        <v>4140</v>
      </c>
      <c r="I197" s="56">
        <f t="shared" si="76"/>
        <v>33641.640000000843</v>
      </c>
      <c r="J197" s="56">
        <f t="shared" si="77"/>
        <v>923.21999999999571</v>
      </c>
      <c r="K197" s="57">
        <f t="shared" si="72"/>
        <v>2.7442776273688577E-2</v>
      </c>
      <c r="L197" s="56">
        <f t="shared" si="73"/>
        <v>923.21999999999571</v>
      </c>
      <c r="M197" s="57">
        <f t="shared" si="74"/>
        <v>2.7442776273688577E-2</v>
      </c>
      <c r="N197" s="58">
        <v>66072019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7"/>
    </row>
    <row r="198" spans="1:20" x14ac:dyDescent="0.25">
      <c r="A198" s="51">
        <v>44756</v>
      </c>
      <c r="D198" s="136">
        <v>0.14199999999999999</v>
      </c>
      <c r="E198" s="137">
        <v>3109.0790000000002</v>
      </c>
      <c r="F198" s="138">
        <v>90.914000000000001</v>
      </c>
      <c r="G198" s="56"/>
      <c r="H198" s="56">
        <v>4140</v>
      </c>
      <c r="I198" s="56">
        <f t="shared" si="76"/>
        <v>34324.740000000689</v>
      </c>
      <c r="J198" s="56">
        <f t="shared" si="77"/>
        <v>948.05999999999676</v>
      </c>
      <c r="K198" s="57">
        <f t="shared" si="72"/>
        <v>2.7620311180797809E-2</v>
      </c>
      <c r="L198" s="56">
        <f t="shared" si="73"/>
        <v>948.05999999999676</v>
      </c>
      <c r="M198" s="57">
        <f t="shared" si="74"/>
        <v>2.7620311180797809E-2</v>
      </c>
      <c r="N198" s="58">
        <v>66072019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7"/>
    </row>
    <row r="199" spans="1:20" x14ac:dyDescent="0.25">
      <c r="A199" s="51">
        <v>44757</v>
      </c>
      <c r="D199" s="136">
        <v>0.14199999999999999</v>
      </c>
      <c r="E199" s="137">
        <v>3117.413</v>
      </c>
      <c r="F199" s="138">
        <v>91.177999999999997</v>
      </c>
      <c r="G199" s="56"/>
      <c r="H199" s="56">
        <v>4140</v>
      </c>
      <c r="I199" s="56">
        <f t="shared" si="76"/>
        <v>34502.759999999311</v>
      </c>
      <c r="J199" s="56">
        <f t="shared" si="77"/>
        <v>1092.9599999999825</v>
      </c>
      <c r="K199" s="57">
        <f t="shared" si="72"/>
        <v>3.1677465802735907E-2</v>
      </c>
      <c r="L199" s="56">
        <f t="shared" si="73"/>
        <v>1092.9599999999825</v>
      </c>
      <c r="M199" s="57">
        <f t="shared" si="74"/>
        <v>3.1677465802735907E-2</v>
      </c>
      <c r="N199" s="58">
        <v>66072019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6"/>
    </row>
    <row r="200" spans="1:20" x14ac:dyDescent="0.25">
      <c r="A200" s="51">
        <v>44758</v>
      </c>
      <c r="D200" s="136">
        <v>0.14199999999999999</v>
      </c>
      <c r="E200" s="137">
        <v>3125.893</v>
      </c>
      <c r="F200" s="138">
        <v>91.488</v>
      </c>
      <c r="G200" s="56"/>
      <c r="H200" s="56">
        <v>4140</v>
      </c>
      <c r="I200" s="56">
        <f t="shared" si="76"/>
        <v>35107.200000000077</v>
      </c>
      <c r="J200" s="56">
        <f t="shared" si="77"/>
        <v>1283.4000000000094</v>
      </c>
      <c r="K200" s="57">
        <f t="shared" si="72"/>
        <v>3.6556603773585092E-2</v>
      </c>
      <c r="L200" s="56">
        <f t="shared" si="73"/>
        <v>1283.4000000000094</v>
      </c>
      <c r="M200" s="57">
        <f t="shared" si="74"/>
        <v>3.6556603773585092E-2</v>
      </c>
      <c r="N200" s="58">
        <v>66072019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6"/>
    </row>
    <row r="201" spans="1:20" x14ac:dyDescent="0.25">
      <c r="A201" s="51">
        <v>44759</v>
      </c>
      <c r="D201" s="136">
        <v>0.14199999999999999</v>
      </c>
      <c r="E201" s="137">
        <v>3134.2260000000001</v>
      </c>
      <c r="F201" s="138">
        <v>91.734999999999999</v>
      </c>
      <c r="G201" s="56"/>
      <c r="H201" s="56">
        <v>4140</v>
      </c>
      <c r="I201" s="56">
        <f t="shared" si="76"/>
        <v>34498.620000000345</v>
      </c>
      <c r="J201" s="56">
        <f t="shared" si="77"/>
        <v>1022.5799999999995</v>
      </c>
      <c r="K201" s="57">
        <f t="shared" si="72"/>
        <v>2.9641185647425586E-2</v>
      </c>
      <c r="L201" s="56">
        <f t="shared" si="73"/>
        <v>1022.5799999999995</v>
      </c>
      <c r="M201" s="57">
        <f t="shared" si="74"/>
        <v>2.9641185647425586E-2</v>
      </c>
      <c r="N201" s="58">
        <v>66072019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6"/>
    </row>
    <row r="202" spans="1:20" x14ac:dyDescent="0.25">
      <c r="A202" s="51">
        <v>44760</v>
      </c>
      <c r="D202" s="136">
        <v>0.14199999999999999</v>
      </c>
      <c r="E202" s="137">
        <v>3142.636</v>
      </c>
      <c r="F202" s="138">
        <v>92.018000000000001</v>
      </c>
      <c r="G202" s="56"/>
      <c r="H202" s="56">
        <v>4140</v>
      </c>
      <c r="I202" s="56">
        <f t="shared" si="76"/>
        <v>34817.399999999398</v>
      </c>
      <c r="J202" s="56">
        <f t="shared" si="77"/>
        <v>1171.6200000000051</v>
      </c>
      <c r="K202" s="57">
        <f t="shared" si="72"/>
        <v>3.365041617122546E-2</v>
      </c>
      <c r="L202" s="56">
        <f t="shared" si="73"/>
        <v>1171.6200000000051</v>
      </c>
      <c r="M202" s="57">
        <f t="shared" si="74"/>
        <v>3.365041617122546E-2</v>
      </c>
      <c r="N202" s="58">
        <v>66072019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7"/>
    </row>
    <row r="203" spans="1:20" x14ac:dyDescent="0.25">
      <c r="A203" s="51">
        <v>44761</v>
      </c>
      <c r="D203" s="136">
        <v>0.14199999999999999</v>
      </c>
      <c r="E203" s="137">
        <v>3150.5450000000001</v>
      </c>
      <c r="F203" s="138">
        <v>92.278000000000006</v>
      </c>
      <c r="G203" s="56"/>
      <c r="H203" s="56">
        <v>4140</v>
      </c>
      <c r="I203" s="56">
        <f t="shared" si="76"/>
        <v>32743.260000000439</v>
      </c>
      <c r="J203" s="56">
        <f t="shared" si="77"/>
        <v>1076.4000000000212</v>
      </c>
      <c r="K203" s="57">
        <f t="shared" si="72"/>
        <v>3.2873941079782733E-2</v>
      </c>
      <c r="L203" s="56">
        <f t="shared" si="73"/>
        <v>1076.4000000000212</v>
      </c>
      <c r="M203" s="57">
        <f t="shared" si="74"/>
        <v>3.2873941079782733E-2</v>
      </c>
      <c r="N203" s="58">
        <v>66072019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7"/>
    </row>
    <row r="204" spans="1:20" x14ac:dyDescent="0.25">
      <c r="A204" s="51">
        <v>44762</v>
      </c>
      <c r="D204" s="136">
        <v>0.14199999999999999</v>
      </c>
      <c r="E204" s="137">
        <v>3158.66</v>
      </c>
      <c r="F204" s="138">
        <v>92.594999999999999</v>
      </c>
      <c r="G204" s="56"/>
      <c r="H204" s="56">
        <v>4140</v>
      </c>
      <c r="I204" s="56">
        <f t="shared" si="76"/>
        <v>33596.099999999096</v>
      </c>
      <c r="J204" s="56">
        <f t="shared" si="77"/>
        <v>1312.3799999999712</v>
      </c>
      <c r="K204" s="57">
        <f t="shared" si="72"/>
        <v>3.906346272335201E-2</v>
      </c>
      <c r="L204" s="56">
        <f t="shared" si="73"/>
        <v>1312.3799999999712</v>
      </c>
      <c r="M204" s="57">
        <f t="shared" si="74"/>
        <v>3.906346272335201E-2</v>
      </c>
      <c r="N204" s="58">
        <v>66072019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6"/>
    </row>
    <row r="205" spans="1:20" x14ac:dyDescent="0.25">
      <c r="A205" s="51">
        <v>44763</v>
      </c>
      <c r="D205" s="136">
        <v>0.14199999999999999</v>
      </c>
      <c r="E205" s="137">
        <v>3166.922</v>
      </c>
      <c r="F205" s="138">
        <v>92.876999999999995</v>
      </c>
      <c r="G205" s="56"/>
      <c r="H205" s="56">
        <v>4140</v>
      </c>
      <c r="I205" s="56">
        <f t="shared" si="76"/>
        <v>34204.680000000706</v>
      </c>
      <c r="J205" s="56">
        <f t="shared" si="77"/>
        <v>1167.4799999999855</v>
      </c>
      <c r="K205" s="57">
        <f t="shared" ref="K205:K268" si="81">IF(J205="","",+(J205/I205))</f>
        <v>3.4132171387072217E-2</v>
      </c>
      <c r="L205" s="56">
        <f t="shared" ref="L205:L223" si="82">IF(F205="","",+(F205-F204)*4140)</f>
        <v>1167.4799999999855</v>
      </c>
      <c r="M205" s="57">
        <f t="shared" ref="M205:M268" si="83">IF(L205="","",(L205/I205))</f>
        <v>3.4132171387072217E-2</v>
      </c>
      <c r="N205" s="58">
        <v>66072019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6"/>
    </row>
    <row r="206" spans="1:20" x14ac:dyDescent="0.25">
      <c r="A206" s="51">
        <v>44764</v>
      </c>
      <c r="D206" s="136">
        <v>0.14199999999999999</v>
      </c>
      <c r="E206" s="137">
        <v>3174.9989999999998</v>
      </c>
      <c r="F206" s="138">
        <v>93.097999999999999</v>
      </c>
      <c r="G206" s="56"/>
      <c r="H206" s="56">
        <v>4140</v>
      </c>
      <c r="I206" s="56">
        <f t="shared" si="76"/>
        <v>33438.779999999053</v>
      </c>
      <c r="J206" s="56">
        <f t="shared" si="77"/>
        <v>914.94000000001506</v>
      </c>
      <c r="K206" s="57">
        <f t="shared" si="81"/>
        <v>2.7361644174818608E-2</v>
      </c>
      <c r="L206" s="56">
        <f t="shared" si="82"/>
        <v>914.94000000001506</v>
      </c>
      <c r="M206" s="57">
        <f t="shared" si="83"/>
        <v>2.7361644174818608E-2</v>
      </c>
      <c r="N206" s="58">
        <v>66072019</v>
      </c>
      <c r="O206" s="58">
        <f t="shared" si="79"/>
        <v>0</v>
      </c>
      <c r="P206" s="66">
        <f>IF(J185="",0,+SUM(J185:J215)/SUM(I185:I215))</f>
        <v>3.4026602948485862E-2</v>
      </c>
      <c r="Q206" s="66">
        <f>IF(L185="",0,+SUM(L185:L215)/SUM(I185:I215))</f>
        <v>3.4026602948485862E-2</v>
      </c>
      <c r="R206" s="19">
        <f t="shared" si="78"/>
        <v>1</v>
      </c>
      <c r="S206" s="19">
        <f t="shared" si="80"/>
        <v>0</v>
      </c>
      <c r="T206" s="157"/>
    </row>
    <row r="207" spans="1:20" x14ac:dyDescent="0.25">
      <c r="A207" s="51">
        <v>44765</v>
      </c>
      <c r="D207" s="136">
        <v>0.14199999999999999</v>
      </c>
      <c r="E207" s="137">
        <v>3182.6990000000001</v>
      </c>
      <c r="F207" s="138">
        <v>93.364999999999995</v>
      </c>
      <c r="G207" s="56"/>
      <c r="H207" s="56">
        <v>4140</v>
      </c>
      <c r="I207" s="56">
        <f t="shared" si="76"/>
        <v>31878.000000001128</v>
      </c>
      <c r="J207" s="56">
        <f t="shared" si="77"/>
        <v>1105.3799999999831</v>
      </c>
      <c r="K207" s="57">
        <f t="shared" si="81"/>
        <v>3.4675324675322916E-2</v>
      </c>
      <c r="L207" s="56">
        <f t="shared" si="82"/>
        <v>1105.3799999999831</v>
      </c>
      <c r="M207" s="57">
        <f t="shared" si="83"/>
        <v>3.4675324675322916E-2</v>
      </c>
      <c r="N207" s="58">
        <v>66072019</v>
      </c>
      <c r="O207" s="58">
        <f t="shared" si="79"/>
        <v>0</v>
      </c>
      <c r="P207" s="67" t="e">
        <f>IF(J185="",0,+(+(LOOKUP(9.99999999999999E+307,E185:E215)-E184))/(+(LOOKUP(9.99999999999999E+307,D185:D215)-D184)))</f>
        <v>#DIV/0!</v>
      </c>
      <c r="Q207" s="67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7"/>
    </row>
    <row r="208" spans="1:20" x14ac:dyDescent="0.25">
      <c r="A208" s="51">
        <v>44766</v>
      </c>
      <c r="D208" s="136">
        <v>0.14199999999999999</v>
      </c>
      <c r="E208" s="137">
        <v>3190.43</v>
      </c>
      <c r="F208" s="138">
        <v>93.66</v>
      </c>
      <c r="G208" s="56"/>
      <c r="H208" s="56">
        <v>4140</v>
      </c>
      <c r="I208" s="56">
        <f t="shared" si="76"/>
        <v>32006.339999999036</v>
      </c>
      <c r="J208" s="56">
        <f t="shared" si="77"/>
        <v>1221.300000000007</v>
      </c>
      <c r="K208" s="57">
        <f t="shared" si="81"/>
        <v>3.8158064933386443E-2</v>
      </c>
      <c r="L208" s="56">
        <f t="shared" si="82"/>
        <v>1221.300000000007</v>
      </c>
      <c r="M208" s="57">
        <f t="shared" si="83"/>
        <v>3.8158064933386443E-2</v>
      </c>
      <c r="N208" s="58">
        <v>66072019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7"/>
    </row>
    <row r="209" spans="1:20" x14ac:dyDescent="0.25">
      <c r="A209" s="51">
        <v>44767</v>
      </c>
      <c r="D209" s="136">
        <v>0.14199999999999999</v>
      </c>
      <c r="E209" s="137">
        <v>3198.4830000000002</v>
      </c>
      <c r="F209" s="138">
        <v>93.950999999999993</v>
      </c>
      <c r="G209" s="56"/>
      <c r="H209" s="56">
        <v>4140</v>
      </c>
      <c r="I209" s="56">
        <f t="shared" si="76"/>
        <v>33339.420000001403</v>
      </c>
      <c r="J209" s="56">
        <f t="shared" si="77"/>
        <v>1204.7399999999868</v>
      </c>
      <c r="K209" s="57">
        <f t="shared" si="81"/>
        <v>3.613560163913878E-2</v>
      </c>
      <c r="L209" s="56">
        <f t="shared" si="82"/>
        <v>1204.7399999999868</v>
      </c>
      <c r="M209" s="57">
        <f t="shared" si="83"/>
        <v>3.613560163913878E-2</v>
      </c>
      <c r="N209" s="58">
        <v>66072019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7"/>
    </row>
    <row r="210" spans="1:20" x14ac:dyDescent="0.25">
      <c r="A210" s="51">
        <v>44768</v>
      </c>
      <c r="D210" s="136">
        <v>0.14199999999999999</v>
      </c>
      <c r="E210" s="137">
        <v>3207.1959999999999</v>
      </c>
      <c r="F210" s="138">
        <v>94.284999999999997</v>
      </c>
      <c r="G210" s="56"/>
      <c r="H210" s="56">
        <v>4140</v>
      </c>
      <c r="I210" s="56">
        <f t="shared" si="76"/>
        <v>36071.819999998916</v>
      </c>
      <c r="J210" s="56">
        <f t="shared" si="77"/>
        <v>1382.7600000000132</v>
      </c>
      <c r="K210" s="57">
        <f t="shared" si="81"/>
        <v>3.8333524618387835E-2</v>
      </c>
      <c r="L210" s="56">
        <f t="shared" si="82"/>
        <v>1382.7600000000132</v>
      </c>
      <c r="M210" s="57">
        <f t="shared" si="83"/>
        <v>3.8333524618387835E-2</v>
      </c>
      <c r="N210" s="58">
        <v>66072019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6"/>
    </row>
    <row r="211" spans="1:20" x14ac:dyDescent="0.25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66072019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6"/>
    </row>
    <row r="212" spans="1:20" x14ac:dyDescent="0.25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66072019</v>
      </c>
      <c r="O212" s="58">
        <f t="shared" si="79"/>
        <v>0</v>
      </c>
      <c r="P212" s="158" t="s">
        <v>35</v>
      </c>
      <c r="Q212" s="159" t="s">
        <v>42</v>
      </c>
      <c r="R212" s="19">
        <f t="shared" si="78"/>
        <v>1</v>
      </c>
      <c r="S212" s="19">
        <f t="shared" si="80"/>
        <v>0</v>
      </c>
      <c r="T212" s="156"/>
    </row>
    <row r="213" spans="1:20" x14ac:dyDescent="0.25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66072019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6"/>
    </row>
    <row r="214" spans="1:20" x14ac:dyDescent="0.25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66072019</v>
      </c>
      <c r="O214" s="58">
        <f t="shared" si="79"/>
        <v>0</v>
      </c>
      <c r="P214" s="160" t="s">
        <v>37</v>
      </c>
      <c r="Q214" s="161" t="s">
        <v>38</v>
      </c>
      <c r="R214" s="19">
        <f t="shared" si="78"/>
        <v>1</v>
      </c>
      <c r="S214" s="19">
        <f t="shared" si="80"/>
        <v>0</v>
      </c>
      <c r="T214" s="156"/>
    </row>
    <row r="215" spans="1:20" x14ac:dyDescent="0.25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58">
        <v>66072019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6"/>
    </row>
    <row r="216" spans="1:20" x14ac:dyDescent="0.25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66072019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6"/>
    </row>
    <row r="217" spans="1:20" x14ac:dyDescent="0.25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66072019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6"/>
    </row>
    <row r="218" spans="1:20" x14ac:dyDescent="0.25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66072019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7"/>
    </row>
    <row r="219" spans="1:20" x14ac:dyDescent="0.25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66072019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7"/>
    </row>
    <row r="220" spans="1:20" x14ac:dyDescent="0.25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66072019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6"/>
    </row>
    <row r="221" spans="1:20" x14ac:dyDescent="0.25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66072019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6"/>
    </row>
    <row r="222" spans="1:20" x14ac:dyDescent="0.25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66072019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6"/>
    </row>
    <row r="223" spans="1:20" x14ac:dyDescent="0.25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66072019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7"/>
    </row>
    <row r="224" spans="1:20" x14ac:dyDescent="0.25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66072019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7"/>
    </row>
    <row r="225" spans="1:20" x14ac:dyDescent="0.25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66072019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6"/>
    </row>
    <row r="226" spans="1:20" x14ac:dyDescent="0.25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66072019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6"/>
    </row>
    <row r="227" spans="1:20" x14ac:dyDescent="0.25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66072019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6"/>
    </row>
    <row r="228" spans="1:20" x14ac:dyDescent="0.25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66072019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7"/>
    </row>
    <row r="229" spans="1:20" x14ac:dyDescent="0.25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66072019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7"/>
    </row>
    <row r="230" spans="1:20" x14ac:dyDescent="0.25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66072019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6"/>
    </row>
    <row r="231" spans="1:20" x14ac:dyDescent="0.25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66072019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6"/>
    </row>
    <row r="232" spans="1:20" x14ac:dyDescent="0.25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66072019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6"/>
    </row>
    <row r="233" spans="1:20" x14ac:dyDescent="0.25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66072019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7"/>
    </row>
    <row r="234" spans="1:20" x14ac:dyDescent="0.25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66072019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7"/>
    </row>
    <row r="235" spans="1:20" x14ac:dyDescent="0.25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66072019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6"/>
    </row>
    <row r="236" spans="1:20" x14ac:dyDescent="0.25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66072019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6"/>
    </row>
    <row r="237" spans="1:20" x14ac:dyDescent="0.25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66072019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7"/>
    </row>
    <row r="238" spans="1:20" x14ac:dyDescent="0.25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66072019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7"/>
    </row>
    <row r="239" spans="1:20" x14ac:dyDescent="0.25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66072019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7"/>
    </row>
    <row r="240" spans="1:20" x14ac:dyDescent="0.25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66072019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7"/>
    </row>
    <row r="241" spans="1:20" x14ac:dyDescent="0.25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66072019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6"/>
    </row>
    <row r="242" spans="1:20" x14ac:dyDescent="0.25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66072019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6"/>
    </row>
    <row r="243" spans="1:20" x14ac:dyDescent="0.25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66072019</v>
      </c>
      <c r="O243" s="58">
        <f t="shared" si="79"/>
        <v>0</v>
      </c>
      <c r="P243" s="158" t="s">
        <v>35</v>
      </c>
      <c r="Q243" s="159" t="s">
        <v>42</v>
      </c>
      <c r="R243" s="19">
        <f t="shared" si="85"/>
        <v>1</v>
      </c>
      <c r="S243" s="19">
        <f t="shared" si="80"/>
        <v>0</v>
      </c>
      <c r="T243" s="156"/>
    </row>
    <row r="244" spans="1:20" x14ac:dyDescent="0.25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66072019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6"/>
    </row>
    <row r="245" spans="1:20" x14ac:dyDescent="0.25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66072019</v>
      </c>
      <c r="O245" s="58">
        <f t="shared" si="79"/>
        <v>0</v>
      </c>
      <c r="P245" s="160" t="s">
        <v>37</v>
      </c>
      <c r="Q245" s="161" t="s">
        <v>38</v>
      </c>
      <c r="R245" s="19">
        <f t="shared" si="85"/>
        <v>1</v>
      </c>
      <c r="S245" s="19">
        <f t="shared" si="80"/>
        <v>0</v>
      </c>
      <c r="T245" s="156"/>
    </row>
    <row r="246" spans="1:20" x14ac:dyDescent="0.25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58">
        <v>66072019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6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66072019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6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66072019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6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66072019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7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66072019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7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66072019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6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66072019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6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66072019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6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66072019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7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66072019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7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66072019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6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66072019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6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66072019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6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66072019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7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66072019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7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66072019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6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66072019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6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66072019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6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66072019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7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66072019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7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66072019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6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66072019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6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66072019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7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66072019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7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66072019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7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66072019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7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66072019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6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66072019</v>
      </c>
      <c r="O273" s="58">
        <f t="shared" si="90"/>
        <v>0</v>
      </c>
      <c r="P273" s="158" t="s">
        <v>35</v>
      </c>
      <c r="Q273" s="159" t="s">
        <v>42</v>
      </c>
      <c r="R273" s="19">
        <f t="shared" si="88"/>
        <v>1</v>
      </c>
      <c r="S273" s="19">
        <f t="shared" si="91"/>
        <v>0</v>
      </c>
      <c r="T273" s="156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66072019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6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66072019</v>
      </c>
      <c r="O275" s="58">
        <f t="shared" si="90"/>
        <v>0</v>
      </c>
      <c r="P275" s="160" t="s">
        <v>37</v>
      </c>
      <c r="Q275" s="161" t="s">
        <v>38</v>
      </c>
      <c r="R275" s="19">
        <f t="shared" si="88"/>
        <v>1</v>
      </c>
      <c r="S275" s="19">
        <f t="shared" si="91"/>
        <v>0</v>
      </c>
      <c r="T275" s="156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58">
        <v>66072019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6"/>
    </row>
    <row r="277" spans="1:23" x14ac:dyDescent="0.25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66072019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6"/>
    </row>
    <row r="278" spans="1:23" x14ac:dyDescent="0.25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66072019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6"/>
      <c r="W278" s="1" t="s">
        <v>50</v>
      </c>
    </row>
    <row r="279" spans="1:23" x14ac:dyDescent="0.25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66072019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7"/>
    </row>
    <row r="280" spans="1:23" x14ac:dyDescent="0.25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66072019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7"/>
    </row>
    <row r="281" spans="1:23" x14ac:dyDescent="0.25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66072019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6"/>
    </row>
    <row r="282" spans="1:23" x14ac:dyDescent="0.25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66072019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6"/>
    </row>
    <row r="283" spans="1:23" x14ac:dyDescent="0.25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66072019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6"/>
    </row>
    <row r="284" spans="1:23" x14ac:dyDescent="0.25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66072019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7"/>
    </row>
    <row r="285" spans="1:23" x14ac:dyDescent="0.25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66072019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7"/>
    </row>
    <row r="286" spans="1:23" x14ac:dyDescent="0.25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66072019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6"/>
    </row>
    <row r="287" spans="1:23" x14ac:dyDescent="0.25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66072019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6"/>
    </row>
    <row r="288" spans="1:23" x14ac:dyDescent="0.25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66072019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6"/>
    </row>
    <row r="289" spans="1:20" x14ac:dyDescent="0.25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66072019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7"/>
    </row>
    <row r="290" spans="1:20" x14ac:dyDescent="0.25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66072019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7"/>
    </row>
    <row r="291" spans="1:20" x14ac:dyDescent="0.25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66072019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6"/>
    </row>
    <row r="292" spans="1:20" x14ac:dyDescent="0.25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66072019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6"/>
    </row>
    <row r="293" spans="1:20" x14ac:dyDescent="0.25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66072019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6"/>
    </row>
    <row r="294" spans="1:20" x14ac:dyDescent="0.25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66072019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7"/>
    </row>
    <row r="295" spans="1:20" x14ac:dyDescent="0.25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66072019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7"/>
    </row>
    <row r="296" spans="1:20" x14ac:dyDescent="0.25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66072019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6"/>
    </row>
    <row r="297" spans="1:20" x14ac:dyDescent="0.25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66072019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6"/>
    </row>
    <row r="298" spans="1:20" x14ac:dyDescent="0.25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66072019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7"/>
    </row>
    <row r="299" spans="1:20" x14ac:dyDescent="0.25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66072019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7"/>
    </row>
    <row r="300" spans="1:20" x14ac:dyDescent="0.25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66072019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7"/>
    </row>
    <row r="301" spans="1:20" x14ac:dyDescent="0.25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66072019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7"/>
    </row>
    <row r="302" spans="1:20" x14ac:dyDescent="0.25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66072019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6"/>
    </row>
    <row r="303" spans="1:20" x14ac:dyDescent="0.25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66072019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6"/>
    </row>
    <row r="304" spans="1:20" x14ac:dyDescent="0.25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66072019</v>
      </c>
      <c r="O304" s="58">
        <f t="shared" si="90"/>
        <v>0</v>
      </c>
      <c r="P304" s="158" t="s">
        <v>35</v>
      </c>
      <c r="Q304" s="159" t="s">
        <v>42</v>
      </c>
      <c r="R304" s="19">
        <f t="shared" si="88"/>
        <v>1</v>
      </c>
      <c r="S304" s="19">
        <f t="shared" si="91"/>
        <v>0</v>
      </c>
      <c r="T304" s="156"/>
    </row>
    <row r="305" spans="1:20" x14ac:dyDescent="0.25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66072019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6"/>
    </row>
    <row r="306" spans="1:20" x14ac:dyDescent="0.25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66072019</v>
      </c>
      <c r="O306" s="58">
        <f t="shared" si="90"/>
        <v>0</v>
      </c>
      <c r="P306" s="160" t="s">
        <v>37</v>
      </c>
      <c r="Q306" s="161" t="s">
        <v>38</v>
      </c>
      <c r="R306" s="19">
        <f t="shared" si="88"/>
        <v>1</v>
      </c>
      <c r="S306" s="19">
        <f t="shared" si="91"/>
        <v>0</v>
      </c>
      <c r="T306" s="156"/>
    </row>
    <row r="307" spans="1:20" x14ac:dyDescent="0.25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58">
        <v>66072019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6"/>
    </row>
    <row r="308" spans="1:20" x14ac:dyDescent="0.25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66072019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6"/>
    </row>
    <row r="309" spans="1:20" x14ac:dyDescent="0.25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66072019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6"/>
    </row>
    <row r="310" spans="1:20" x14ac:dyDescent="0.25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66072019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7"/>
    </row>
    <row r="311" spans="1:20" x14ac:dyDescent="0.25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66072019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7"/>
    </row>
    <row r="312" spans="1:20" x14ac:dyDescent="0.25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66072019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6"/>
    </row>
    <row r="313" spans="1:20" x14ac:dyDescent="0.25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66072019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6"/>
    </row>
    <row r="314" spans="1:20" x14ac:dyDescent="0.25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66072019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6"/>
    </row>
    <row r="315" spans="1:20" x14ac:dyDescent="0.25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66072019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7"/>
    </row>
    <row r="316" spans="1:20" x14ac:dyDescent="0.25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66072019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7"/>
    </row>
    <row r="317" spans="1:20" x14ac:dyDescent="0.25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66072019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6"/>
    </row>
    <row r="318" spans="1:20" x14ac:dyDescent="0.25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66072019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6"/>
    </row>
    <row r="319" spans="1:20" x14ac:dyDescent="0.25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66072019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6"/>
    </row>
    <row r="320" spans="1:20" x14ac:dyDescent="0.25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66072019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7"/>
    </row>
    <row r="321" spans="1:20" x14ac:dyDescent="0.25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66072019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7"/>
    </row>
    <row r="322" spans="1:20" x14ac:dyDescent="0.25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66072019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6"/>
    </row>
    <row r="323" spans="1:20" x14ac:dyDescent="0.25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66072019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6"/>
    </row>
    <row r="324" spans="1:20" x14ac:dyDescent="0.25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66072019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6"/>
    </row>
    <row r="325" spans="1:20" x14ac:dyDescent="0.25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66072019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7"/>
    </row>
    <row r="326" spans="1:20" x14ac:dyDescent="0.25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66072019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7"/>
    </row>
    <row r="327" spans="1:20" x14ac:dyDescent="0.25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66072019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6"/>
    </row>
    <row r="328" spans="1:20" x14ac:dyDescent="0.25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66072019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6"/>
    </row>
    <row r="329" spans="1:20" x14ac:dyDescent="0.25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66072019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7"/>
    </row>
    <row r="330" spans="1:20" x14ac:dyDescent="0.25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66072019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7"/>
    </row>
    <row r="331" spans="1:20" x14ac:dyDescent="0.25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66072019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7"/>
    </row>
    <row r="332" spans="1:20" x14ac:dyDescent="0.25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66072019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7"/>
    </row>
    <row r="333" spans="1:20" x14ac:dyDescent="0.25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66072019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6"/>
    </row>
    <row r="334" spans="1:20" x14ac:dyDescent="0.25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66072019</v>
      </c>
      <c r="O334" s="58">
        <f t="shared" si="97"/>
        <v>0</v>
      </c>
      <c r="P334" s="158" t="s">
        <v>35</v>
      </c>
      <c r="Q334" s="159" t="s">
        <v>42</v>
      </c>
      <c r="R334" s="19">
        <f t="shared" si="98"/>
        <v>1</v>
      </c>
      <c r="S334" s="19">
        <f t="shared" si="101"/>
        <v>0</v>
      </c>
      <c r="T334" s="156"/>
    </row>
    <row r="335" spans="1:20" x14ac:dyDescent="0.25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66072019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6"/>
    </row>
    <row r="336" spans="1:20" x14ac:dyDescent="0.25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66072019</v>
      </c>
      <c r="O336" s="58">
        <f t="shared" si="97"/>
        <v>0</v>
      </c>
      <c r="P336" s="162" t="s">
        <v>37</v>
      </c>
      <c r="Q336" s="162" t="s">
        <v>38</v>
      </c>
      <c r="R336" s="19">
        <f t="shared" si="98"/>
        <v>1</v>
      </c>
      <c r="S336" s="19">
        <f t="shared" si="101"/>
        <v>0</v>
      </c>
      <c r="T336" s="156"/>
    </row>
    <row r="337" spans="1:20" x14ac:dyDescent="0.25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58">
        <v>66072019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6"/>
    </row>
    <row r="338" spans="1:20" x14ac:dyDescent="0.25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66072019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6"/>
    </row>
    <row r="339" spans="1:20" x14ac:dyDescent="0.25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66072019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6"/>
    </row>
    <row r="340" spans="1:20" x14ac:dyDescent="0.25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66072019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7"/>
    </row>
    <row r="341" spans="1:20" x14ac:dyDescent="0.25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66072019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7"/>
    </row>
    <row r="342" spans="1:20" x14ac:dyDescent="0.25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66072019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6"/>
    </row>
    <row r="343" spans="1:20" x14ac:dyDescent="0.25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66072019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6"/>
    </row>
    <row r="344" spans="1:20" x14ac:dyDescent="0.25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66072019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6"/>
    </row>
    <row r="345" spans="1:20" x14ac:dyDescent="0.25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66072019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7"/>
    </row>
    <row r="346" spans="1:20" x14ac:dyDescent="0.25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66072019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7"/>
    </row>
    <row r="347" spans="1:20" x14ac:dyDescent="0.25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66072019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6"/>
    </row>
    <row r="348" spans="1:20" x14ac:dyDescent="0.25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66072019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6"/>
    </row>
    <row r="349" spans="1:20" x14ac:dyDescent="0.25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66072019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6"/>
    </row>
    <row r="350" spans="1:20" x14ac:dyDescent="0.25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66072019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7"/>
    </row>
    <row r="351" spans="1:20" x14ac:dyDescent="0.25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66072019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7"/>
    </row>
    <row r="352" spans="1:20" x14ac:dyDescent="0.25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66072019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6"/>
    </row>
    <row r="353" spans="1:20" x14ac:dyDescent="0.25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66072019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6"/>
    </row>
    <row r="354" spans="1:20" x14ac:dyDescent="0.25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66072019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6"/>
    </row>
    <row r="355" spans="1:20" x14ac:dyDescent="0.25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66072019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7"/>
    </row>
    <row r="356" spans="1:20" x14ac:dyDescent="0.25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66072019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7"/>
    </row>
    <row r="357" spans="1:20" x14ac:dyDescent="0.25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66072019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6"/>
    </row>
    <row r="358" spans="1:20" x14ac:dyDescent="0.25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66072019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6"/>
    </row>
    <row r="359" spans="1:20" x14ac:dyDescent="0.25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66072019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7"/>
    </row>
    <row r="360" spans="1:20" x14ac:dyDescent="0.25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66072019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7"/>
    </row>
    <row r="361" spans="1:20" x14ac:dyDescent="0.25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66072019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7"/>
    </row>
    <row r="362" spans="1:20" x14ac:dyDescent="0.25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66072019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7"/>
    </row>
    <row r="363" spans="1:20" x14ac:dyDescent="0.25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66072019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6"/>
    </row>
    <row r="364" spans="1:20" x14ac:dyDescent="0.25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66072019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6"/>
    </row>
    <row r="365" spans="1:20" x14ac:dyDescent="0.25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66072019</v>
      </c>
      <c r="O365" s="58">
        <f t="shared" si="97"/>
        <v>0</v>
      </c>
      <c r="P365" s="158" t="s">
        <v>35</v>
      </c>
      <c r="Q365" s="159" t="s">
        <v>42</v>
      </c>
      <c r="R365" s="19">
        <f t="shared" si="98"/>
        <v>1</v>
      </c>
      <c r="S365" s="19">
        <f t="shared" si="101"/>
        <v>0</v>
      </c>
      <c r="T365" s="156"/>
    </row>
    <row r="366" spans="1:20" x14ac:dyDescent="0.25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66072019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6"/>
    </row>
    <row r="367" spans="1:20" x14ac:dyDescent="0.25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66072019</v>
      </c>
      <c r="O367" s="58">
        <f t="shared" si="97"/>
        <v>0</v>
      </c>
      <c r="P367" s="160" t="s">
        <v>37</v>
      </c>
      <c r="Q367" s="161" t="s">
        <v>38</v>
      </c>
      <c r="R367" s="19">
        <f t="shared" si="98"/>
        <v>1</v>
      </c>
      <c r="S367" s="19">
        <f t="shared" si="101"/>
        <v>0</v>
      </c>
      <c r="T367" s="156"/>
    </row>
    <row r="368" spans="1:20" x14ac:dyDescent="0.25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66072019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6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66072019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172" workbookViewId="0">
      <selection activeCell="R187" sqref="R187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4"/>
      <c r="C1" s="174"/>
      <c r="D1" s="174"/>
      <c r="E1" s="174"/>
      <c r="F1" s="174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6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3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5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 x14ac:dyDescent="0.2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 x14ac:dyDescent="0.2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 x14ac:dyDescent="0.2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4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 x14ac:dyDescent="0.2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 x14ac:dyDescent="0.2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 x14ac:dyDescent="0.2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 x14ac:dyDescent="0.2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 x14ac:dyDescent="0.2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 x14ac:dyDescent="0.2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 x14ac:dyDescent="0.2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 x14ac:dyDescent="0.2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 x14ac:dyDescent="0.2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N202" s="43"/>
      <c r="Q202" s="19">
        <f t="shared" si="96"/>
        <v>0</v>
      </c>
    </row>
    <row r="203" spans="2:17" ht="12.95" customHeight="1" x14ac:dyDescent="0.2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 x14ac:dyDescent="0.2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 x14ac:dyDescent="0.25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 x14ac:dyDescent="0.2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71" t="s">
        <v>65</v>
      </c>
      <c r="O206" s="171" t="s">
        <v>66</v>
      </c>
      <c r="Q206" s="19">
        <f t="shared" si="96"/>
        <v>0</v>
      </c>
    </row>
    <row r="207" spans="2:17" ht="12.95" customHeight="1" x14ac:dyDescent="0.2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72"/>
      <c r="O207" s="172"/>
      <c r="Q207" s="19">
        <f t="shared" si="96"/>
        <v>0</v>
      </c>
    </row>
    <row r="208" spans="2:17" ht="12.95" customHeight="1" thickBot="1" x14ac:dyDescent="0.25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73"/>
      <c r="O208" s="173"/>
      <c r="Q208" s="19">
        <f t="shared" si="96"/>
        <v>0</v>
      </c>
    </row>
    <row r="209" spans="2:17" ht="12.95" customHeight="1" thickBot="1" x14ac:dyDescent="0.25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8090</v>
      </c>
      <c r="O209" s="30">
        <f>SUM(M186:M216)</f>
        <v>44284</v>
      </c>
      <c r="Q209" s="19">
        <f t="shared" si="96"/>
        <v>0</v>
      </c>
    </row>
    <row r="210" spans="2:17" ht="12.95" customHeight="1" x14ac:dyDescent="0.2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71" t="s">
        <v>67</v>
      </c>
      <c r="O210" s="171" t="s">
        <v>68</v>
      </c>
      <c r="Q210" s="19">
        <f t="shared" si="96"/>
        <v>0</v>
      </c>
    </row>
    <row r="211" spans="2:17" ht="12.95" customHeight="1" thickBot="1" x14ac:dyDescent="0.25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73"/>
      <c r="O211" s="173"/>
      <c r="Q211" s="19">
        <f t="shared" si="96"/>
        <v>0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>
        <f>AVERAGE(L186:L216)</f>
        <v>311.15384615384613</v>
      </c>
      <c r="O212" s="30">
        <f>AVERAGE(M186:M216)</f>
        <v>1703.2307692307693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73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74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2006/documentManagement/types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3bc10bb-75bd-4551-a23f-828185d5ce6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2022-07-27T06:28:26Z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