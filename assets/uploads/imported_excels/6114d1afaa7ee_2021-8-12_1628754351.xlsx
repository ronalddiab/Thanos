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8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3DF98679-A066-4480-9A5E-0132B58A9A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Energy Graph" sheetId="7" r:id="rId7"/>
    <sheet name="Summery Report" sheetId="11" r:id="rId8"/>
    <sheet name="Daily report Gen" sheetId="12" r:id="rId9"/>
    <sheet name="Gen" sheetId="1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B53" i="22" l="1"/>
  <c r="B54" i="22"/>
  <c r="B55" i="22"/>
  <c r="O39" i="14"/>
  <c r="N39" i="14"/>
  <c r="M39" i="14"/>
  <c r="L39" i="14"/>
  <c r="K39" i="14"/>
  <c r="J39" i="14"/>
  <c r="I39" i="14"/>
  <c r="G39" i="14"/>
  <c r="C39" i="14"/>
  <c r="B39" i="14"/>
  <c r="E39" i="14"/>
  <c r="H39" i="14"/>
  <c r="P27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8" i="14"/>
  <c r="P29" i="14"/>
  <c r="P30" i="14"/>
  <c r="P31" i="14"/>
  <c r="P32" i="14"/>
  <c r="P33" i="14"/>
  <c r="P34" i="14"/>
  <c r="P35" i="14"/>
  <c r="P36" i="14"/>
  <c r="B37" i="14"/>
  <c r="C37" i="14"/>
  <c r="D37" i="14"/>
  <c r="E37" i="14"/>
  <c r="F37" i="14"/>
  <c r="I37" i="14"/>
  <c r="J37" i="14"/>
  <c r="K37" i="14"/>
  <c r="L37" i="14"/>
  <c r="R37" i="14"/>
  <c r="S37" i="14"/>
  <c r="AJ19" i="1"/>
  <c r="AJ37" i="1"/>
  <c r="AR12" i="1"/>
  <c r="AR13" i="1"/>
  <c r="AR14" i="1"/>
  <c r="AR15" i="1"/>
  <c r="AR17" i="1"/>
  <c r="AR18" i="1"/>
  <c r="AR20" i="1"/>
  <c r="AR21" i="1"/>
  <c r="AR23" i="1"/>
  <c r="AR24" i="1"/>
  <c r="AR28" i="1"/>
  <c r="AR29" i="1"/>
  <c r="AR30" i="1"/>
  <c r="AR31" i="1"/>
  <c r="AR32" i="1"/>
  <c r="AR33" i="1"/>
  <c r="AR35" i="1"/>
  <c r="AR36" i="1"/>
  <c r="AR37" i="1"/>
  <c r="AR38" i="1"/>
  <c r="AR39" i="1"/>
  <c r="AR40" i="1"/>
  <c r="AR41" i="1"/>
  <c r="AR43" i="1"/>
  <c r="AR44" i="1"/>
  <c r="F35" i="18"/>
  <c r="B34" i="18"/>
  <c r="B33" i="18"/>
  <c r="I41" i="15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S34" i="12"/>
  <c r="F40" i="22"/>
  <c r="AJ29" i="1"/>
  <c r="S33" i="12"/>
  <c r="AA32" i="3"/>
  <c r="AA31" i="3"/>
  <c r="AB30" i="3"/>
  <c r="AA30" i="3"/>
  <c r="AA29" i="3"/>
  <c r="AA28" i="3"/>
  <c r="AB29" i="3"/>
  <c r="M25" i="12"/>
  <c r="H36" i="3"/>
  <c r="AB18" i="3"/>
  <c r="AG25" i="3"/>
  <c r="AK25" i="3"/>
  <c r="AJ25" i="3"/>
  <c r="AH25" i="3"/>
  <c r="AH26" i="3"/>
  <c r="AE25" i="3"/>
  <c r="AE26" i="3"/>
  <c r="Y25" i="3"/>
  <c r="X25" i="3"/>
  <c r="AA25" i="3"/>
  <c r="AA27" i="3"/>
  <c r="AB25" i="3"/>
  <c r="AD25" i="3"/>
  <c r="S31" i="1"/>
  <c r="S32" i="1"/>
  <c r="V22" i="3"/>
  <c r="V23" i="3"/>
  <c r="V24" i="3"/>
  <c r="X20" i="3"/>
  <c r="Q35" i="12"/>
  <c r="S35" i="12" s="1"/>
  <c r="B16" i="11"/>
  <c r="B17" i="11"/>
  <c r="Z14" i="12"/>
  <c r="B14" i="11"/>
  <c r="B15" i="11"/>
  <c r="H24" i="15"/>
  <c r="I24" i="15" s="1"/>
  <c r="H25" i="15"/>
  <c r="I25" i="15" s="1"/>
  <c r="H26" i="15"/>
  <c r="I26" i="15" s="1"/>
  <c r="H27" i="15"/>
  <c r="I27" i="15" s="1"/>
  <c r="H28" i="15"/>
  <c r="I28" i="15" s="1"/>
  <c r="H29" i="15"/>
  <c r="I29" i="15" s="1"/>
  <c r="H30" i="15"/>
  <c r="I30" i="15" s="1"/>
  <c r="H31" i="15"/>
  <c r="I31" i="15" s="1"/>
  <c r="H32" i="15"/>
  <c r="I32" i="15" s="1"/>
  <c r="H33" i="15"/>
  <c r="I33" i="15" s="1"/>
  <c r="H34" i="15"/>
  <c r="I34" i="15" s="1"/>
  <c r="H35" i="15"/>
  <c r="I35" i="15" s="1"/>
  <c r="H36" i="15"/>
  <c r="I36" i="15" s="1"/>
  <c r="H37" i="15"/>
  <c r="I37" i="15" s="1"/>
  <c r="H38" i="15"/>
  <c r="I38" i="15" s="1"/>
  <c r="H39" i="15"/>
  <c r="I39" i="15" s="1"/>
  <c r="H40" i="15"/>
  <c r="I40" i="15" s="1"/>
  <c r="H41" i="15"/>
  <c r="G23" i="15"/>
  <c r="H21" i="15"/>
  <c r="I21" i="15" s="1"/>
  <c r="H22" i="15"/>
  <c r="I22" i="15" s="1"/>
  <c r="H23" i="15"/>
  <c r="I23" i="15" s="1"/>
  <c r="H18" i="15"/>
  <c r="H19" i="15"/>
  <c r="H20" i="15"/>
  <c r="I18" i="15"/>
  <c r="I19" i="15"/>
  <c r="I20" i="15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7" i="12"/>
  <c r="B8" i="12"/>
  <c r="B9" i="12"/>
  <c r="B10" i="12"/>
  <c r="B11" i="12"/>
  <c r="B12" i="12"/>
  <c r="B13" i="12"/>
  <c r="B14" i="12"/>
  <c r="B6" i="12"/>
  <c r="P13" i="12"/>
  <c r="Z13" i="12"/>
  <c r="B12" i="11"/>
  <c r="C11" i="11"/>
  <c r="L13" i="11"/>
  <c r="L18" i="11"/>
  <c r="L12" i="11"/>
  <c r="P8" i="18"/>
  <c r="N13" i="12"/>
  <c r="E13" i="3"/>
  <c r="K12" i="11" s="1"/>
  <c r="E14" i="3"/>
  <c r="E15" i="3"/>
  <c r="H17" i="15"/>
  <c r="I17" i="15" s="1"/>
  <c r="M13" i="14"/>
  <c r="G16" i="15"/>
  <c r="S12" i="1"/>
  <c r="S11" i="1"/>
  <c r="AR11" i="1" s="1"/>
  <c r="B12" i="14"/>
  <c r="D11" i="11"/>
  <c r="P7" i="14"/>
  <c r="P8" i="14"/>
  <c r="P9" i="14"/>
  <c r="P10" i="14"/>
  <c r="P11" i="14"/>
  <c r="P12" i="14"/>
  <c r="P6" i="14"/>
  <c r="D7" i="14"/>
  <c r="D6" i="14"/>
  <c r="N6" i="14" s="1"/>
  <c r="D5" i="18"/>
  <c r="F4" i="18"/>
  <c r="I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5" i="23"/>
  <c r="E6" i="3"/>
  <c r="I6" i="14" s="1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2" i="8"/>
  <c r="B3" i="8"/>
  <c r="B4" i="8"/>
  <c r="B5" i="8"/>
  <c r="B6" i="8"/>
  <c r="B7" i="8"/>
  <c r="B8" i="8"/>
  <c r="B15" i="8"/>
  <c r="B2" i="8"/>
  <c r="H11" i="15"/>
  <c r="H12" i="15"/>
  <c r="H13" i="15"/>
  <c r="H14" i="15"/>
  <c r="H15" i="15"/>
  <c r="H16" i="15"/>
  <c r="I16" i="15" s="1"/>
  <c r="H10" i="15"/>
  <c r="D8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2" i="7"/>
  <c r="G6" i="11"/>
  <c r="G5" i="11"/>
  <c r="L10" i="11"/>
  <c r="L5" i="11"/>
  <c r="K5" i="11"/>
  <c r="D5" i="11"/>
  <c r="D2" i="7" s="1"/>
  <c r="U9" i="13"/>
  <c r="U10" i="13"/>
  <c r="V10" i="13" s="1"/>
  <c r="U11" i="13"/>
  <c r="V11" i="13" s="1"/>
  <c r="AE8" i="13"/>
  <c r="AE9" i="13"/>
  <c r="AE10" i="13"/>
  <c r="AE11" i="13"/>
  <c r="AE12" i="13"/>
  <c r="AE13" i="13"/>
  <c r="AE14" i="13"/>
  <c r="AE15" i="13"/>
  <c r="T15" i="12"/>
  <c r="N15" i="12"/>
  <c r="C9" i="1"/>
  <c r="F16" i="3"/>
  <c r="F17" i="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P14" i="18"/>
  <c r="X12" i="3"/>
  <c r="X13" i="3"/>
  <c r="X14" i="3"/>
  <c r="V13" i="3"/>
  <c r="V14" i="3"/>
  <c r="AG11" i="3"/>
  <c r="X9" i="3"/>
  <c r="T10" i="1"/>
  <c r="T11" i="1"/>
  <c r="T12" i="1"/>
  <c r="F6" i="11" s="1"/>
  <c r="B3" i="7" s="1"/>
  <c r="T13" i="1"/>
  <c r="F7" i="11" s="1"/>
  <c r="B4" i="7" s="1"/>
  <c r="T14" i="1"/>
  <c r="F8" i="11" s="1"/>
  <c r="B5" i="7" s="1"/>
  <c r="T15" i="1"/>
  <c r="F9" i="11" s="1"/>
  <c r="B6" i="7" s="1"/>
  <c r="T16" i="1"/>
  <c r="F10" i="11" s="1"/>
  <c r="B7" i="7" s="1"/>
  <c r="T17" i="1"/>
  <c r="F11" i="11" s="1"/>
  <c r="AA17" i="3"/>
  <c r="AA18" i="3"/>
  <c r="S21" i="3"/>
  <c r="S22" i="3"/>
  <c r="X21" i="3"/>
  <c r="X22" i="3"/>
  <c r="X23" i="3"/>
  <c r="AA20" i="3"/>
  <c r="AA19" i="3"/>
  <c r="J35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F5" i="11" l="1"/>
  <c r="B2" i="7" s="1"/>
  <c r="U11" i="1"/>
  <c r="T25" i="1"/>
  <c r="F19" i="11" s="1"/>
  <c r="B16" i="7" s="1"/>
  <c r="S25" i="1"/>
  <c r="U25" i="1" l="1"/>
  <c r="G19" i="11"/>
  <c r="D20" i="14"/>
  <c r="E20" i="3"/>
  <c r="E21" i="3"/>
  <c r="F20" i="23" s="1"/>
  <c r="S26" i="1"/>
  <c r="S27" i="1"/>
  <c r="S28" i="1"/>
  <c r="S29" i="1"/>
  <c r="S30" i="1"/>
  <c r="S33" i="1"/>
  <c r="S34" i="1"/>
  <c r="S35" i="1"/>
  <c r="S36" i="1"/>
  <c r="S37" i="1"/>
  <c r="S38" i="1"/>
  <c r="S39" i="1"/>
  <c r="S40" i="1"/>
  <c r="S41" i="1"/>
  <c r="S42" i="1"/>
  <c r="AR42" i="1" s="1"/>
  <c r="T26" i="1"/>
  <c r="F20" i="11" s="1"/>
  <c r="B17" i="7" s="1"/>
  <c r="T27" i="1"/>
  <c r="F21" i="11" s="1"/>
  <c r="B18" i="7" s="1"/>
  <c r="T28" i="1"/>
  <c r="F22" i="11" s="1"/>
  <c r="B19" i="7" s="1"/>
  <c r="T29" i="1"/>
  <c r="F23" i="11" s="1"/>
  <c r="B20" i="7" s="1"/>
  <c r="T30" i="1"/>
  <c r="F24" i="11" s="1"/>
  <c r="B21" i="7" s="1"/>
  <c r="T31" i="1"/>
  <c r="F25" i="11" s="1"/>
  <c r="B22" i="7" s="1"/>
  <c r="T32" i="1"/>
  <c r="F26" i="11" s="1"/>
  <c r="B23" i="7" s="1"/>
  <c r="T33" i="1"/>
  <c r="F27" i="11" s="1"/>
  <c r="B24" i="7" s="1"/>
  <c r="T34" i="1"/>
  <c r="F28" i="11" s="1"/>
  <c r="B25" i="7" s="1"/>
  <c r="T35" i="1"/>
  <c r="F29" i="11" s="1"/>
  <c r="B26" i="7" s="1"/>
  <c r="T36" i="1"/>
  <c r="F30" i="11" s="1"/>
  <c r="B27" i="7" s="1"/>
  <c r="T37" i="1"/>
  <c r="F31" i="11" s="1"/>
  <c r="B28" i="7" s="1"/>
  <c r="T38" i="1"/>
  <c r="F32" i="11" s="1"/>
  <c r="B29" i="7" s="1"/>
  <c r="T39" i="1"/>
  <c r="F33" i="11" s="1"/>
  <c r="B30" i="7" s="1"/>
  <c r="T40" i="1"/>
  <c r="F34" i="11" s="1"/>
  <c r="B31" i="7" s="1"/>
  <c r="T41" i="1"/>
  <c r="F35" i="11" s="1"/>
  <c r="B32" i="7" s="1"/>
  <c r="T42" i="1"/>
  <c r="F36" i="11" s="1"/>
  <c r="AJ24" i="1"/>
  <c r="AJ25" i="1"/>
  <c r="AR25" i="1" s="1"/>
  <c r="AJ26" i="1"/>
  <c r="AR26" i="1" s="1"/>
  <c r="AJ27" i="1"/>
  <c r="AR27" i="1" s="1"/>
  <c r="AJ28" i="1"/>
  <c r="AJ30" i="1"/>
  <c r="AJ31" i="1"/>
  <c r="AJ32" i="1"/>
  <c r="AJ33" i="1"/>
  <c r="AJ34" i="1"/>
  <c r="AJ35" i="1"/>
  <c r="AJ36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AJ17" i="1"/>
  <c r="J55" i="3"/>
  <c r="J56" i="3"/>
  <c r="J57" i="3"/>
  <c r="J58" i="3"/>
  <c r="J59" i="3"/>
  <c r="J60" i="3"/>
  <c r="J61" i="3"/>
  <c r="J62" i="3"/>
  <c r="G13" i="15"/>
  <c r="G10" i="15"/>
  <c r="AR34" i="1" l="1"/>
  <c r="U38" i="1"/>
  <c r="E12" i="14"/>
  <c r="H11" i="11"/>
  <c r="H32" i="11"/>
  <c r="E33" i="14"/>
  <c r="H31" i="11"/>
  <c r="E32" i="14"/>
  <c r="H30" i="11"/>
  <c r="E31" i="14"/>
  <c r="H29" i="11"/>
  <c r="E30" i="14"/>
  <c r="H28" i="11"/>
  <c r="E29" i="14"/>
  <c r="H27" i="11"/>
  <c r="E28" i="14"/>
  <c r="H26" i="11"/>
  <c r="E27" i="14"/>
  <c r="H25" i="11"/>
  <c r="E26" i="14"/>
  <c r="H24" i="11"/>
  <c r="E25" i="14"/>
  <c r="G36" i="11"/>
  <c r="H22" i="11"/>
  <c r="E23" i="14"/>
  <c r="G35" i="11"/>
  <c r="D36" i="14"/>
  <c r="G34" i="11"/>
  <c r="D35" i="14"/>
  <c r="G33" i="11"/>
  <c r="D34" i="14"/>
  <c r="G32" i="11"/>
  <c r="I32" i="11" s="1"/>
  <c r="D33" i="14"/>
  <c r="G31" i="11"/>
  <c r="I31" i="11" s="1"/>
  <c r="D32" i="14"/>
  <c r="G30" i="11"/>
  <c r="I30" i="11" s="1"/>
  <c r="D31" i="14"/>
  <c r="G29" i="11"/>
  <c r="I29" i="11" s="1"/>
  <c r="D30" i="14"/>
  <c r="G28" i="11"/>
  <c r="I28" i="11" s="1"/>
  <c r="D29" i="14"/>
  <c r="G27" i="11"/>
  <c r="I27" i="11" s="1"/>
  <c r="D28" i="14"/>
  <c r="G26" i="11"/>
  <c r="I26" i="11" s="1"/>
  <c r="D27" i="14"/>
  <c r="G25" i="11"/>
  <c r="I25" i="11" s="1"/>
  <c r="D26" i="14"/>
  <c r="G24" i="11"/>
  <c r="I24" i="11" s="1"/>
  <c r="D25" i="14"/>
  <c r="H23" i="11"/>
  <c r="E24" i="14"/>
  <c r="G22" i="11"/>
  <c r="I22" i="11" s="1"/>
  <c r="D23" i="14"/>
  <c r="G23" i="11"/>
  <c r="I23" i="11" s="1"/>
  <c r="D24" i="14"/>
  <c r="D21" i="23"/>
  <c r="G21" i="11"/>
  <c r="D22" i="14"/>
  <c r="G20" i="11"/>
  <c r="D21" i="14"/>
  <c r="H21" i="11"/>
  <c r="I21" i="11" s="1"/>
  <c r="E22" i="14"/>
  <c r="H19" i="11"/>
  <c r="E20" i="14"/>
  <c r="I19" i="11"/>
  <c r="H20" i="11"/>
  <c r="I20" i="11" s="1"/>
  <c r="E21" i="14"/>
  <c r="H18" i="11"/>
  <c r="E19" i="14"/>
  <c r="U41" i="1"/>
  <c r="U40" i="1"/>
  <c r="U39" i="1"/>
  <c r="U37" i="1"/>
  <c r="U36" i="1"/>
  <c r="U35" i="1"/>
  <c r="U34" i="1"/>
  <c r="U33" i="1"/>
  <c r="U32" i="1"/>
  <c r="U31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Q23" i="18" s="1"/>
  <c r="P22" i="18"/>
  <c r="O23" i="18"/>
  <c r="Q24" i="18" s="1"/>
  <c r="P23" i="18"/>
  <c r="O24" i="18"/>
  <c r="Q25" i="18" s="1"/>
  <c r="P24" i="18"/>
  <c r="O25" i="18"/>
  <c r="Q26" i="18" s="1"/>
  <c r="P25" i="18"/>
  <c r="O26" i="18"/>
  <c r="Q27" i="18" s="1"/>
  <c r="P26" i="18"/>
  <c r="O27" i="18"/>
  <c r="Q28" i="18" s="1"/>
  <c r="P27" i="18"/>
  <c r="O28" i="18"/>
  <c r="P28" i="18"/>
  <c r="O29" i="18"/>
  <c r="Q30" i="18" s="1"/>
  <c r="P29" i="18"/>
  <c r="O30" i="18"/>
  <c r="Q31" i="18" s="1"/>
  <c r="P30" i="18"/>
  <c r="O31" i="18"/>
  <c r="Q32" i="18" s="1"/>
  <c r="P31" i="18"/>
  <c r="O32" i="18"/>
  <c r="Q33" i="18" s="1"/>
  <c r="P32" i="18"/>
  <c r="O33" i="18"/>
  <c r="Q34" i="18" s="1"/>
  <c r="P33" i="18"/>
  <c r="P4" i="18"/>
  <c r="P5" i="18"/>
  <c r="P6" i="18"/>
  <c r="P7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9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F63" i="22" s="1"/>
  <c r="G62" i="22"/>
  <c r="I62" i="22" s="1"/>
  <c r="K62" i="22" s="1"/>
  <c r="B62" i="22"/>
  <c r="F62" i="22" s="1"/>
  <c r="G61" i="22"/>
  <c r="I61" i="22" s="1"/>
  <c r="B61" i="22"/>
  <c r="F61" i="22" s="1"/>
  <c r="G60" i="22"/>
  <c r="I60" i="22" s="1"/>
  <c r="B60" i="22"/>
  <c r="F60" i="22" s="1"/>
  <c r="G59" i="22"/>
  <c r="I59" i="22" s="1"/>
  <c r="B59" i="22"/>
  <c r="F59" i="22" s="1"/>
  <c r="G58" i="22"/>
  <c r="I58" i="22" s="1"/>
  <c r="K58" i="22" s="1"/>
  <c r="B58" i="22"/>
  <c r="F58" i="22" s="1"/>
  <c r="G57" i="22"/>
  <c r="I57" i="22" s="1"/>
  <c r="B57" i="22"/>
  <c r="F57" i="22" s="1"/>
  <c r="G56" i="22"/>
  <c r="I56" i="22" s="1"/>
  <c r="B56" i="22"/>
  <c r="F56" i="22" s="1"/>
  <c r="G55" i="22"/>
  <c r="I55" i="22" s="1"/>
  <c r="F55" i="22"/>
  <c r="G54" i="22"/>
  <c r="I54" i="22" s="1"/>
  <c r="K54" i="22" s="1"/>
  <c r="F54" i="22"/>
  <c r="G53" i="22"/>
  <c r="I53" i="22" s="1"/>
  <c r="F53" i="22"/>
  <c r="G52" i="22"/>
  <c r="I52" i="22" s="1"/>
  <c r="B52" i="22"/>
  <c r="F52" i="22" s="1"/>
  <c r="G51" i="22"/>
  <c r="I51" i="22" s="1"/>
  <c r="B51" i="22"/>
  <c r="F51" i="22" s="1"/>
  <c r="G50" i="22"/>
  <c r="I50" i="22" s="1"/>
  <c r="K50" i="22" s="1"/>
  <c r="B50" i="22"/>
  <c r="D50" i="22" s="1"/>
  <c r="F50" i="22" s="1"/>
  <c r="G49" i="22"/>
  <c r="I49" i="22" s="1"/>
  <c r="K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B42" i="22"/>
  <c r="D42" i="22" s="1"/>
  <c r="F42" i="22" s="1"/>
  <c r="G41" i="22"/>
  <c r="I41" i="22" s="1"/>
  <c r="K41" i="22" s="1"/>
  <c r="B41" i="22"/>
  <c r="D41" i="22" s="1"/>
  <c r="F41" i="22" s="1"/>
  <c r="G40" i="22"/>
  <c r="I40" i="22" s="1"/>
  <c r="B40" i="22"/>
  <c r="D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I42" i="22" l="1"/>
  <c r="K42" i="22" s="1"/>
  <c r="L7" i="22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L41" i="22"/>
  <c r="L44" i="22"/>
  <c r="K44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7" i="15"/>
  <c r="G18" i="15"/>
  <c r="B10" i="8" s="1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L36" i="11" s="1"/>
  <c r="G11" i="15"/>
  <c r="G12" i="15"/>
  <c r="E42" i="15"/>
  <c r="J38" i="15"/>
  <c r="J37" i="15"/>
  <c r="J34" i="15"/>
  <c r="J30" i="15"/>
  <c r="J28" i="15"/>
  <c r="I15" i="15"/>
  <c r="I14" i="15"/>
  <c r="I13" i="15"/>
  <c r="I12" i="15"/>
  <c r="I11" i="15"/>
  <c r="I10" i="15"/>
  <c r="J10" i="15" s="1"/>
  <c r="L35" i="11" l="1"/>
  <c r="B32" i="8"/>
  <c r="L34" i="11"/>
  <c r="B31" i="8"/>
  <c r="L33" i="11"/>
  <c r="B30" i="8"/>
  <c r="L32" i="11"/>
  <c r="B29" i="8"/>
  <c r="L31" i="11"/>
  <c r="B28" i="8"/>
  <c r="L23" i="11"/>
  <c r="B20" i="8"/>
  <c r="L22" i="11"/>
  <c r="B19" i="8"/>
  <c r="L21" i="11"/>
  <c r="B18" i="8"/>
  <c r="L20" i="11"/>
  <c r="B17" i="8"/>
  <c r="L17" i="11"/>
  <c r="B14" i="8"/>
  <c r="L28" i="11"/>
  <c r="B25" i="8"/>
  <c r="L30" i="11"/>
  <c r="B27" i="8"/>
  <c r="L29" i="11"/>
  <c r="B26" i="8"/>
  <c r="L27" i="11"/>
  <c r="B24" i="8"/>
  <c r="L26" i="11"/>
  <c r="B23" i="8"/>
  <c r="L25" i="11"/>
  <c r="B22" i="8"/>
  <c r="L24" i="11"/>
  <c r="B21" i="8"/>
  <c r="L19" i="11"/>
  <c r="B16" i="8"/>
  <c r="L16" i="11"/>
  <c r="B13" i="8"/>
  <c r="L15" i="11"/>
  <c r="B12" i="8"/>
  <c r="B11" i="8"/>
  <c r="L14" i="11"/>
  <c r="P13" i="14"/>
  <c r="B9" i="8"/>
  <c r="J24" i="15"/>
  <c r="J16" i="15"/>
  <c r="J26" i="15"/>
  <c r="J22" i="15"/>
  <c r="J14" i="15"/>
  <c r="J17" i="15"/>
  <c r="J11" i="15"/>
  <c r="J12" i="15"/>
  <c r="J35" i="15"/>
  <c r="J33" i="15"/>
  <c r="J32" i="15"/>
  <c r="J29" i="15"/>
  <c r="J27" i="15"/>
  <c r="J25" i="15"/>
  <c r="J21" i="15"/>
  <c r="J20" i="15"/>
  <c r="J18" i="15"/>
  <c r="J13" i="15"/>
  <c r="J15" i="15"/>
  <c r="J19" i="15"/>
  <c r="J31" i="15"/>
  <c r="J36" i="15"/>
  <c r="J23" i="15"/>
  <c r="J40" i="15"/>
  <c r="J39" i="15"/>
  <c r="G42" i="15"/>
  <c r="F34" i="24" l="1"/>
  <c r="D56" i="3"/>
  <c r="F3" i="24" l="1"/>
  <c r="F4" i="24"/>
  <c r="F5" i="24"/>
  <c r="F6" i="24"/>
  <c r="F7" i="24"/>
  <c r="F8" i="24"/>
  <c r="F9" i="24"/>
  <c r="T18" i="1"/>
  <c r="T19" i="1"/>
  <c r="T20" i="1"/>
  <c r="T21" i="1"/>
  <c r="T22" i="1"/>
  <c r="T23" i="1"/>
  <c r="T24" i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H42" i="15" s="1"/>
  <c r="I42" i="15" s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AJ23" i="1"/>
  <c r="S23" i="1"/>
  <c r="AJ22" i="1"/>
  <c r="AR22" i="1" s="1"/>
  <c r="S22" i="1"/>
  <c r="AJ21" i="1"/>
  <c r="S21" i="1"/>
  <c r="AJ20" i="1"/>
  <c r="S20" i="1"/>
  <c r="S19" i="1"/>
  <c r="AR19" i="1" s="1"/>
  <c r="AJ18" i="1"/>
  <c r="S18" i="1"/>
  <c r="S17" i="1"/>
  <c r="G11" i="11" s="1"/>
  <c r="I11" i="11" s="1"/>
  <c r="AJ16" i="1"/>
  <c r="S16" i="1"/>
  <c r="AR16" i="1" s="1"/>
  <c r="AJ15" i="1"/>
  <c r="S15" i="1"/>
  <c r="AJ14" i="1"/>
  <c r="S14" i="1"/>
  <c r="AJ13" i="1"/>
  <c r="S13" i="1"/>
  <c r="AJ12" i="1"/>
  <c r="U12" i="1"/>
  <c r="AJ11" i="1"/>
  <c r="AJ10" i="1"/>
  <c r="S10" i="1"/>
  <c r="S9" i="1"/>
  <c r="E6" i="14" l="1"/>
  <c r="O6" i="14" s="1"/>
  <c r="C5" i="23"/>
  <c r="H5" i="11"/>
  <c r="I5" i="11" s="1"/>
  <c r="E7" i="14"/>
  <c r="O7" i="14" s="1"/>
  <c r="H6" i="11"/>
  <c r="U13" i="1"/>
  <c r="D8" i="14"/>
  <c r="G7" i="11"/>
  <c r="E8" i="14"/>
  <c r="H7" i="11"/>
  <c r="D9" i="14"/>
  <c r="G8" i="11"/>
  <c r="C8" i="23"/>
  <c r="E9" i="14"/>
  <c r="H8" i="11"/>
  <c r="D10" i="14"/>
  <c r="G9" i="11"/>
  <c r="C9" i="23"/>
  <c r="E10" i="14"/>
  <c r="H9" i="11"/>
  <c r="U16" i="1"/>
  <c r="D11" i="14"/>
  <c r="G10" i="11"/>
  <c r="C10" i="23"/>
  <c r="E11" i="14"/>
  <c r="H10" i="11"/>
  <c r="H33" i="11"/>
  <c r="I33" i="11" s="1"/>
  <c r="E34" i="14"/>
  <c r="H34" i="11"/>
  <c r="I34" i="11" s="1"/>
  <c r="E35" i="14"/>
  <c r="H35" i="11"/>
  <c r="I35" i="11" s="1"/>
  <c r="E36" i="14"/>
  <c r="H36" i="11"/>
  <c r="I36" i="11" s="1"/>
  <c r="F16" i="24"/>
  <c r="F18" i="11"/>
  <c r="B15" i="7" s="1"/>
  <c r="U24" i="1"/>
  <c r="G18" i="11"/>
  <c r="I18" i="11" s="1"/>
  <c r="D19" i="14"/>
  <c r="H17" i="11"/>
  <c r="E18" i="14"/>
  <c r="F15" i="24"/>
  <c r="F17" i="11"/>
  <c r="B14" i="7" s="1"/>
  <c r="G17" i="11"/>
  <c r="I17" i="11" s="1"/>
  <c r="D18" i="14"/>
  <c r="G16" i="11"/>
  <c r="D17" i="14"/>
  <c r="H15" i="11"/>
  <c r="E16" i="14"/>
  <c r="F13" i="24"/>
  <c r="F15" i="11"/>
  <c r="B12" i="7" s="1"/>
  <c r="G15" i="11"/>
  <c r="I15" i="11" s="1"/>
  <c r="D16" i="14"/>
  <c r="H14" i="11"/>
  <c r="E15" i="14"/>
  <c r="F12" i="24"/>
  <c r="F14" i="11"/>
  <c r="B11" i="7" s="1"/>
  <c r="U20" i="1"/>
  <c r="G14" i="11"/>
  <c r="I14" i="11" s="1"/>
  <c r="D15" i="14"/>
  <c r="H16" i="11"/>
  <c r="I16" i="11" s="1"/>
  <c r="E17" i="14"/>
  <c r="H13" i="11"/>
  <c r="E14" i="14"/>
  <c r="F14" i="24"/>
  <c r="F16" i="11"/>
  <c r="B13" i="7" s="1"/>
  <c r="F11" i="24"/>
  <c r="F13" i="11"/>
  <c r="B10" i="7" s="1"/>
  <c r="U19" i="1"/>
  <c r="G13" i="11"/>
  <c r="I13" i="11" s="1"/>
  <c r="D14" i="14"/>
  <c r="C12" i="23"/>
  <c r="H12" i="11"/>
  <c r="E13" i="14"/>
  <c r="F10" i="24"/>
  <c r="F12" i="11"/>
  <c r="B9" i="7" s="1"/>
  <c r="S47" i="1"/>
  <c r="U18" i="1"/>
  <c r="G12" i="11"/>
  <c r="I12" i="11" s="1"/>
  <c r="D13" i="14"/>
  <c r="U17" i="1"/>
  <c r="D12" i="14"/>
  <c r="U22" i="1"/>
  <c r="D10" i="23"/>
  <c r="U15" i="1"/>
  <c r="D9" i="23"/>
  <c r="U14" i="1"/>
  <c r="D8" i="23"/>
  <c r="E15" i="24"/>
  <c r="U23" i="1"/>
  <c r="U21" i="1"/>
  <c r="AR9" i="1"/>
  <c r="E5" i="24"/>
  <c r="S45" i="1"/>
  <c r="C30" i="23"/>
  <c r="I30" i="24"/>
  <c r="E33" i="24"/>
  <c r="D33" i="23"/>
  <c r="C33" i="23"/>
  <c r="I33" i="24"/>
  <c r="C32" i="23"/>
  <c r="I32" i="24"/>
  <c r="C31" i="23"/>
  <c r="I31" i="24"/>
  <c r="C29" i="23"/>
  <c r="I29" i="24"/>
  <c r="C28" i="23"/>
  <c r="I28" i="24"/>
  <c r="C27" i="23"/>
  <c r="I27" i="24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C23" i="23"/>
  <c r="I23" i="24"/>
  <c r="C25" i="23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C22" i="23"/>
  <c r="I22" i="24"/>
  <c r="C24" i="23"/>
  <c r="I24" i="24"/>
  <c r="C26" i="23"/>
  <c r="I26" i="24"/>
  <c r="D6" i="23"/>
  <c r="E4" i="24"/>
  <c r="D12" i="23"/>
  <c r="E10" i="24"/>
  <c r="D16" i="23"/>
  <c r="E14" i="24"/>
  <c r="E8" i="24"/>
  <c r="F7" i="26" s="1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D23" i="23"/>
  <c r="E23" i="24"/>
  <c r="D27" i="23"/>
  <c r="E27" i="24"/>
  <c r="D31" i="23"/>
  <c r="E31" i="24"/>
  <c r="E20" i="24"/>
  <c r="D24" i="23"/>
  <c r="E24" i="24"/>
  <c r="D28" i="23"/>
  <c r="E28" i="24"/>
  <c r="D32" i="23"/>
  <c r="E32" i="24"/>
  <c r="C19" i="23"/>
  <c r="I17" i="24"/>
  <c r="D19" i="23"/>
  <c r="E17" i="24"/>
  <c r="C18" i="23"/>
  <c r="I16" i="24"/>
  <c r="D18" i="23"/>
  <c r="E16" i="24"/>
  <c r="AS33" i="1"/>
  <c r="AS37" i="1"/>
  <c r="AS44" i="1"/>
  <c r="AS43" i="1"/>
  <c r="AS29" i="1"/>
  <c r="AS41" i="1"/>
  <c r="AR10" i="1"/>
  <c r="AS30" i="1"/>
  <c r="AS34" i="1"/>
  <c r="AS38" i="1"/>
  <c r="D30" i="23"/>
  <c r="D26" i="23"/>
  <c r="D22" i="23"/>
  <c r="D29" i="23"/>
  <c r="D25" i="23"/>
  <c r="AS13" i="1"/>
  <c r="D7" i="23"/>
  <c r="D20" i="23"/>
  <c r="D17" i="23"/>
  <c r="AJ45" i="1"/>
  <c r="B8" i="7"/>
  <c r="T45" i="1"/>
  <c r="AC11" i="12"/>
  <c r="T47" i="1" l="1"/>
  <c r="T48" i="1" s="1"/>
  <c r="AR45" i="1"/>
  <c r="AC33" i="12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7" i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D34" i="23"/>
  <c r="C34" i="23"/>
  <c r="AG10" i="3"/>
  <c r="AG12" i="3"/>
  <c r="AG13" i="3"/>
  <c r="AG20" i="3"/>
  <c r="AG21" i="3"/>
  <c r="AG22" i="3"/>
  <c r="AG23" i="3"/>
  <c r="AG24" i="3"/>
  <c r="AG26" i="3"/>
  <c r="AG27" i="3"/>
  <c r="AG28" i="3"/>
  <c r="AG29" i="3"/>
  <c r="AG30" i="3"/>
  <c r="AG31" i="3"/>
  <c r="AG32" i="3"/>
  <c r="AG33" i="3"/>
  <c r="AG34" i="3"/>
  <c r="AG35" i="3"/>
  <c r="AG3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D38" i="3" l="1"/>
  <c r="AS45" i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6" i="3"/>
  <c r="AJ27" i="3"/>
  <c r="AJ28" i="3"/>
  <c r="AJ29" i="3"/>
  <c r="AJ30" i="3"/>
  <c r="AJ31" i="3"/>
  <c r="AJ32" i="3"/>
  <c r="AJ33" i="3"/>
  <c r="AJ34" i="3"/>
  <c r="AJ35" i="3"/>
  <c r="AJ36" i="3"/>
  <c r="AJ6" i="3"/>
  <c r="AH36" i="3"/>
  <c r="AH35" i="3"/>
  <c r="AH34" i="3"/>
  <c r="AH33" i="3"/>
  <c r="AH32" i="3"/>
  <c r="AH31" i="3"/>
  <c r="AH30" i="3"/>
  <c r="AH29" i="3"/>
  <c r="AH28" i="3"/>
  <c r="AH27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AJ38" i="3" l="1"/>
  <c r="J5" i="18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6" i="3"/>
  <c r="AB27" i="3"/>
  <c r="AB28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2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G20" i="23" s="1"/>
  <c r="F22" i="3"/>
  <c r="G21" i="23" s="1"/>
  <c r="F23" i="3"/>
  <c r="AC23" i="13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K11" i="13"/>
  <c r="K8" i="13"/>
  <c r="K9" i="13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F32" i="10" l="1"/>
  <c r="F27" i="10"/>
  <c r="F25" i="10"/>
  <c r="F23" i="10"/>
  <c r="F21" i="10"/>
  <c r="F31" i="10"/>
  <c r="F28" i="10"/>
  <c r="F26" i="10"/>
  <c r="F24" i="10"/>
  <c r="K7" i="13"/>
  <c r="K13" i="13"/>
  <c r="F11" i="14"/>
  <c r="F8" i="14"/>
  <c r="K6" i="13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K14" i="10"/>
  <c r="K13" i="10" l="1"/>
  <c r="K13" i="11"/>
  <c r="J50" i="3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K60" i="3" s="1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I7" i="14" s="1"/>
  <c r="E8" i="3"/>
  <c r="I8" i="14" s="1"/>
  <c r="E9" i="3"/>
  <c r="I9" i="14" s="1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4" i="12"/>
  <c r="V14" i="12" s="1"/>
  <c r="V15" i="12"/>
  <c r="T16" i="12"/>
  <c r="V16" i="12" s="1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4" i="12"/>
  <c r="P14" i="12" s="1"/>
  <c r="P15" i="12"/>
  <c r="N16" i="12"/>
  <c r="P16" i="12" s="1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B25" i="11" s="1"/>
  <c r="Z18" i="12"/>
  <c r="Z17" i="12"/>
  <c r="Z9" i="12"/>
  <c r="Z7" i="12"/>
  <c r="B13" i="11"/>
  <c r="Z10" i="12"/>
  <c r="Z20" i="12"/>
  <c r="B19" i="11" s="1"/>
  <c r="Z11" i="12"/>
  <c r="Z25" i="12"/>
  <c r="B24" i="11" s="1"/>
  <c r="Z16" i="12"/>
  <c r="Z19" i="12"/>
  <c r="B18" i="11" s="1"/>
  <c r="Z15" i="12"/>
  <c r="Z12" i="12"/>
  <c r="B11" i="11" s="1"/>
  <c r="Z8" i="12"/>
  <c r="Z24" i="12"/>
  <c r="B23" i="11" s="1"/>
  <c r="Z23" i="12"/>
  <c r="B22" i="11" s="1"/>
  <c r="Z21" i="12"/>
  <c r="B20" i="11" s="1"/>
  <c r="Z22" i="12"/>
  <c r="B21" i="11" s="1"/>
  <c r="Z30" i="12"/>
  <c r="B29" i="11" s="1"/>
  <c r="Z37" i="12"/>
  <c r="B36" i="11" s="1"/>
  <c r="Z35" i="12"/>
  <c r="B34" i="11" s="1"/>
  <c r="Z27" i="12"/>
  <c r="B26" i="11" s="1"/>
  <c r="Z36" i="12"/>
  <c r="B35" i="11" s="1"/>
  <c r="Z29" i="12"/>
  <c r="B28" i="11" s="1"/>
  <c r="Z28" i="12"/>
  <c r="B27" i="11" s="1"/>
  <c r="Z32" i="12"/>
  <c r="B31" i="11" s="1"/>
  <c r="Z31" i="12"/>
  <c r="B30" i="11" s="1"/>
  <c r="Q6" i="3"/>
  <c r="R6" i="3" s="1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H5" i="23" s="1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V9" i="13"/>
  <c r="Y9" i="13"/>
  <c r="Z9" i="13" s="1"/>
  <c r="AA9" i="13" s="1"/>
  <c r="AC9" i="13"/>
  <c r="H8" i="23" s="1"/>
  <c r="Q10" i="13"/>
  <c r="R10" i="13" s="1"/>
  <c r="Y10" i="13"/>
  <c r="Z10" i="13" s="1"/>
  <c r="AA10" i="13" s="1"/>
  <c r="AC10" i="13"/>
  <c r="H9" i="23" s="1"/>
  <c r="Q11" i="13"/>
  <c r="R11" i="13" s="1"/>
  <c r="Y11" i="13"/>
  <c r="AC11" i="13"/>
  <c r="H10" i="23" s="1"/>
  <c r="Q12" i="13"/>
  <c r="R12" i="13" s="1"/>
  <c r="U12" i="13"/>
  <c r="V12" i="13" s="1"/>
  <c r="Y12" i="13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Q25" i="13"/>
  <c r="R25" i="13" s="1"/>
  <c r="U25" i="13"/>
  <c r="V25" i="13" s="1"/>
  <c r="Y25" i="13"/>
  <c r="Z25" i="13" s="1"/>
  <c r="AA25" i="13" s="1"/>
  <c r="AC25" i="13"/>
  <c r="H22" i="23" s="1"/>
  <c r="Q26" i="13"/>
  <c r="R26" i="13" s="1"/>
  <c r="U26" i="13"/>
  <c r="V26" i="13" s="1"/>
  <c r="Y26" i="13"/>
  <c r="Z26" i="13" s="1"/>
  <c r="AA26" i="13" s="1"/>
  <c r="AC26" i="13"/>
  <c r="H23" i="23" s="1"/>
  <c r="Q27" i="13"/>
  <c r="R27" i="13" s="1"/>
  <c r="U27" i="13"/>
  <c r="V27" i="13" s="1"/>
  <c r="Y27" i="13"/>
  <c r="Z27" i="13" s="1"/>
  <c r="AA27" i="13" s="1"/>
  <c r="AC27" i="13"/>
  <c r="H24" i="23" s="1"/>
  <c r="Q28" i="13"/>
  <c r="R28" i="13" s="1"/>
  <c r="U28" i="13"/>
  <c r="V28" i="13" s="1"/>
  <c r="Y28" i="13"/>
  <c r="Z28" i="13" s="1"/>
  <c r="AA28" i="13" s="1"/>
  <c r="AC28" i="13"/>
  <c r="H25" i="23" s="1"/>
  <c r="U25" i="3"/>
  <c r="X19" i="3"/>
  <c r="X24" i="3"/>
  <c r="AA21" i="3"/>
  <c r="AA22" i="3"/>
  <c r="AA23" i="3"/>
  <c r="AA24" i="3"/>
  <c r="AM18" i="3"/>
  <c r="AM19" i="3"/>
  <c r="AM20" i="3"/>
  <c r="AN20" i="3" s="1"/>
  <c r="G19" i="23" s="1"/>
  <c r="AM21" i="3"/>
  <c r="AM22" i="3"/>
  <c r="AM23" i="3"/>
  <c r="AM24" i="3"/>
  <c r="AM25" i="3"/>
  <c r="AM26" i="3"/>
  <c r="C7" i="11"/>
  <c r="C4" i="7" s="1"/>
  <c r="C8" i="7"/>
  <c r="C15" i="11"/>
  <c r="C12" i="7" s="1"/>
  <c r="C19" i="11"/>
  <c r="C16" i="7" s="1"/>
  <c r="C23" i="11"/>
  <c r="C20" i="7" s="1"/>
  <c r="C6" i="11"/>
  <c r="C3" i="7" s="1"/>
  <c r="C8" i="11"/>
  <c r="C5" i="7" s="1"/>
  <c r="C9" i="11"/>
  <c r="C6" i="7" s="1"/>
  <c r="C10" i="11"/>
  <c r="C7" i="7" s="1"/>
  <c r="C12" i="11"/>
  <c r="C9" i="7" s="1"/>
  <c r="C13" i="11"/>
  <c r="C10" i="7" s="1"/>
  <c r="C14" i="11"/>
  <c r="C11" i="7" s="1"/>
  <c r="C16" i="11"/>
  <c r="C13" i="7" s="1"/>
  <c r="C17" i="11"/>
  <c r="C14" i="7" s="1"/>
  <c r="C18" i="11"/>
  <c r="C15" i="7" s="1"/>
  <c r="C20" i="11"/>
  <c r="C17" i="7" s="1"/>
  <c r="C21" i="11"/>
  <c r="C18" i="7" s="1"/>
  <c r="C22" i="11"/>
  <c r="C19" i="7" s="1"/>
  <c r="C24" i="11"/>
  <c r="C21" i="7" s="1"/>
  <c r="C25" i="11"/>
  <c r="C22" i="7" s="1"/>
  <c r="C26" i="11"/>
  <c r="C23" i="7" s="1"/>
  <c r="C27" i="11"/>
  <c r="C24" i="7" s="1"/>
  <c r="C28" i="11"/>
  <c r="C25" i="7" s="1"/>
  <c r="C29" i="11"/>
  <c r="C26" i="7" s="1"/>
  <c r="C30" i="11"/>
  <c r="C27" i="7" s="1"/>
  <c r="C31" i="11"/>
  <c r="C28" i="7" s="1"/>
  <c r="C32" i="11"/>
  <c r="C29" i="7" s="1"/>
  <c r="C33" i="11"/>
  <c r="C30" i="7" s="1"/>
  <c r="C34" i="11"/>
  <c r="C31" i="7" s="1"/>
  <c r="C35" i="11"/>
  <c r="C32" i="7" s="1"/>
  <c r="C36" i="11"/>
  <c r="AN23" i="3" l="1"/>
  <c r="AN22" i="3"/>
  <c r="AN21" i="3"/>
  <c r="AN19" i="3"/>
  <c r="Z11" i="13"/>
  <c r="AA11" i="13" s="1"/>
  <c r="AN24" i="3"/>
  <c r="Z12" i="13"/>
  <c r="AA12" i="13" s="1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N14" i="3" s="1"/>
  <c r="AM13" i="3"/>
  <c r="AM12" i="3"/>
  <c r="AM11" i="3"/>
  <c r="AM10" i="3"/>
  <c r="AM9" i="3"/>
  <c r="AM8" i="3"/>
  <c r="AM7" i="3"/>
  <c r="AM6" i="3"/>
  <c r="AM38" i="3" s="1"/>
  <c r="AG9" i="3"/>
  <c r="AG8" i="3"/>
  <c r="AG7" i="3"/>
  <c r="AG6" i="3"/>
  <c r="AG38" i="3" s="1"/>
  <c r="AA37" i="3"/>
  <c r="AA36" i="3"/>
  <c r="AA35" i="3"/>
  <c r="AA34" i="3"/>
  <c r="AA33" i="3"/>
  <c r="AA26" i="3"/>
  <c r="AA16" i="3"/>
  <c r="AA15" i="3"/>
  <c r="AA13" i="3"/>
  <c r="AN13" i="3" s="1"/>
  <c r="AA12" i="3"/>
  <c r="AA11" i="3"/>
  <c r="AA10" i="3"/>
  <c r="AA9" i="3"/>
  <c r="AN9" i="3" s="1"/>
  <c r="AA8" i="3"/>
  <c r="AA7" i="3"/>
  <c r="AA6" i="3"/>
  <c r="X35" i="3"/>
  <c r="X34" i="3"/>
  <c r="X33" i="3"/>
  <c r="X32" i="3"/>
  <c r="X31" i="3"/>
  <c r="X30" i="3"/>
  <c r="X29" i="3"/>
  <c r="X28" i="3"/>
  <c r="X27" i="3"/>
  <c r="X26" i="3"/>
  <c r="AN25" i="3"/>
  <c r="X18" i="3"/>
  <c r="AN18" i="3" s="1"/>
  <c r="X17" i="3"/>
  <c r="AN17" i="3" s="1"/>
  <c r="X16" i="3"/>
  <c r="AN16" i="3" s="1"/>
  <c r="X15" i="3"/>
  <c r="X38" i="3" s="1"/>
  <c r="X11" i="3"/>
  <c r="AN11" i="3" s="1"/>
  <c r="X10" i="3"/>
  <c r="AN10" i="3" s="1"/>
  <c r="X8" i="3"/>
  <c r="AN8" i="3" s="1"/>
  <c r="X7" i="3"/>
  <c r="AN7" i="3" s="1"/>
  <c r="X6" i="3"/>
  <c r="U26" i="3"/>
  <c r="U27" i="3"/>
  <c r="AN27" i="3" s="1"/>
  <c r="U28" i="3"/>
  <c r="AN28" i="3" s="1"/>
  <c r="U29" i="3"/>
  <c r="AN29" i="3" s="1"/>
  <c r="U30" i="3"/>
  <c r="AN30" i="3" s="1"/>
  <c r="U31" i="3"/>
  <c r="U32" i="3"/>
  <c r="AN32" i="3" s="1"/>
  <c r="U33" i="3"/>
  <c r="U34" i="3"/>
  <c r="U35" i="3"/>
  <c r="AN35" i="3" s="1"/>
  <c r="U36" i="3"/>
  <c r="AN36" i="3" s="1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7" i="3"/>
  <c r="E18" i="3"/>
  <c r="F17" i="23" s="1"/>
  <c r="E19" i="3"/>
  <c r="F18" i="23" s="1"/>
  <c r="F19" i="23"/>
  <c r="E22" i="3"/>
  <c r="F21" i="23" s="1"/>
  <c r="E23" i="3"/>
  <c r="F22" i="23" s="1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10" i="3"/>
  <c r="I10" i="14" s="1"/>
  <c r="E11" i="3"/>
  <c r="I11" i="14" s="1"/>
  <c r="E12" i="3"/>
  <c r="F13" i="23"/>
  <c r="F14" i="23"/>
  <c r="E17" i="3"/>
  <c r="F16" i="23" s="1"/>
  <c r="AN33" i="3" l="1"/>
  <c r="AN31" i="3"/>
  <c r="K11" i="11"/>
  <c r="I12" i="14"/>
  <c r="AA38" i="3"/>
  <c r="AN34" i="3"/>
  <c r="AN26" i="3"/>
  <c r="U38" i="3"/>
  <c r="AN38" i="3"/>
  <c r="AN15" i="3"/>
  <c r="I13" i="14"/>
  <c r="F34" i="23"/>
  <c r="K36" i="10"/>
  <c r="F33" i="23"/>
  <c r="K35" i="10"/>
  <c r="F32" i="23"/>
  <c r="K34" i="10"/>
  <c r="F31" i="23"/>
  <c r="K33" i="10"/>
  <c r="F30" i="23"/>
  <c r="K32" i="10"/>
  <c r="F29" i="23"/>
  <c r="K31" i="10"/>
  <c r="F28" i="23"/>
  <c r="K30" i="10"/>
  <c r="F27" i="23"/>
  <c r="K29" i="10"/>
  <c r="F26" i="23"/>
  <c r="K28" i="10"/>
  <c r="F25" i="23"/>
  <c r="K27" i="10"/>
  <c r="F24" i="23"/>
  <c r="K26" i="10"/>
  <c r="F23" i="23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G26" i="23"/>
  <c r="G28" i="23"/>
  <c r="G27" i="2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H33" i="18"/>
  <c r="M33" i="18" s="1"/>
  <c r="B4" i="18"/>
  <c r="H4" i="18" s="1"/>
  <c r="M4" i="18" s="1"/>
  <c r="T4" i="18" s="1"/>
  <c r="Y4" i="18" s="1"/>
  <c r="C5" i="11"/>
  <c r="C2" i="7" s="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6" i="14"/>
  <c r="B7" i="14"/>
  <c r="B8" i="14"/>
  <c r="B9" i="14"/>
  <c r="B10" i="14"/>
  <c r="B11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6" i="14"/>
  <c r="R6" i="14" s="1"/>
  <c r="O39" i="10"/>
  <c r="P39" i="10" s="1"/>
  <c r="M38" i="10"/>
  <c r="M39" i="10" s="1"/>
  <c r="C39" i="10"/>
  <c r="Q36" i="10"/>
  <c r="V36" i="10" s="1"/>
  <c r="O35" i="10"/>
  <c r="N35" i="10"/>
  <c r="M35" i="10"/>
  <c r="P35" i="10"/>
  <c r="D35" i="10"/>
  <c r="O34" i="10"/>
  <c r="N34" i="10"/>
  <c r="M34" i="10"/>
  <c r="P34" i="10"/>
  <c r="D34" i="10"/>
  <c r="O33" i="10"/>
  <c r="N33" i="10"/>
  <c r="M33" i="10"/>
  <c r="P33" i="10"/>
  <c r="D33" i="10"/>
  <c r="O32" i="10"/>
  <c r="N32" i="10"/>
  <c r="M32" i="10"/>
  <c r="P32" i="10"/>
  <c r="D32" i="10"/>
  <c r="O31" i="10"/>
  <c r="N31" i="10"/>
  <c r="M31" i="10"/>
  <c r="P31" i="10"/>
  <c r="D31" i="10"/>
  <c r="O30" i="10"/>
  <c r="N30" i="10"/>
  <c r="M30" i="10"/>
  <c r="P30" i="10"/>
  <c r="D30" i="10"/>
  <c r="O29" i="10"/>
  <c r="N29" i="10"/>
  <c r="M29" i="10"/>
  <c r="P29" i="10"/>
  <c r="D29" i="10"/>
  <c r="O28" i="10"/>
  <c r="N28" i="10"/>
  <c r="M28" i="10"/>
  <c r="P28" i="10"/>
  <c r="D28" i="10"/>
  <c r="O27" i="10"/>
  <c r="N27" i="10"/>
  <c r="M27" i="10"/>
  <c r="P27" i="10"/>
  <c r="D27" i="10"/>
  <c r="O26" i="10"/>
  <c r="N26" i="10"/>
  <c r="M26" i="10"/>
  <c r="P26" i="10"/>
  <c r="D26" i="10"/>
  <c r="O25" i="10"/>
  <c r="N25" i="10"/>
  <c r="M25" i="10"/>
  <c r="P25" i="10"/>
  <c r="D25" i="10"/>
  <c r="O24" i="10"/>
  <c r="N24" i="10"/>
  <c r="M24" i="10"/>
  <c r="P24" i="10"/>
  <c r="D24" i="10"/>
  <c r="O23" i="10"/>
  <c r="N23" i="10"/>
  <c r="M23" i="10"/>
  <c r="P23" i="10"/>
  <c r="D23" i="10"/>
  <c r="O22" i="10"/>
  <c r="N22" i="10"/>
  <c r="M22" i="10"/>
  <c r="P22" i="10"/>
  <c r="D22" i="10"/>
  <c r="O21" i="10"/>
  <c r="N21" i="10"/>
  <c r="M21" i="10"/>
  <c r="P21" i="10"/>
  <c r="D21" i="10"/>
  <c r="O20" i="10"/>
  <c r="N20" i="10"/>
  <c r="M20" i="10"/>
  <c r="P20" i="10"/>
  <c r="D20" i="10"/>
  <c r="O19" i="10"/>
  <c r="N19" i="10"/>
  <c r="M19" i="10"/>
  <c r="P19" i="10"/>
  <c r="D19" i="10"/>
  <c r="O18" i="10"/>
  <c r="N18" i="10"/>
  <c r="M18" i="10"/>
  <c r="P18" i="10"/>
  <c r="D18" i="10"/>
  <c r="O17" i="10"/>
  <c r="N17" i="10"/>
  <c r="M17" i="10"/>
  <c r="P17" i="10"/>
  <c r="D17" i="10"/>
  <c r="O16" i="10"/>
  <c r="N16" i="10"/>
  <c r="M16" i="10"/>
  <c r="P16" i="10"/>
  <c r="D16" i="10"/>
  <c r="O15" i="10"/>
  <c r="N15" i="10"/>
  <c r="M15" i="10"/>
  <c r="P15" i="10"/>
  <c r="D15" i="10"/>
  <c r="O14" i="10"/>
  <c r="N14" i="10"/>
  <c r="M14" i="10"/>
  <c r="P14" i="10"/>
  <c r="I14" i="10"/>
  <c r="Q14" i="10" s="1"/>
  <c r="D14" i="10"/>
  <c r="O13" i="10"/>
  <c r="N13" i="10"/>
  <c r="M13" i="10"/>
  <c r="P13" i="10"/>
  <c r="D13" i="10"/>
  <c r="O12" i="10"/>
  <c r="N12" i="10"/>
  <c r="M12" i="10"/>
  <c r="P12" i="10"/>
  <c r="D12" i="10"/>
  <c r="O11" i="10"/>
  <c r="N11" i="10"/>
  <c r="M11" i="10"/>
  <c r="P11" i="10"/>
  <c r="D11" i="10"/>
  <c r="O10" i="10"/>
  <c r="N10" i="10"/>
  <c r="M10" i="10"/>
  <c r="P10" i="10"/>
  <c r="D10" i="10"/>
  <c r="O9" i="10"/>
  <c r="N9" i="10"/>
  <c r="M9" i="10"/>
  <c r="P9" i="10"/>
  <c r="D9" i="10"/>
  <c r="O8" i="10"/>
  <c r="N8" i="10"/>
  <c r="M8" i="10"/>
  <c r="P8" i="10"/>
  <c r="D8" i="10"/>
  <c r="O7" i="10"/>
  <c r="N7" i="10"/>
  <c r="M7" i="10"/>
  <c r="P7" i="10"/>
  <c r="D7" i="10"/>
  <c r="O6" i="10"/>
  <c r="N6" i="10"/>
  <c r="M6" i="10"/>
  <c r="P6" i="10"/>
  <c r="D6" i="10"/>
  <c r="X5" i="10"/>
  <c r="X6" i="10" s="1"/>
  <c r="X7" i="10" s="1"/>
  <c r="O5" i="10"/>
  <c r="N5" i="10"/>
  <c r="M5" i="10"/>
  <c r="T5" i="10"/>
  <c r="P5" i="10"/>
  <c r="I5" i="10"/>
  <c r="Q5" i="10" s="1"/>
  <c r="D5" i="10"/>
  <c r="M17" i="14"/>
  <c r="G13" i="26" s="1"/>
  <c r="M16" i="14"/>
  <c r="G12" i="26" s="1"/>
  <c r="M15" i="14"/>
  <c r="G11" i="26" s="1"/>
  <c r="M14" i="14"/>
  <c r="G10" i="26" s="1"/>
  <c r="G9" i="26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D36" i="11"/>
  <c r="M35" i="11"/>
  <c r="D35" i="11"/>
  <c r="D32" i="7" s="1"/>
  <c r="M34" i="11"/>
  <c r="D34" i="11"/>
  <c r="D31" i="7" s="1"/>
  <c r="M33" i="11"/>
  <c r="D33" i="11"/>
  <c r="D30" i="7" s="1"/>
  <c r="M32" i="11"/>
  <c r="D32" i="11"/>
  <c r="D29" i="7" s="1"/>
  <c r="M31" i="11"/>
  <c r="D31" i="11"/>
  <c r="D28" i="7" s="1"/>
  <c r="M30" i="11"/>
  <c r="D30" i="11"/>
  <c r="D27" i="7" s="1"/>
  <c r="M29" i="11"/>
  <c r="D29" i="11"/>
  <c r="D26" i="7" s="1"/>
  <c r="M28" i="11"/>
  <c r="D28" i="11"/>
  <c r="D25" i="7" s="1"/>
  <c r="M27" i="11"/>
  <c r="D27" i="11"/>
  <c r="D24" i="7" s="1"/>
  <c r="M26" i="11"/>
  <c r="D26" i="11"/>
  <c r="D23" i="7" s="1"/>
  <c r="M25" i="11"/>
  <c r="D25" i="11"/>
  <c r="D22" i="7" s="1"/>
  <c r="M24" i="11"/>
  <c r="D24" i="11"/>
  <c r="D21" i="7" s="1"/>
  <c r="M23" i="11"/>
  <c r="D23" i="11"/>
  <c r="D20" i="7" s="1"/>
  <c r="M22" i="11"/>
  <c r="D22" i="11"/>
  <c r="D19" i="7" s="1"/>
  <c r="M21" i="11"/>
  <c r="D21" i="11"/>
  <c r="D18" i="7" s="1"/>
  <c r="M20" i="11"/>
  <c r="D20" i="11"/>
  <c r="D17" i="7" s="1"/>
  <c r="M19" i="11"/>
  <c r="D19" i="11"/>
  <c r="D16" i="7" s="1"/>
  <c r="M18" i="11"/>
  <c r="D18" i="11"/>
  <c r="D15" i="7" s="1"/>
  <c r="M17" i="11"/>
  <c r="D17" i="11"/>
  <c r="D14" i="7" s="1"/>
  <c r="M16" i="11"/>
  <c r="D16" i="11"/>
  <c r="D13" i="7" s="1"/>
  <c r="M15" i="11"/>
  <c r="D15" i="11"/>
  <c r="D12" i="7" s="1"/>
  <c r="M14" i="11"/>
  <c r="D14" i="11"/>
  <c r="D11" i="7" s="1"/>
  <c r="M13" i="11"/>
  <c r="D13" i="11"/>
  <c r="D10" i="7" s="1"/>
  <c r="M12" i="11"/>
  <c r="D12" i="11"/>
  <c r="D9" i="7" s="1"/>
  <c r="M11" i="11"/>
  <c r="M10" i="11"/>
  <c r="D10" i="11"/>
  <c r="D7" i="7" s="1"/>
  <c r="M9" i="11"/>
  <c r="D9" i="11"/>
  <c r="D6" i="7" s="1"/>
  <c r="M8" i="11"/>
  <c r="D8" i="11"/>
  <c r="D5" i="7" s="1"/>
  <c r="M7" i="11"/>
  <c r="D7" i="11"/>
  <c r="D4" i="7" s="1"/>
  <c r="M6" i="11"/>
  <c r="D6" i="11"/>
  <c r="D3" i="7" s="1"/>
  <c r="M5" i="11"/>
  <c r="V35" i="18"/>
  <c r="X35" i="18" s="1"/>
  <c r="J34" i="23" s="1"/>
  <c r="D35" i="18"/>
  <c r="H35" i="18"/>
  <c r="M35" i="18" s="1"/>
  <c r="T35" i="18" s="1"/>
  <c r="Y35" i="18" s="1"/>
  <c r="V34" i="18"/>
  <c r="X34" i="18" s="1"/>
  <c r="J33" i="23" s="1"/>
  <c r="D34" i="18"/>
  <c r="F34" i="18" s="1"/>
  <c r="I33" i="23" s="1"/>
  <c r="H34" i="18"/>
  <c r="M34" i="18" s="1"/>
  <c r="V33" i="18"/>
  <c r="X33" i="18" s="1"/>
  <c r="J32" i="23" s="1"/>
  <c r="D33" i="18"/>
  <c r="F33" i="18" s="1"/>
  <c r="I32" i="23" s="1"/>
  <c r="V32" i="18"/>
  <c r="D32" i="18"/>
  <c r="F32" i="18" s="1"/>
  <c r="I31" i="23" s="1"/>
  <c r="V31" i="18"/>
  <c r="D31" i="18"/>
  <c r="F31" i="18" s="1"/>
  <c r="I30" i="23" s="1"/>
  <c r="V30" i="18"/>
  <c r="X30" i="18" s="1"/>
  <c r="J29" i="23" s="1"/>
  <c r="D30" i="18"/>
  <c r="F30" i="18" s="1"/>
  <c r="I29" i="23" s="1"/>
  <c r="V29" i="18"/>
  <c r="X29" i="18" s="1"/>
  <c r="J28" i="23" s="1"/>
  <c r="D29" i="18"/>
  <c r="F29" i="18" s="1"/>
  <c r="I28" i="23" s="1"/>
  <c r="V28" i="18"/>
  <c r="X28" i="18" s="1"/>
  <c r="J27" i="23" s="1"/>
  <c r="D28" i="18"/>
  <c r="F28" i="18" s="1"/>
  <c r="I27" i="23" s="1"/>
  <c r="V27" i="18"/>
  <c r="X27" i="18" s="1"/>
  <c r="J26" i="23" s="1"/>
  <c r="D27" i="18"/>
  <c r="F27" i="18" s="1"/>
  <c r="I26" i="23" s="1"/>
  <c r="V26" i="18"/>
  <c r="D26" i="18"/>
  <c r="F26" i="18" s="1"/>
  <c r="I25" i="23" s="1"/>
  <c r="V25" i="18"/>
  <c r="D25" i="18"/>
  <c r="F25" i="18" s="1"/>
  <c r="I24" i="23" s="1"/>
  <c r="Y24" i="18"/>
  <c r="V24" i="18"/>
  <c r="D24" i="18"/>
  <c r="F24" i="18" s="1"/>
  <c r="I23" i="23" s="1"/>
  <c r="V23" i="18"/>
  <c r="D23" i="18"/>
  <c r="F23" i="18" s="1"/>
  <c r="I22" i="23" s="1"/>
  <c r="V22" i="18"/>
  <c r="D22" i="18"/>
  <c r="F22" i="18" s="1"/>
  <c r="V21" i="18"/>
  <c r="D21" i="18"/>
  <c r="F21" i="18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F5" i="18"/>
  <c r="I6" i="23" s="1"/>
  <c r="X4" i="18"/>
  <c r="J5" i="23" s="1"/>
  <c r="X3" i="18"/>
  <c r="AE37" i="13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H32" i="23" s="1"/>
  <c r="Y35" i="13"/>
  <c r="Z35" i="13" s="1"/>
  <c r="AA35" i="13" s="1"/>
  <c r="U35" i="13"/>
  <c r="V35" i="13" s="1"/>
  <c r="Q35" i="13"/>
  <c r="R35" i="13" s="1"/>
  <c r="AE34" i="13"/>
  <c r="H34" i="14" s="1"/>
  <c r="AC34" i="13"/>
  <c r="H31" i="23" s="1"/>
  <c r="Y34" i="13"/>
  <c r="Z34" i="13" s="1"/>
  <c r="AA34" i="13" s="1"/>
  <c r="U34" i="13"/>
  <c r="V34" i="13" s="1"/>
  <c r="Q34" i="13"/>
  <c r="R34" i="13" s="1"/>
  <c r="AE33" i="13"/>
  <c r="H33" i="14" s="1"/>
  <c r="AC33" i="13"/>
  <c r="H30" i="23" s="1"/>
  <c r="Y33" i="13"/>
  <c r="Z33" i="13" s="1"/>
  <c r="AA33" i="13" s="1"/>
  <c r="U33" i="13"/>
  <c r="V33" i="13" s="1"/>
  <c r="Q33" i="13"/>
  <c r="R33" i="13" s="1"/>
  <c r="AE32" i="13"/>
  <c r="H32" i="14" s="1"/>
  <c r="AC32" i="13"/>
  <c r="H29" i="23" s="1"/>
  <c r="Y32" i="13"/>
  <c r="Z32" i="13" s="1"/>
  <c r="AA32" i="13" s="1"/>
  <c r="U32" i="13"/>
  <c r="V32" i="13" s="1"/>
  <c r="Q32" i="13"/>
  <c r="R32" i="13" s="1"/>
  <c r="AE31" i="13"/>
  <c r="H31" i="14" s="1"/>
  <c r="AC31" i="13"/>
  <c r="H28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7" i="23" s="1"/>
  <c r="Y30" i="13"/>
  <c r="Z30" i="13" s="1"/>
  <c r="AA30" i="13" s="1"/>
  <c r="U30" i="13"/>
  <c r="V30" i="13" s="1"/>
  <c r="Q30" i="13"/>
  <c r="R30" i="13" s="1"/>
  <c r="AE29" i="13"/>
  <c r="H29" i="14" s="1"/>
  <c r="AC29" i="13"/>
  <c r="H26" i="23" s="1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H15" i="14"/>
  <c r="G15" i="14"/>
  <c r="H14" i="14"/>
  <c r="G14" i="14"/>
  <c r="H13" i="14"/>
  <c r="G13" i="14"/>
  <c r="H12" i="14"/>
  <c r="G12" i="14"/>
  <c r="H11" i="14"/>
  <c r="G11" i="14"/>
  <c r="H10" i="14"/>
  <c r="G10" i="14"/>
  <c r="H9" i="14"/>
  <c r="G9" i="14"/>
  <c r="H8" i="14"/>
  <c r="G8" i="14"/>
  <c r="AE7" i="13"/>
  <c r="H7" i="14" s="1"/>
  <c r="G7" i="14"/>
  <c r="AE6" i="13"/>
  <c r="H6" i="14" s="1"/>
  <c r="G6" i="14"/>
  <c r="F3" i="13"/>
  <c r="E6" i="13" s="1"/>
  <c r="S36" i="14"/>
  <c r="S29" i="14"/>
  <c r="S24" i="14"/>
  <c r="Q39" i="14"/>
  <c r="P39" i="14"/>
  <c r="S6" i="14"/>
  <c r="J49" i="3"/>
  <c r="J48" i="3"/>
  <c r="J47" i="3"/>
  <c r="Q38" i="3"/>
  <c r="N38" i="3"/>
  <c r="AE37" i="3"/>
  <c r="O37" i="3"/>
  <c r="L37" i="3"/>
  <c r="I37" i="3"/>
  <c r="F37" i="3"/>
  <c r="C37" i="3"/>
  <c r="AK36" i="3"/>
  <c r="AE36" i="3"/>
  <c r="Y36" i="3"/>
  <c r="V36" i="3"/>
  <c r="G33" i="2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G32" i="2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G31" i="2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G30" i="2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G29" i="2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G25" i="23"/>
  <c r="S28" i="3"/>
  <c r="N24" i="25"/>
  <c r="O28" i="3"/>
  <c r="L28" i="3"/>
  <c r="L24" i="25"/>
  <c r="I28" i="3"/>
  <c r="M24" i="25"/>
  <c r="C28" i="3"/>
  <c r="AK27" i="3"/>
  <c r="AE27" i="3"/>
  <c r="Y27" i="3"/>
  <c r="V27" i="3"/>
  <c r="G24" i="23"/>
  <c r="S27" i="3"/>
  <c r="N23" i="25"/>
  <c r="O27" i="3"/>
  <c r="L27" i="3"/>
  <c r="L23" i="25"/>
  <c r="I27" i="3"/>
  <c r="M23" i="25"/>
  <c r="C27" i="3"/>
  <c r="AK26" i="3"/>
  <c r="Y26" i="3"/>
  <c r="V26" i="3"/>
  <c r="G23" i="23"/>
  <c r="S26" i="3"/>
  <c r="N22" i="25"/>
  <c r="O26" i="3"/>
  <c r="L26" i="3"/>
  <c r="L22" i="25"/>
  <c r="I26" i="3"/>
  <c r="M22" i="25"/>
  <c r="F26" i="3"/>
  <c r="C26" i="3"/>
  <c r="V25" i="3"/>
  <c r="G22" i="23"/>
  <c r="S25" i="3"/>
  <c r="N21" i="25"/>
  <c r="L25" i="3"/>
  <c r="L21" i="25"/>
  <c r="I25" i="3"/>
  <c r="M21" i="25"/>
  <c r="F25" i="3"/>
  <c r="C25" i="3"/>
  <c r="AK24" i="3"/>
  <c r="AE24" i="3"/>
  <c r="Y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4" i="14"/>
  <c r="C33" i="14"/>
  <c r="C31" i="14"/>
  <c r="C30" i="14"/>
  <c r="C29" i="14"/>
  <c r="C27" i="14"/>
  <c r="C26" i="14"/>
  <c r="C25" i="14"/>
  <c r="C23" i="14"/>
  <c r="C22" i="14"/>
  <c r="C21" i="14"/>
  <c r="N21" i="14"/>
  <c r="C19" i="14"/>
  <c r="C18" i="14"/>
  <c r="N18" i="14"/>
  <c r="C17" i="14"/>
  <c r="N17" i="14"/>
  <c r="C16" i="14"/>
  <c r="C15" i="14"/>
  <c r="C14" i="14"/>
  <c r="N14" i="14"/>
  <c r="N13" i="14"/>
  <c r="N12" i="14"/>
  <c r="N10" i="14"/>
  <c r="N9" i="14"/>
  <c r="N8" i="14"/>
  <c r="C6" i="14"/>
  <c r="S23" i="14" l="1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J31" i="23" s="1"/>
  <c r="X31" i="18"/>
  <c r="J30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2" i="23" s="1"/>
  <c r="X10" i="18"/>
  <c r="J11" i="23" s="1"/>
  <c r="X24" i="18"/>
  <c r="J23" i="23" s="1"/>
  <c r="X25" i="18"/>
  <c r="J24" i="23" s="1"/>
  <c r="X8" i="18"/>
  <c r="J9" i="23" s="1"/>
  <c r="X11" i="18"/>
  <c r="J12" i="23" s="1"/>
  <c r="X12" i="18"/>
  <c r="J13" i="23" s="1"/>
  <c r="X15" i="18"/>
  <c r="J16" i="23" s="1"/>
  <c r="X26" i="18"/>
  <c r="J25" i="23" s="1"/>
  <c r="AI19" i="13"/>
  <c r="X22" i="18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W18" i="25"/>
  <c r="I19" i="10"/>
  <c r="Q19" i="10" s="1"/>
  <c r="I26" i="10"/>
  <c r="Q26" i="10" s="1"/>
  <c r="S15" i="14"/>
  <c r="S19" i="14"/>
  <c r="S30" i="14"/>
  <c r="S35" i="14"/>
  <c r="S10" i="14"/>
  <c r="W17" i="25"/>
  <c r="R17" i="14"/>
  <c r="I14" i="23"/>
  <c r="I13" i="23"/>
  <c r="I12" i="23"/>
  <c r="O12" i="14"/>
  <c r="J30" i="13"/>
  <c r="I11" i="23"/>
  <c r="G32" i="14"/>
  <c r="G36" i="14"/>
  <c r="G31" i="14"/>
  <c r="G35" i="14"/>
  <c r="G30" i="14"/>
  <c r="G34" i="14"/>
  <c r="G29" i="14"/>
  <c r="G33" i="14"/>
  <c r="I9" i="23"/>
  <c r="I8" i="23"/>
  <c r="O8" i="14"/>
  <c r="I7" i="23"/>
  <c r="K77" i="3"/>
  <c r="M37" i="13" s="1"/>
  <c r="O16" i="14"/>
  <c r="K16" i="13"/>
  <c r="L16" i="13" s="1"/>
  <c r="K23" i="13"/>
  <c r="L23" i="13" s="1"/>
  <c r="N25" i="14"/>
  <c r="R25" i="14" s="1"/>
  <c r="J25" i="13"/>
  <c r="K27" i="13"/>
  <c r="O32" i="14"/>
  <c r="K32" i="13"/>
  <c r="M25" i="14"/>
  <c r="G21" i="26" s="1"/>
  <c r="T6" i="10"/>
  <c r="K19" i="13"/>
  <c r="L19" i="13" s="1"/>
  <c r="J24" i="13"/>
  <c r="K26" i="13"/>
  <c r="K18" i="13"/>
  <c r="L18" i="13" s="1"/>
  <c r="K22" i="13"/>
  <c r="L22" i="13" s="1"/>
  <c r="C24" i="14"/>
  <c r="O25" i="14"/>
  <c r="K25" i="13"/>
  <c r="J27" i="13"/>
  <c r="C28" i="14"/>
  <c r="K30" i="13"/>
  <c r="J32" i="13"/>
  <c r="K34" i="13"/>
  <c r="K36" i="13"/>
  <c r="R5" i="18"/>
  <c r="R9" i="18"/>
  <c r="M24" i="14"/>
  <c r="G20" i="26" s="1"/>
  <c r="M26" i="14"/>
  <c r="G22" i="26" s="1"/>
  <c r="M28" i="14"/>
  <c r="G24" i="26" s="1"/>
  <c r="M30" i="14"/>
  <c r="G26" i="26" s="1"/>
  <c r="I10" i="10"/>
  <c r="Q10" i="10" s="1"/>
  <c r="I16" i="10"/>
  <c r="Q16" i="10" s="1"/>
  <c r="O20" i="14"/>
  <c r="K20" i="13"/>
  <c r="L20" i="13" s="1"/>
  <c r="N34" i="14"/>
  <c r="R34" i="14" s="1"/>
  <c r="J34" i="13"/>
  <c r="K35" i="13"/>
  <c r="M27" i="14"/>
  <c r="G23" i="26" s="1"/>
  <c r="M29" i="14"/>
  <c r="G25" i="26" s="1"/>
  <c r="M31" i="14"/>
  <c r="G27" i="26" s="1"/>
  <c r="J28" i="13"/>
  <c r="N29" i="14"/>
  <c r="R29" i="14" s="1"/>
  <c r="J29" i="13"/>
  <c r="K31" i="13"/>
  <c r="N33" i="14"/>
  <c r="R33" i="14" s="1"/>
  <c r="J33" i="13"/>
  <c r="C36" i="14"/>
  <c r="K17" i="13"/>
  <c r="L17" i="13" s="1"/>
  <c r="C20" i="14"/>
  <c r="O21" i="14"/>
  <c r="K21" i="13"/>
  <c r="L21" i="13" s="1"/>
  <c r="O24" i="14"/>
  <c r="K24" i="13"/>
  <c r="J26" i="13"/>
  <c r="O28" i="14"/>
  <c r="K28" i="13"/>
  <c r="O29" i="14"/>
  <c r="K29" i="13"/>
  <c r="J31" i="13"/>
  <c r="C32" i="14"/>
  <c r="O33" i="14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N37" i="13"/>
  <c r="K36" i="11"/>
  <c r="M20" i="13"/>
  <c r="K61" i="3"/>
  <c r="M21" i="13" s="1"/>
  <c r="K65" i="3"/>
  <c r="M25" i="13" s="1"/>
  <c r="K69" i="3"/>
  <c r="M29" i="13" s="1"/>
  <c r="K73" i="3"/>
  <c r="M33" i="13" s="1"/>
  <c r="M19" i="14"/>
  <c r="G15" i="26" s="1"/>
  <c r="M21" i="14"/>
  <c r="G17" i="26" s="1"/>
  <c r="M23" i="14"/>
  <c r="G19" i="26" s="1"/>
  <c r="M32" i="14"/>
  <c r="G28" i="26" s="1"/>
  <c r="M34" i="14"/>
  <c r="G30" i="26" s="1"/>
  <c r="M36" i="14"/>
  <c r="G32" i="26" s="1"/>
  <c r="I24" i="10"/>
  <c r="Q24" i="10" s="1"/>
  <c r="I35" i="10"/>
  <c r="Q35" i="10" s="1"/>
  <c r="R27" i="18"/>
  <c r="M18" i="14"/>
  <c r="G14" i="26" s="1"/>
  <c r="M20" i="14"/>
  <c r="G16" i="26" s="1"/>
  <c r="M22" i="14"/>
  <c r="G18" i="26" s="1"/>
  <c r="M33" i="14"/>
  <c r="G29" i="26" s="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N36" i="14"/>
  <c r="R36" i="14" s="1"/>
  <c r="J36" i="13"/>
  <c r="AI30" i="13"/>
  <c r="AI26" i="13"/>
  <c r="J35" i="13"/>
  <c r="AI15" i="13"/>
  <c r="K56" i="3"/>
  <c r="M16" i="13" s="1"/>
  <c r="N17" i="13"/>
  <c r="P13" i="25"/>
  <c r="I17" i="14"/>
  <c r="K15" i="11"/>
  <c r="P12" i="25"/>
  <c r="I16" i="14"/>
  <c r="N30" i="14"/>
  <c r="R30" i="14" s="1"/>
  <c r="F30" i="14"/>
  <c r="K15" i="13"/>
  <c r="L15" i="13" s="1"/>
  <c r="K14" i="11"/>
  <c r="N15" i="13"/>
  <c r="I15" i="14"/>
  <c r="K14" i="13"/>
  <c r="L14" i="13" s="1"/>
  <c r="I14" i="14"/>
  <c r="P10" i="25"/>
  <c r="N14" i="13"/>
  <c r="C13" i="14"/>
  <c r="K52" i="3"/>
  <c r="M12" i="13" s="1"/>
  <c r="P9" i="25"/>
  <c r="C12" i="14"/>
  <c r="P8" i="25"/>
  <c r="L11" i="11"/>
  <c r="I10" i="11"/>
  <c r="C11" i="14"/>
  <c r="B10" i="11"/>
  <c r="C10" i="14"/>
  <c r="L9" i="11"/>
  <c r="C9" i="14"/>
  <c r="K48" i="3"/>
  <c r="M8" i="13" s="1"/>
  <c r="K9" i="11"/>
  <c r="P6" i="25"/>
  <c r="K10" i="11"/>
  <c r="P7" i="25"/>
  <c r="N9" i="13"/>
  <c r="P5" i="25"/>
  <c r="L8" i="11"/>
  <c r="C8" i="14"/>
  <c r="J8" i="13"/>
  <c r="L8" i="13" s="1"/>
  <c r="L7" i="11"/>
  <c r="P4" i="25"/>
  <c r="K7" i="11"/>
  <c r="I6" i="11"/>
  <c r="C7" i="14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6" i="11"/>
  <c r="N6" i="13"/>
  <c r="K6" i="11"/>
  <c r="N7" i="13"/>
  <c r="B6" i="11"/>
  <c r="J6" i="13"/>
  <c r="L6" i="13" s="1"/>
  <c r="B7" i="11"/>
  <c r="B8" i="11"/>
  <c r="B9" i="11"/>
  <c r="O34" i="14"/>
  <c r="O30" i="14"/>
  <c r="O26" i="14"/>
  <c r="O22" i="14"/>
  <c r="O18" i="14"/>
  <c r="O14" i="14"/>
  <c r="O10" i="14"/>
  <c r="O31" i="14"/>
  <c r="O27" i="14"/>
  <c r="O23" i="14"/>
  <c r="O19" i="14"/>
  <c r="O15" i="14"/>
  <c r="O11" i="14"/>
  <c r="O17" i="14"/>
  <c r="O13" i="14"/>
  <c r="O9" i="14"/>
  <c r="N28" i="14"/>
  <c r="R28" i="14" s="1"/>
  <c r="N24" i="14"/>
  <c r="R24" i="14" s="1"/>
  <c r="N20" i="14"/>
  <c r="R20" i="14" s="1"/>
  <c r="N16" i="14"/>
  <c r="R16" i="14" s="1"/>
  <c r="N31" i="14"/>
  <c r="R31" i="14" s="1"/>
  <c r="N26" i="14"/>
  <c r="R26" i="14" s="1"/>
  <c r="N22" i="14"/>
  <c r="R22" i="14" s="1"/>
  <c r="N32" i="14"/>
  <c r="R32" i="14" s="1"/>
  <c r="N27" i="14"/>
  <c r="R27" i="14" s="1"/>
  <c r="N23" i="14"/>
  <c r="R23" i="14" s="1"/>
  <c r="N19" i="14"/>
  <c r="R19" i="14" s="1"/>
  <c r="N15" i="14"/>
  <c r="R15" i="14" s="1"/>
  <c r="N11" i="14"/>
  <c r="R11" i="14" s="1"/>
  <c r="N7" i="14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O36" i="14"/>
  <c r="K76" i="3"/>
  <c r="M36" i="13" s="1"/>
  <c r="M35" i="14"/>
  <c r="N35" i="14"/>
  <c r="R35" i="14" s="1"/>
  <c r="F29" i="14"/>
  <c r="K75" i="3"/>
  <c r="M35" i="13" s="1"/>
  <c r="K74" i="3"/>
  <c r="M34" i="13" s="1"/>
  <c r="S32" i="14"/>
  <c r="S8" i="14"/>
  <c r="R9" i="14"/>
  <c r="R10" i="14"/>
  <c r="S12" i="14"/>
  <c r="R13" i="14"/>
  <c r="R14" i="14"/>
  <c r="S16" i="14"/>
  <c r="R18" i="14"/>
  <c r="S20" i="14"/>
  <c r="S28" i="14"/>
  <c r="S33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AJ13" i="13" l="1"/>
  <c r="S8" i="10"/>
  <c r="Z8" i="10" s="1"/>
  <c r="AJ19" i="13"/>
  <c r="AJ9" i="13"/>
  <c r="R38" i="3"/>
  <c r="K37" i="10"/>
  <c r="X36" i="18"/>
  <c r="S6" i="10"/>
  <c r="Z6" i="10" s="1"/>
  <c r="R7" i="10"/>
  <c r="AJ26" i="13"/>
  <c r="L35" i="18"/>
  <c r="L35" i="13"/>
  <c r="V6" i="10"/>
  <c r="W6" i="10" s="1"/>
  <c r="AJ16" i="13"/>
  <c r="AJ17" i="13"/>
  <c r="L34" i="13"/>
  <c r="AJ15" i="13"/>
  <c r="G7" i="13"/>
  <c r="L26" i="13"/>
  <c r="I7" i="11"/>
  <c r="L30" i="13"/>
  <c r="AJ11" i="13"/>
  <c r="I8" i="11"/>
  <c r="F17" i="14"/>
  <c r="F22" i="14"/>
  <c r="L31" i="13"/>
  <c r="F18" i="14"/>
  <c r="L32" i="13"/>
  <c r="L24" i="13"/>
  <c r="L29" i="13"/>
  <c r="AJ30" i="13"/>
  <c r="L36" i="13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O35" i="14"/>
  <c r="D39" i="14"/>
  <c r="F35" i="14"/>
  <c r="T8" i="10"/>
  <c r="U8" i="10"/>
  <c r="X9" i="10"/>
  <c r="Z5" i="10"/>
  <c r="S39" i="10"/>
  <c r="R8" i="10"/>
  <c r="R35" i="18"/>
  <c r="AJ6" i="13"/>
  <c r="AJ7" i="13"/>
  <c r="F7" i="13"/>
  <c r="E8" i="13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1" i="13" s="1"/>
  <c r="G10" i="13"/>
  <c r="V11" i="10" l="1"/>
  <c r="W11" i="10" s="1"/>
  <c r="T12" i="10"/>
  <c r="U12" i="10"/>
  <c r="X13" i="10"/>
  <c r="R12" i="10"/>
  <c r="S12" i="10"/>
  <c r="Z12" i="10" s="1"/>
  <c r="F11" i="13"/>
  <c r="E12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G12" i="23"/>
  <c r="G13" i="23"/>
  <c r="W3" i="25"/>
  <c r="W5" i="25"/>
  <c r="G7" i="23"/>
  <c r="AN6" i="3"/>
  <c r="G5" i="23" s="1"/>
  <c r="W6" i="25"/>
  <c r="G15" i="23"/>
  <c r="AN12" i="3"/>
  <c r="G11" i="23" s="1"/>
  <c r="G17" i="23"/>
  <c r="G10" i="23"/>
  <c r="G14" i="23"/>
  <c r="G35" i="23"/>
  <c r="W16" i="25" l="1"/>
  <c r="W15" i="25"/>
  <c r="G18" i="23"/>
  <c r="W13" i="25"/>
  <c r="G16" i="23"/>
  <c r="W7" i="25"/>
  <c r="W11" i="25"/>
  <c r="W2" i="25"/>
  <c r="G8" i="23"/>
  <c r="W14" i="25"/>
  <c r="W12" i="25"/>
  <c r="W10" i="25"/>
  <c r="G34" i="23"/>
  <c r="W8" i="25"/>
  <c r="G9" i="23"/>
  <c r="W4" i="25"/>
  <c r="G6" i="23"/>
  <c r="W9" i="25"/>
  <c r="C11" i="1" l="1"/>
  <c r="E5" i="23" s="1"/>
  <c r="H6" i="13" l="1"/>
  <c r="J5" i="11"/>
  <c r="H3" i="13"/>
  <c r="C12" i="1"/>
  <c r="AT11" i="1"/>
  <c r="J6" i="11" l="1"/>
  <c r="C13" i="1"/>
  <c r="E6" i="23"/>
  <c r="AT12" i="1"/>
  <c r="H7" i="13"/>
  <c r="E7" i="23" l="1"/>
  <c r="AT13" i="1"/>
  <c r="C14" i="1"/>
  <c r="H8" i="13"/>
  <c r="J7" i="11"/>
  <c r="J8" i="11" l="1"/>
  <c r="C15" i="1"/>
  <c r="H9" i="13"/>
  <c r="AT14" i="1"/>
  <c r="E8" i="23"/>
  <c r="J9" i="11" l="1"/>
  <c r="H10" i="13"/>
  <c r="C16" i="1"/>
  <c r="AT15" i="1"/>
  <c r="E9" i="23"/>
  <c r="H11" i="13" l="1"/>
  <c r="J10" i="11"/>
  <c r="C17" i="1"/>
  <c r="J11" i="11" s="1"/>
  <c r="AT16" i="1"/>
  <c r="E10" i="23"/>
  <c r="H12" i="13" l="1"/>
  <c r="C18" i="1"/>
  <c r="AT17" i="1"/>
  <c r="E11" i="23"/>
  <c r="H13" i="13" l="1"/>
  <c r="E12" i="23"/>
  <c r="AT18" i="1"/>
  <c r="J12" i="11"/>
  <c r="C19" i="1"/>
  <c r="H14" i="13" l="1"/>
  <c r="J13" i="11"/>
  <c r="C20" i="1"/>
  <c r="AT19" i="1"/>
  <c r="E13" i="23"/>
  <c r="H15" i="13" l="1"/>
  <c r="J14" i="11"/>
  <c r="C21" i="1"/>
  <c r="AT20" i="1"/>
  <c r="E14" i="23"/>
  <c r="J15" i="11" l="1"/>
  <c r="E15" i="23"/>
  <c r="C22" i="1"/>
  <c r="AT21" i="1"/>
  <c r="H16" i="13"/>
  <c r="J16" i="11" l="1"/>
  <c r="H17" i="13"/>
  <c r="C23" i="1"/>
  <c r="AT22" i="1"/>
  <c r="E16" i="23"/>
  <c r="J17" i="11" l="1"/>
  <c r="H18" i="13"/>
  <c r="E17" i="23"/>
  <c r="C24" i="1"/>
  <c r="AT23" i="1"/>
  <c r="H19" i="13" l="1"/>
  <c r="J18" i="11"/>
  <c r="C25" i="1"/>
  <c r="AT24" i="1"/>
  <c r="E18" i="23"/>
  <c r="AT25" i="1" l="1"/>
  <c r="E19" i="23"/>
  <c r="J19" i="11"/>
  <c r="C26" i="1"/>
  <c r="H20" i="13"/>
  <c r="H21" i="13" l="1"/>
  <c r="J20" i="11"/>
  <c r="AT26" i="1"/>
  <c r="C27" i="1"/>
  <c r="AT27" i="1" s="1"/>
  <c r="E20" i="23"/>
  <c r="H22" i="13" l="1"/>
  <c r="C28" i="1"/>
  <c r="E21" i="23"/>
  <c r="J21" i="11"/>
  <c r="J22" i="11" l="1"/>
  <c r="AT28" i="1"/>
  <c r="C29" i="1"/>
  <c r="H23" i="13"/>
  <c r="J23" i="11" l="1"/>
  <c r="C30" i="1"/>
  <c r="H24" i="13"/>
  <c r="AT29" i="1"/>
  <c r="E22" i="23" l="1"/>
  <c r="AT30" i="1"/>
  <c r="C31" i="1"/>
  <c r="H25" i="13"/>
  <c r="J24" i="11"/>
  <c r="J25" i="11" l="1"/>
  <c r="H26" i="13"/>
  <c r="C32" i="1"/>
  <c r="AT31" i="1"/>
  <c r="E23" i="23"/>
  <c r="AT32" i="1" l="1"/>
  <c r="C33" i="1"/>
  <c r="J26" i="11"/>
  <c r="H27" i="13"/>
  <c r="E24" i="23"/>
  <c r="E25" i="23" l="1"/>
  <c r="J27" i="11"/>
  <c r="AT33" i="1"/>
  <c r="C34" i="1"/>
  <c r="H28" i="13"/>
  <c r="AT34" i="1" l="1"/>
  <c r="C35" i="1"/>
  <c r="E26" i="23"/>
  <c r="J28" i="11"/>
  <c r="H29" i="13"/>
  <c r="AT35" i="1" l="1"/>
  <c r="H30" i="13"/>
  <c r="C36" i="1"/>
  <c r="J29" i="11"/>
  <c r="E27" i="23"/>
  <c r="AT36" i="1" l="1"/>
  <c r="H31" i="13"/>
  <c r="J30" i="11"/>
  <c r="E28" i="23"/>
  <c r="C37" i="1"/>
  <c r="C38" i="1" s="1"/>
  <c r="AT37" i="1" l="1"/>
  <c r="H32" i="13"/>
  <c r="J31" i="11"/>
  <c r="E29" i="23"/>
  <c r="AT38" i="1" l="1"/>
  <c r="E30" i="23"/>
  <c r="H33" i="13"/>
  <c r="C39" i="1"/>
  <c r="J32" i="11"/>
  <c r="AT39" i="1" l="1"/>
  <c r="H34" i="13"/>
  <c r="J33" i="11"/>
  <c r="E31" i="23"/>
  <c r="C40" i="1"/>
  <c r="AT40" i="1" l="1"/>
  <c r="E32" i="23"/>
  <c r="J34" i="11"/>
  <c r="H35" i="13"/>
  <c r="C41" i="1"/>
  <c r="AT41" i="1" l="1"/>
  <c r="H36" i="13"/>
  <c r="J35" i="11"/>
  <c r="E33" i="23"/>
  <c r="C42" i="1"/>
  <c r="C43" i="1" s="1"/>
  <c r="AT42" i="1" l="1"/>
  <c r="E34" i="23"/>
  <c r="J36" i="11"/>
  <c r="AT43" i="1" l="1"/>
  <c r="E35" i="23"/>
  <c r="Q34" i="12"/>
  <c r="Z34" i="12"/>
  <c r="B33" i="11" s="1"/>
  <c r="Z33" i="12"/>
  <c r="B32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tc={4CE4AAE9-9AA9-4012-A2EF-6F792894C9DA}</author>
    <author>tc={4AEB9D34-7E00-4F06-B65C-8003DFC9BFD4}</author>
    <author>tc={9BBEB083-55D5-4D45-B4C7-80EA91BD5DC0}</author>
    <author>tc={CE0D9C9B-3675-4B7B-B5E8-85B3E305F64F}</author>
    <author>tc={B05B765B-836B-4407-AC77-9DD9DD44E47B}</author>
    <author>tc={BD925146-EC2C-43E8-BD40-78E59F15AB94}</author>
    <author>tc={74C03699-C67A-4967-ABDC-11756EC0EDEE}</author>
    <author>tc={0250D76F-8B58-427F-8417-E04B50D6625D}</author>
    <author>tc={B48CF56F-541E-464C-B4C1-A2A11394F42A}</author>
    <author>tc={F0A4EA65-BB8B-4FB4-8A43-8E89140D727A}</author>
    <author>tc={E153F3E5-D15B-4174-B8F7-5D574F40F66D}</author>
    <author>tc={E22C36E1-0244-4796-B432-AE7EDC07AF8E}</author>
    <author>tc={E6BF570C-9509-427E-A37B-A9CF6671FCD4}</author>
    <author>tc={B3DFE83F-AF0B-4FC7-8358-DCF8C991EDCE}</author>
    <author>tc={2DA98591-858C-4BE0-93FD-612DA3FBAA16}</author>
    <author>tc={81135A4B-AEB0-4C8C-A726-374FE2240DB8}</author>
    <author>tc={FA10D457-CBEA-42BB-870C-47F6E9968516}</author>
  </authors>
  <commentList>
    <comment ref="AI12" authorId="0" shapeId="0" xr:uid="{4CE4AAE9-9AA9-4012-A2EF-6F792894C9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Osha vehicle STLB734 driver name is Kwera</t>
      </text>
    </comment>
    <comment ref="AI14" authorId="1" shapeId="0" xr:uid="{4AEB9D34-7E00-4F06-B65C-8003DFC9BF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6" authorId="2" shapeId="0" xr:uid="{9BBEB083-55D5-4D45-B4C7-80EA91BD5DC0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7" authorId="3" shapeId="0" xr:uid="{CE0D9C9B-3675-4B7B-B5E8-85B3E305F64F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18" authorId="4" shapeId="0" xr:uid="{B05B765B-836B-4407-AC77-9DD9DD44E47B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0" authorId="5" shapeId="0" xr:uid="{BD925146-EC2C-43E8-BD40-78E59F15AB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373Lts Used by Green land vehicle and 20Lts used by NSSF vehicle
July 10, 2021, </t>
      </text>
    </comment>
    <comment ref="AI21" authorId="6" shapeId="0" xr:uid="{74C03699-C67A-4967-ABDC-11756EC0EDE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2" authorId="7" shapeId="0" xr:uid="{0250D76F-8B58-427F-8417-E04B50D6625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4" authorId="8" shapeId="0" xr:uid="{B48CF56F-541E-464C-B4C1-A2A11394F42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7" authorId="9" shapeId="0" xr:uid="{F0A4EA65-BB8B-4FB4-8A43-8E89140D727A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29" authorId="10" shapeId="0" xr:uid="{E153F3E5-D15B-4174-B8F7-5D574F40F66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1" authorId="11" shapeId="0" xr:uid="{E22C36E1-0244-4796-B432-AE7EDC07AF8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2" authorId="12" shapeId="0" xr:uid="{E6BF570C-9509-427E-A37B-A9CF6671FCD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4" authorId="13" shapeId="0" xr:uid="{B3DFE83F-AF0B-4FC7-8358-DCF8C991EDCE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5" authorId="14" shapeId="0" xr:uid="{2DA98591-858C-4BE0-93FD-612DA3FBAA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  <comment ref="AI37" authorId="15" shapeId="0" xr:uid="{81135A4B-AEB0-4C8C-A726-374FE2240DB8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POLICE MUGUMU</t>
      </text>
    </comment>
    <comment ref="AI39" authorId="16" shapeId="0" xr:uid="{FA10D457-CBEA-42BB-870C-47F6E9968516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Green land vehicle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<sst xmlns="http://schemas.openxmlformats.org/spreadsheetml/2006/main" count="790" uniqueCount="396">
  <si>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</si>
  <si>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</si>
  <si>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</si>
  <si>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</si>
  <si>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</si>
  <si>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</si>
  <si>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</si>
  <si>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</si>
  <si>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</si>
  <si>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</si>
  <si>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</si>
  <si>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</si>
  <si>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</si>
  <si>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</si>
  <si>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</si>
  <si>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</si>
  <si>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</si>
  <si>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</si>
  <si>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</si>
  <si>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</si>
  <si>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</si>
  <si>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</si>
  <si>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</si>
  <si>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</si>
  <si>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</si>
  <si>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</si>
  <si>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</si>
  <si>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</si>
  <si>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</si>
  <si>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</si>
  <si>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</si>
  <si>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</si>
  <si>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</si>
  <si>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</si>
  <si>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</si>
  <si>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</si>
  <si>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</si>
  <si>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</si>
  <si>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</si>
  <si>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</si>
  <si>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</si>
  <si>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</si>
  <si>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</si>
  <si>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</si>
  <si>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</si>
  <si>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</si>
  <si>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</si>
  <si>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</si>
  <si>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</si>
  <si>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</si>
  <si>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</si>
  <si>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</si>
  <si>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</si>
  <si>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</si>
  <si>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</si>
  <si>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</si>
  <si>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</si>
  <si>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</si>
  <si>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</si>
  <si>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</si>
  <si>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</si>
  <si>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</si>
  <si>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</si>
  <si>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</si>
  <si>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</si>
  <si>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</si>
  <si>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</si>
  <si>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</si>
  <si>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</si>
  <si>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</si>
  <si>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</si>
  <si>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</si>
  <si>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</si>
  <si>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</si>
  <si>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</si>
  <si>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</si>
  <si>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</si>
  <si>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</si>
  <si>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</si>
  <si>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</si>
  <si>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</si>
  <si>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</si>
  <si>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</si>
  <si>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</si>
  <si>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</si>
  <si>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</si>
  <si>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</si>
  <si>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</si>
  <si>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</si>
  <si>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</si>
  <si>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</si>
  <si>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</si>
  <si>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</si>
  <si>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</si>
  <si>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</si>
  <si>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</si>
  <si>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</si>
  <si>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</si>
  <si>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</si>
  <si>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</si>
  <si>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</si>
  <si>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</si>
  <si>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</si>
  <si>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</si>
  <si>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</si>
  <si>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</si>
  <si>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</si>
  <si>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</si>
  <si>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</si>
  <si>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</si>
  <si>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</si>
  <si>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</si>
  <si>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</si>
  <si>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</si>
  <si>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</si>
  <si>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</si>
  <si>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</si>
  <si>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</si>
  <si>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</si>
  <si>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</si>
  <si>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</si>
  <si>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</si>
  <si>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Usage KW</t>
  </si>
  <si>
    <t>Total Occ</t>
  </si>
  <si>
    <t>Guest Occ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</si>
  <si>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</si>
  <si>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</si>
  <si>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</si>
  <si>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</si>
  <si>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</si>
  <si>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</si>
  <si>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</si>
  <si>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</si>
  <si>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</si>
  <si>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</si>
  <si>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</si>
  <si>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</si>
  <si>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</si>
  <si>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</si>
  <si>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</si>
  <si>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</si>
  <si>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</si>
  <si>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</si>
  <si>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</si>
  <si>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</si>
  <si>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</si>
  <si>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</si>
  <si>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</si>
  <si>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</si>
  <si>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</si>
  <si>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</si>
  <si>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</si>
  <si>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</si>
  <si>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</si>
  <si>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</si>
  <si>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</si>
  <si>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</si>
  <si>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</si>
  <si>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</si>
  <si>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</si>
  <si>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</si>
  <si>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</si>
  <si>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</si>
  <si>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</si>
  <si>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</si>
  <si>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</si>
  <si>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</si>
  <si>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</si>
  <si>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</si>
  <si>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</si>
  <si>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</si>
  <si>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</si>
  <si>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</si>
  <si>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</si>
  <si>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</si>
  <si>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</si>
  <si>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</si>
  <si>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</si>
  <si>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</si>
  <si>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</si>
  <si>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</si>
  <si>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</si>
  <si>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</si>
  <si>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</si>
  <si>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</si>
  <si>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</si>
  <si>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</si>
  <si>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</si>
  <si>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</si>
  <si>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</si>
  <si>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</si>
  <si>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</si>
  <si>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</si>
  <si>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</si>
  <si>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</si>
  <si>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</si>
  <si>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</si>
  <si>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</si>
  <si>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</si>
  <si>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</si>
  <si>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</si>
  <si>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</si>
  <si>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</si>
  <si>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</si>
  <si>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</si>
  <si>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</si>
  <si>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</si>
  <si>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</si>
  <si>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</si>
  <si>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</si>
  <si>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</si>
  <si>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</si>
  <si>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</si>
  <si>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</si>
  <si>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</si>
  <si>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</si>
  <si>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T178DKT</t>
  </si>
  <si>
    <t>Elihakim</t>
  </si>
  <si>
    <t>Noel</t>
  </si>
  <si>
    <t>T165DKR</t>
  </si>
  <si>
    <t>Chande</t>
  </si>
  <si>
    <t>STLB734</t>
  </si>
  <si>
    <t>Kwera</t>
  </si>
  <si>
    <t>Kwella/Vedastus</t>
  </si>
  <si>
    <t>T882DKQ</t>
  </si>
  <si>
    <t>Donard</t>
  </si>
  <si>
    <t>T394DLP</t>
  </si>
  <si>
    <t>David</t>
  </si>
  <si>
    <t>UTO124</t>
  </si>
  <si>
    <t>Mwegeta</t>
  </si>
  <si>
    <t>Vedastus/Shamim</t>
  </si>
  <si>
    <t>T106CWQ</t>
  </si>
  <si>
    <t>Andason</t>
  </si>
  <si>
    <t>T635CAV</t>
  </si>
  <si>
    <t>Jilius</t>
  </si>
  <si>
    <t>27/7/2021</t>
  </si>
  <si>
    <t>PT1862</t>
  </si>
  <si>
    <t>Vedastus/Kwella</t>
  </si>
  <si>
    <t>9/72021</t>
  </si>
  <si>
    <t>T132CWQ</t>
  </si>
  <si>
    <t>Nuru</t>
  </si>
  <si>
    <t>T111CWQ</t>
  </si>
  <si>
    <t>Dominic</t>
  </si>
  <si>
    <t>T594DLP</t>
  </si>
  <si>
    <t>T880DKQ</t>
  </si>
  <si>
    <t>Priscus</t>
  </si>
  <si>
    <t>T728CXC</t>
  </si>
  <si>
    <t>Jackson</t>
  </si>
  <si>
    <t>T840DDW</t>
  </si>
  <si>
    <t>Herman</t>
  </si>
  <si>
    <t>T559DLW</t>
  </si>
  <si>
    <t>Elifraha</t>
  </si>
  <si>
    <t>T364AHF</t>
  </si>
  <si>
    <t>Gurisha</t>
  </si>
  <si>
    <t>T391DQR</t>
  </si>
  <si>
    <t>Kessy</t>
  </si>
  <si>
    <t>JULIUS</t>
  </si>
  <si>
    <t>Godlisen</t>
  </si>
  <si>
    <t>NOel</t>
  </si>
  <si>
    <t>T755CJQ</t>
  </si>
  <si>
    <t>KARUME</t>
  </si>
  <si>
    <t>14/7/2021</t>
  </si>
  <si>
    <t>165DKR</t>
  </si>
  <si>
    <t>CHANDE</t>
  </si>
  <si>
    <t>DAVID</t>
  </si>
  <si>
    <t>Huruma</t>
  </si>
  <si>
    <t>13/7/2021</t>
  </si>
  <si>
    <t>17/7/2021</t>
  </si>
  <si>
    <t>Hassan</t>
  </si>
  <si>
    <t>18/7/2021</t>
  </si>
  <si>
    <t>19/7/2021</t>
  </si>
  <si>
    <t>19/72021</t>
  </si>
  <si>
    <t>21/7/2021</t>
  </si>
  <si>
    <t>JOSEPH</t>
  </si>
  <si>
    <t>21/72021</t>
  </si>
  <si>
    <t>22/72021</t>
  </si>
  <si>
    <t>24/7/2021</t>
  </si>
  <si>
    <t>22/7/2021</t>
  </si>
  <si>
    <t>25/7/2021</t>
  </si>
  <si>
    <t>29/7/2021</t>
  </si>
  <si>
    <t>Karume</t>
  </si>
  <si>
    <t>30/7/2021</t>
  </si>
  <si>
    <t>31/7/2021</t>
  </si>
  <si>
    <t>T191DQR</t>
  </si>
  <si>
    <t>Walfgan</t>
  </si>
  <si>
    <t>Emanuel</t>
  </si>
  <si>
    <t>Lucas</t>
  </si>
  <si>
    <t>T675ANT</t>
  </si>
  <si>
    <t>Fadhili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</si>
  <si>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</si>
  <si>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</si>
  <si>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</si>
  <si>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</si>
  <si>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</si>
  <si>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</si>
  <si>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</si>
  <si>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</si>
  <si>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</si>
  <si>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</si>
  <si>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</si>
  <si>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</si>
  <si>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</si>
  <si>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</si>
  <si>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</si>
  <si>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</si>
  <si>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</si>
  <si>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</si>
  <si>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GAS TANK  A</t>
  </si>
  <si>
    <t>GAS TANK  B</t>
  </si>
  <si>
    <t>GAS TANK  C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</si>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</sst>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0.0%"/>
    <numFmt numFmtId="171" formatCode="0.0"/>
    <numFmt numFmtId="172" formatCode="_([$TZS]\ * #,##0_);_([$TZS]\ * \(#,##0\);_([$TZS]\ * &quot;-&quot;_);_(@_)"/>
    <numFmt numFmtId="173" formatCode="_([$TZS]\ * #,##0.00_);_([$TZS]\ * \(#,##0.00\);_([$TZS]\ * &quot;-&quot;??_);_(@_)"/>
    <numFmt numFmtId="174" formatCode="_(* #,##0.00000_);_(* \(#,##0.00000\);_(* &quot;-&quot;??_);_(@_)"/>
    <numFmt numFmtId="175" formatCode="0.000"/>
  </numFmts>
  <fonts count="7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name val="Arial"/>
    </font>
    <font>
      <sz val="12"/>
      <name val="Arial"/>
    </font>
    <font>
      <b/>
      <sz val="12"/>
      <color rgb="FF000000"/>
      <name val="Century Gothic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entury Gothic"/>
      <family val="2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rgb="FF000000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48" fillId="0" borderId="0" applyFont="0" applyFill="0" applyBorder="0" applyAlignment="0" applyProtection="0"/>
    <xf numFmtId="164" fontId="52" fillId="0" borderId="0" applyFont="0" applyFill="0" applyBorder="0" applyAlignment="0" applyProtection="0"/>
  </cellStyleXfs>
  <cellXfs count="100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0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1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2" fontId="0" fillId="0" borderId="0" xfId="0" applyNumberFormat="1"/>
    <xf numFmtId="173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0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47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4" fillId="0" borderId="48" xfId="0" applyFont="1" applyBorder="1" applyAlignment="1">
      <alignment horizontal="center"/>
    </xf>
    <xf numFmtId="1" fontId="54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5" fillId="0" borderId="48" xfId="0" applyFont="1" applyBorder="1" applyAlignment="1">
      <alignment horizontal="center" wrapText="1"/>
    </xf>
    <xf numFmtId="2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65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39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4" fillId="0" borderId="33" xfId="0" applyFont="1" applyBorder="1" applyAlignment="1">
      <alignment horizontal="center"/>
    </xf>
    <xf numFmtId="1" fontId="54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39" fillId="30" borderId="33" xfId="0" applyFont="1" applyFill="1" applyBorder="1" applyAlignment="1">
      <alignment horizontal="center" wrapText="1"/>
    </xf>
    <xf numFmtId="0" fontId="39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0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38" fillId="39" borderId="11" xfId="0" applyFont="1" applyFill="1" applyBorder="1"/>
    <xf numFmtId="0" fontId="38" fillId="39" borderId="28" xfId="0" applyFont="1" applyFill="1" applyBorder="1"/>
    <xf numFmtId="0" fontId="38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58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4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Font="1" applyFill="1" applyBorder="1" applyAlignment="1">
      <alignment horizontal="center"/>
    </xf>
    <xf numFmtId="0" fontId="4" fillId="34" borderId="97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2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9" xfId="0" applyBorder="1"/>
    <xf numFmtId="0" fontId="0" fillId="0" borderId="100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59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6" fillId="0" borderId="16" xfId="0" applyFont="1" applyBorder="1" applyAlignment="1">
      <alignment horizontal="center" vertical="center" wrapText="1"/>
    </xf>
    <xf numFmtId="2" fontId="39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39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3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1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0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3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1" xfId="0" applyFont="1" applyBorder="1" applyAlignment="1">
      <alignment horizontal="center"/>
    </xf>
    <xf numFmtId="0" fontId="10" fillId="0" borderId="103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1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4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16" fillId="0" borderId="22" xfId="0" applyFont="1" applyBorder="1" applyAlignment="1">
      <alignment horizontal="center"/>
    </xf>
    <xf numFmtId="0" fontId="16" fillId="0" borderId="55" xfId="0" applyFont="1" applyBorder="1" applyAlignment="1">
      <alignment horizontal="center"/>
    </xf>
    <xf numFmtId="4" fontId="16" fillId="41" borderId="22" xfId="0" applyNumberFormat="1" applyFont="1" applyFill="1" applyBorder="1" applyAlignment="1">
      <alignment horizontal="center"/>
    </xf>
    <xf numFmtId="0" fontId="16" fillId="41" borderId="1" xfId="0" applyFont="1" applyFill="1" applyBorder="1" applyAlignment="1">
      <alignment horizontal="center"/>
    </xf>
    <xf numFmtId="4" fontId="16" fillId="41" borderId="5" xfId="0" applyNumberFormat="1" applyFont="1" applyFill="1" applyBorder="1" applyAlignment="1">
      <alignment horizontal="center"/>
    </xf>
    <xf numFmtId="4" fontId="16" fillId="41" borderId="1" xfId="0" applyNumberFormat="1" applyFont="1" applyFill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9" xfId="0" applyFont="1" applyBorder="1"/>
    <xf numFmtId="0" fontId="37" fillId="0" borderId="1" xfId="0" applyFont="1" applyBorder="1"/>
    <xf numFmtId="0" fontId="37" fillId="0" borderId="1" xfId="0" applyFont="1" applyBorder="1" applyAlignment="1">
      <alignment wrapText="1"/>
    </xf>
    <xf numFmtId="0" fontId="65" fillId="0" borderId="43" xfId="0" applyFont="1" applyFill="1" applyBorder="1" applyAlignment="1">
      <alignment wrapText="1"/>
    </xf>
    <xf numFmtId="0" fontId="66" fillId="0" borderId="8" xfId="0" applyFont="1" applyFill="1" applyBorder="1" applyAlignment="1">
      <alignment wrapText="1"/>
    </xf>
    <xf numFmtId="0" fontId="67" fillId="0" borderId="0" xfId="0" applyFont="1" applyAlignment="1">
      <alignment horizontal="center"/>
    </xf>
    <xf numFmtId="43" fontId="0" fillId="6" borderId="6" xfId="0" applyNumberFormat="1" applyFill="1" applyBorder="1"/>
    <xf numFmtId="43" fontId="0" fillId="6" borderId="1" xfId="0" applyNumberFormat="1" applyFill="1" applyBorder="1"/>
    <xf numFmtId="2" fontId="0" fillId="14" borderId="1" xfId="0" applyNumberFormat="1" applyFill="1" applyBorder="1"/>
    <xf numFmtId="2" fontId="0" fillId="0" borderId="0" xfId="6" applyNumberFormat="1" applyFont="1"/>
    <xf numFmtId="174" fontId="0" fillId="29" borderId="1" xfId="1" applyNumberFormat="1" applyFont="1" applyFill="1" applyBorder="1"/>
    <xf numFmtId="166" fontId="68" fillId="13" borderId="22" xfId="0" applyNumberFormat="1" applyFont="1" applyFill="1" applyBorder="1"/>
    <xf numFmtId="0" fontId="0" fillId="13" borderId="25" xfId="0" applyFont="1" applyFill="1" applyBorder="1"/>
    <xf numFmtId="166" fontId="0" fillId="13" borderId="22" xfId="0" applyNumberFormat="1" applyFont="1" applyFill="1" applyBorder="1"/>
    <xf numFmtId="0" fontId="0" fillId="0" borderId="0" xfId="0" applyFont="1"/>
    <xf numFmtId="166" fontId="67" fillId="13" borderId="22" xfId="0" applyNumberFormat="1" applyFont="1" applyFill="1" applyBorder="1"/>
    <xf numFmtId="166" fontId="69" fillId="8" borderId="1" xfId="0" applyNumberFormat="1" applyFont="1" applyFill="1" applyBorder="1"/>
    <xf numFmtId="166" fontId="70" fillId="8" borderId="1" xfId="0" applyNumberFormat="1" applyFont="1" applyFill="1" applyBorder="1"/>
    <xf numFmtId="166" fontId="46" fillId="8" borderId="1" xfId="4" applyNumberFormat="1" applyFont="1" applyFill="1" applyBorder="1" applyAlignment="1">
      <alignment horizontal="right"/>
    </xf>
    <xf numFmtId="0" fontId="7" fillId="8" borderId="25" xfId="0" applyFont="1" applyFill="1" applyBorder="1"/>
    <xf numFmtId="166" fontId="7" fillId="8" borderId="26" xfId="0" applyNumberFormat="1" applyFont="1" applyFill="1" applyBorder="1"/>
    <xf numFmtId="0" fontId="67" fillId="8" borderId="1" xfId="0" applyFont="1" applyFill="1" applyBorder="1"/>
    <xf numFmtId="0" fontId="67" fillId="8" borderId="22" xfId="0" applyFont="1" applyFill="1" applyBorder="1"/>
    <xf numFmtId="166" fontId="67" fillId="8" borderId="25" xfId="0" applyNumberFormat="1" applyFont="1" applyFill="1" applyBorder="1"/>
    <xf numFmtId="0" fontId="67" fillId="8" borderId="26" xfId="0" applyFont="1" applyFill="1" applyBorder="1"/>
    <xf numFmtId="166" fontId="67" fillId="8" borderId="1" xfId="0" applyNumberFormat="1" applyFont="1" applyFill="1" applyBorder="1"/>
    <xf numFmtId="166" fontId="67" fillId="8" borderId="26" xfId="0" applyNumberFormat="1" applyFont="1" applyFill="1" applyBorder="1"/>
    <xf numFmtId="166" fontId="7" fillId="9" borderId="1" xfId="1" applyNumberFormat="1" applyFont="1" applyFill="1" applyBorder="1"/>
    <xf numFmtId="0" fontId="71" fillId="8" borderId="1" xfId="0" applyFont="1" applyFill="1" applyBorder="1"/>
    <xf numFmtId="43" fontId="72" fillId="8" borderId="1" xfId="1" applyFont="1" applyFill="1" applyBorder="1"/>
    <xf numFmtId="166" fontId="72" fillId="8" borderId="5" xfId="1" applyNumberFormat="1" applyFont="1" applyFill="1" applyBorder="1"/>
    <xf numFmtId="0" fontId="70" fillId="8" borderId="1" xfId="0" applyFont="1" applyFill="1" applyBorder="1"/>
    <xf numFmtId="166" fontId="71" fillId="8" borderId="1" xfId="0" applyNumberFormat="1" applyFont="1" applyFill="1" applyBorder="1"/>
    <xf numFmtId="0" fontId="67" fillId="0" borderId="0" xfId="0" applyFont="1"/>
    <xf numFmtId="169" fontId="11" fillId="0" borderId="5" xfId="0" applyNumberFormat="1" applyFont="1" applyBorder="1" applyAlignment="1">
      <alignment horizontal="center"/>
    </xf>
    <xf numFmtId="1" fontId="1" fillId="0" borderId="22" xfId="9" applyNumberFormat="1" applyFont="1" applyBorder="1" applyAlignment="1">
      <alignment horizontal="center" vertical="center"/>
    </xf>
    <xf numFmtId="9" fontId="19" fillId="0" borderId="105" xfId="9" applyNumberFormat="1" applyFont="1" applyBorder="1" applyAlignment="1">
      <alignment horizontal="center" vertical="center"/>
    </xf>
    <xf numFmtId="9" fontId="19" fillId="0" borderId="106" xfId="9" applyNumberFormat="1" applyFont="1" applyBorder="1" applyAlignment="1">
      <alignment horizontal="center" vertical="center"/>
    </xf>
    <xf numFmtId="2" fontId="0" fillId="6" borderId="1" xfId="0" applyNumberFormat="1" applyFill="1" applyBorder="1"/>
    <xf numFmtId="0" fontId="0" fillId="6" borderId="6" xfId="0" applyNumberFormat="1" applyFill="1" applyBorder="1"/>
    <xf numFmtId="0" fontId="0" fillId="6" borderId="1" xfId="0" applyNumberFormat="1" applyFill="1" applyBorder="1"/>
    <xf numFmtId="0" fontId="16" fillId="11" borderId="106" xfId="1" applyNumberFormat="1" applyFont="1" applyFill="1" applyBorder="1" applyAlignment="1">
      <alignment horizontal="center"/>
    </xf>
    <xf numFmtId="2" fontId="16" fillId="11" borderId="106" xfId="1" applyNumberFormat="1" applyFont="1" applyFill="1" applyBorder="1" applyAlignment="1">
      <alignment horizontal="center"/>
    </xf>
    <xf numFmtId="2" fontId="11" fillId="11" borderId="49" xfId="1" applyNumberFormat="1" applyFont="1" applyFill="1" applyBorder="1" applyAlignment="1">
      <alignment horizontal="center"/>
    </xf>
    <xf numFmtId="9" fontId="59" fillId="0" borderId="106" xfId="9" applyNumberFormat="1" applyFont="1" applyBorder="1" applyAlignment="1">
      <alignment horizontal="center" vertical="center"/>
    </xf>
    <xf numFmtId="0" fontId="64" fillId="0" borderId="25" xfId="0" applyFont="1" applyBorder="1" applyAlignment="1">
      <alignment horizontal="right"/>
    </xf>
    <xf numFmtId="2" fontId="4" fillId="0" borderId="26" xfId="0" applyNumberFormat="1" applyFont="1" applyBorder="1" applyAlignment="1"/>
    <xf numFmtId="0" fontId="16" fillId="0" borderId="16" xfId="0" applyFont="1" applyBorder="1" applyAlignment="1"/>
    <xf numFmtId="0" fontId="66" fillId="0" borderId="8" xfId="0" applyFont="1" applyBorder="1" applyAlignment="1">
      <alignment wrapText="1"/>
    </xf>
    <xf numFmtId="166" fontId="16" fillId="8" borderId="55" xfId="1" applyNumberFormat="1" applyFont="1" applyFill="1" applyBorder="1" applyAlignment="1">
      <alignment horizontal="center"/>
    </xf>
    <xf numFmtId="166" fontId="25" fillId="24" borderId="1" xfId="4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107" xfId="0" applyBorder="1"/>
    <xf numFmtId="0" fontId="0" fillId="0" borderId="108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5" xfId="0" applyBorder="1"/>
    <xf numFmtId="0" fontId="0" fillId="0" borderId="116" xfId="0" applyBorder="1"/>
    <xf numFmtId="0" fontId="0" fillId="0" borderId="117" xfId="0" applyBorder="1"/>
    <xf numFmtId="2" fontId="10" fillId="20" borderId="6" xfId="0" applyNumberFormat="1" applyFont="1" applyFill="1" applyBorder="1" applyAlignment="1">
      <alignment vertical="top" wrapText="1"/>
    </xf>
    <xf numFmtId="2" fontId="0" fillId="20" borderId="1" xfId="0" applyNumberFormat="1" applyFill="1" applyBorder="1"/>
    <xf numFmtId="2" fontId="0" fillId="0" borderId="1" xfId="0" applyNumberFormat="1" applyBorder="1"/>
    <xf numFmtId="2" fontId="0" fillId="0" borderId="9" xfId="0" applyNumberFormat="1" applyBorder="1"/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3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4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169" fontId="47" fillId="16" borderId="0" xfId="0" applyNumberFormat="1" applyFont="1" applyFill="1" applyAlignment="1">
      <alignment horizontal="center" vertical="center"/>
    </xf>
    <xf numFmtId="0" fontId="43" fillId="2" borderId="52" xfId="0" applyFont="1" applyFill="1" applyBorder="1" applyAlignment="1">
      <alignment horizontal="center"/>
    </xf>
    <xf numFmtId="0" fontId="43" fillId="2" borderId="30" xfId="0" applyFont="1" applyFill="1" applyBorder="1" applyAlignment="1">
      <alignment horizontal="center"/>
    </xf>
    <xf numFmtId="0" fontId="43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30" xfId="0" applyFont="1" applyBorder="1" applyAlignment="1">
      <alignment horizontal="center"/>
    </xf>
    <xf numFmtId="0" fontId="42" fillId="0" borderId="31" xfId="0" applyFont="1" applyBorder="1" applyAlignment="1">
      <alignment horizontal="center"/>
    </xf>
    <xf numFmtId="0" fontId="57" fillId="31" borderId="52" xfId="0" applyFont="1" applyFill="1" applyBorder="1" applyAlignment="1">
      <alignment horizontal="center"/>
    </xf>
    <xf numFmtId="0" fontId="57" fillId="31" borderId="30" xfId="0" applyFont="1" applyFill="1" applyBorder="1" applyAlignment="1">
      <alignment horizontal="center"/>
    </xf>
    <xf numFmtId="0" fontId="57" fillId="31" borderId="31" xfId="0" applyFont="1" applyFill="1" applyBorder="1" applyAlignment="1">
      <alignment horizontal="center"/>
    </xf>
    <xf numFmtId="0" fontId="47" fillId="0" borderId="109" xfId="0" applyFont="1" applyBorder="1" applyAlignment="1">
      <alignment horizontal="center" vertical="center"/>
    </xf>
    <xf numFmtId="0" fontId="47" fillId="0" borderId="11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7" fillId="0" borderId="0" xfId="0" applyFont="1" applyBorder="1" applyAlignment="1">
      <alignment horizontal="center" vertical="center"/>
    </xf>
    <xf numFmtId="0" fontId="7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8" fillId="26" borderId="13" xfId="0" applyFont="1" applyFill="1" applyBorder="1" applyAlignment="1">
      <alignment horizontal="center"/>
    </xf>
    <xf numFmtId="0" fontId="38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0" fillId="0" borderId="35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6" xfId="0" applyFont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0" borderId="57" xfId="0" applyFont="1" applyBorder="1" applyAlignment="1">
      <alignment horizontal="center"/>
    </xf>
    <xf numFmtId="0" fontId="60" fillId="0" borderId="51" xfId="0" applyFont="1" applyBorder="1" applyAlignment="1">
      <alignment horizontal="center"/>
    </xf>
    <xf numFmtId="0" fontId="60" fillId="0" borderId="48" xfId="0" applyFont="1" applyBorder="1" applyAlignment="1">
      <alignment horizontal="center"/>
    </xf>
    <xf numFmtId="0" fontId="60" fillId="0" borderId="50" xfId="0" applyFont="1" applyBorder="1" applyAlignment="1">
      <alignment horizontal="center"/>
    </xf>
    <xf numFmtId="0" fontId="49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1" fillId="0" borderId="48" xfId="0" applyNumberFormat="1" applyFont="1" applyBorder="1" applyAlignment="1">
      <alignment horizontal="center"/>
    </xf>
    <xf numFmtId="0" fontId="51" fillId="0" borderId="48" xfId="0" applyFont="1" applyBorder="1" applyAlignment="1">
      <alignment horizontal="center"/>
    </xf>
    <xf numFmtId="175" fontId="56" fillId="0" borderId="0" xfId="0" applyNumberFormat="1" applyFont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microsoft.com/office/2017/06/relationships/rdRichValue" Target="richData/rdrichvalue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1691.9199999999998</c:v>
                </c:pt>
                <c:pt idx="1">
                  <c:v>1810.5</c:v>
                </c:pt>
                <c:pt idx="2">
                  <c:v>1652.34</c:v>
                </c:pt>
                <c:pt idx="3">
                  <c:v>1644.32</c:v>
                </c:pt>
                <c:pt idx="4">
                  <c:v>1669.23</c:v>
                </c:pt>
                <c:pt idx="5">
                  <c:v>1898.91</c:v>
                </c:pt>
                <c:pt idx="6">
                  <c:v>1865.79</c:v>
                </c:pt>
                <c:pt idx="7">
                  <c:v>1807.2200000000003</c:v>
                </c:pt>
                <c:pt idx="8">
                  <c:v>1887.8799999999999</c:v>
                </c:pt>
                <c:pt idx="9">
                  <c:v>1852.6</c:v>
                </c:pt>
                <c:pt idx="10">
                  <c:v>1662.17</c:v>
                </c:pt>
                <c:pt idx="11">
                  <c:v>1844.9099999999999</c:v>
                </c:pt>
                <c:pt idx="12">
                  <c:v>1650.17</c:v>
                </c:pt>
                <c:pt idx="13">
                  <c:v>1643.2600000000002</c:v>
                </c:pt>
                <c:pt idx="14">
                  <c:v>1732.74</c:v>
                </c:pt>
                <c:pt idx="15">
                  <c:v>1766.6399999999999</c:v>
                </c:pt>
                <c:pt idx="16">
                  <c:v>1787.9799999999998</c:v>
                </c:pt>
                <c:pt idx="17">
                  <c:v>1812.3899999999999</c:v>
                </c:pt>
                <c:pt idx="18">
                  <c:v>2007.64</c:v>
                </c:pt>
                <c:pt idx="19">
                  <c:v>1992.78</c:v>
                </c:pt>
                <c:pt idx="20">
                  <c:v>2232.89</c:v>
                </c:pt>
                <c:pt idx="21">
                  <c:v>2090.79</c:v>
                </c:pt>
                <c:pt idx="22">
                  <c:v>2014.73</c:v>
                </c:pt>
                <c:pt idx="23">
                  <c:v>1869.09</c:v>
                </c:pt>
                <c:pt idx="24">
                  <c:v>1888.7999999999997</c:v>
                </c:pt>
                <c:pt idx="25">
                  <c:v>1921.29</c:v>
                </c:pt>
                <c:pt idx="26">
                  <c:v>1696.6200000000001</c:v>
                </c:pt>
                <c:pt idx="27">
                  <c:v>1992.06</c:v>
                </c:pt>
                <c:pt idx="28">
                  <c:v>1822.57</c:v>
                </c:pt>
                <c:pt idx="29">
                  <c:v>1680.02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141888"/>
        <c:axId val="16742924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27</c:v>
                </c:pt>
                <c:pt idx="1">
                  <c:v>20</c:v>
                </c:pt>
                <c:pt idx="2">
                  <c:v>14</c:v>
                </c:pt>
                <c:pt idx="3">
                  <c:v>11</c:v>
                </c:pt>
                <c:pt idx="4">
                  <c:v>14</c:v>
                </c:pt>
                <c:pt idx="5">
                  <c:v>29</c:v>
                </c:pt>
                <c:pt idx="6">
                  <c:v>35</c:v>
                </c:pt>
                <c:pt idx="7">
                  <c:v>39</c:v>
                </c:pt>
                <c:pt idx="8">
                  <c:v>32</c:v>
                </c:pt>
                <c:pt idx="9">
                  <c:v>31</c:v>
                </c:pt>
                <c:pt idx="10">
                  <c:v>32</c:v>
                </c:pt>
                <c:pt idx="11">
                  <c:v>19</c:v>
                </c:pt>
                <c:pt idx="12">
                  <c:v>14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444288"/>
        <c:axId val="168457344"/>
      </c:lineChart>
      <c:catAx>
        <c:axId val="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429248"/>
        <c:crosses val="autoZero"/>
        <c:auto val="1"/>
        <c:lblAlgn val="ctr"/>
        <c:lblOffset val="100"/>
        <c:noMultiLvlLbl val="0"/>
      </c:catAx>
      <c:valAx>
        <c:axId val="167429248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141888"/>
        <c:crosses val="autoZero"/>
        <c:crossBetween val="between"/>
        <c:majorUnit val="200"/>
      </c:valAx>
      <c:catAx>
        <c:axId val="168444288"/>
        <c:scaling>
          <c:orientation val="minMax"/>
        </c:scaling>
        <c:delete val="1"/>
        <c:axPos val="b"/>
        <c:majorTickMark val="out"/>
        <c:minorTickMark val="none"/>
        <c:tickLblPos val="none"/>
        <c:crossAx val="168457344"/>
        <c:crosses val="autoZero"/>
        <c:auto val="1"/>
        <c:lblAlgn val="ctr"/>
        <c:lblOffset val="100"/>
        <c:noMultiLvlLbl val="0"/>
      </c:catAx>
      <c:valAx>
        <c:axId val="1684573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4442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'[1]Utility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105088"/>
        <c:axId val="170142336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'[1]Utility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5515776"/>
        <c:axId val="115517312"/>
      </c:lineChart>
      <c:catAx>
        <c:axId val="170105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42336"/>
        <c:crosses val="autoZero"/>
        <c:auto val="1"/>
        <c:lblAlgn val="ctr"/>
        <c:lblOffset val="100"/>
        <c:noMultiLvlLbl val="0"/>
      </c:catAx>
      <c:valAx>
        <c:axId val="1701423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105088"/>
        <c:crosses val="autoZero"/>
        <c:crossBetween val="between"/>
        <c:majorUnit val="200"/>
      </c:valAx>
      <c:catAx>
        <c:axId val="115515776"/>
        <c:scaling>
          <c:orientation val="minMax"/>
        </c:scaling>
        <c:delete val="1"/>
        <c:axPos val="b"/>
        <c:majorTickMark val="out"/>
        <c:minorTickMark val="none"/>
        <c:tickLblPos val="none"/>
        <c:crossAx val="115517312"/>
        <c:crosses val="autoZero"/>
        <c:auto val="1"/>
        <c:lblAlgn val="ctr"/>
        <c:lblOffset val="100"/>
        <c:noMultiLvlLbl val="0"/>
      </c:catAx>
      <c:valAx>
        <c:axId val="115517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5157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83616"/>
        <c:axId val="126385152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03328"/>
        <c:axId val="126404864"/>
      </c:lineChart>
      <c:catAx>
        <c:axId val="126383616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5152"/>
        <c:crosses val="autoZero"/>
        <c:auto val="0"/>
        <c:lblAlgn val="ctr"/>
        <c:lblOffset val="100"/>
        <c:tickMarkSkip val="1"/>
        <c:noMultiLvlLbl val="0"/>
      </c:catAx>
      <c:valAx>
        <c:axId val="12638515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383616"/>
        <c:crosses val="autoZero"/>
        <c:crossBetween val="between"/>
      </c:valAx>
      <c:catAx>
        <c:axId val="12640332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26404864"/>
        <c:crosses val="autoZero"/>
        <c:auto val="0"/>
        <c:lblAlgn val="ctr"/>
        <c:lblOffset val="100"/>
        <c:noMultiLvlLbl val="0"/>
      </c:catAx>
      <c:valAx>
        <c:axId val="126404864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033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413056"/>
        <c:axId val="126414848"/>
      </c:lineChart>
      <c:catAx>
        <c:axId val="126413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4848"/>
        <c:crosses val="autoZero"/>
        <c:auto val="1"/>
        <c:lblAlgn val="ctr"/>
        <c:lblOffset val="100"/>
        <c:noMultiLvlLbl val="0"/>
      </c:catAx>
      <c:valAx>
        <c:axId val="1264148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0.00</c:formatCode>
                <c:ptCount val="31"/>
                <c:pt idx="0">
                  <c:v>23</c:v>
                </c:pt>
                <c:pt idx="1">
                  <c:v>27</c:v>
                </c:pt>
                <c:pt idx="2">
                  <c:v>20</c:v>
                </c:pt>
                <c:pt idx="3">
                  <c:v>14</c:v>
                </c:pt>
                <c:pt idx="4">
                  <c:v>11</c:v>
                </c:pt>
                <c:pt idx="5">
                  <c:v>14</c:v>
                </c:pt>
                <c:pt idx="6">
                  <c:v>29</c:v>
                </c:pt>
                <c:pt idx="7">
                  <c:v>35</c:v>
                </c:pt>
                <c:pt idx="8">
                  <c:v>39</c:v>
                </c:pt>
                <c:pt idx="9">
                  <c:v>32</c:v>
                </c:pt>
                <c:pt idx="10">
                  <c:v>31</c:v>
                </c:pt>
                <c:pt idx="11">
                  <c:v>32</c:v>
                </c:pt>
                <c:pt idx="12">
                  <c:v>19</c:v>
                </c:pt>
                <c:pt idx="13">
                  <c:v>14</c:v>
                </c:pt>
                <c:pt idx="14">
                  <c:v>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6000"/>
        <c:axId val="126977536"/>
      </c:lineChart>
      <c:catAx>
        <c:axId val="126976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7536"/>
        <c:crosses val="autoZero"/>
        <c:auto val="1"/>
        <c:lblAlgn val="ctr"/>
        <c:lblOffset val="100"/>
        <c:noMultiLvlLbl val="0"/>
      </c:catAx>
      <c:valAx>
        <c:axId val="12697753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97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934016"/>
        <c:axId val="124935552"/>
      </c:lineChart>
      <c:catAx>
        <c:axId val="124934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5552"/>
        <c:crosses val="autoZero"/>
        <c:auto val="1"/>
        <c:lblAlgn val="ctr"/>
        <c:lblOffset val="200"/>
        <c:tickLblSkip val="1"/>
        <c:noMultiLvlLbl val="0"/>
      </c:catAx>
      <c:valAx>
        <c:axId val="12493555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34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56032"/>
        <c:axId val="124957824"/>
      </c:lineChart>
      <c:catAx>
        <c:axId val="124956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7824"/>
        <c:crosses val="autoZero"/>
        <c:auto val="1"/>
        <c:lblAlgn val="ctr"/>
        <c:lblOffset val="100"/>
        <c:noMultiLvlLbl val="0"/>
      </c:catAx>
      <c:valAx>
        <c:axId val="12495782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560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74208"/>
        <c:axId val="124976128"/>
      </c:lineChart>
      <c:catAx>
        <c:axId val="12497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6128"/>
        <c:crosses val="autoZero"/>
        <c:auto val="1"/>
        <c:lblAlgn val="ctr"/>
        <c:lblOffset val="100"/>
        <c:noMultiLvlLbl val="0"/>
      </c:catAx>
      <c:valAx>
        <c:axId val="124976128"/>
        <c:scaling>
          <c:orientation val="minMax"/>
          <c:max val="50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74208"/>
        <c:crosses val="autoZero"/>
        <c:crossBetween val="between"/>
        <c:minorUnit val="200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8432"/>
        <c:axId val="125076992"/>
      </c:lineChart>
      <c:catAx>
        <c:axId val="125058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76992"/>
        <c:crosses val="autoZero"/>
        <c:auto val="1"/>
        <c:lblAlgn val="ctr"/>
        <c:lblOffset val="100"/>
        <c:noMultiLvlLbl val="0"/>
      </c:catAx>
      <c:valAx>
        <c:axId val="125076992"/>
        <c:scaling>
          <c:orientation val="minMax"/>
          <c:max val="250"/>
          <c:min val="50"/>
        </c:scaling>
        <c:delete val="0"/>
        <c:axPos val="l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8432"/>
        <c:crosses val="autoZero"/>
        <c:crossBetween val="between"/>
        <c:majorUnit val="50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089664"/>
        <c:axId val="125091200"/>
      </c:lineChart>
      <c:catAx>
        <c:axId val="12508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91200"/>
        <c:crosses val="autoZero"/>
        <c:auto val="1"/>
        <c:lblAlgn val="ctr"/>
        <c:lblOffset val="100"/>
        <c:noMultiLvlLbl val="0"/>
      </c:catAx>
      <c:valAx>
        <c:axId val="1250912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89664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56768"/>
        <c:axId val="125458304"/>
      </c:lineChart>
      <c:catAx>
        <c:axId val="12545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8304"/>
        <c:crosses val="autoZero"/>
        <c:auto val="1"/>
        <c:lblAlgn val="ctr"/>
        <c:lblOffset val="100"/>
        <c:noMultiLvlLbl val="0"/>
      </c:catAx>
      <c:valAx>
        <c:axId val="1254583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5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_(* #,##0.00_);_(* \(#,##0.00\);_(* "-"??_);_(@_)</c:formatCode>
                <c:ptCount val="31"/>
                <c:pt idx="0">
                  <c:v>1799.58</c:v>
                </c:pt>
                <c:pt idx="1">
                  <c:v>1691.9199999999998</c:v>
                </c:pt>
                <c:pt idx="2">
                  <c:v>1810.5</c:v>
                </c:pt>
                <c:pt idx="3">
                  <c:v>1652.34</c:v>
                </c:pt>
                <c:pt idx="4">
                  <c:v>1644.32</c:v>
                </c:pt>
                <c:pt idx="5">
                  <c:v>1669.23</c:v>
                </c:pt>
                <c:pt idx="6">
                  <c:v>1898.91</c:v>
                </c:pt>
                <c:pt idx="7">
                  <c:v>1865.79</c:v>
                </c:pt>
                <c:pt idx="8">
                  <c:v>1807.2200000000003</c:v>
                </c:pt>
                <c:pt idx="9">
                  <c:v>1887.8799999999999</c:v>
                </c:pt>
                <c:pt idx="10">
                  <c:v>1852.6</c:v>
                </c:pt>
                <c:pt idx="11">
                  <c:v>1662.17</c:v>
                </c:pt>
                <c:pt idx="12">
                  <c:v>1844.9099999999999</c:v>
                </c:pt>
                <c:pt idx="13">
                  <c:v>1650.17</c:v>
                </c:pt>
                <c:pt idx="14">
                  <c:v>1643.2600000000002</c:v>
                </c:pt>
                <c:pt idx="15">
                  <c:v>1732.74</c:v>
                </c:pt>
                <c:pt idx="16">
                  <c:v>1766.6399999999999</c:v>
                </c:pt>
                <c:pt idx="17">
                  <c:v>1787.9799999999998</c:v>
                </c:pt>
                <c:pt idx="18">
                  <c:v>1812.3899999999999</c:v>
                </c:pt>
                <c:pt idx="19">
                  <c:v>2007.64</c:v>
                </c:pt>
                <c:pt idx="20">
                  <c:v>1992.78</c:v>
                </c:pt>
                <c:pt idx="21">
                  <c:v>2232.89</c:v>
                </c:pt>
                <c:pt idx="22">
                  <c:v>2090.79</c:v>
                </c:pt>
                <c:pt idx="23">
                  <c:v>2014.73</c:v>
                </c:pt>
                <c:pt idx="24">
                  <c:v>1869.09</c:v>
                </c:pt>
                <c:pt idx="25">
                  <c:v>1888.7999999999997</c:v>
                </c:pt>
                <c:pt idx="26">
                  <c:v>1921.29</c:v>
                </c:pt>
                <c:pt idx="27">
                  <c:v>1696.6200000000001</c:v>
                </c:pt>
                <c:pt idx="28">
                  <c:v>1992.06</c:v>
                </c:pt>
                <c:pt idx="29">
                  <c:v>1822.57</c:v>
                </c:pt>
                <c:pt idx="30">
                  <c:v>1680.02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478400"/>
        <c:axId val="125479936"/>
      </c:lineChart>
      <c:catAx>
        <c:axId val="125478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9936"/>
        <c:crosses val="autoZero"/>
        <c:auto val="1"/>
        <c:lblAlgn val="ctr"/>
        <c:lblOffset val="100"/>
        <c:noMultiLvlLbl val="0"/>
      </c:catAx>
      <c:valAx>
        <c:axId val="1254799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4784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549184"/>
        <c:axId val="125555456"/>
      </c:lineChart>
      <c:catAx>
        <c:axId val="125549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55456"/>
        <c:crosses val="autoZero"/>
        <c:auto val="1"/>
        <c:lblAlgn val="ctr"/>
        <c:lblOffset val="100"/>
        <c:noMultiLvlLbl val="0"/>
      </c:catAx>
      <c:valAx>
        <c:axId val="12555545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5491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99392"/>
        <c:axId val="130300928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06816"/>
        <c:axId val="130308352"/>
      </c:lineChart>
      <c:catAx>
        <c:axId val="1302993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0928"/>
        <c:crosses val="autoZero"/>
        <c:auto val="0"/>
        <c:lblAlgn val="ctr"/>
        <c:lblOffset val="100"/>
        <c:tickMarkSkip val="1"/>
        <c:noMultiLvlLbl val="0"/>
      </c:catAx>
      <c:valAx>
        <c:axId val="1303009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299392"/>
        <c:crosses val="autoZero"/>
        <c:crossBetween val="between"/>
      </c:valAx>
      <c:catAx>
        <c:axId val="13030681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30308352"/>
        <c:crosses val="autoZero"/>
        <c:auto val="0"/>
        <c:lblAlgn val="ctr"/>
        <c:lblOffset val="100"/>
        <c:noMultiLvlLbl val="0"/>
      </c:catAx>
      <c:valAx>
        <c:axId val="130308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06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39584"/>
        <c:axId val="130341120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[1]LPG_Graph!$A$2:$A$32</c:f>
              <c:numCache>
                <c:formatCode>General</c:formatCode>
                <c:ptCount val="31"/>
              </c:numCache>
            </c:numRef>
          </c:cat>
          <c:val>
            <c:numRef>
              <c:f>[1]LPG_Graph!$C$2:$C$32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342912"/>
        <c:axId val="130344448"/>
      </c:lineChart>
      <c:catAx>
        <c:axId val="1303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1120"/>
        <c:crosses val="autoZero"/>
        <c:auto val="0"/>
        <c:lblAlgn val="ctr"/>
        <c:lblOffset val="100"/>
        <c:tickMarkSkip val="1"/>
        <c:noMultiLvlLbl val="0"/>
      </c:catAx>
      <c:valAx>
        <c:axId val="1303411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39584"/>
        <c:crosses val="autoZero"/>
        <c:crossBetween val="between"/>
      </c:valAx>
      <c:catAx>
        <c:axId val="1303429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30344448"/>
        <c:crosses val="autoZero"/>
        <c:auto val="0"/>
        <c:lblAlgn val="ctr"/>
        <c:lblOffset val="100"/>
        <c:noMultiLvlLbl val="0"/>
      </c:catAx>
      <c:valAx>
        <c:axId val="130344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342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67040"/>
        <c:axId val="154977024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978560"/>
        <c:axId val="154980352"/>
      </c:lineChart>
      <c:catAx>
        <c:axId val="15496704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7024"/>
        <c:crosses val="autoZero"/>
        <c:auto val="0"/>
        <c:lblAlgn val="ctr"/>
        <c:lblOffset val="100"/>
        <c:tickMarkSkip val="1"/>
        <c:noMultiLvlLbl val="0"/>
      </c:catAx>
      <c:valAx>
        <c:axId val="15497702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67040"/>
        <c:crosses val="autoZero"/>
        <c:crossBetween val="between"/>
      </c:valAx>
      <c:catAx>
        <c:axId val="15497856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154980352"/>
        <c:crosses val="autoZero"/>
        <c:auto val="0"/>
        <c:lblAlgn val="ctr"/>
        <c:lblOffset val="100"/>
        <c:noMultiLvlLbl val="0"/>
      </c:catAx>
      <c:valAx>
        <c:axId val="154980352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9785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2080"/>
        <c:axId val="155996160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'[1]Water_Graph '!$A$2:$A$32</c:f>
              <c:numCache>
                <c:formatCode>General</c:formatCode>
                <c:ptCount val="31"/>
              </c:numCache>
            </c:numRef>
          </c:cat>
          <c:val>
            <c:numRef>
              <c:f>'[1]Water_Graph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97696"/>
        <c:axId val="155999232"/>
      </c:lineChart>
      <c:catAx>
        <c:axId val="15598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6160"/>
        <c:crosses val="autoZero"/>
        <c:auto val="0"/>
        <c:lblAlgn val="ctr"/>
        <c:lblOffset val="100"/>
        <c:tickMarkSkip val="1"/>
        <c:noMultiLvlLbl val="0"/>
      </c:catAx>
      <c:valAx>
        <c:axId val="155996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82080"/>
        <c:crosses val="autoZero"/>
        <c:crossBetween val="between"/>
      </c:valAx>
      <c:catAx>
        <c:axId val="1559976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5999232"/>
        <c:crosses val="autoZero"/>
        <c:auto val="0"/>
        <c:lblAlgn val="ctr"/>
        <c:lblOffset val="100"/>
        <c:noMultiLvlLbl val="0"/>
      </c:catAx>
      <c:valAx>
        <c:axId val="155999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997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06752"/>
        <c:axId val="156545792"/>
      </c:lineChart>
      <c:catAx>
        <c:axId val="156506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45792"/>
        <c:crosses val="autoZero"/>
        <c:auto val="1"/>
        <c:lblAlgn val="ctr"/>
        <c:lblOffset val="100"/>
        <c:noMultiLvlLbl val="0"/>
      </c:catAx>
      <c:valAx>
        <c:axId val="15654579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0675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58464"/>
        <c:axId val="156560384"/>
      </c:lineChart>
      <c:catAx>
        <c:axId val="15655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60384"/>
        <c:crosses val="autoZero"/>
        <c:auto val="1"/>
        <c:lblAlgn val="ctr"/>
        <c:lblOffset val="100"/>
        <c:noMultiLvlLbl val="0"/>
      </c:catAx>
      <c:valAx>
        <c:axId val="15656038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584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790144"/>
        <c:axId val="156824704"/>
      </c:lineChart>
      <c:catAx>
        <c:axId val="1567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24704"/>
        <c:crosses val="autoZero"/>
        <c:auto val="1"/>
        <c:lblAlgn val="ctr"/>
        <c:lblOffset val="200"/>
        <c:tickLblSkip val="1"/>
        <c:noMultiLvlLbl val="0"/>
      </c:catAx>
      <c:valAx>
        <c:axId val="15682470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9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127808"/>
        <c:axId val="157129344"/>
      </c:lineChart>
      <c:catAx>
        <c:axId val="15712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9344"/>
        <c:crosses val="autoZero"/>
        <c:auto val="1"/>
        <c:lblAlgn val="ctr"/>
        <c:lblOffset val="100"/>
        <c:noMultiLvlLbl val="0"/>
      </c:catAx>
      <c:valAx>
        <c:axId val="15712934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2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153920"/>
        <c:axId val="157294976"/>
      </c:lineChart>
      <c:catAx>
        <c:axId val="15715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294976"/>
        <c:crosses val="autoZero"/>
        <c:auto val="1"/>
        <c:lblAlgn val="ctr"/>
        <c:lblOffset val="100"/>
        <c:noMultiLvlLbl val="0"/>
      </c:catAx>
      <c:valAx>
        <c:axId val="1572949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53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0.00</c:formatCode>
                <c:ptCount val="32"/>
                <c:pt idx="0">
                  <c:v>4264</c:v>
                </c:pt>
                <c:pt idx="1">
                  <c:v>4274</c:v>
                </c:pt>
                <c:pt idx="2">
                  <c:v>4467</c:v>
                </c:pt>
                <c:pt idx="3">
                  <c:v>4106</c:v>
                </c:pt>
                <c:pt idx="4">
                  <c:v>4026</c:v>
                </c:pt>
                <c:pt idx="5">
                  <c:v>4145</c:v>
                </c:pt>
                <c:pt idx="6">
                  <c:v>4675</c:v>
                </c:pt>
                <c:pt idx="7">
                  <c:v>4550</c:v>
                </c:pt>
                <c:pt idx="8">
                  <c:v>4263</c:v>
                </c:pt>
                <c:pt idx="9">
                  <c:v>4506</c:v>
                </c:pt>
                <c:pt idx="10">
                  <c:v>4459</c:v>
                </c:pt>
                <c:pt idx="11">
                  <c:v>4438</c:v>
                </c:pt>
                <c:pt idx="12">
                  <c:v>4300</c:v>
                </c:pt>
                <c:pt idx="13">
                  <c:v>3902</c:v>
                </c:pt>
                <c:pt idx="14">
                  <c:v>3833</c:v>
                </c:pt>
                <c:pt idx="15">
                  <c:v>4080</c:v>
                </c:pt>
                <c:pt idx="16">
                  <c:v>4092</c:v>
                </c:pt>
                <c:pt idx="17">
                  <c:v>4450</c:v>
                </c:pt>
                <c:pt idx="18">
                  <c:v>4633</c:v>
                </c:pt>
                <c:pt idx="19">
                  <c:v>4722</c:v>
                </c:pt>
                <c:pt idx="20">
                  <c:v>4911</c:v>
                </c:pt>
                <c:pt idx="21">
                  <c:v>5226</c:v>
                </c:pt>
                <c:pt idx="22">
                  <c:v>4730</c:v>
                </c:pt>
                <c:pt idx="23">
                  <c:v>4879</c:v>
                </c:pt>
                <c:pt idx="24">
                  <c:v>4599</c:v>
                </c:pt>
                <c:pt idx="25">
                  <c:v>4415</c:v>
                </c:pt>
                <c:pt idx="26">
                  <c:v>4607</c:v>
                </c:pt>
                <c:pt idx="27">
                  <c:v>4642</c:v>
                </c:pt>
                <c:pt idx="28">
                  <c:v>3985</c:v>
                </c:pt>
                <c:pt idx="29">
                  <c:v>4484</c:v>
                </c:pt>
                <c:pt idx="30">
                  <c:v>4015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14464"/>
        <c:axId val="157616384"/>
      </c:lineChart>
      <c:catAx>
        <c:axId val="157614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6384"/>
        <c:crosses val="autoZero"/>
        <c:auto val="1"/>
        <c:lblAlgn val="ctr"/>
        <c:lblOffset val="100"/>
        <c:noMultiLvlLbl val="0"/>
      </c:catAx>
      <c:valAx>
        <c:axId val="157616384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144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109</c:v>
                </c:pt>
                <c:pt idx="1">
                  <c:v>101</c:v>
                </c:pt>
                <c:pt idx="2">
                  <c:v>94</c:v>
                </c:pt>
                <c:pt idx="3">
                  <c:v>98</c:v>
                </c:pt>
                <c:pt idx="4">
                  <c:v>135</c:v>
                </c:pt>
                <c:pt idx="5">
                  <c:v>124</c:v>
                </c:pt>
                <c:pt idx="6">
                  <c:v>114</c:v>
                </c:pt>
                <c:pt idx="7">
                  <c:v>94</c:v>
                </c:pt>
                <c:pt idx="8">
                  <c:v>108</c:v>
                </c:pt>
                <c:pt idx="9">
                  <c:v>116</c:v>
                </c:pt>
                <c:pt idx="10">
                  <c:v>116</c:v>
                </c:pt>
                <c:pt idx="11">
                  <c:v>109</c:v>
                </c:pt>
                <c:pt idx="12">
                  <c:v>105</c:v>
                </c:pt>
                <c:pt idx="13">
                  <c:v>105</c:v>
                </c:pt>
                <c:pt idx="14">
                  <c:v>83</c:v>
                </c:pt>
                <c:pt idx="15">
                  <c:v>103</c:v>
                </c:pt>
                <c:pt idx="16">
                  <c:v>107</c:v>
                </c:pt>
                <c:pt idx="17">
                  <c:v>128</c:v>
                </c:pt>
                <c:pt idx="18">
                  <c:v>115</c:v>
                </c:pt>
                <c:pt idx="19">
                  <c:v>113</c:v>
                </c:pt>
                <c:pt idx="20">
                  <c:v>133</c:v>
                </c:pt>
                <c:pt idx="21">
                  <c:v>113</c:v>
                </c:pt>
                <c:pt idx="22">
                  <c:v>108</c:v>
                </c:pt>
                <c:pt idx="23">
                  <c:v>106</c:v>
                </c:pt>
                <c:pt idx="24">
                  <c:v>106</c:v>
                </c:pt>
                <c:pt idx="25">
                  <c:v>96</c:v>
                </c:pt>
                <c:pt idx="26">
                  <c:v>103</c:v>
                </c:pt>
                <c:pt idx="27">
                  <c:v>115</c:v>
                </c:pt>
                <c:pt idx="28">
                  <c:v>111</c:v>
                </c:pt>
                <c:pt idx="29">
                  <c:v>105</c:v>
                </c:pt>
                <c:pt idx="30">
                  <c:v>99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649536"/>
        <c:axId val="157672192"/>
      </c:lineChart>
      <c:catAx>
        <c:axId val="1576495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72192"/>
        <c:crosses val="autoZero"/>
        <c:auto val="1"/>
        <c:lblAlgn val="ctr"/>
        <c:lblOffset val="100"/>
        <c:noMultiLvlLbl val="0"/>
      </c:catAx>
      <c:valAx>
        <c:axId val="157672192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953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1799.58</c:v>
                </c:pt>
                <c:pt idx="1">
                  <c:v>2016.7299999999998</c:v>
                </c:pt>
                <c:pt idx="2" formatCode="0.00">
                  <c:v>1810.5</c:v>
                </c:pt>
                <c:pt idx="3">
                  <c:v>1885.56</c:v>
                </c:pt>
                <c:pt idx="4">
                  <c:v>1792.9299999999998</c:v>
                </c:pt>
                <c:pt idx="5">
                  <c:v>1869.16</c:v>
                </c:pt>
                <c:pt idx="6">
                  <c:v>2067.86</c:v>
                </c:pt>
                <c:pt idx="7">
                  <c:v>1912.79</c:v>
                </c:pt>
                <c:pt idx="8">
                  <c:v>2263.2200000000003</c:v>
                </c:pt>
                <c:pt idx="9">
                  <c:v>2532.85</c:v>
                </c:pt>
                <c:pt idx="10">
                  <c:v>2461.2199999999998</c:v>
                </c:pt>
                <c:pt idx="11">
                  <c:v>2340.16</c:v>
                </c:pt>
                <c:pt idx="12">
                  <c:v>2049.04</c:v>
                </c:pt>
                <c:pt idx="13">
                  <c:v>3085.01</c:v>
                </c:pt>
                <c:pt idx="14">
                  <c:v>1799.2400000000002</c:v>
                </c:pt>
                <c:pt idx="15">
                  <c:v>1818.42</c:v>
                </c:pt>
                <c:pt idx="16">
                  <c:v>2263.02</c:v>
                </c:pt>
                <c:pt idx="17">
                  <c:v>2162.21</c:v>
                </c:pt>
                <c:pt idx="18">
                  <c:v>2036.3899999999999</c:v>
                </c:pt>
                <c:pt idx="19">
                  <c:v>2056.9</c:v>
                </c:pt>
                <c:pt idx="20">
                  <c:v>2549.17</c:v>
                </c:pt>
                <c:pt idx="21">
                  <c:v>2727.54</c:v>
                </c:pt>
                <c:pt idx="22">
                  <c:v>2319.09</c:v>
                </c:pt>
                <c:pt idx="23">
                  <c:v>2457.71</c:v>
                </c:pt>
                <c:pt idx="24">
                  <c:v>2128.88</c:v>
                </c:pt>
                <c:pt idx="25">
                  <c:v>1959.7199999999998</c:v>
                </c:pt>
                <c:pt idx="26">
                  <c:v>2413.1799999999998</c:v>
                </c:pt>
                <c:pt idx="27">
                  <c:v>1844.0900000000001</c:v>
                </c:pt>
                <c:pt idx="28">
                  <c:v>2239.0099999999998</c:v>
                </c:pt>
                <c:pt idx="29">
                  <c:v>2191.5699999999997</c:v>
                </c:pt>
                <c:pt idx="30">
                  <c:v>2056.2600000000002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823552"/>
        <c:axId val="158825088"/>
      </c:lineChart>
      <c:catAx>
        <c:axId val="158823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5088"/>
        <c:crosses val="autoZero"/>
        <c:auto val="1"/>
        <c:lblAlgn val="ctr"/>
        <c:lblOffset val="200"/>
        <c:tickLblSkip val="1"/>
        <c:noMultiLvlLbl val="0"/>
      </c:catAx>
      <c:valAx>
        <c:axId val="158825088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23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0.3</c:v>
                </c:pt>
                <c:pt idx="1">
                  <c:v>0.35</c:v>
                </c:pt>
                <c:pt idx="2">
                  <c:v>0.26090000000000002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0.16900000000000001</c:v>
                </c:pt>
                <c:pt idx="6">
                  <c:v>0.36399999999999999</c:v>
                </c:pt>
                <c:pt idx="7">
                  <c:v>0.45500000000000002</c:v>
                </c:pt>
                <c:pt idx="8">
                  <c:v>0.46800000000000003</c:v>
                </c:pt>
                <c:pt idx="9">
                  <c:v>0.39</c:v>
                </c:pt>
                <c:pt idx="10">
                  <c:v>0.40300000000000002</c:v>
                </c:pt>
                <c:pt idx="11">
                  <c:v>0.39</c:v>
                </c:pt>
                <c:pt idx="12">
                  <c:v>0.221</c:v>
                </c:pt>
                <c:pt idx="13">
                  <c:v>0.19500000000000001</c:v>
                </c:pt>
                <c:pt idx="14">
                  <c:v>0.20799999999999999</c:v>
                </c:pt>
                <c:pt idx="15">
                  <c:v>0.27</c:v>
                </c:pt>
                <c:pt idx="16">
                  <c:v>0.26</c:v>
                </c:pt>
                <c:pt idx="17">
                  <c:v>0.35</c:v>
                </c:pt>
                <c:pt idx="18">
                  <c:v>0.39</c:v>
                </c:pt>
                <c:pt idx="19">
                  <c:v>0.39</c:v>
                </c:pt>
                <c:pt idx="20">
                  <c:v>0.55000000000000004</c:v>
                </c:pt>
                <c:pt idx="21">
                  <c:v>0.54500000000000004</c:v>
                </c:pt>
                <c:pt idx="22">
                  <c:v>0.45500000000000002</c:v>
                </c:pt>
                <c:pt idx="23">
                  <c:v>0.247</c:v>
                </c:pt>
                <c:pt idx="24">
                  <c:v>0.20799999999999999</c:v>
                </c:pt>
                <c:pt idx="25">
                  <c:v>0.156</c:v>
                </c:pt>
                <c:pt idx="26">
                  <c:v>0.29899999999999999</c:v>
                </c:pt>
                <c:pt idx="27">
                  <c:v>0.46800000000000003</c:v>
                </c:pt>
                <c:pt idx="28">
                  <c:v>0.51</c:v>
                </c:pt>
                <c:pt idx="29">
                  <c:v>0.38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857856"/>
        <c:axId val="158925184"/>
      </c:lineChart>
      <c:catAx>
        <c:axId val="158857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25184"/>
        <c:crosses val="autoZero"/>
        <c:auto val="1"/>
        <c:lblAlgn val="ctr"/>
        <c:lblOffset val="100"/>
        <c:noMultiLvlLbl val="0"/>
      </c:catAx>
      <c:valAx>
        <c:axId val="15892518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85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61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130.67999999998722</c:v>
                </c:pt>
                <c:pt idx="1">
                  <c:v>124.52000000001281</c:v>
                </c:pt>
                <c:pt idx="2">
                  <c:v>44</c:v>
                </c:pt>
                <c:pt idx="3">
                  <c:v>89.363999999989758</c:v>
                </c:pt>
                <c:pt idx="4">
                  <c:v>112.42000000001282</c:v>
                </c:pt>
                <c:pt idx="5">
                  <c:v>116.77599999997183</c:v>
                </c:pt>
                <c:pt idx="6">
                  <c:v>108.32800000004355</c:v>
                </c:pt>
                <c:pt idx="7">
                  <c:v>112.37599999997184</c:v>
                </c:pt>
                <c:pt idx="8">
                  <c:v>103.4</c:v>
                </c:pt>
                <c:pt idx="9">
                  <c:v>117.30400000001538</c:v>
                </c:pt>
                <c:pt idx="10">
                  <c:v>115.67599999997184</c:v>
                </c:pt>
                <c:pt idx="11">
                  <c:v>126.98400000000257</c:v>
                </c:pt>
                <c:pt idx="12">
                  <c:v>117.87600000003586</c:v>
                </c:pt>
                <c:pt idx="13">
                  <c:v>127.77599999997184</c:v>
                </c:pt>
                <c:pt idx="14">
                  <c:v>124.74000000002562</c:v>
                </c:pt>
                <c:pt idx="15">
                  <c:v>119.06399999998976</c:v>
                </c:pt>
                <c:pt idx="16">
                  <c:v>114.44399999997695</c:v>
                </c:pt>
                <c:pt idx="17">
                  <c:v>104.32400000002818</c:v>
                </c:pt>
                <c:pt idx="18">
                  <c:v>113.65200000000769</c:v>
                </c:pt>
                <c:pt idx="19">
                  <c:v>111.89199999996927</c:v>
                </c:pt>
                <c:pt idx="20">
                  <c:v>336.11599999999748</c:v>
                </c:pt>
                <c:pt idx="21">
                  <c:v>-106.61199999998207</c:v>
                </c:pt>
                <c:pt idx="22">
                  <c:v>98.295999999984645</c:v>
                </c:pt>
                <c:pt idx="23">
                  <c:v>98.868000000005125</c:v>
                </c:pt>
                <c:pt idx="24">
                  <c:v>106.39200000003331</c:v>
                </c:pt>
                <c:pt idx="25">
                  <c:v>93.323999999964158</c:v>
                </c:pt>
                <c:pt idx="26">
                  <c:v>74.228000000043551</c:v>
                </c:pt>
                <c:pt idx="27">
                  <c:v>79.2</c:v>
                </c:pt>
                <c:pt idx="28">
                  <c:v>175.64799999999232</c:v>
                </c:pt>
                <c:pt idx="29">
                  <c:v>171.29199999996928</c:v>
                </c:pt>
                <c:pt idx="30">
                  <c:v>111.23199999999488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9760"/>
        <c:axId val="158951296"/>
      </c:lineChart>
      <c:catAx>
        <c:axId val="158949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51296"/>
        <c:crosses val="autoZero"/>
        <c:auto val="1"/>
        <c:lblAlgn val="ctr"/>
        <c:lblOffset val="100"/>
        <c:noMultiLvlLbl val="0"/>
      </c:catAx>
      <c:valAx>
        <c:axId val="15895129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40832"/>
        <c:axId val="160075776"/>
      </c:lineChart>
      <c:catAx>
        <c:axId val="16004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75776"/>
        <c:crosses val="autoZero"/>
        <c:auto val="1"/>
        <c:lblAlgn val="ctr"/>
        <c:lblOffset val="100"/>
        <c:noMultiLvlLbl val="0"/>
      </c:catAx>
      <c:valAx>
        <c:axId val="160075776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408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096640"/>
        <c:axId val="160098560"/>
      </c:lineChart>
      <c:catAx>
        <c:axId val="160096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8560"/>
        <c:crosses val="autoZero"/>
        <c:auto val="1"/>
        <c:lblAlgn val="ctr"/>
        <c:lblOffset val="100"/>
        <c:noMultiLvlLbl val="0"/>
      </c:catAx>
      <c:valAx>
        <c:axId val="16009856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0966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529024"/>
        <c:axId val="160547200"/>
      </c:lineChart>
      <c:catAx>
        <c:axId val="16052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47200"/>
        <c:crosses val="autoZero"/>
        <c:auto val="1"/>
        <c:lblAlgn val="ctr"/>
        <c:lblOffset val="200"/>
        <c:tickLblSkip val="1"/>
        <c:noMultiLvlLbl val="0"/>
      </c:catAx>
      <c:valAx>
        <c:axId val="16054720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2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08352"/>
        <c:axId val="161109888"/>
      </c:lineChart>
      <c:catAx>
        <c:axId val="161108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9888"/>
        <c:crosses val="autoZero"/>
        <c:auto val="1"/>
        <c:lblAlgn val="ctr"/>
        <c:lblOffset val="100"/>
        <c:noMultiLvlLbl val="0"/>
      </c:catAx>
      <c:valAx>
        <c:axId val="1611098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08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150848"/>
        <c:axId val="161152384"/>
      </c:lineChart>
      <c:catAx>
        <c:axId val="161150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2384"/>
        <c:crosses val="autoZero"/>
        <c:auto val="1"/>
        <c:lblAlgn val="ctr"/>
        <c:lblOffset val="100"/>
        <c:noMultiLvlLbl val="0"/>
      </c:catAx>
      <c:valAx>
        <c:axId val="161152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5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172864"/>
        <c:axId val="161216000"/>
      </c:lineChart>
      <c:catAx>
        <c:axId val="1611728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216000"/>
        <c:crosses val="autoZero"/>
        <c:auto val="1"/>
        <c:lblAlgn val="ctr"/>
        <c:lblOffset val="100"/>
        <c:noMultiLvlLbl val="0"/>
      </c:catAx>
      <c:valAx>
        <c:axId val="16121600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728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585024"/>
        <c:axId val="161599488"/>
      </c:lineChart>
      <c:catAx>
        <c:axId val="161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9488"/>
        <c:crosses val="autoZero"/>
        <c:auto val="1"/>
        <c:lblAlgn val="ctr"/>
        <c:lblOffset val="100"/>
        <c:noMultiLvlLbl val="0"/>
      </c:catAx>
      <c:valAx>
        <c:axId val="161599488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85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628544"/>
        <c:axId val="161630080"/>
      </c:lineChart>
      <c:catAx>
        <c:axId val="161628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30080"/>
        <c:crosses val="autoZero"/>
        <c:auto val="1"/>
        <c:lblAlgn val="ctr"/>
        <c:lblOffset val="200"/>
        <c:tickLblSkip val="1"/>
        <c:noMultiLvlLbl val="0"/>
      </c:catAx>
      <c:valAx>
        <c:axId val="16163008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658752"/>
        <c:axId val="161660288"/>
      </c:lineChart>
      <c:catAx>
        <c:axId val="16165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60288"/>
        <c:crosses val="autoZero"/>
        <c:auto val="1"/>
        <c:lblAlgn val="ctr"/>
        <c:lblOffset val="100"/>
        <c:noMultiLvlLbl val="0"/>
      </c:catAx>
      <c:valAx>
        <c:axId val="161660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5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32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'[1]Summery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766208"/>
        <c:axId val="162788480"/>
      </c:lineChart>
      <c:catAx>
        <c:axId val="16276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88480"/>
        <c:crosses val="autoZero"/>
        <c:auto val="1"/>
        <c:lblAlgn val="ctr"/>
        <c:lblOffset val="100"/>
        <c:noMultiLvlLbl val="0"/>
      </c:catAx>
      <c:valAx>
        <c:axId val="162788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66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13" Type="http://schemas.openxmlformats.org/officeDocument/2006/relationships/chart" Target="../charts/chart30.xml"/><Relationship Id="rId18" Type="http://schemas.openxmlformats.org/officeDocument/2006/relationships/chart" Target="../charts/chart3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12" Type="http://schemas.openxmlformats.org/officeDocument/2006/relationships/chart" Target="../charts/chart29.xml"/><Relationship Id="rId17" Type="http://schemas.openxmlformats.org/officeDocument/2006/relationships/chart" Target="../charts/chart34.xml"/><Relationship Id="rId2" Type="http://schemas.openxmlformats.org/officeDocument/2006/relationships/chart" Target="../charts/chart19.xml"/><Relationship Id="rId16" Type="http://schemas.openxmlformats.org/officeDocument/2006/relationships/chart" Target="../charts/chart33.xml"/><Relationship Id="rId20" Type="http://schemas.openxmlformats.org/officeDocument/2006/relationships/chart" Target="../charts/chart37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11" Type="http://schemas.openxmlformats.org/officeDocument/2006/relationships/chart" Target="../charts/chart28.xml"/><Relationship Id="rId5" Type="http://schemas.openxmlformats.org/officeDocument/2006/relationships/chart" Target="../charts/chart22.xml"/><Relationship Id="rId15" Type="http://schemas.openxmlformats.org/officeDocument/2006/relationships/chart" Target="../charts/chart32.xml"/><Relationship Id="rId10" Type="http://schemas.openxmlformats.org/officeDocument/2006/relationships/chart" Target="../charts/chart27.xml"/><Relationship Id="rId19" Type="http://schemas.openxmlformats.org/officeDocument/2006/relationships/chart" Target="../charts/chart36.xml"/><Relationship Id="rId4" Type="http://schemas.openxmlformats.org/officeDocument/2006/relationships/chart" Target="../charts/chart21.xml"/><Relationship Id="rId9" Type="http://schemas.openxmlformats.org/officeDocument/2006/relationships/chart" Target="../charts/chart26.xml"/><Relationship Id="rId14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209550</xdr:colOff>
      <xdr:row>78</xdr:row>
      <xdr:rowOff>133350</xdr:rowOff>
    </xdr:from>
    <xdr:to>
      <xdr:col>13</xdr:col>
      <xdr:colOff>66675</xdr:colOff>
      <xdr:row>93</xdr:row>
      <xdr:rowOff>47625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  <a:ext uri="{147F2762-F138-4A5C-976F-8EAC2B608ADB}">
              <a16:predDERef xmlns:a16="http://schemas.microsoft.com/office/drawing/2014/main" pre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36</xdr:row>
      <xdr:rowOff>152400</xdr:rowOff>
    </xdr:from>
    <xdr:to>
      <xdr:col>11</xdr:col>
      <xdr:colOff>819150</xdr:colOff>
      <xdr:row>60</xdr:row>
      <xdr:rowOff>123825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  <a:ext uri="{147F2762-F138-4A5C-976F-8EAC2B608ADB}">
              <a16:predDERef xmlns:a16="http://schemas.microsoft.com/office/drawing/2014/main" pre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171450</xdr:colOff>
      <xdr:row>60</xdr:row>
      <xdr:rowOff>152400</xdr:rowOff>
    </xdr:from>
    <xdr:to>
      <xdr:col>26</xdr:col>
      <xdr:colOff>561975</xdr:colOff>
      <xdr:row>78</xdr:row>
      <xdr:rowOff>19050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  <a:ext uri="{147F2762-F138-4A5C-976F-8EAC2B608ADB}">
              <a16:predDERef xmlns:a16="http://schemas.microsoft.com/office/drawing/2014/main" pre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95250</xdr:colOff>
      <xdr:row>36</xdr:row>
      <xdr:rowOff>104775</xdr:rowOff>
    </xdr:from>
    <xdr:to>
      <xdr:col>26</xdr:col>
      <xdr:colOff>571500</xdr:colOff>
      <xdr:row>60</xdr:row>
      <xdr:rowOff>123825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  <a:ext uri="{147F2762-F138-4A5C-976F-8EAC2B608ADB}">
              <a16:predDERef xmlns:a16="http://schemas.microsoft.com/office/drawing/2014/main" pre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  <a:ext uri="{147F2762-F138-4A5C-976F-8EAC2B608ADB}">
              <a16:predDERef xmlns:a16="http://schemas.microsoft.com/office/drawing/2014/main" pre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61</xdr:row>
      <xdr:rowOff>104775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  <a:ext uri="{147F2762-F138-4A5C-976F-8EAC2B608ADB}">
              <a16:predDERef xmlns:a16="http://schemas.microsoft.com/office/drawing/2014/main" pre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28575</xdr:colOff>
      <xdr:row>19</xdr:row>
      <xdr:rowOff>95250</xdr:rowOff>
    </xdr:from>
    <xdr:to>
      <xdr:col>26</xdr:col>
      <xdr:colOff>400050</xdr:colOff>
      <xdr:row>33</xdr:row>
      <xdr:rowOff>76200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43</xdr:row>
      <xdr:rowOff>142875</xdr:rowOff>
    </xdr:from>
    <xdr:to>
      <xdr:col>2</xdr:col>
      <xdr:colOff>657225</xdr:colOff>
      <xdr:row>53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0" y="9734550"/>
          <a:ext cx="1714500" cy="1504950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44</xdr:row>
      <xdr:rowOff>47625</xdr:rowOff>
    </xdr:from>
    <xdr:to>
      <xdr:col>5</xdr:col>
      <xdr:colOff>904875</xdr:colOff>
      <xdr:row>53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7F797-0ABF-48D8-BB80-4133F53FE0C2}"/>
            </a:ext>
            <a:ext uri="{147F2762-F138-4A5C-976F-8EAC2B608ADB}">
              <a16:predDERef xmlns:a16="http://schemas.microsoft.com/office/drawing/2014/main" pred="{2D16C4F5-4B24-42E5-AD18-80499A15B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57575" y="9801225"/>
          <a:ext cx="1838325" cy="1533525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209550</xdr:colOff>
      <xdr:row>44</xdr:row>
      <xdr:rowOff>28575</xdr:rowOff>
    </xdr:from>
    <xdr:to>
      <xdr:col>7</xdr:col>
      <xdr:colOff>704850</xdr:colOff>
      <xdr:row>53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8F513B-61BE-4A2E-8475-AF6785845ACB}"/>
            </a:ext>
            <a:ext uri="{147F2762-F138-4A5C-976F-8EAC2B608ADB}">
              <a16:predDERef xmlns:a16="http://schemas.microsoft.com/office/drawing/2014/main" pred="{27F7F797-0ABF-48D8-BB80-4133F53FE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34050" y="9782175"/>
          <a:ext cx="1905000" cy="15335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  <a:ext uri="{147F2762-F138-4A5C-976F-8EAC2B608ADB}">
              <a16:predDERef xmlns:a16="http://schemas.microsoft.com/office/drawing/2014/main" pre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</xdr:colOff>
      <xdr:row>77</xdr:row>
      <xdr:rowOff>19050</xdr:rowOff>
    </xdr:from>
    <xdr:to>
      <xdr:col>6</xdr:col>
      <xdr:colOff>638175</xdr:colOff>
      <xdr:row>86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6125" y="12896850"/>
          <a:ext cx="2238375" cy="1590675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77</xdr:row>
      <xdr:rowOff>9525</xdr:rowOff>
    </xdr:from>
    <xdr:to>
      <xdr:col>3</xdr:col>
      <xdr:colOff>676275</xdr:colOff>
      <xdr:row>86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FD4D96-3D56-419A-B915-07548D8E894A}"/>
            </a:ext>
            <a:ext uri="{147F2762-F138-4A5C-976F-8EAC2B608ADB}">
              <a16:predDERef xmlns:a16="http://schemas.microsoft.com/office/drawing/2014/main" pred="{D83E9E38-13BB-4ECD-BB44-41B5ED997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0" y="12887325"/>
          <a:ext cx="2247900" cy="16002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66675</xdr:colOff>
      <xdr:row>76</xdr:row>
      <xdr:rowOff>57150</xdr:rowOff>
    </xdr:from>
    <xdr:to>
      <xdr:col>11</xdr:col>
      <xdr:colOff>476250</xdr:colOff>
      <xdr:row>87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29425" y="12763500"/>
          <a:ext cx="4029075" cy="1838325"/>
        </a:xfrm>
        <a:prstGeom prst="rect">
          <a:avLst/>
        </a:prstGeom>
      </xdr:spPr>
    </xdr:pic>
    <xdr:clientData/>
  </xdr:twoCellAnchor>
  <xdr:twoCellAnchor editAs="oneCell">
    <xdr:from>
      <xdr:col>1</xdr:col>
      <xdr:colOff>161925</xdr:colOff>
      <xdr:row>77</xdr:row>
      <xdr:rowOff>57150</xdr:rowOff>
    </xdr:from>
    <xdr:to>
      <xdr:col>4</xdr:col>
      <xdr:colOff>514350</xdr:colOff>
      <xdr:row>87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916370-8CC7-4A3F-8DE3-9155B54B58EB}"/>
            </a:ext>
            <a:ext uri="{147F2762-F138-4A5C-976F-8EAC2B608ADB}">
              <a16:predDERef xmlns:a16="http://schemas.microsoft.com/office/drawing/2014/main" pred="{1588B09D-8AB4-4069-B4B5-4F9621AAA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12925425"/>
          <a:ext cx="3533775" cy="16859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empUserProfiles\NetworkService\AppData\Local\Packages\oice_16_974fa576_32c1d314_3b17\AC\Temp\6%20JUNE,%20HLP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29939.139999999992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1AE17D42-0C7D-4D3B-BA62-13A787291F5D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9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2" dT="2021-07-06T03:06:16.60" personId="{1AE17D42-0C7D-4D3B-BA62-13A787291F5D}" id="{4CE4AAE9-9AA9-4012-A2EF-6F792894C9DA}">
    <text>Used by Osha vehicle STLB734 driver name is Kwera</text>
  </threadedComment>
  <threadedComment ref="AI14" dT="2021-07-05T03:16:00.35" personId="{1AE17D42-0C7D-4D3B-BA62-13A787291F5D}" id="{4AEB9D34-7E00-4F06-B65C-8003DFC9BFD4}">
    <text>Used by Green land vehicle</text>
  </threadedComment>
  <threadedComment ref="AI16" dT="2021-07-07T03:30:45.69" personId="{1AE17D42-0C7D-4D3B-BA62-13A787291F5D}" id="{9BBEB083-55D5-4D45-B4C7-80EA91BD5DC0}">
    <text>Used by Green land vehicle</text>
  </threadedComment>
  <threadedComment ref="AI17" dT="2021-07-09T03:30:55.08" personId="{1AE17D42-0C7D-4D3B-BA62-13A787291F5D}" id="{CE0D9C9B-3675-4B7B-B5E8-85B3E305F64F}">
    <text>Used by Green land vehicle</text>
  </threadedComment>
  <threadedComment ref="AI18" dT="2021-07-09T03:31:11.24" personId="{1AE17D42-0C7D-4D3B-BA62-13A787291F5D}" id="{B05B765B-836B-4407-AC77-9DD9DD44E47B}">
    <text>Used by Green land vehicle</text>
  </threadedComment>
  <threadedComment ref="AI20" dT="2021-07-11T03:37:27.69" personId="{1AE17D42-0C7D-4D3B-BA62-13A787291F5D}" id="{BD925146-EC2C-43E8-BD40-78E59F15AB94}">
    <text xml:space="preserve">373Lts Used by Green land vehicle and 20Lts used by NSSF vehicle
July 10, 2021, </text>
  </threadedComment>
  <threadedComment ref="AI21" dT="2021-08-01T06:59:10.79" personId="{1AE17D42-0C7D-4D3B-BA62-13A787291F5D}" id="{74C03699-C67A-4967-ABDC-11756EC0EDEE}">
    <text>Used by Green land vehicle</text>
  </threadedComment>
  <threadedComment ref="AI22" dT="2021-08-01T07:00:46.88" personId="{1AE17D42-0C7D-4D3B-BA62-13A787291F5D}" id="{0250D76F-8B58-427F-8417-E04B50D6625D}">
    <text>Used by Green land vehicle</text>
  </threadedComment>
  <threadedComment ref="AI24" dT="2021-08-01T07:06:30.58" personId="{1AE17D42-0C7D-4D3B-BA62-13A787291F5D}" id="{B48CF56F-541E-464C-B4C1-A2A11394F42A}">
    <text>Used by Green land vehicle</text>
  </threadedComment>
  <threadedComment ref="AI27" dT="2021-08-01T07:03:58.79" personId="{1AE17D42-0C7D-4D3B-BA62-13A787291F5D}" id="{F0A4EA65-BB8B-4FB4-8A43-8E89140D727A}">
    <text>Used by Green land vehicle</text>
  </threadedComment>
  <threadedComment ref="AI29" dT="2021-08-01T07:07:33.14" personId="{1AE17D42-0C7D-4D3B-BA62-13A787291F5D}" id="{E153F3E5-D15B-4174-B8F7-5D574F40F66D}">
    <text>Used by Green land vehicle</text>
  </threadedComment>
  <threadedComment ref="AI31" dT="2021-08-01T07:10:13.92" personId="{1AE17D42-0C7D-4D3B-BA62-13A787291F5D}" id="{E22C36E1-0244-4796-B432-AE7EDC07AF8E}">
    <text>Used by Green land vehicle</text>
  </threadedComment>
  <threadedComment ref="AI32" dT="2021-08-01T07:11:13.29" personId="{1AE17D42-0C7D-4D3B-BA62-13A787291F5D}" id="{E6BF570C-9509-427E-A37B-A9CF6671FCD4}">
    <text>Used by Green land vehicle</text>
  </threadedComment>
  <threadedComment ref="AI34" dT="2021-08-01T07:12:09.75" personId="{1AE17D42-0C7D-4D3B-BA62-13A787291F5D}" id="{B3DFE83F-AF0B-4FC7-8358-DCF8C991EDCE}">
    <text>Used by Green land vehicle</text>
  </threadedComment>
  <threadedComment ref="AI35" dT="2021-08-01T07:12:58.80" personId="{1AE17D42-0C7D-4D3B-BA62-13A787291F5D}" id="{2DA98591-858C-4BE0-93FD-612DA3FBAA16}">
    <text>Used by Green land vehicle</text>
  </threadedComment>
  <threadedComment ref="AI37" dT="2021-07-29T06:16:40.67" personId="{1AE17D42-0C7D-4D3B-BA62-13A787291F5D}" id="{81135A4B-AEB0-4C8C-A726-374FE2240DB8}">
    <text>USED BY POLICE MUGUMU</text>
  </threadedComment>
  <threadedComment ref="AI39" dT="2021-08-01T07:14:37.41" personId="{1AE17D42-0C7D-4D3B-BA62-13A787291F5D}" id="{FA10D457-CBEA-42BB-870C-47F6E9968516}">
    <text>Used by Green land vehicle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abSelected="1" workbookViewId="0">
      <selection activeCell="D14" sqref="D14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5" width="12.5703125" style="378" customWidth="1"/>
    <col min="6" max="6" width="12.5703125" style="11" customWidth="1"/>
    <col min="7" max="7" width="11.5703125" style="11"/>
    <col min="8" max="8" width="11.5703125" style="384"/>
    <col min="9" max="9" width="11.5703125" style="11"/>
    <col min="10" max="10" width="11.5703125" style="384"/>
    <col min="11" max="11" width="11.5703125" style="378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74" customFormat="1" ht="60.75" thickBot="1" x14ac:dyDescent="0.3">
      <c r="A1" s="368" t="s">
        <v>0</v>
      </c>
      <c r="B1" s="369" t="s">
        <v>1</v>
      </c>
      <c r="C1" s="369" t="s">
        <v>2</v>
      </c>
      <c r="D1" s="370" t="s">
        <v>3</v>
      </c>
      <c r="E1" s="371" t="s">
        <v>4</v>
      </c>
      <c r="F1" s="372" t="s">
        <v>5</v>
      </c>
      <c r="G1" s="372" t="s">
        <v>6</v>
      </c>
      <c r="H1" s="382" t="s">
        <v>7</v>
      </c>
      <c r="I1" s="372" t="s">
        <v>8</v>
      </c>
      <c r="J1" s="382" t="s">
        <v>9</v>
      </c>
      <c r="K1" s="371" t="s">
        <v>10</v>
      </c>
      <c r="L1" s="373" t="s">
        <v>11</v>
      </c>
    </row>
    <row r="2" spans="1:12" x14ac:dyDescent="0.2">
      <c r="A2" s="375" t="s">
        <v>12</v>
      </c>
      <c r="B2" s="376">
        <v>1</v>
      </c>
      <c r="C2" s="376">
        <v>7</v>
      </c>
      <c r="D2" s="377">
        <v>2021</v>
      </c>
      <c r="E2" s="378">
        <f>'UTILITY REPORT 1'!F3</f>
        <v>4264</v>
      </c>
      <c r="F2" s="379">
        <f>('UTILITY REPORT 1'!E3*'UTILITY REPORT 1'!D3)/'UTILITY REPORT 1'!F3</f>
        <v>0.42204033771106941</v>
      </c>
      <c r="G2" s="379">
        <f>IF('Utility summery'!M6&lt;0,"0",'Utility summery'!M6)</f>
        <v>130.67999999998722</v>
      </c>
      <c r="H2" s="383">
        <v>0</v>
      </c>
      <c r="I2" s="379">
        <f>IF('UTILITY REPORT 1'!G3&lt;0,"0",'UTILITY REPORT 1'!G3)</f>
        <v>109</v>
      </c>
      <c r="J2" s="1005">
        <v>2.165</v>
      </c>
      <c r="K2" s="378">
        <f>'UTILITY REPORT 1'!C3</f>
        <v>23</v>
      </c>
      <c r="L2" s="380" t="e">
        <f>E2*F2+G2*H2+#REF!*#REF!+I2*J2</f>
        <v>#REF!</v>
      </c>
    </row>
    <row r="3" spans="1:12" x14ac:dyDescent="0.2">
      <c r="A3" s="375" t="s">
        <v>12</v>
      </c>
      <c r="B3" s="376">
        <f>B2+1</f>
        <v>2</v>
      </c>
      <c r="C3" s="376">
        <v>7</v>
      </c>
      <c r="D3" s="377">
        <v>2021</v>
      </c>
      <c r="E3" s="378">
        <f>'UTILITY REPORT 1'!F4</f>
        <v>4274</v>
      </c>
      <c r="F3" s="379">
        <f>('UTILITY REPORT 1'!E4*'UTILITY REPORT 1'!D4)/'UTILITY REPORT 1'!F4</f>
        <v>0.39586335985025733</v>
      </c>
      <c r="G3" s="379">
        <f>IF('Utility summery'!M7&lt;0,"0",'Utility summery'!M7)</f>
        <v>124.52000000001281</v>
      </c>
      <c r="H3" s="383">
        <v>0</v>
      </c>
      <c r="I3" s="379">
        <f>IF('UTILITY REPORT 1'!G4&lt;0,"0",'UTILITY REPORT 1'!G4)</f>
        <v>101</v>
      </c>
      <c r="J3" s="1005">
        <v>2.165</v>
      </c>
      <c r="K3" s="378">
        <f>'UTILITY REPORT 1'!C4</f>
        <v>27</v>
      </c>
      <c r="L3" s="380" t="e">
        <f>E3*F3+G3*H3+#REF!*#REF!+I3*J3</f>
        <v>#REF!</v>
      </c>
    </row>
    <row r="4" spans="1:12" x14ac:dyDescent="0.2">
      <c r="A4" s="375" t="s">
        <v>12</v>
      </c>
      <c r="B4" s="376">
        <f t="shared" ref="B4:B30" si="0">B3+1</f>
        <v>3</v>
      </c>
      <c r="C4" s="376">
        <v>7</v>
      </c>
      <c r="D4" s="377">
        <v>2021</v>
      </c>
      <c r="E4" s="378">
        <f>'UTILITY REPORT 1'!F5</f>
        <v>4467</v>
      </c>
      <c r="F4" s="379">
        <f>('UTILITY REPORT 1'!E5*'UTILITY REPORT 1'!D5)/'UTILITY REPORT 1'!F5</f>
        <v>0.40530557421087976</v>
      </c>
      <c r="G4" s="379">
        <f>IF('Utility summery'!M8&lt;0,"0",'Utility summery'!M8)</f>
        <v>44</v>
      </c>
      <c r="H4" s="383">
        <v>0</v>
      </c>
      <c r="I4" s="379">
        <f>IF('UTILITY REPORT 1'!G5&lt;0,"0",'UTILITY REPORT 1'!G5)</f>
        <v>94</v>
      </c>
      <c r="J4" s="1005">
        <v>2.165</v>
      </c>
      <c r="K4" s="378">
        <f>'UTILITY REPORT 1'!C5</f>
        <v>20</v>
      </c>
      <c r="L4" s="380" t="e">
        <f>E4*F4+G4*H4+#REF!*#REF!+I4*J4</f>
        <v>#REF!</v>
      </c>
    </row>
    <row r="5" spans="1:12" x14ac:dyDescent="0.2">
      <c r="A5" s="375" t="s">
        <v>12</v>
      </c>
      <c r="B5" s="376">
        <f t="shared" si="0"/>
        <v>4</v>
      </c>
      <c r="C5" s="376">
        <v>7</v>
      </c>
      <c r="D5" s="377">
        <v>2021</v>
      </c>
      <c r="E5" s="378">
        <f>'UTILITY REPORT 1'!F6</f>
        <v>4106</v>
      </c>
      <c r="F5" s="379">
        <f>('UTILITY REPORT 1'!E6*'UTILITY REPORT 1'!D6)/'UTILITY REPORT 1'!F6</f>
        <v>0.40242084754018509</v>
      </c>
      <c r="G5" s="379">
        <f>IF('Utility summery'!M9&lt;0,"0",'Utility summery'!M9)</f>
        <v>89.363999999989758</v>
      </c>
      <c r="H5" s="383">
        <v>0</v>
      </c>
      <c r="I5" s="379">
        <f>IF('UTILITY REPORT 1'!G6&lt;0,"0",'UTILITY REPORT 1'!G6)</f>
        <v>98</v>
      </c>
      <c r="J5" s="1005">
        <v>2.165</v>
      </c>
      <c r="K5" s="378">
        <f>'UTILITY REPORT 1'!C6</f>
        <v>14</v>
      </c>
      <c r="L5" s="380" t="e">
        <f>E5*F5+G5*H5+#REF!*#REF!+I5*J5</f>
        <v>#REF!</v>
      </c>
    </row>
    <row r="6" spans="1:12" x14ac:dyDescent="0.2">
      <c r="A6" s="375" t="s">
        <v>12</v>
      </c>
      <c r="B6" s="376">
        <f t="shared" si="0"/>
        <v>5</v>
      </c>
      <c r="C6" s="376">
        <v>7</v>
      </c>
      <c r="D6" s="377">
        <v>2021</v>
      </c>
      <c r="E6" s="378">
        <f>'UTILITY REPORT 1'!F7</f>
        <v>4026</v>
      </c>
      <c r="F6" s="379">
        <f>('UTILITY REPORT 1'!E7*'UTILITY REPORT 1'!D7)/'UTILITY REPORT 1'!F7</f>
        <v>0.40842523596621955</v>
      </c>
      <c r="G6" s="379">
        <f>IF('Utility summery'!M10&lt;0,"0",'Utility summery'!M10)</f>
        <v>112.42000000001282</v>
      </c>
      <c r="H6" s="383">
        <v>0</v>
      </c>
      <c r="I6" s="379">
        <f>IF('UTILITY REPORT 1'!G7&lt;0,"0",'UTILITY REPORT 1'!G7)</f>
        <v>135</v>
      </c>
      <c r="J6" s="1005">
        <v>2.165</v>
      </c>
      <c r="K6" s="378">
        <f>'UTILITY REPORT 1'!C7</f>
        <v>11</v>
      </c>
      <c r="L6" s="380" t="e">
        <f>E6*F6+G6*H6+#REF!*#REF!+I6*J6</f>
        <v>#REF!</v>
      </c>
    </row>
    <row r="7" spans="1:12" x14ac:dyDescent="0.2">
      <c r="A7" s="375" t="s">
        <v>12</v>
      </c>
      <c r="B7" s="376">
        <f t="shared" si="0"/>
        <v>6</v>
      </c>
      <c r="C7" s="376">
        <v>7</v>
      </c>
      <c r="D7" s="377">
        <v>2021</v>
      </c>
      <c r="E7" s="378">
        <f>'UTILITY REPORT 1'!F8</f>
        <v>4145</v>
      </c>
      <c r="F7" s="379">
        <f>('UTILITY REPORT 1'!E8*'UTILITY REPORT 1'!D8)/'UTILITY REPORT 1'!F8</f>
        <v>0.40270928829915559</v>
      </c>
      <c r="G7" s="379">
        <f>IF('Utility summery'!M11&lt;0,"0",'Utility summery'!M11)</f>
        <v>116.77599999997183</v>
      </c>
      <c r="H7" s="383">
        <v>0</v>
      </c>
      <c r="I7" s="379">
        <f>IF('UTILITY REPORT 1'!G8&lt;0,"0",'UTILITY REPORT 1'!G8)</f>
        <v>124</v>
      </c>
      <c r="J7" s="1005">
        <v>2.165</v>
      </c>
      <c r="K7" s="378">
        <f>'UTILITY REPORT 1'!C8</f>
        <v>14</v>
      </c>
      <c r="L7" s="380" t="e">
        <f>E7*F7+G7*H7+#REF!*#REF!+I7*J7</f>
        <v>#REF!</v>
      </c>
    </row>
    <row r="8" spans="1:12" x14ac:dyDescent="0.2">
      <c r="A8" s="375" t="s">
        <v>12</v>
      </c>
      <c r="B8" s="376">
        <f t="shared" si="0"/>
        <v>7</v>
      </c>
      <c r="C8" s="376">
        <v>7</v>
      </c>
      <c r="D8" s="377">
        <v>2021</v>
      </c>
      <c r="E8" s="378">
        <f>'UTILITY REPORT 1'!F9</f>
        <v>4675</v>
      </c>
      <c r="F8" s="379">
        <f>('UTILITY REPORT 1'!E9*'UTILITY REPORT 1'!D9)/'UTILITY REPORT 1'!F9</f>
        <v>0.40618395721925138</v>
      </c>
      <c r="G8" s="379">
        <f>IF('Utility summery'!M12&lt;0,"0",'Utility summery'!M12)</f>
        <v>108.32800000004355</v>
      </c>
      <c r="H8" s="383">
        <v>0</v>
      </c>
      <c r="I8" s="379">
        <f>IF('UTILITY REPORT 1'!G9&lt;0,"0",'UTILITY REPORT 1'!G9)</f>
        <v>114</v>
      </c>
      <c r="J8" s="1005">
        <v>2.165</v>
      </c>
      <c r="K8" s="378">
        <f>'UTILITY REPORT 1'!C9</f>
        <v>29</v>
      </c>
      <c r="L8" s="380" t="e">
        <f>E8*F8+G8*H8+#REF!*#REF!+I8*J8</f>
        <v>#REF!</v>
      </c>
    </row>
    <row r="9" spans="1:12" x14ac:dyDescent="0.2">
      <c r="A9" s="375" t="s">
        <v>12</v>
      </c>
      <c r="B9" s="376">
        <f t="shared" si="0"/>
        <v>8</v>
      </c>
      <c r="C9" s="376">
        <v>7</v>
      </c>
      <c r="D9" s="377">
        <v>2021</v>
      </c>
      <c r="E9" s="378">
        <f>'UTILITY REPORT 1'!F10</f>
        <v>4550</v>
      </c>
      <c r="F9" s="379">
        <f>('UTILITY REPORT 1'!E10*'UTILITY REPORT 1'!D10)/'UTILITY REPORT 1'!F10</f>
        <v>0.41006373626373627</v>
      </c>
      <c r="G9" s="379">
        <f>IF('Utility summery'!M13&lt;0,"0",'Utility summery'!M13)</f>
        <v>112.37599999997184</v>
      </c>
      <c r="H9" s="383">
        <v>0</v>
      </c>
      <c r="I9" s="379">
        <f>IF('UTILITY REPORT 1'!G10&lt;0,"0",'UTILITY REPORT 1'!G10)</f>
        <v>94</v>
      </c>
      <c r="J9" s="1005">
        <v>2.165</v>
      </c>
      <c r="K9" s="378">
        <f>'UTILITY REPORT 1'!C10</f>
        <v>35</v>
      </c>
      <c r="L9" s="380" t="e">
        <f>E9*F9+G9*H9+#REF!*#REF!+I9*J9</f>
        <v>#REF!</v>
      </c>
    </row>
    <row r="10" spans="1:12" x14ac:dyDescent="0.2">
      <c r="A10" s="375" t="s">
        <v>12</v>
      </c>
      <c r="B10" s="376">
        <f t="shared" si="0"/>
        <v>9</v>
      </c>
      <c r="C10" s="376">
        <v>7</v>
      </c>
      <c r="D10" s="377">
        <v>2021</v>
      </c>
      <c r="E10" s="378">
        <f>'UTILITY REPORT 1'!F11</f>
        <v>4263</v>
      </c>
      <c r="F10" s="379">
        <f>('UTILITY REPORT 1'!E11*'UTILITY REPORT 1'!D11)/'UTILITY REPORT 1'!F11</f>
        <v>0.42393150363593718</v>
      </c>
      <c r="G10" s="379">
        <f>IF('Utility summery'!M14&lt;0,"0",'Utility summery'!M14)</f>
        <v>103.4</v>
      </c>
      <c r="H10" s="383">
        <v>0</v>
      </c>
      <c r="I10" s="379">
        <f>IF('UTILITY REPORT 1'!G11&lt;0,"0",'UTILITY REPORT 1'!G11)</f>
        <v>108</v>
      </c>
      <c r="J10" s="1005">
        <v>2.165</v>
      </c>
      <c r="K10" s="378">
        <f>'UTILITY REPORT 1'!C11</f>
        <v>39</v>
      </c>
      <c r="L10" s="380" t="e">
        <f>E10*F10+G10*H10+#REF!*#REF!+I10*J10</f>
        <v>#REF!</v>
      </c>
    </row>
    <row r="11" spans="1:12" x14ac:dyDescent="0.2">
      <c r="A11" s="375" t="s">
        <v>12</v>
      </c>
      <c r="B11" s="376">
        <f t="shared" si="0"/>
        <v>10</v>
      </c>
      <c r="C11" s="376">
        <v>7</v>
      </c>
      <c r="D11" s="377">
        <v>2021</v>
      </c>
      <c r="E11" s="378">
        <f>'UTILITY REPORT 1'!F12</f>
        <v>4506</v>
      </c>
      <c r="F11" s="379">
        <f>('UTILITY REPORT 1'!E12*'UTILITY REPORT 1'!D12)/'UTILITY REPORT 1'!F12</f>
        <v>0.41897026187305814</v>
      </c>
      <c r="G11" s="379">
        <f>IF('Utility summery'!M15&lt;0,"0",'Utility summery'!M15)</f>
        <v>117.30400000001538</v>
      </c>
      <c r="H11" s="383">
        <v>0</v>
      </c>
      <c r="I11" s="379">
        <f>IF('UTILITY REPORT 1'!G12&lt;0,"0",'UTILITY REPORT 1'!G12)</f>
        <v>116</v>
      </c>
      <c r="J11" s="1005">
        <v>2.165</v>
      </c>
      <c r="K11" s="378">
        <f>'UTILITY REPORT 1'!C12</f>
        <v>32</v>
      </c>
      <c r="L11" s="380" t="e">
        <f>E11*F11+G11*H11+#REF!*#REF!+I11*J11</f>
        <v>#REF!</v>
      </c>
    </row>
    <row r="12" spans="1:12" x14ac:dyDescent="0.2">
      <c r="A12" s="375" t="s">
        <v>12</v>
      </c>
      <c r="B12" s="376">
        <f t="shared" si="0"/>
        <v>11</v>
      </c>
      <c r="C12" s="376">
        <v>7</v>
      </c>
      <c r="D12" s="377">
        <v>2021</v>
      </c>
      <c r="E12" s="378">
        <f>'UTILITY REPORT 1'!F13</f>
        <v>4459</v>
      </c>
      <c r="F12" s="379">
        <f>('UTILITY REPORT 1'!E13*'UTILITY REPORT 1'!D13)/'UTILITY REPORT 1'!F13</f>
        <v>0.41547432159677056</v>
      </c>
      <c r="G12" s="379">
        <f>IF('Utility summery'!M16&lt;0,"0",'Utility summery'!M16)</f>
        <v>115.67599999997184</v>
      </c>
      <c r="H12" s="383">
        <v>0</v>
      </c>
      <c r="I12" s="379">
        <f>IF('UTILITY REPORT 1'!G13&lt;0,"0",'UTILITY REPORT 1'!G13)</f>
        <v>116</v>
      </c>
      <c r="J12" s="1005">
        <v>2.165</v>
      </c>
      <c r="K12" s="378">
        <f>'UTILITY REPORT 1'!C13</f>
        <v>31</v>
      </c>
      <c r="L12" s="380" t="e">
        <f>E12*F12+G12*H12+#REF!*#REF!+I12*J12</f>
        <v>#REF!</v>
      </c>
    </row>
    <row r="13" spans="1:12" x14ac:dyDescent="0.2">
      <c r="A13" s="375" t="s">
        <v>12</v>
      </c>
      <c r="B13" s="376">
        <f t="shared" si="0"/>
        <v>12</v>
      </c>
      <c r="C13" s="376">
        <v>7</v>
      </c>
      <c r="D13" s="377">
        <v>2021</v>
      </c>
      <c r="E13" s="378">
        <f>'UTILITY REPORT 1'!F14</f>
        <v>4438</v>
      </c>
      <c r="F13" s="379">
        <f>('UTILITY REPORT 1'!E14*'UTILITY REPORT 1'!D14)/'UTILITY REPORT 1'!F14</f>
        <v>0.37453132041460119</v>
      </c>
      <c r="G13" s="379">
        <f>IF('Utility summery'!M17&lt;0,"0",'Utility summery'!M17)</f>
        <v>126.98400000000257</v>
      </c>
      <c r="H13" s="383">
        <v>0</v>
      </c>
      <c r="I13" s="379">
        <f>IF('UTILITY REPORT 1'!G14&lt;0,"0",'UTILITY REPORT 1'!G14)</f>
        <v>109</v>
      </c>
      <c r="J13" s="1005">
        <v>2.165</v>
      </c>
      <c r="K13" s="378">
        <f>'UTILITY REPORT 1'!C14</f>
        <v>32</v>
      </c>
      <c r="L13" s="380" t="e">
        <f>E13*F13+G13*H13+#REF!*#REF!+I13*J13</f>
        <v>#REF!</v>
      </c>
    </row>
    <row r="14" spans="1:12" x14ac:dyDescent="0.2">
      <c r="A14" s="375" t="s">
        <v>12</v>
      </c>
      <c r="B14" s="376">
        <f t="shared" si="0"/>
        <v>13</v>
      </c>
      <c r="C14" s="376">
        <v>7</v>
      </c>
      <c r="D14" s="377">
        <v>2021</v>
      </c>
      <c r="E14" s="378">
        <f>'UTILITY REPORT 1'!F15</f>
        <v>4300</v>
      </c>
      <c r="F14" s="379">
        <f>('UTILITY REPORT 1'!E15*'UTILITY REPORT 1'!D15)/'UTILITY REPORT 1'!F15</f>
        <v>0.42904883720930231</v>
      </c>
      <c r="G14" s="379">
        <f>IF('Utility summery'!M18&lt;0,"0",'Utility summery'!M18)</f>
        <v>117.87600000003586</v>
      </c>
      <c r="H14" s="383">
        <v>0</v>
      </c>
      <c r="I14" s="379">
        <f>IF('UTILITY REPORT 1'!G15&lt;0,"0",'UTILITY REPORT 1'!G15)</f>
        <v>105</v>
      </c>
      <c r="J14" s="1005">
        <v>2.165</v>
      </c>
      <c r="K14" s="378">
        <f>'UTILITY REPORT 1'!C15</f>
        <v>19</v>
      </c>
      <c r="L14" s="380" t="e">
        <f>E14*F14+G14*H14+#REF!*#REF!+I14*J14</f>
        <v>#REF!</v>
      </c>
    </row>
    <row r="15" spans="1:12" x14ac:dyDescent="0.2">
      <c r="A15" s="375" t="s">
        <v>12</v>
      </c>
      <c r="B15" s="376">
        <f t="shared" si="0"/>
        <v>14</v>
      </c>
      <c r="C15" s="376">
        <v>7</v>
      </c>
      <c r="D15" s="377">
        <v>2021</v>
      </c>
      <c r="E15" s="378">
        <f>'UTILITY REPORT 1'!F16</f>
        <v>3902</v>
      </c>
      <c r="F15" s="379">
        <f>('UTILITY REPORT 1'!E16*'UTILITY REPORT 1'!D16)/'UTILITY REPORT 1'!F16</f>
        <v>0.42290363915940543</v>
      </c>
      <c r="G15" s="379">
        <f>IF('Utility summery'!M19&lt;0,"0",'Utility summery'!M19)</f>
        <v>127.77599999997184</v>
      </c>
      <c r="H15" s="383">
        <v>0</v>
      </c>
      <c r="I15" s="379">
        <f>IF('UTILITY REPORT 1'!G16&lt;0,"0",'UTILITY REPORT 1'!G16)</f>
        <v>105</v>
      </c>
      <c r="J15" s="1005">
        <v>2.165</v>
      </c>
      <c r="K15" s="378">
        <f>'UTILITY REPORT 1'!C16</f>
        <v>14</v>
      </c>
      <c r="L15" s="380" t="e">
        <f>E15*F15+G15*H15+#REF!*#REF!+I15*J15</f>
        <v>#REF!</v>
      </c>
    </row>
    <row r="16" spans="1:12" x14ac:dyDescent="0.2">
      <c r="A16" s="375" t="s">
        <v>12</v>
      </c>
      <c r="B16" s="376">
        <f t="shared" si="0"/>
        <v>15</v>
      </c>
      <c r="C16" s="376">
        <v>7</v>
      </c>
      <c r="D16" s="377">
        <v>2021</v>
      </c>
      <c r="E16" s="378">
        <f>'UTILITY REPORT 1'!F17</f>
        <v>3833</v>
      </c>
      <c r="F16" s="379">
        <f>('UTILITY REPORT 1'!E17*'UTILITY REPORT 1'!D17)/'UTILITY REPORT 1'!F17</f>
        <v>0.42871380120010444</v>
      </c>
      <c r="G16" s="379">
        <f>IF('Utility summery'!M20&lt;0,"0",'Utility summery'!M20)</f>
        <v>124.74000000002562</v>
      </c>
      <c r="H16" s="383">
        <v>0</v>
      </c>
      <c r="I16" s="379">
        <f>IF('UTILITY REPORT 1'!G17&lt;0,"0",'UTILITY REPORT 1'!G17)</f>
        <v>83</v>
      </c>
      <c r="J16" s="1005">
        <v>2.165</v>
      </c>
      <c r="K16" s="378">
        <f>'UTILITY REPORT 1'!C17</f>
        <v>16</v>
      </c>
      <c r="L16" s="380" t="e">
        <f>E16*F16+G16*H16+#REF!*#REF!+I16*J16</f>
        <v>#REF!</v>
      </c>
    </row>
    <row r="17" spans="1:12" x14ac:dyDescent="0.2">
      <c r="A17" s="375" t="s">
        <v>12</v>
      </c>
      <c r="B17" s="376">
        <f t="shared" si="0"/>
        <v>16</v>
      </c>
      <c r="C17" s="376">
        <v>7</v>
      </c>
      <c r="D17" s="377">
        <v>2021</v>
      </c>
      <c r="E17" s="378">
        <f>'UTILITY REPORT 1'!F18</f>
        <v>4080</v>
      </c>
      <c r="F17" s="379">
        <f>('UTILITY REPORT 1'!E18*'UTILITY REPORT 1'!D18)/'UTILITY REPORT 1'!F18</f>
        <v>0.42469117647058824</v>
      </c>
      <c r="G17" s="379">
        <f>IF('Utility summery'!M21&lt;0,"0",'Utility summery'!M21)</f>
        <v>119.06399999998976</v>
      </c>
      <c r="H17" s="383">
        <v>0</v>
      </c>
      <c r="I17" s="379">
        <f>IF('UTILITY REPORT 1'!G18&lt;0,"0",'UTILITY REPORT 1'!G18)</f>
        <v>103</v>
      </c>
      <c r="J17" s="1005">
        <v>2.165</v>
      </c>
      <c r="K17" s="378">
        <f>'UTILITY REPORT 1'!C18</f>
        <v>0</v>
      </c>
      <c r="L17" s="380" t="e">
        <f>E17*F17+G17*H17+#REF!*#REF!+I17*J17</f>
        <v>#REF!</v>
      </c>
    </row>
    <row r="18" spans="1:12" x14ac:dyDescent="0.2">
      <c r="A18" s="375" t="s">
        <v>12</v>
      </c>
      <c r="B18" s="376">
        <f t="shared" si="0"/>
        <v>17</v>
      </c>
      <c r="C18" s="376">
        <v>7</v>
      </c>
      <c r="D18" s="377">
        <v>2021</v>
      </c>
      <c r="E18" s="378">
        <f>'UTILITY REPORT 1'!F19</f>
        <v>4092</v>
      </c>
      <c r="F18" s="379">
        <f>('UTILITY REPORT 1'!E19*'UTILITY REPORT 1'!D19)/'UTILITY REPORT 1'!F19</f>
        <v>0.43173020527859235</v>
      </c>
      <c r="G18" s="379">
        <f>IF('Utility summery'!M22&lt;0,"0",'Utility summery'!M22)</f>
        <v>114.44399999997695</v>
      </c>
      <c r="H18" s="383">
        <v>0</v>
      </c>
      <c r="I18" s="379">
        <f>IF('UTILITY REPORT 1'!G19&lt;0,"0",'UTILITY REPORT 1'!G19)</f>
        <v>107</v>
      </c>
      <c r="J18" s="1005">
        <v>2.165</v>
      </c>
      <c r="K18" s="378">
        <f>'UTILITY REPORT 1'!C19</f>
        <v>0</v>
      </c>
      <c r="L18" s="380" t="e">
        <f>E18*F18+G18*H18+#REF!*#REF!+I18*J18</f>
        <v>#REF!</v>
      </c>
    </row>
    <row r="19" spans="1:12" x14ac:dyDescent="0.2">
      <c r="A19" s="375" t="s">
        <v>12</v>
      </c>
      <c r="B19" s="376">
        <f t="shared" si="0"/>
        <v>18</v>
      </c>
      <c r="C19" s="376">
        <v>7</v>
      </c>
      <c r="D19" s="377">
        <v>2021</v>
      </c>
      <c r="E19" s="378">
        <f>'UTILITY REPORT 1'!F20</f>
        <v>4450</v>
      </c>
      <c r="F19" s="379">
        <f>('UTILITY REPORT 1'!E20*'UTILITY REPORT 1'!D20)/'UTILITY REPORT 1'!F20</f>
        <v>0.40179325842696623</v>
      </c>
      <c r="G19" s="379">
        <f>IF('Utility summery'!M23&lt;0,"0",'Utility summery'!M23)</f>
        <v>104.32400000002818</v>
      </c>
      <c r="H19" s="383">
        <v>0</v>
      </c>
      <c r="I19" s="379">
        <f>IF('UTILITY REPORT 1'!G20&lt;0,"0",'UTILITY REPORT 1'!G20)</f>
        <v>128</v>
      </c>
      <c r="J19" s="1005">
        <v>2.165</v>
      </c>
      <c r="K19" s="378">
        <f>'UTILITY REPORT 1'!C20</f>
        <v>0</v>
      </c>
      <c r="L19" s="380" t="e">
        <f>E19*F19+G19*H19+#REF!*#REF!+I19*J19</f>
        <v>#REF!</v>
      </c>
    </row>
    <row r="20" spans="1:12" x14ac:dyDescent="0.2">
      <c r="A20" s="375" t="s">
        <v>12</v>
      </c>
      <c r="B20" s="376">
        <f t="shared" si="0"/>
        <v>19</v>
      </c>
      <c r="C20" s="376">
        <v>7</v>
      </c>
      <c r="D20" s="377">
        <v>2021</v>
      </c>
      <c r="E20" s="378">
        <f>'UTILITY REPORT 1'!F21</f>
        <v>4633</v>
      </c>
      <c r="F20" s="379">
        <f>('UTILITY REPORT 1'!E21*'UTILITY REPORT 1'!D21)/'UTILITY REPORT 1'!F21</f>
        <v>0.39119145262249078</v>
      </c>
      <c r="G20" s="379">
        <f>IF('Utility summery'!M24&lt;0,"0",'Utility summery'!M24)</f>
        <v>113.65200000000769</v>
      </c>
      <c r="H20" s="383">
        <v>0</v>
      </c>
      <c r="I20" s="379">
        <f>IF('UTILITY REPORT 1'!G21&lt;0,"0",'UTILITY REPORT 1'!G21)</f>
        <v>115</v>
      </c>
      <c r="J20" s="1005">
        <v>2.165</v>
      </c>
      <c r="K20" s="378">
        <f>'UTILITY REPORT 1'!C21</f>
        <v>0</v>
      </c>
      <c r="L20" s="380" t="e">
        <f>E20*F20+G20*H20+#REF!*#REF!+I20*J20</f>
        <v>#REF!</v>
      </c>
    </row>
    <row r="21" spans="1:12" x14ac:dyDescent="0.2">
      <c r="A21" s="375" t="s">
        <v>12</v>
      </c>
      <c r="B21" s="376">
        <f t="shared" si="0"/>
        <v>20</v>
      </c>
      <c r="C21" s="376">
        <v>7</v>
      </c>
      <c r="D21" s="377">
        <v>2021</v>
      </c>
      <c r="E21" s="378">
        <f>'UTILITY REPORT 1'!F22</f>
        <v>4722</v>
      </c>
      <c r="F21" s="379">
        <f>('UTILITY REPORT 1'!E22*'UTILITY REPORT 1'!D22)/'UTILITY REPORT 1'!F22</f>
        <v>0.42516730199068192</v>
      </c>
      <c r="G21" s="379">
        <f>IF('Utility summery'!M25&lt;0,"0",'Utility summery'!M25)</f>
        <v>111.89199999996927</v>
      </c>
      <c r="H21" s="383">
        <v>0</v>
      </c>
      <c r="I21" s="379">
        <f>IF('UTILITY REPORT 1'!G22&lt;0,"0",'UTILITY REPORT 1'!G22)</f>
        <v>113</v>
      </c>
      <c r="J21" s="1005">
        <v>2.165</v>
      </c>
      <c r="K21" s="378">
        <f>'UTILITY REPORT 1'!C22</f>
        <v>0</v>
      </c>
      <c r="L21" s="380" t="e">
        <f>E21*F21+G21*H21+#REF!*#REF!+I21*J21</f>
        <v>#REF!</v>
      </c>
    </row>
    <row r="22" spans="1:12" x14ac:dyDescent="0.2">
      <c r="A22" s="375" t="s">
        <v>12</v>
      </c>
      <c r="B22" s="376">
        <f t="shared" si="0"/>
        <v>21</v>
      </c>
      <c r="C22" s="376">
        <v>7</v>
      </c>
      <c r="D22" s="377">
        <v>2021</v>
      </c>
      <c r="E22" s="378">
        <f>'UTILITY REPORT 1'!F23</f>
        <v>4911</v>
      </c>
      <c r="F22" s="379">
        <f>('UTILITY REPORT 1'!E23*'UTILITY REPORT 1'!D23)/'UTILITY REPORT 1'!F23</f>
        <v>0.40577886377519851</v>
      </c>
      <c r="G22" s="379">
        <f>IF('Utility summery'!M26&lt;0,"0",'Utility summery'!M26)</f>
        <v>336.11599999999748</v>
      </c>
      <c r="H22" s="383">
        <v>0</v>
      </c>
      <c r="I22" s="379">
        <f>IF('UTILITY REPORT 1'!G23&lt;0,"0",'UTILITY REPORT 1'!G23)</f>
        <v>133</v>
      </c>
      <c r="J22" s="1005">
        <v>2.165</v>
      </c>
      <c r="K22" s="378">
        <f>'UTILITY REPORT 1'!C23</f>
        <v>0</v>
      </c>
      <c r="L22" s="380" t="e">
        <f>E22*F22+G22*H22+#REF!*#REF!+I22*J22</f>
        <v>#REF!</v>
      </c>
    </row>
    <row r="23" spans="1:12" x14ac:dyDescent="0.2">
      <c r="A23" s="375" t="s">
        <v>12</v>
      </c>
      <c r="B23" s="376">
        <f t="shared" si="0"/>
        <v>22</v>
      </c>
      <c r="C23" s="376">
        <v>7</v>
      </c>
      <c r="D23" s="377">
        <v>2021</v>
      </c>
      <c r="E23" s="378">
        <f>'UTILITY REPORT 1'!F24</f>
        <v>5226</v>
      </c>
      <c r="F23" s="379">
        <f>('UTILITY REPORT 1'!E24*'UTILITY REPORT 1'!D24)/'UTILITY REPORT 1'!F24</f>
        <v>0.42726559510141598</v>
      </c>
      <c r="G23" s="379" t="str">
        <f>IF('Utility summery'!M27&lt;0,"0",'Utility summery'!M27)</f>
        <v>0</v>
      </c>
      <c r="H23" s="383">
        <v>0</v>
      </c>
      <c r="I23" s="379">
        <f>IF('UTILITY REPORT 1'!G24&lt;0,"0",'UTILITY REPORT 1'!G24)</f>
        <v>113</v>
      </c>
      <c r="J23" s="1005">
        <v>2.165</v>
      </c>
      <c r="K23" s="378">
        <f>'UTILITY REPORT 1'!C24</f>
        <v>0</v>
      </c>
      <c r="L23" s="380" t="e">
        <f>E23*F23+G23*H23+#REF!*#REF!+I23*J23</f>
        <v>#REF!</v>
      </c>
    </row>
    <row r="24" spans="1:12" x14ac:dyDescent="0.2">
      <c r="A24" s="375" t="s">
        <v>12</v>
      </c>
      <c r="B24" s="376">
        <f t="shared" si="0"/>
        <v>23</v>
      </c>
      <c r="C24" s="376">
        <v>7</v>
      </c>
      <c r="D24" s="377">
        <v>2021</v>
      </c>
      <c r="E24" s="378">
        <f>'UTILITY REPORT 1'!F25</f>
        <v>4730</v>
      </c>
      <c r="F24" s="379">
        <f>('UTILITY REPORT 1'!E25*'UTILITY REPORT 1'!D25)/'UTILITY REPORT 1'!F25</f>
        <v>0.44202748414376319</v>
      </c>
      <c r="G24" s="379">
        <f>IF('Utility summery'!M28&lt;0,"0",'Utility summery'!M28)</f>
        <v>98.295999999984645</v>
      </c>
      <c r="H24" s="383">
        <v>0</v>
      </c>
      <c r="I24" s="379">
        <f>IF('UTILITY REPORT 1'!G25&lt;0,"0",'UTILITY REPORT 1'!G25)</f>
        <v>108</v>
      </c>
      <c r="J24" s="1005">
        <v>2.165</v>
      </c>
      <c r="K24" s="378">
        <f>'UTILITY REPORT 1'!C25</f>
        <v>0</v>
      </c>
      <c r="L24" s="380" t="e">
        <f>E24*F24+G24*H24+#REF!*#REF!+I24*J24</f>
        <v>#REF!</v>
      </c>
    </row>
    <row r="25" spans="1:12" x14ac:dyDescent="0.2">
      <c r="A25" s="375" t="s">
        <v>12</v>
      </c>
      <c r="B25" s="376">
        <f t="shared" si="0"/>
        <v>24</v>
      </c>
      <c r="C25" s="376">
        <v>7</v>
      </c>
      <c r="D25" s="377">
        <v>2021</v>
      </c>
      <c r="E25" s="378">
        <f>'UTILITY REPORT 1'!F26</f>
        <v>4879</v>
      </c>
      <c r="F25" s="379">
        <f>('UTILITY REPORT 1'!E26*'UTILITY REPORT 1'!D26)/'UTILITY REPORT 1'!F26</f>
        <v>0.4129391268702603</v>
      </c>
      <c r="G25" s="379">
        <f>IF('Utility summery'!M29&lt;0,"0",'Utility summery'!M29)</f>
        <v>98.868000000005125</v>
      </c>
      <c r="H25" s="383">
        <v>0</v>
      </c>
      <c r="I25" s="379">
        <f>IF('UTILITY REPORT 1'!G26&lt;0,"0",'UTILITY REPORT 1'!G26)</f>
        <v>106</v>
      </c>
      <c r="J25" s="1005">
        <v>2.165</v>
      </c>
      <c r="K25" s="378">
        <f>'UTILITY REPORT 1'!C26</f>
        <v>0</v>
      </c>
      <c r="L25" s="380" t="e">
        <f>E25*F25+G25*H25+#REF!*#REF!+I25*J25</f>
        <v>#REF!</v>
      </c>
    </row>
    <row r="26" spans="1:12" x14ac:dyDescent="0.2">
      <c r="A26" s="375" t="s">
        <v>12</v>
      </c>
      <c r="B26" s="376">
        <f>B25+1</f>
        <v>25</v>
      </c>
      <c r="C26" s="376">
        <v>7</v>
      </c>
      <c r="D26" s="377">
        <v>2021</v>
      </c>
      <c r="E26" s="378">
        <f>'UTILITY REPORT 1'!F27</f>
        <v>4599</v>
      </c>
      <c r="F26" s="379">
        <f>('UTILITY REPORT 1'!E27*'UTILITY REPORT 1'!D27)/'UTILITY REPORT 1'!F27</f>
        <v>0.40641226353555121</v>
      </c>
      <c r="G26" s="379">
        <f>IF('Utility summery'!M30&lt;0,"0",'Utility summery'!M30)</f>
        <v>106.39200000003331</v>
      </c>
      <c r="H26" s="383">
        <v>0</v>
      </c>
      <c r="I26" s="379">
        <f>IF('UTILITY REPORT 1'!G27&lt;0,"0",'UTILITY REPORT 1'!G27)</f>
        <v>106</v>
      </c>
      <c r="J26" s="1005">
        <v>2.165</v>
      </c>
      <c r="K26" s="378">
        <f>'UTILITY REPORT 1'!C27</f>
        <v>0</v>
      </c>
      <c r="L26" s="380" t="e">
        <f>E26*F26+G26*H26+#REF!*#REF!+I26*J26</f>
        <v>#REF!</v>
      </c>
    </row>
    <row r="27" spans="1:12" x14ac:dyDescent="0.2">
      <c r="A27" s="375" t="s">
        <v>12</v>
      </c>
      <c r="B27" s="376">
        <f t="shared" si="0"/>
        <v>26</v>
      </c>
      <c r="C27" s="376">
        <v>7</v>
      </c>
      <c r="D27" s="377">
        <v>2021</v>
      </c>
      <c r="E27" s="378">
        <f>'UTILITY REPORT 1'!F28</f>
        <v>4415</v>
      </c>
      <c r="F27" s="379">
        <f>('UTILITY REPORT 1'!E28*'UTILITY REPORT 1'!D28)/'UTILITY REPORT 1'!F28</f>
        <v>0.42781426953567375</v>
      </c>
      <c r="G27" s="379">
        <f>IF('Utility summery'!M31&lt;0,"0",'Utility summery'!M31)</f>
        <v>93.323999999964158</v>
      </c>
      <c r="H27" s="383">
        <v>0</v>
      </c>
      <c r="I27" s="379">
        <f>IF('UTILITY REPORT 1'!G28&lt;0,"0",'UTILITY REPORT 1'!G28)</f>
        <v>96</v>
      </c>
      <c r="J27" s="1005">
        <v>2.165</v>
      </c>
      <c r="K27" s="378">
        <f>'UTILITY REPORT 1'!C28</f>
        <v>0</v>
      </c>
      <c r="L27" s="380" t="e">
        <f>E27*F27+G27*H27+#REF!*#REF!+I27*J27</f>
        <v>#REF!</v>
      </c>
    </row>
    <row r="28" spans="1:12" x14ac:dyDescent="0.2">
      <c r="A28" s="375" t="s">
        <v>12</v>
      </c>
      <c r="B28" s="376">
        <f t="shared" si="0"/>
        <v>27</v>
      </c>
      <c r="C28" s="376">
        <v>7</v>
      </c>
      <c r="D28" s="377">
        <v>2021</v>
      </c>
      <c r="E28" s="378">
        <f>'UTILITY REPORT 1'!F29</f>
        <v>4607</v>
      </c>
      <c r="F28" s="379">
        <f>('UTILITY REPORT 1'!E29*'UTILITY REPORT 1'!D29)/'UTILITY REPORT 1'!F29</f>
        <v>0.41703711742999783</v>
      </c>
      <c r="G28" s="379">
        <f>IF('Utility summery'!M32&lt;0,"0",'Utility summery'!M32)</f>
        <v>74.228000000043551</v>
      </c>
      <c r="H28" s="383">
        <v>0</v>
      </c>
      <c r="I28" s="379">
        <f>IF('UTILITY REPORT 1'!G29&lt;0,"0",'UTILITY REPORT 1'!G29)</f>
        <v>103</v>
      </c>
      <c r="J28" s="1005">
        <v>2.165</v>
      </c>
      <c r="K28" s="378">
        <f>'UTILITY REPORT 1'!C29</f>
        <v>0</v>
      </c>
      <c r="L28" s="380" t="e">
        <f>E28*F28+G28*H28+#REF!*#REF!+I28*J28</f>
        <v>#REF!</v>
      </c>
    </row>
    <row r="29" spans="1:12" x14ac:dyDescent="0.2">
      <c r="A29" s="375" t="s">
        <v>12</v>
      </c>
      <c r="B29" s="376">
        <f t="shared" si="0"/>
        <v>28</v>
      </c>
      <c r="C29" s="376">
        <v>7</v>
      </c>
      <c r="D29" s="377">
        <v>2021</v>
      </c>
      <c r="E29" s="378">
        <f>'UTILITY REPORT 1'!F30</f>
        <v>4642</v>
      </c>
      <c r="F29" s="379">
        <f>('UTILITY REPORT 1'!E30*'UTILITY REPORT 1'!D30)/'UTILITY REPORT 1'!F30</f>
        <v>0.36549332184403277</v>
      </c>
      <c r="G29" s="379">
        <f>IF('Utility summery'!M33&lt;0,"0",'Utility summery'!M33)</f>
        <v>79.2</v>
      </c>
      <c r="H29" s="383">
        <v>0</v>
      </c>
      <c r="I29" s="379">
        <f>IF('UTILITY REPORT 1'!G30&lt;0,"0",'UTILITY REPORT 1'!G30)</f>
        <v>115</v>
      </c>
      <c r="J29" s="1005">
        <v>2.165</v>
      </c>
      <c r="K29" s="378">
        <f>'UTILITY REPORT 1'!C30</f>
        <v>0</v>
      </c>
      <c r="L29" s="380" t="e">
        <f>E29*F29+G29*H29+#REF!*#REF!+I29*J29</f>
        <v>#REF!</v>
      </c>
    </row>
    <row r="30" spans="1:12" x14ac:dyDescent="0.2">
      <c r="A30" s="375" t="s">
        <v>12</v>
      </c>
      <c r="B30" s="376">
        <f t="shared" si="0"/>
        <v>29</v>
      </c>
      <c r="C30" s="376">
        <v>7</v>
      </c>
      <c r="D30" s="377">
        <v>2021</v>
      </c>
      <c r="E30" s="378">
        <f>'UTILITY REPORT 1'!F31</f>
        <v>3985</v>
      </c>
      <c r="F30" s="379">
        <f>('UTILITY REPORT 1'!E31*'UTILITY REPORT 1'!D31)/'UTILITY REPORT 1'!F31</f>
        <v>0.49988958594730237</v>
      </c>
      <c r="G30" s="379">
        <f>IF('Utility summery'!M34&lt;0,"0",'Utility summery'!M34)</f>
        <v>175.64799999999232</v>
      </c>
      <c r="H30" s="383">
        <v>0</v>
      </c>
      <c r="I30" s="379">
        <f>IF('UTILITY REPORT 1'!G31&lt;0,"0",'UTILITY REPORT 1'!G31)</f>
        <v>111</v>
      </c>
      <c r="J30" s="1005">
        <v>2.165</v>
      </c>
      <c r="K30" s="378">
        <f>'UTILITY REPORT 1'!C31</f>
        <v>0</v>
      </c>
      <c r="L30" s="380" t="e">
        <f>E30*F30+G30*H30+#REF!*#REF!+I30*J30</f>
        <v>#REF!</v>
      </c>
    </row>
    <row r="31" spans="1:12" x14ac:dyDescent="0.2">
      <c r="A31" s="375" t="s">
        <v>12</v>
      </c>
      <c r="B31" s="376">
        <v>30</v>
      </c>
      <c r="C31" s="376">
        <v>7</v>
      </c>
      <c r="D31" s="377">
        <v>2021</v>
      </c>
      <c r="E31" s="378">
        <f>'UTILITY REPORT 1'!F32</f>
        <v>4484</v>
      </c>
      <c r="F31" s="379">
        <f>('UTILITY REPORT 1'!E32*'UTILITY REPORT 1'!D32)/'UTILITY REPORT 1'!F32</f>
        <v>0.4064607493309545</v>
      </c>
      <c r="G31" s="379">
        <f>IF('Utility summery'!M35&lt;0,"0",'Utility summery'!M35)</f>
        <v>171.29199999996928</v>
      </c>
      <c r="H31" s="383">
        <v>0</v>
      </c>
      <c r="I31" s="379">
        <f>IF('UTILITY REPORT 1'!G32&lt;0,"0",'UTILITY REPORT 1'!G32)</f>
        <v>105</v>
      </c>
      <c r="J31" s="1005">
        <v>2.165</v>
      </c>
      <c r="K31" s="378">
        <f>'UTILITY REPORT 1'!C32</f>
        <v>0</v>
      </c>
      <c r="L31" s="380" t="e">
        <f>E31*F31+G31*H31+#REF!*#REF!+I31*J31</f>
        <v>#REF!</v>
      </c>
    </row>
    <row r="32" spans="1:12" x14ac:dyDescent="0.2">
      <c r="A32" s="375" t="s">
        <v>12</v>
      </c>
      <c r="B32" s="376">
        <v>31</v>
      </c>
      <c r="C32" s="376">
        <v>7</v>
      </c>
      <c r="D32" s="377">
        <v>2021</v>
      </c>
      <c r="E32" s="378">
        <f>'UTILITY REPORT 1'!F33</f>
        <v>4015</v>
      </c>
      <c r="F32" s="379">
        <f>('UTILITY REPORT 1'!E33*'UTILITY REPORT 1'!D33)/'UTILITY REPORT 1'!F33</f>
        <v>0.41843586550435863</v>
      </c>
      <c r="G32" s="379">
        <f>IF('Utility summery'!M36&lt;0,"0",'Utility summery'!M36)</f>
        <v>111.23199999999488</v>
      </c>
      <c r="H32" s="383">
        <v>0</v>
      </c>
      <c r="I32" s="379">
        <f>IF('UTILITY REPORT 1'!G33&lt;0,"0",'UTILITY REPORT 1'!G33)</f>
        <v>99</v>
      </c>
      <c r="J32" s="1005">
        <v>2.165</v>
      </c>
      <c r="K32" s="378">
        <f>'UTILITY REPORT 1'!C33</f>
        <v>0</v>
      </c>
    </row>
    <row r="33" spans="6:10" x14ac:dyDescent="0.2">
      <c r="F33" s="379"/>
      <c r="G33" s="379"/>
      <c r="H33" s="383"/>
      <c r="I33" s="379" t="s">
        <v>13</v>
      </c>
      <c r="J33" s="383"/>
    </row>
    <row r="34" spans="6:10" x14ac:dyDescent="0.2">
      <c r="F34" s="379"/>
      <c r="G34" s="379"/>
      <c r="H34" s="383"/>
      <c r="I34" s="379"/>
      <c r="J34" s="383"/>
    </row>
    <row r="35" spans="6:10" x14ac:dyDescent="0.2">
      <c r="F35" s="379"/>
      <c r="G35" s="379"/>
      <c r="H35" s="383"/>
      <c r="I35" s="379"/>
      <c r="J35" s="383"/>
    </row>
    <row r="36" spans="6:10" x14ac:dyDescent="0.2">
      <c r="F36" s="379"/>
      <c r="G36" s="379"/>
      <c r="H36" s="383"/>
      <c r="I36" s="379"/>
      <c r="J36" s="383"/>
    </row>
    <row r="37" spans="6:10" x14ac:dyDescent="0.2">
      <c r="F37" s="379"/>
      <c r="G37" s="379"/>
      <c r="H37" s="383"/>
      <c r="I37" s="379"/>
      <c r="J37" s="383"/>
    </row>
    <row r="38" spans="6:10" x14ac:dyDescent="0.2">
      <c r="F38" s="379"/>
      <c r="G38" s="379"/>
      <c r="H38" s="383"/>
      <c r="I38" s="379"/>
      <c r="J38" s="383"/>
    </row>
    <row r="39" spans="6:10" x14ac:dyDescent="0.2">
      <c r="F39" s="379"/>
      <c r="G39" s="379"/>
      <c r="H39" s="383"/>
      <c r="I39" s="379"/>
      <c r="J39" s="38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D36" sqref="D36"/>
    </sheetView>
  </sheetViews>
  <sheetFormatPr defaultColWidth="11.5703125" defaultRowHeight="12.75" x14ac:dyDescent="0.2"/>
  <cols>
    <col min="1" max="1" width="12.42578125" style="11" customWidth="1"/>
    <col min="2" max="3" width="11.5703125" style="376"/>
    <col min="4" max="4" width="13.42578125" style="377" customWidth="1"/>
    <col min="5" max="6" width="12.5703125" style="11" customWidth="1"/>
    <col min="7" max="7" width="12.5703125" style="378" customWidth="1"/>
    <col min="8" max="10" width="11.5703125" style="11"/>
    <col min="11" max="11" width="12.5703125" style="378" customWidth="1"/>
    <col min="12" max="12" width="11.5703125" style="11"/>
    <col min="13" max="14" width="11.5703125" style="378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74" customFormat="1" ht="60.75" thickBot="1" x14ac:dyDescent="0.3">
      <c r="A1" s="422" t="s">
        <v>0</v>
      </c>
      <c r="B1" s="423" t="s">
        <v>1</v>
      </c>
      <c r="C1" s="423" t="s">
        <v>2</v>
      </c>
      <c r="D1" s="424" t="s">
        <v>3</v>
      </c>
      <c r="E1" s="425" t="s">
        <v>14</v>
      </c>
      <c r="F1" s="425" t="s">
        <v>15</v>
      </c>
      <c r="G1" s="426" t="s">
        <v>4</v>
      </c>
      <c r="H1" s="425" t="s">
        <v>16</v>
      </c>
      <c r="I1" s="425" t="s">
        <v>17</v>
      </c>
      <c r="J1" s="425" t="s">
        <v>18</v>
      </c>
      <c r="K1" s="426" t="s">
        <v>19</v>
      </c>
      <c r="L1" s="425" t="s">
        <v>20</v>
      </c>
      <c r="M1" s="426" t="s">
        <v>21</v>
      </c>
      <c r="N1" s="426" t="s">
        <v>22</v>
      </c>
      <c r="O1" s="426" t="s">
        <v>22</v>
      </c>
      <c r="P1" s="426" t="s">
        <v>23</v>
      </c>
      <c r="Q1" s="426" t="s">
        <v>24</v>
      </c>
      <c r="R1" s="426" t="s">
        <v>25</v>
      </c>
      <c r="S1" s="426" t="s">
        <v>26</v>
      </c>
      <c r="T1" s="426" t="s">
        <v>27</v>
      </c>
      <c r="U1" s="426" t="s">
        <v>28</v>
      </c>
      <c r="V1" s="426" t="s">
        <v>29</v>
      </c>
      <c r="W1" s="429" t="s">
        <v>30</v>
      </c>
      <c r="X1" s="430" t="s">
        <v>10</v>
      </c>
    </row>
    <row r="2" spans="1:24" x14ac:dyDescent="0.2">
      <c r="A2" s="417" t="s">
        <v>12</v>
      </c>
      <c r="B2" s="418">
        <v>1</v>
      </c>
      <c r="C2" s="418">
        <v>7</v>
      </c>
      <c r="D2" s="419">
        <v>2021</v>
      </c>
      <c r="E2" s="420">
        <f>'UTILITY REPORT 1'!I3</f>
        <v>0</v>
      </c>
      <c r="F2" s="420">
        <f>'UTILITY REPORT 1'!E3</f>
        <v>1799.58</v>
      </c>
      <c r="G2" s="421">
        <f>'UTILITY REPORT 1'!F3</f>
        <v>4264</v>
      </c>
      <c r="H2" s="420">
        <f>IF('Kit report'!F4&lt;0,"0",'Kit report'!F4)</f>
        <v>1128180</v>
      </c>
      <c r="I2" s="420">
        <f>IF('Kit report'!X4&lt;0,"0",'Kit report'!X4)</f>
        <v>1647280</v>
      </c>
      <c r="J2" s="420">
        <f>IF('Utility summery'!H6&lt;0,"0",'Utility summery'!H6)</f>
        <v>33</v>
      </c>
      <c r="K2" s="421">
        <f>IF('UTILITY REPORT 1'!H3&lt;0,"0",'UTILITY REPORT 1'!H3)</f>
        <v>80</v>
      </c>
      <c r="L2" s="420">
        <f>'Water-Meter'!K6</f>
        <v>2</v>
      </c>
      <c r="M2" s="421">
        <f>'Water-Meter'!H6</f>
        <v>0</v>
      </c>
      <c r="N2" s="421">
        <f>'Water-Meter'!Q6</f>
        <v>3</v>
      </c>
      <c r="O2" s="420" t="e">
        <f>K2*E2+H2*I2+#REF!*#REF!+J2*L2</f>
        <v>#REF!</v>
      </c>
      <c r="P2" s="420">
        <f>'Water-Meter'!E6</f>
        <v>109</v>
      </c>
      <c r="Q2" s="366">
        <f>IF('Water-Meter'!U6&lt;0,"0",'Water-Meter'!U6)</f>
        <v>48</v>
      </c>
      <c r="R2" s="366">
        <f>IF('Water-Meter'!X6&lt;0,"0",'Water-Meter'!X6)</f>
        <v>0</v>
      </c>
      <c r="S2" s="366">
        <f>IF('Water-Meter'!AA6&lt;0,"0",'Water-Meter'!AA6)</f>
        <v>35</v>
      </c>
      <c r="T2" s="366">
        <f>IF('Water-Meter'!AD6&lt;0,"0",'Water-Meter'!AD6)</f>
        <v>16</v>
      </c>
      <c r="U2" s="366">
        <f>IF('Water-Meter'!AG6&lt;0,"0",'Water-Meter'!AG6)</f>
        <v>0</v>
      </c>
      <c r="V2" s="366">
        <f>IF('Water-Meter'!AJ6&lt;0,"0",'Water-Meter'!AJ6)</f>
        <v>32</v>
      </c>
      <c r="W2" s="21">
        <f>'Water-Meter'!AN6</f>
        <v>131</v>
      </c>
      <c r="X2" s="431">
        <f>Total!K2</f>
        <v>23</v>
      </c>
    </row>
    <row r="3" spans="1:24" x14ac:dyDescent="0.2">
      <c r="A3" s="416" t="s">
        <v>12</v>
      </c>
      <c r="B3" s="413">
        <f>B2+1</f>
        <v>2</v>
      </c>
      <c r="C3" s="418">
        <v>7</v>
      </c>
      <c r="D3" s="419">
        <v>2021</v>
      </c>
      <c r="E3" s="414">
        <f>'UTILITY REPORT 1'!I4</f>
        <v>324.81</v>
      </c>
      <c r="F3" s="414">
        <f>'UTILITY REPORT 1'!E4</f>
        <v>1691.9199999999998</v>
      </c>
      <c r="G3" s="415">
        <f>'UTILITY REPORT 1'!F4</f>
        <v>4274</v>
      </c>
      <c r="H3" s="414">
        <f>IF('Kit report'!F5&lt;0,"0",'Kit report'!F5)</f>
        <v>324.00000000008731</v>
      </c>
      <c r="I3" s="414">
        <f>IF('Kit report'!X5&lt;0,"0",'Kit report'!X5)</f>
        <v>560.00000000021828</v>
      </c>
      <c r="J3" s="414">
        <f>IF('Utility summery'!H7&lt;0,"0",'Utility summery'!H7)</f>
        <v>35</v>
      </c>
      <c r="K3" s="415">
        <f>IF('UTILITY REPORT 1'!H4&lt;0,"0",'UTILITY REPORT 1'!H4)</f>
        <v>60</v>
      </c>
      <c r="L3" s="414">
        <f>'Water-Meter'!K7</f>
        <v>2</v>
      </c>
      <c r="M3" s="415">
        <f>'Water-Meter'!H7</f>
        <v>0</v>
      </c>
      <c r="N3" s="415">
        <f>'Water-Meter'!Q7</f>
        <v>7</v>
      </c>
      <c r="O3" s="414" t="e">
        <f>K3*E3+H3*I3+#REF!*#REF!+J3*L3</f>
        <v>#REF!</v>
      </c>
      <c r="P3" s="420">
        <f>'Water-Meter'!E7</f>
        <v>101</v>
      </c>
      <c r="Q3" s="217">
        <f>IF('Water-Meter'!U7&lt;0,"0",'Water-Meter'!U7)</f>
        <v>79</v>
      </c>
      <c r="R3" s="217">
        <f>IF('Water-Meter'!X7&lt;0,"0",'Water-Meter'!X7)</f>
        <v>0</v>
      </c>
      <c r="S3" s="217">
        <f>IF('Water-Meter'!AA7&lt;0,"0",'Water-Meter'!AA7)</f>
        <v>33</v>
      </c>
      <c r="T3" s="217">
        <f>IF('Water-Meter'!AD7&lt;0,"0",'Water-Meter'!AD7)</f>
        <v>15</v>
      </c>
      <c r="U3" s="217">
        <f>IF('Water-Meter'!AG7&lt;0,"0",'Water-Meter'!AG7)</f>
        <v>0</v>
      </c>
      <c r="V3" s="217">
        <f>IF('Water-Meter'!AJ7&lt;0,"0",'Water-Meter'!AJ7)</f>
        <v>29</v>
      </c>
      <c r="W3" s="21">
        <f>'Water-Meter'!AN7</f>
        <v>156</v>
      </c>
      <c r="X3" s="431">
        <f>Total!K3</f>
        <v>27</v>
      </c>
    </row>
    <row r="4" spans="1:24" x14ac:dyDescent="0.2">
      <c r="A4" s="416" t="s">
        <v>12</v>
      </c>
      <c r="B4" s="413">
        <f t="shared" ref="B4:B30" si="0">B3+1</f>
        <v>3</v>
      </c>
      <c r="C4" s="418">
        <v>7</v>
      </c>
      <c r="D4" s="419">
        <v>2021</v>
      </c>
      <c r="E4" s="414">
        <f>'UTILITY REPORT 1'!I5</f>
        <v>0</v>
      </c>
      <c r="F4" s="414">
        <f>'UTILITY REPORT 1'!E5</f>
        <v>1810.5</v>
      </c>
      <c r="G4" s="415">
        <f>'UTILITY REPORT 1'!F5</f>
        <v>4467</v>
      </c>
      <c r="H4" s="414">
        <f>IF('Kit report'!F6&lt;0,"0",'Kit report'!F6)</f>
        <v>360</v>
      </c>
      <c r="I4" s="414">
        <f>IF('Kit report'!X6&lt;0,"0",'Kit report'!X6)</f>
        <v>539.99999999978172</v>
      </c>
      <c r="J4" s="414">
        <f>IF('Utility summery'!H8&lt;0,"0",'Utility summery'!H8)</f>
        <v>10</v>
      </c>
      <c r="K4" s="415">
        <f>IF('UTILITY REPORT 1'!H5&lt;0,"0",'UTILITY REPORT 1'!H5)</f>
        <v>55</v>
      </c>
      <c r="L4" s="414">
        <f>'Water-Meter'!K8</f>
        <v>3</v>
      </c>
      <c r="M4" s="415">
        <f>'Water-Meter'!H8</f>
        <v>0</v>
      </c>
      <c r="N4" s="415">
        <f>'Water-Meter'!Q8</f>
        <v>8</v>
      </c>
      <c r="O4" s="414" t="e">
        <f>K4*E4+H4*I4+#REF!*#REF!+J4*L4</f>
        <v>#REF!</v>
      </c>
      <c r="P4" s="420">
        <f>'Water-Meter'!E8</f>
        <v>94</v>
      </c>
      <c r="Q4" s="217">
        <f>IF('Water-Meter'!U8&lt;0,"0",'Water-Meter'!U8)</f>
        <v>89</v>
      </c>
      <c r="R4" s="217">
        <f>IF('Water-Meter'!X8&lt;0,"0",'Water-Meter'!X8)</f>
        <v>0</v>
      </c>
      <c r="S4" s="217">
        <f>IF('Water-Meter'!AA8&lt;0,"0",'Water-Meter'!AA8)</f>
        <v>37</v>
      </c>
      <c r="T4" s="217">
        <f>IF('Water-Meter'!AD8&lt;0,"0",'Water-Meter'!AD8)</f>
        <v>17</v>
      </c>
      <c r="U4" s="217">
        <f>IF('Water-Meter'!AG8&lt;0,"0",'Water-Meter'!AG8)</f>
        <v>0</v>
      </c>
      <c r="V4" s="217">
        <f>IF('Water-Meter'!AJ8&lt;0,"0",'Water-Meter'!AJ8)</f>
        <v>32</v>
      </c>
      <c r="W4" s="21">
        <f>'Water-Meter'!AN8</f>
        <v>175</v>
      </c>
      <c r="X4" s="431">
        <f>Total!K4</f>
        <v>20</v>
      </c>
    </row>
    <row r="5" spans="1:24" x14ac:dyDescent="0.2">
      <c r="A5" s="416" t="s">
        <v>12</v>
      </c>
      <c r="B5" s="413">
        <f t="shared" si="0"/>
        <v>4</v>
      </c>
      <c r="C5" s="418">
        <v>7</v>
      </c>
      <c r="D5" s="419">
        <v>2021</v>
      </c>
      <c r="E5" s="414">
        <f>'UTILITY REPORT 1'!I6</f>
        <v>233.22</v>
      </c>
      <c r="F5" s="414">
        <f>'UTILITY REPORT 1'!E6</f>
        <v>1652.34</v>
      </c>
      <c r="G5" s="415">
        <f>'UTILITY REPORT 1'!F6</f>
        <v>4106</v>
      </c>
      <c r="H5" s="414">
        <f>IF('Kit report'!F7&lt;0,"0",'Kit report'!F7)</f>
        <v>323.99999999986903</v>
      </c>
      <c r="I5" s="414">
        <f>IF('Kit report'!X7&lt;0,"0",'Kit report'!X7)</f>
        <v>660.00000000021828</v>
      </c>
      <c r="J5" s="414">
        <f>IF('Utility summery'!H9&lt;0,"0",'Utility summery'!H9)</f>
        <v>58</v>
      </c>
      <c r="K5" s="415">
        <f>IF('UTILITY REPORT 1'!H6&lt;0,"0",'UTILITY REPORT 1'!H6)</f>
        <v>48</v>
      </c>
      <c r="L5" s="414">
        <f>'Water-Meter'!K9</f>
        <v>2</v>
      </c>
      <c r="M5" s="415">
        <f>'Water-Meter'!H9</f>
        <v>0</v>
      </c>
      <c r="N5" s="415">
        <f>'Water-Meter'!Q9</f>
        <v>10</v>
      </c>
      <c r="O5" s="414" t="e">
        <f>K5*E5+H5*I5+#REF!*#REF!+J5*L5</f>
        <v>#REF!</v>
      </c>
      <c r="P5" s="420">
        <f>'Water-Meter'!E9</f>
        <v>98</v>
      </c>
      <c r="Q5" s="217">
        <f>IF('Water-Meter'!U9&lt;0,"0",'Water-Meter'!U9)</f>
        <v>80</v>
      </c>
      <c r="R5" s="217">
        <f>IF('Water-Meter'!X9&lt;0,"0",'Water-Meter'!X9)</f>
        <v>0</v>
      </c>
      <c r="S5" s="217">
        <f>IF('Water-Meter'!AA9&lt;0,"0",'Water-Meter'!AA9)</f>
        <v>33</v>
      </c>
      <c r="T5" s="217">
        <f>IF('Water-Meter'!AD9&lt;0,"0",'Water-Meter'!AD9)</f>
        <v>15</v>
      </c>
      <c r="U5" s="217">
        <f>IF('Water-Meter'!AG9&lt;0,"0",'Water-Meter'!AG9)</f>
        <v>0</v>
      </c>
      <c r="V5" s="217">
        <f>IF('Water-Meter'!AJ9&lt;0,"0",'Water-Meter'!AJ9)</f>
        <v>30</v>
      </c>
      <c r="W5" s="21">
        <f>'Water-Meter'!AN9</f>
        <v>158</v>
      </c>
      <c r="X5" s="431">
        <f>Total!K5</f>
        <v>14</v>
      </c>
    </row>
    <row r="6" spans="1:24" x14ac:dyDescent="0.2">
      <c r="A6" s="416" t="s">
        <v>12</v>
      </c>
      <c r="B6" s="413">
        <f t="shared" si="0"/>
        <v>5</v>
      </c>
      <c r="C6" s="418">
        <v>7</v>
      </c>
      <c r="D6" s="419">
        <v>2021</v>
      </c>
      <c r="E6" s="414">
        <f>'UTILITY REPORT 1'!I7</f>
        <v>148.61000000000001</v>
      </c>
      <c r="F6" s="414">
        <f>'UTILITY REPORT 1'!E7</f>
        <v>1644.32</v>
      </c>
      <c r="G6" s="415">
        <f>'UTILITY REPORT 1'!F7</f>
        <v>4026</v>
      </c>
      <c r="H6" s="414">
        <f>IF('Kit report'!F8&lt;0,"0",'Kit report'!F8)</f>
        <v>264.00000000008731</v>
      </c>
      <c r="I6" s="414">
        <f>IF('Kit report'!X8&lt;0,"0",'Kit report'!X8)</f>
        <v>659.99999999985448</v>
      </c>
      <c r="J6" s="414">
        <f>IF('Utility summery'!H10&lt;0,"0",'Utility summery'!H10)</f>
        <v>44</v>
      </c>
      <c r="K6" s="415">
        <f>IF('UTILITY REPORT 1'!H7&lt;0,"0",'UTILITY REPORT 1'!H7)</f>
        <v>50</v>
      </c>
      <c r="L6" s="414">
        <f>'Water-Meter'!K10</f>
        <v>1</v>
      </c>
      <c r="M6" s="415">
        <f>'Water-Meter'!H10</f>
        <v>0</v>
      </c>
      <c r="N6" s="415">
        <f>'Water-Meter'!Q10</f>
        <v>7</v>
      </c>
      <c r="O6" s="414" t="e">
        <f>K6*E6+H6*I6+#REF!*#REF!+J6*L6</f>
        <v>#REF!</v>
      </c>
      <c r="P6" s="420">
        <f>'Water-Meter'!E10</f>
        <v>135</v>
      </c>
      <c r="Q6" s="217">
        <f>IF('Water-Meter'!U10&lt;0,"0",'Water-Meter'!U10)</f>
        <v>49</v>
      </c>
      <c r="R6" s="217">
        <f>IF('Water-Meter'!X10&lt;0,"0",'Water-Meter'!X10)</f>
        <v>0</v>
      </c>
      <c r="S6" s="217">
        <f>IF('Water-Meter'!AA10&lt;0,"0",'Water-Meter'!AA10)</f>
        <v>34</v>
      </c>
      <c r="T6" s="217">
        <f>IF('Water-Meter'!AD10&lt;0,"0",'Water-Meter'!AD10)</f>
        <v>17</v>
      </c>
      <c r="U6" s="217">
        <f>IF('Water-Meter'!AG10&lt;0,"0",'Water-Meter'!AG10)</f>
        <v>0</v>
      </c>
      <c r="V6" s="217">
        <f>IF('Water-Meter'!AJ10&lt;0,"0",'Water-Meter'!AJ10)</f>
        <v>31</v>
      </c>
      <c r="W6" s="21">
        <f>'Water-Meter'!AN10</f>
        <v>131</v>
      </c>
      <c r="X6" s="431">
        <f>Total!K6</f>
        <v>11</v>
      </c>
    </row>
    <row r="7" spans="1:24" x14ac:dyDescent="0.2">
      <c r="A7" s="416" t="s">
        <v>12</v>
      </c>
      <c r="B7" s="413">
        <f t="shared" si="0"/>
        <v>6</v>
      </c>
      <c r="C7" s="418">
        <v>7</v>
      </c>
      <c r="D7" s="419">
        <v>2021</v>
      </c>
      <c r="E7" s="414">
        <f>'UTILITY REPORT 1'!I8</f>
        <v>199.93</v>
      </c>
      <c r="F7" s="414">
        <f>'UTILITY REPORT 1'!E8</f>
        <v>1669.23</v>
      </c>
      <c r="G7" s="415">
        <f>'UTILITY REPORT 1'!F8</f>
        <v>4145</v>
      </c>
      <c r="H7" s="414">
        <f>IF('Kit report'!F9&lt;0,"0",'Kit report'!F9)</f>
        <v>275.99999999991269</v>
      </c>
      <c r="I7" s="414">
        <f>IF('Kit report'!X9&lt;0,"0",'Kit report'!X9)</f>
        <v>600</v>
      </c>
      <c r="J7" s="414">
        <f>IF('Utility summery'!H11&lt;0,"0",'Utility summery'!H11)</f>
        <v>52</v>
      </c>
      <c r="K7" s="415">
        <f>IF('UTILITY REPORT 1'!H8&lt;0,"0",'UTILITY REPORT 1'!H8)</f>
        <v>113</v>
      </c>
      <c r="L7" s="414">
        <f>'Water-Meter'!K11</f>
        <v>2</v>
      </c>
      <c r="M7" s="415">
        <f>'Water-Meter'!H11</f>
        <v>0</v>
      </c>
      <c r="N7" s="415">
        <f>'Water-Meter'!Q11</f>
        <v>10</v>
      </c>
      <c r="O7" s="414" t="e">
        <f>K7*E7+H7*I7+#REF!*#REF!+J7*L7</f>
        <v>#REF!</v>
      </c>
      <c r="P7" s="420">
        <f>'Water-Meter'!E11</f>
        <v>124</v>
      </c>
      <c r="Q7" s="217">
        <f>IF('Water-Meter'!U11&lt;0,"0",'Water-Meter'!U11)</f>
        <v>0</v>
      </c>
      <c r="R7" s="217">
        <f>IF('Water-Meter'!X11&lt;0,"0",'Water-Meter'!X11)</f>
        <v>0</v>
      </c>
      <c r="S7" s="217">
        <f>IF('Water-Meter'!AA11&lt;0,"0",'Water-Meter'!AA11)</f>
        <v>35</v>
      </c>
      <c r="T7" s="217">
        <f>IF('Water-Meter'!AD11&lt;0,"0",'Water-Meter'!AD11)</f>
        <v>16</v>
      </c>
      <c r="U7" s="217">
        <f>IF('Water-Meter'!AG11&lt;0,"0",'Water-Meter'!AG11)</f>
        <v>0</v>
      </c>
      <c r="V7" s="217">
        <f>IF('Water-Meter'!AJ11&lt;0,"0",'Water-Meter'!AJ11)</f>
        <v>31</v>
      </c>
      <c r="W7" s="21">
        <f>'Water-Meter'!AN11</f>
        <v>82</v>
      </c>
      <c r="X7" s="431">
        <f>Total!K7</f>
        <v>14</v>
      </c>
    </row>
    <row r="8" spans="1:24" x14ac:dyDescent="0.2">
      <c r="A8" s="416" t="s">
        <v>12</v>
      </c>
      <c r="B8" s="413">
        <f t="shared" si="0"/>
        <v>7</v>
      </c>
      <c r="C8" s="418">
        <v>7</v>
      </c>
      <c r="D8" s="419">
        <v>2021</v>
      </c>
      <c r="E8" s="414">
        <f>'UTILITY REPORT 1'!I9</f>
        <v>168.95</v>
      </c>
      <c r="F8" s="414">
        <f>'UTILITY REPORT 1'!E9</f>
        <v>1898.91</v>
      </c>
      <c r="G8" s="415">
        <f>'UTILITY REPORT 1'!F9</f>
        <v>4675</v>
      </c>
      <c r="H8" s="414">
        <f>IF('Kit report'!F10&lt;0,"0",'Kit report'!F10)</f>
        <v>264.00000000008731</v>
      </c>
      <c r="I8" s="414">
        <f>IF('Kit report'!X10&lt;0,"0",'Kit report'!X10)</f>
        <v>800</v>
      </c>
      <c r="J8" s="414">
        <f>IF('Utility summery'!H12&lt;0,"0",'Utility summery'!H12)</f>
        <v>52</v>
      </c>
      <c r="K8" s="415">
        <f>IF('UTILITY REPORT 1'!H9&lt;0,"0",'UTILITY REPORT 1'!H9)</f>
        <v>121</v>
      </c>
      <c r="L8" s="414">
        <f>'Water-Meter'!K12</f>
        <v>2</v>
      </c>
      <c r="M8" s="415">
        <f>'Water-Meter'!H12</f>
        <v>0</v>
      </c>
      <c r="N8" s="415">
        <f>'Water-Meter'!Q12</f>
        <v>11</v>
      </c>
      <c r="O8" s="414" t="e">
        <f>K8*E8+H8*I8+#REF!*#REF!+J8*L8</f>
        <v>#REF!</v>
      </c>
      <c r="P8" s="420">
        <f>'Water-Meter'!E12</f>
        <v>114</v>
      </c>
      <c r="Q8" s="217">
        <f>IF('Water-Meter'!U12&lt;0,"0",'Water-Meter'!U12)</f>
        <v>86</v>
      </c>
      <c r="R8" s="217">
        <f>IF('Water-Meter'!X12&lt;0,"0",'Water-Meter'!X12)</f>
        <v>0</v>
      </c>
      <c r="S8" s="217">
        <f>IF('Water-Meter'!AA12&lt;0,"0",'Water-Meter'!AA12)</f>
        <v>33</v>
      </c>
      <c r="T8" s="217">
        <f>IF('Water-Meter'!AD12&lt;0,"0",'Water-Meter'!AD12)</f>
        <v>16</v>
      </c>
      <c r="U8" s="217">
        <f>IF('Water-Meter'!AG12&lt;0,"0",'Water-Meter'!AG12)</f>
        <v>0</v>
      </c>
      <c r="V8" s="217">
        <f>IF('Water-Meter'!AJ12&lt;0,"0",'Water-Meter'!AJ12)</f>
        <v>32</v>
      </c>
      <c r="W8" s="21">
        <f>'Water-Meter'!AN12</f>
        <v>167</v>
      </c>
      <c r="X8" s="431">
        <f>Total!K8</f>
        <v>29</v>
      </c>
    </row>
    <row r="9" spans="1:24" x14ac:dyDescent="0.2">
      <c r="A9" s="416" t="s">
        <v>12</v>
      </c>
      <c r="B9" s="413">
        <f t="shared" si="0"/>
        <v>8</v>
      </c>
      <c r="C9" s="418">
        <v>7</v>
      </c>
      <c r="D9" s="419">
        <v>2021</v>
      </c>
      <c r="E9" s="414">
        <f>'UTILITY REPORT 1'!I10</f>
        <v>47</v>
      </c>
      <c r="F9" s="414">
        <f>'UTILITY REPORT 1'!E10</f>
        <v>1865.79</v>
      </c>
      <c r="G9" s="415">
        <f>'UTILITY REPORT 1'!F10</f>
        <v>4550</v>
      </c>
      <c r="H9" s="414">
        <f>IF('Kit report'!F11&lt;0,"0",'Kit report'!F11)</f>
        <v>252.00000000004366</v>
      </c>
      <c r="I9" s="414">
        <f>IF('Kit report'!X11&lt;0,"0",'Kit report'!X11)</f>
        <v>759.99999999985448</v>
      </c>
      <c r="J9" s="414">
        <f>IF('Utility summery'!H13&lt;0,"0",'Utility summery'!H13)</f>
        <v>57</v>
      </c>
      <c r="K9" s="415">
        <f>IF('UTILITY REPORT 1'!H10&lt;0,"0",'UTILITY REPORT 1'!H10)</f>
        <v>201</v>
      </c>
      <c r="L9" s="414">
        <f>'Water-Meter'!K13</f>
        <v>1</v>
      </c>
      <c r="M9" s="415">
        <f>'Water-Meter'!H13</f>
        <v>0</v>
      </c>
      <c r="N9" s="415">
        <f>'Water-Meter'!Q13</f>
        <v>9</v>
      </c>
      <c r="O9" s="414" t="e">
        <f>K9*E9+H9*I9+#REF!*#REF!+J9*L9</f>
        <v>#REF!</v>
      </c>
      <c r="P9" s="420">
        <f>'Water-Meter'!E13</f>
        <v>94</v>
      </c>
      <c r="Q9" s="217">
        <f>IF('Water-Meter'!U13&lt;0,"0",'Water-Meter'!U13)</f>
        <v>82</v>
      </c>
      <c r="R9" s="217">
        <f>IF('Water-Meter'!X13&lt;0,"0",'Water-Meter'!X13)</f>
        <v>0</v>
      </c>
      <c r="S9" s="217">
        <f>IF('Water-Meter'!AA13&lt;0,"0",'Water-Meter'!AA13)</f>
        <v>33</v>
      </c>
      <c r="T9" s="217">
        <f>IF('Water-Meter'!AD13&lt;0,"0",'Water-Meter'!AD13)</f>
        <v>16</v>
      </c>
      <c r="U9" s="217">
        <f>IF('Water-Meter'!AG13&lt;0,"0",'Water-Meter'!AG13)</f>
        <v>0</v>
      </c>
      <c r="V9" s="217">
        <f>IF('Water-Meter'!AJ13&lt;0,"0",'Water-Meter'!AJ13)</f>
        <v>33</v>
      </c>
      <c r="W9" s="21">
        <f>'Water-Meter'!AN13</f>
        <v>164</v>
      </c>
      <c r="X9" s="431">
        <f>Total!K9</f>
        <v>35</v>
      </c>
    </row>
    <row r="10" spans="1:24" x14ac:dyDescent="0.2">
      <c r="A10" s="416" t="s">
        <v>12</v>
      </c>
      <c r="B10" s="413">
        <f t="shared" si="0"/>
        <v>9</v>
      </c>
      <c r="C10" s="418">
        <v>7</v>
      </c>
      <c r="D10" s="419">
        <v>2021</v>
      </c>
      <c r="E10" s="414">
        <f>'UTILITY REPORT 1'!I11</f>
        <v>456</v>
      </c>
      <c r="F10" s="414">
        <f>'UTILITY REPORT 1'!E11</f>
        <v>1807.2200000000003</v>
      </c>
      <c r="G10" s="415">
        <f>'UTILITY REPORT 1'!F11</f>
        <v>4263</v>
      </c>
      <c r="H10" s="414">
        <f>IF('Kit report'!F12&lt;0,"0",'Kit report'!F12)</f>
        <v>287.99999999995634</v>
      </c>
      <c r="I10" s="414">
        <f>IF('Kit report'!X12&lt;0,"0",'Kit report'!X12)</f>
        <v>880.00000000029104</v>
      </c>
      <c r="J10" s="414">
        <f>IF('Utility summery'!H14&lt;0,"0",'Utility summery'!H14)</f>
        <v>59</v>
      </c>
      <c r="K10" s="415">
        <f>IF('UTILITY REPORT 1'!H11&lt;0,"0",'UTILITY REPORT 1'!H11)</f>
        <v>1</v>
      </c>
      <c r="L10" s="414">
        <f>'Water-Meter'!K14</f>
        <v>2</v>
      </c>
      <c r="M10" s="415">
        <f>'Water-Meter'!H14</f>
        <v>0</v>
      </c>
      <c r="N10" s="415">
        <f>'Water-Meter'!Q14</f>
        <v>10</v>
      </c>
      <c r="O10" s="414" t="e">
        <f>K10*E10+H10*I10+#REF!*#REF!+J10*L10</f>
        <v>#REF!</v>
      </c>
      <c r="P10" s="420">
        <f>'Water-Meter'!E14</f>
        <v>108</v>
      </c>
      <c r="Q10" s="217">
        <f>IF('Water-Meter'!U14&lt;0,"0",'Water-Meter'!U14)</f>
        <v>83</v>
      </c>
      <c r="R10" s="217">
        <f>IF('Water-Meter'!X14&lt;0,"0",'Water-Meter'!X14)</f>
        <v>0</v>
      </c>
      <c r="S10" s="217">
        <f>IF('Water-Meter'!AA14&lt;0,"0",'Water-Meter'!AA14)</f>
        <v>34</v>
      </c>
      <c r="T10" s="217">
        <f>IF('Water-Meter'!AD14&lt;0,"0",'Water-Meter'!AD14)</f>
        <v>17</v>
      </c>
      <c r="U10" s="217">
        <f>IF('Water-Meter'!AG14&lt;0,"0",'Water-Meter'!AG14)</f>
        <v>0</v>
      </c>
      <c r="V10" s="217">
        <f>IF('Water-Meter'!AJ14&lt;0,"0",'Water-Meter'!AJ14)</f>
        <v>33</v>
      </c>
      <c r="W10" s="21">
        <f>'Water-Meter'!AN14</f>
        <v>167</v>
      </c>
      <c r="X10" s="431">
        <f>Total!K10</f>
        <v>39</v>
      </c>
    </row>
    <row r="11" spans="1:24" x14ac:dyDescent="0.2">
      <c r="A11" s="416" t="s">
        <v>12</v>
      </c>
      <c r="B11" s="413">
        <f t="shared" si="0"/>
        <v>10</v>
      </c>
      <c r="C11" s="418">
        <v>7</v>
      </c>
      <c r="D11" s="419">
        <v>2021</v>
      </c>
      <c r="E11" s="414">
        <f>'UTILITY REPORT 1'!I12</f>
        <v>644.97</v>
      </c>
      <c r="F11" s="414">
        <f>'UTILITY REPORT 1'!E12</f>
        <v>1887.8799999999999</v>
      </c>
      <c r="G11" s="415">
        <f>'UTILITY REPORT 1'!F12</f>
        <v>4506</v>
      </c>
      <c r="H11" s="414">
        <f>IF('Kit report'!F13&lt;0,"0",'Kit report'!F13)</f>
        <v>240</v>
      </c>
      <c r="I11" s="414">
        <f>IF('Kit report'!X13&lt;0,"0",'Kit report'!X13)</f>
        <v>819.99999999970896</v>
      </c>
      <c r="J11" s="414">
        <f>IF('Utility summery'!H15&lt;0,"0",'Utility summery'!H15)</f>
        <v>56</v>
      </c>
      <c r="K11" s="415">
        <f>IF('UTILITY REPORT 1'!H12&lt;0,"0",'UTILITY REPORT 1'!H12)</f>
        <v>70</v>
      </c>
      <c r="L11" s="414">
        <f>'Water-Meter'!K15</f>
        <v>2</v>
      </c>
      <c r="M11" s="415">
        <f>'Water-Meter'!H15</f>
        <v>0</v>
      </c>
      <c r="N11" s="415">
        <f>'Water-Meter'!Q15</f>
        <v>11</v>
      </c>
      <c r="O11" s="414" t="e">
        <f>K11*E11+H11*I11+#REF!*#REF!+J11*L11</f>
        <v>#REF!</v>
      </c>
      <c r="P11" s="420">
        <f>'Water-Meter'!E15</f>
        <v>116</v>
      </c>
      <c r="Q11" s="217">
        <f>IF('Water-Meter'!U15&lt;0,"0",'Water-Meter'!U15)</f>
        <v>81</v>
      </c>
      <c r="R11" s="217">
        <f>IF('Water-Meter'!X15&lt;0,"0",'Water-Meter'!X15)</f>
        <v>0</v>
      </c>
      <c r="S11" s="217">
        <f>IF('Water-Meter'!AA15&lt;0,"0",'Water-Meter'!AA15)</f>
        <v>40</v>
      </c>
      <c r="T11" s="217">
        <f>IF('Water-Meter'!AD15&lt;0,"0",'Water-Meter'!AD15)</f>
        <v>16</v>
      </c>
      <c r="U11" s="217">
        <f>IF('Water-Meter'!AG15&lt;0,"0",'Water-Meter'!AG15)</f>
        <v>0</v>
      </c>
      <c r="V11" s="217">
        <f>IF('Water-Meter'!AJ15&lt;0,"0",'Water-Meter'!AJ15)</f>
        <v>35</v>
      </c>
      <c r="W11" s="21">
        <f>'Water-Meter'!AN15</f>
        <v>172</v>
      </c>
      <c r="X11" s="431">
        <f>Total!K11</f>
        <v>32</v>
      </c>
    </row>
    <row r="12" spans="1:24" x14ac:dyDescent="0.2">
      <c r="A12" s="416" t="s">
        <v>12</v>
      </c>
      <c r="B12" s="413">
        <f t="shared" si="0"/>
        <v>11</v>
      </c>
      <c r="C12" s="418">
        <v>7</v>
      </c>
      <c r="D12" s="419">
        <v>2021</v>
      </c>
      <c r="E12" s="414">
        <f>'UTILITY REPORT 1'!I13</f>
        <v>608.62</v>
      </c>
      <c r="F12" s="414">
        <f>'UTILITY REPORT 1'!E13</f>
        <v>1852.6</v>
      </c>
      <c r="G12" s="415">
        <f>'UTILITY REPORT 1'!F13</f>
        <v>4459</v>
      </c>
      <c r="H12" s="414">
        <f>IF('Kit report'!F14&lt;0,"0",'Kit report'!F14)</f>
        <v>275.99999999991269</v>
      </c>
      <c r="I12" s="414">
        <f>IF('Kit report'!X14&lt;0,"0",'Kit report'!X14)</f>
        <v>900</v>
      </c>
      <c r="J12" s="414">
        <f>IF('Utility summery'!H16&lt;0,"0",'Utility summery'!H16)</f>
        <v>0</v>
      </c>
      <c r="K12" s="415">
        <f>IF('UTILITY REPORT 1'!H13&lt;0,"0",'UTILITY REPORT 1'!H13)</f>
        <v>41</v>
      </c>
      <c r="L12" s="414">
        <f>'Water-Meter'!K16</f>
        <v>6</v>
      </c>
      <c r="M12" s="415">
        <f>'Water-Meter'!H16</f>
        <v>0</v>
      </c>
      <c r="N12" s="415">
        <f>'Water-Meter'!Q16</f>
        <v>11</v>
      </c>
      <c r="O12" s="414" t="e">
        <f>K12*E12+H12*I12+#REF!*#REF!+J12*L12</f>
        <v>#REF!</v>
      </c>
      <c r="P12" s="420">
        <f>'Water-Meter'!E16</f>
        <v>116</v>
      </c>
      <c r="Q12" s="217">
        <f>IF('Water-Meter'!U16&lt;0,"0",'Water-Meter'!U16)</f>
        <v>82</v>
      </c>
      <c r="R12" s="217">
        <f>IF('Water-Meter'!X16&lt;0,"0",'Water-Meter'!X16)</f>
        <v>0</v>
      </c>
      <c r="S12" s="217">
        <f>IF('Water-Meter'!AA16&lt;0,"0",'Water-Meter'!AA16)</f>
        <v>34</v>
      </c>
      <c r="T12" s="217">
        <f>IF('Water-Meter'!AD16&lt;0,"0",'Water-Meter'!AD16)</f>
        <v>14</v>
      </c>
      <c r="U12" s="217">
        <f>IF('Water-Meter'!AG16&lt;0,"0",'Water-Meter'!AG16)</f>
        <v>0</v>
      </c>
      <c r="V12" s="217">
        <f>IF('Water-Meter'!AJ16&lt;0,"0",'Water-Meter'!AJ16)</f>
        <v>24</v>
      </c>
      <c r="W12" s="21">
        <f>'Water-Meter'!AN16</f>
        <v>154</v>
      </c>
      <c r="X12" s="431">
        <f>Total!K12</f>
        <v>31</v>
      </c>
    </row>
    <row r="13" spans="1:24" x14ac:dyDescent="0.2">
      <c r="A13" s="416" t="s">
        <v>12</v>
      </c>
      <c r="B13" s="413">
        <f t="shared" si="0"/>
        <v>12</v>
      </c>
      <c r="C13" s="418">
        <v>7</v>
      </c>
      <c r="D13" s="419">
        <v>2021</v>
      </c>
      <c r="E13" s="414">
        <f>'UTILITY REPORT 1'!I14</f>
        <v>677.99</v>
      </c>
      <c r="F13" s="414">
        <f>'UTILITY REPORT 1'!E14</f>
        <v>1662.17</v>
      </c>
      <c r="G13" s="415">
        <f>'UTILITY REPORT 1'!F14</f>
        <v>4438</v>
      </c>
      <c r="H13" s="414">
        <f>IF('Kit report'!F15&lt;0,"0",'Kit report'!F15)</f>
        <v>264.00000000008731</v>
      </c>
      <c r="I13" s="414">
        <f>IF('Kit report'!X15&lt;0,"0",'Kit report'!X15)</f>
        <v>1020.0000000000728</v>
      </c>
      <c r="J13" s="414">
        <f>IF('Utility summery'!H17&lt;0,"0",'Utility summery'!H17)</f>
        <v>1</v>
      </c>
      <c r="K13" s="415">
        <f>IF('UTILITY REPORT 1'!H14&lt;0,"0",'UTILITY REPORT 1'!H14)</f>
        <v>40</v>
      </c>
      <c r="L13" s="414">
        <f>'Water-Meter'!K17</f>
        <v>2</v>
      </c>
      <c r="M13" s="415">
        <f>'Water-Meter'!H17</f>
        <v>0</v>
      </c>
      <c r="N13" s="415">
        <f>'Water-Meter'!Q17</f>
        <v>10</v>
      </c>
      <c r="O13" s="414" t="e">
        <f>K13*E13+H13*I13+#REF!*#REF!+J13*L13</f>
        <v>#REF!</v>
      </c>
      <c r="P13" s="420">
        <f>'Water-Meter'!E17</f>
        <v>109</v>
      </c>
      <c r="Q13" s="217">
        <f>IF('Water-Meter'!U17&lt;0,"0",'Water-Meter'!U17)</f>
        <v>86</v>
      </c>
      <c r="R13" s="217">
        <f>IF('Water-Meter'!X17&lt;0,"0",'Water-Meter'!X17)</f>
        <v>0</v>
      </c>
      <c r="S13" s="217">
        <f>IF('Water-Meter'!AA17&lt;0,"0",'Water-Meter'!AA17)</f>
        <v>37</v>
      </c>
      <c r="T13" s="217">
        <f>IF('Water-Meter'!AD17&lt;0,"0",'Water-Meter'!AD17)</f>
        <v>15</v>
      </c>
      <c r="U13" s="217">
        <f>IF('Water-Meter'!AG17&lt;0,"0",'Water-Meter'!AG17)</f>
        <v>0</v>
      </c>
      <c r="V13" s="217">
        <f>IF('Water-Meter'!AJ17&lt;0,"0",'Water-Meter'!AJ17)</f>
        <v>33</v>
      </c>
      <c r="W13" s="21">
        <f>'Water-Meter'!AN17</f>
        <v>171</v>
      </c>
      <c r="X13" s="431">
        <f>Total!K13</f>
        <v>32</v>
      </c>
    </row>
    <row r="14" spans="1:24" x14ac:dyDescent="0.2">
      <c r="A14" s="416" t="s">
        <v>12</v>
      </c>
      <c r="B14" s="413">
        <f t="shared" si="0"/>
        <v>13</v>
      </c>
      <c r="C14" s="418">
        <v>7</v>
      </c>
      <c r="D14" s="419">
        <v>2021</v>
      </c>
      <c r="E14" s="414">
        <f>'UTILITY REPORT 1'!I15</f>
        <v>204.13</v>
      </c>
      <c r="F14" s="414">
        <f>'UTILITY REPORT 1'!E15</f>
        <v>1844.9099999999999</v>
      </c>
      <c r="G14" s="415">
        <f>'UTILITY REPORT 1'!F15</f>
        <v>4300</v>
      </c>
      <c r="H14" s="414">
        <f>IF('Kit report'!F16&lt;0,"0",'Kit report'!F16)</f>
        <v>275.99999999991269</v>
      </c>
      <c r="I14" s="414">
        <f>IF('Kit report'!X16&lt;0,"0",'Kit report'!X16)</f>
        <v>960.00000000021828</v>
      </c>
      <c r="J14" s="414">
        <f>IF('Utility summery'!H18&lt;0,"0",'Utility summery'!H18)</f>
        <v>60</v>
      </c>
      <c r="K14" s="415">
        <f>IF('UTILITY REPORT 1'!H15&lt;0,"0",'UTILITY REPORT 1'!H15)</f>
        <v>37</v>
      </c>
      <c r="L14" s="414">
        <f>'Water-Meter'!K18</f>
        <v>2</v>
      </c>
      <c r="M14" s="415">
        <f>'Water-Meter'!H18</f>
        <v>0</v>
      </c>
      <c r="N14" s="415">
        <f>'Water-Meter'!Q18</f>
        <v>12</v>
      </c>
      <c r="O14" s="414" t="e">
        <f>K14*E14+H14*I14+#REF!*#REF!+J14*L14</f>
        <v>#REF!</v>
      </c>
      <c r="P14" s="420">
        <f>'Water-Meter'!E18</f>
        <v>105</v>
      </c>
      <c r="Q14" s="217">
        <f>IF('Water-Meter'!U18&lt;0,"0",'Water-Meter'!U18)</f>
        <v>83</v>
      </c>
      <c r="R14" s="217">
        <f>IF('Water-Meter'!X18&lt;0,"0",'Water-Meter'!X18)</f>
        <v>0</v>
      </c>
      <c r="S14" s="217">
        <f>IF('Water-Meter'!AA18&lt;0,"0",'Water-Meter'!AA18)</f>
        <v>36</v>
      </c>
      <c r="T14" s="217">
        <f>IF('Water-Meter'!AD18&lt;0,"0",'Water-Meter'!AD18)</f>
        <v>15</v>
      </c>
      <c r="U14" s="217">
        <f>IF('Water-Meter'!AG18&lt;0,"0",'Water-Meter'!AG18)</f>
        <v>0</v>
      </c>
      <c r="V14" s="217">
        <f>IF('Water-Meter'!AJ18&lt;0,"0",'Water-Meter'!AJ18)</f>
        <v>31</v>
      </c>
      <c r="W14" s="21">
        <f>'Water-Meter'!AN18</f>
        <v>165</v>
      </c>
      <c r="X14" s="431">
        <f>Total!K14</f>
        <v>19</v>
      </c>
    </row>
    <row r="15" spans="1:24" x14ac:dyDescent="0.2">
      <c r="A15" s="416" t="s">
        <v>12</v>
      </c>
      <c r="B15" s="413">
        <f t="shared" si="0"/>
        <v>14</v>
      </c>
      <c r="C15" s="418">
        <v>7</v>
      </c>
      <c r="D15" s="419">
        <v>2021</v>
      </c>
      <c r="E15" s="414">
        <f>'UTILITY REPORT 1'!I16</f>
        <v>1434.84</v>
      </c>
      <c r="F15" s="414">
        <f>'UTILITY REPORT 1'!E16</f>
        <v>1650.17</v>
      </c>
      <c r="G15" s="415">
        <f>'UTILITY REPORT 1'!F16</f>
        <v>3902</v>
      </c>
      <c r="H15" s="414">
        <f>IF('Kit report'!F17&lt;0,"0",'Kit report'!F17)</f>
        <v>287.99999999995634</v>
      </c>
      <c r="I15" s="414">
        <f>IF('Kit report'!X17&lt;0,"0",'Kit report'!X17)</f>
        <v>579.99999999992724</v>
      </c>
      <c r="J15" s="414">
        <f>IF('Utility summery'!H19&lt;0,"0",'Utility summery'!H19)</f>
        <v>58</v>
      </c>
      <c r="K15" s="415">
        <f>IF('UTILITY REPORT 1'!H16&lt;0,"0",'UTILITY REPORT 1'!H16)</f>
        <v>38</v>
      </c>
      <c r="L15" s="414">
        <f>'Water-Meter'!K19</f>
        <v>2</v>
      </c>
      <c r="M15" s="415">
        <f>'Water-Meter'!H19</f>
        <v>0</v>
      </c>
      <c r="N15" s="415">
        <f>'Water-Meter'!Q19</f>
        <v>10</v>
      </c>
      <c r="O15" s="414" t="e">
        <f>K15*E15+H15*I15+#REF!*#REF!+J15*L15</f>
        <v>#REF!</v>
      </c>
      <c r="P15" s="420">
        <f>'Water-Meter'!E19</f>
        <v>105</v>
      </c>
      <c r="Q15" s="217">
        <f>IF('Water-Meter'!U19&lt;0,"0",'Water-Meter'!U19)</f>
        <v>2</v>
      </c>
      <c r="R15" s="217">
        <f>IF('Water-Meter'!X19&lt;0,"0",'Water-Meter'!X19)</f>
        <v>0</v>
      </c>
      <c r="S15" s="217">
        <f>IF('Water-Meter'!AA19&lt;0,"0",'Water-Meter'!AA19)</f>
        <v>36</v>
      </c>
      <c r="T15" s="217">
        <f>IF('Water-Meter'!AD19&lt;0,"0",'Water-Meter'!AD19)</f>
        <v>15</v>
      </c>
      <c r="U15" s="217">
        <f>IF('Water-Meter'!AG19&lt;0,"0",'Water-Meter'!AG19)</f>
        <v>0</v>
      </c>
      <c r="V15" s="217">
        <f>IF('Water-Meter'!AJ19&lt;0,"0",'Water-Meter'!AJ19)</f>
        <v>31</v>
      </c>
      <c r="W15" s="21">
        <f>'Water-Meter'!AN19</f>
        <v>84</v>
      </c>
      <c r="X15" s="431">
        <f>Total!K15</f>
        <v>14</v>
      </c>
    </row>
    <row r="16" spans="1:24" x14ac:dyDescent="0.2">
      <c r="A16" s="416" t="s">
        <v>12</v>
      </c>
      <c r="B16" s="413">
        <f t="shared" si="0"/>
        <v>15</v>
      </c>
      <c r="C16" s="418">
        <v>7</v>
      </c>
      <c r="D16" s="419">
        <v>2021</v>
      </c>
      <c r="E16" s="414">
        <f>'UTILITY REPORT 1'!I17</f>
        <v>155.97999999999999</v>
      </c>
      <c r="F16" s="414">
        <f>'UTILITY REPORT 1'!E17</f>
        <v>1643.2600000000002</v>
      </c>
      <c r="G16" s="415">
        <f>'UTILITY REPORT 1'!F17</f>
        <v>3833</v>
      </c>
      <c r="H16" s="414">
        <f>IF('Kit report'!F18&lt;0,"0",'Kit report'!F18)</f>
        <v>288.00000000017462</v>
      </c>
      <c r="I16" s="414">
        <f>IF('Kit report'!X18&lt;0,"0",'Kit report'!X18)</f>
        <v>759.99999999985448</v>
      </c>
      <c r="J16" s="414">
        <f>IF('Utility summery'!H20&lt;0,"0",'Utility summery'!H20)</f>
        <v>53</v>
      </c>
      <c r="K16" s="415">
        <f>IF('UTILITY REPORT 1'!H17&lt;0,"0",'UTILITY REPORT 1'!H17)</f>
        <v>36</v>
      </c>
      <c r="L16" s="414">
        <f>'Water-Meter'!K20</f>
        <v>2</v>
      </c>
      <c r="M16" s="415">
        <f>'Water-Meter'!H20</f>
        <v>0</v>
      </c>
      <c r="N16" s="415">
        <f>'Water-Meter'!Q20</f>
        <v>8</v>
      </c>
      <c r="O16" s="414" t="e">
        <f>K16*E16+H16*I16+#REF!*#REF!+J16*L16</f>
        <v>#REF!</v>
      </c>
      <c r="P16" s="420">
        <f>'Water-Meter'!E20</f>
        <v>83</v>
      </c>
      <c r="Q16" s="217">
        <f>IF('Water-Meter'!U20&lt;0,"0",'Water-Meter'!U20)</f>
        <v>0</v>
      </c>
      <c r="R16" s="217">
        <f>IF('Water-Meter'!X20&lt;0,"0",'Water-Meter'!X20)</f>
        <v>0</v>
      </c>
      <c r="S16" s="217">
        <f>IF('Water-Meter'!AA20&lt;0,"0",'Water-Meter'!AA20)</f>
        <v>37</v>
      </c>
      <c r="T16" s="217">
        <f>IF('Water-Meter'!AD20&lt;0,"0",'Water-Meter'!AD20)</f>
        <v>15</v>
      </c>
      <c r="U16" s="217">
        <f>IF('Water-Meter'!AG20&lt;0,"0",'Water-Meter'!AG20)</f>
        <v>0</v>
      </c>
      <c r="V16" s="217">
        <f>IF('Water-Meter'!AJ20&lt;0,"0",'Water-Meter'!AJ20)</f>
        <v>30</v>
      </c>
      <c r="W16" s="21">
        <f>'Water-Meter'!AN20</f>
        <v>82</v>
      </c>
      <c r="X16" s="431">
        <f>Total!K16</f>
        <v>16</v>
      </c>
    </row>
    <row r="17" spans="1:24" x14ac:dyDescent="0.2">
      <c r="A17" s="416" t="s">
        <v>12</v>
      </c>
      <c r="B17" s="413">
        <f t="shared" si="0"/>
        <v>16</v>
      </c>
      <c r="C17" s="418">
        <v>7</v>
      </c>
      <c r="D17" s="419">
        <v>2021</v>
      </c>
      <c r="E17" s="414">
        <f>'UTILITY REPORT 1'!I18</f>
        <v>85.68</v>
      </c>
      <c r="F17" s="414">
        <f>'UTILITY REPORT 1'!E18</f>
        <v>1732.74</v>
      </c>
      <c r="G17" s="415">
        <f>'UTILITY REPORT 1'!F18</f>
        <v>4080</v>
      </c>
      <c r="H17" s="414">
        <f>IF('Kit report'!F19&lt;0,"0",'Kit report'!F19)</f>
        <v>263.99999999986903</v>
      </c>
      <c r="I17" s="414">
        <f>IF('Kit report'!X19&lt;0,"0",'Kit report'!X19)</f>
        <v>679.99999999992724</v>
      </c>
      <c r="J17" s="414">
        <f>IF('Utility summery'!H21&lt;0,"0",'Utility summery'!H21)</f>
        <v>58</v>
      </c>
      <c r="K17" s="415">
        <f>IF('UTILITY REPORT 1'!H18&lt;0,"0",'UTILITY REPORT 1'!H18)</f>
        <v>21</v>
      </c>
      <c r="L17" s="414">
        <f>'Water-Meter'!K21</f>
        <v>5</v>
      </c>
      <c r="M17" s="415">
        <f>'Water-Meter'!H21</f>
        <v>0</v>
      </c>
      <c r="N17" s="415">
        <f>'Water-Meter'!Q21</f>
        <v>10</v>
      </c>
      <c r="O17" s="414" t="e">
        <f>K17*E17+H17*I17+#REF!*#REF!+J17*L17</f>
        <v>#REF!</v>
      </c>
      <c r="P17" s="420">
        <f>'Water-Meter'!E21</f>
        <v>103</v>
      </c>
      <c r="Q17" s="217">
        <f>IF('Water-Meter'!U21&lt;0,"0",'Water-Meter'!U21)</f>
        <v>59</v>
      </c>
      <c r="R17" s="217">
        <f>IF('Water-Meter'!X21&lt;0,"0",'Water-Meter'!X21)</f>
        <v>0</v>
      </c>
      <c r="S17" s="217">
        <f>IF('Water-Meter'!AA21&lt;0,"0",'Water-Meter'!AA21)</f>
        <v>37</v>
      </c>
      <c r="T17" s="217">
        <f>IF('Water-Meter'!AD21&lt;0,"0",'Water-Meter'!AD21)</f>
        <v>17</v>
      </c>
      <c r="U17" s="217">
        <f>IF('Water-Meter'!AG21&lt;0,"0",'Water-Meter'!AG21)</f>
        <v>0</v>
      </c>
      <c r="V17" s="217">
        <f>IF('Water-Meter'!AJ21&lt;0,"0",'Water-Meter'!AJ21)</f>
        <v>42</v>
      </c>
      <c r="W17" s="21">
        <f>'Water-Meter'!AN21</f>
        <v>155</v>
      </c>
      <c r="X17" s="431">
        <f>Total!K17</f>
        <v>0</v>
      </c>
    </row>
    <row r="18" spans="1:24" x14ac:dyDescent="0.2">
      <c r="A18" s="416" t="s">
        <v>12</v>
      </c>
      <c r="B18" s="413">
        <f t="shared" si="0"/>
        <v>17</v>
      </c>
      <c r="C18" s="418">
        <v>7</v>
      </c>
      <c r="D18" s="419">
        <v>2021</v>
      </c>
      <c r="E18" s="414">
        <f>'UTILITY REPORT 1'!I19</f>
        <v>496.38</v>
      </c>
      <c r="F18" s="414">
        <f>'UTILITY REPORT 1'!E19</f>
        <v>1766.6399999999999</v>
      </c>
      <c r="G18" s="415">
        <f>'UTILITY REPORT 1'!F19</f>
        <v>4092</v>
      </c>
      <c r="H18" s="414">
        <f>IF('Kit report'!F20&lt;0,"0",'Kit report'!F20)</f>
        <v>300</v>
      </c>
      <c r="I18" s="414">
        <f>IF('Kit report'!X20&lt;0,"0",'Kit report'!X20)</f>
        <v>780.00000000029104</v>
      </c>
      <c r="J18" s="414">
        <f>IF('Utility summery'!H22&lt;0,"0",'Utility summery'!H22)</f>
        <v>58</v>
      </c>
      <c r="K18" s="415">
        <f>IF('UTILITY REPORT 1'!H19&lt;0,"0",'UTILITY REPORT 1'!H19)</f>
        <v>35</v>
      </c>
      <c r="L18" s="414">
        <f>'Water-Meter'!K22</f>
        <v>4</v>
      </c>
      <c r="M18" s="415">
        <f>'Water-Meter'!H22</f>
        <v>0</v>
      </c>
      <c r="N18" s="415">
        <f>'Water-Meter'!Q22</f>
        <v>10</v>
      </c>
      <c r="O18" s="414" t="e">
        <f>K18*E18+H18*I18+#REF!*#REF!+J18*L18</f>
        <v>#REF!</v>
      </c>
      <c r="P18" s="420">
        <f>'Water-Meter'!E22</f>
        <v>107</v>
      </c>
      <c r="Q18" s="217">
        <f>IF('Water-Meter'!U22&lt;0,"0",'Water-Meter'!U22)</f>
        <v>82</v>
      </c>
      <c r="R18" s="217">
        <f>IF('Water-Meter'!X22&lt;0,"0",'Water-Meter'!X22)</f>
        <v>0</v>
      </c>
      <c r="S18" s="217">
        <f>IF('Water-Meter'!AA22&lt;0,"0",'Water-Meter'!AA22)</f>
        <v>38</v>
      </c>
      <c r="T18" s="217">
        <f>IF('Water-Meter'!AD22&lt;0,"0",'Water-Meter'!AD22)</f>
        <v>17</v>
      </c>
      <c r="U18" s="217">
        <f>IF('Water-Meter'!AG22&lt;0,"0",'Water-Meter'!AG22)</f>
        <v>0</v>
      </c>
      <c r="V18" s="217">
        <f>IF('Water-Meter'!AJ22&lt;0,"0",'Water-Meter'!AJ22)</f>
        <v>22</v>
      </c>
      <c r="W18" s="21">
        <f>'Water-Meter'!AN22</f>
        <v>159</v>
      </c>
      <c r="X18" s="431">
        <f>Total!K18</f>
        <v>0</v>
      </c>
    </row>
    <row r="19" spans="1:24" x14ac:dyDescent="0.2">
      <c r="A19" s="416" t="s">
        <v>12</v>
      </c>
      <c r="B19" s="413">
        <f t="shared" si="0"/>
        <v>18</v>
      </c>
      <c r="C19" s="418">
        <v>7</v>
      </c>
      <c r="D19" s="419">
        <v>2021</v>
      </c>
      <c r="E19" s="414">
        <f>'UTILITY REPORT 1'!I20</f>
        <v>374.23</v>
      </c>
      <c r="F19" s="414">
        <f>'UTILITY REPORT 1'!E20</f>
        <v>1787.9799999999998</v>
      </c>
      <c r="G19" s="415">
        <f>'UTILITY REPORT 1'!F20</f>
        <v>4450</v>
      </c>
      <c r="H19" s="414">
        <f>IF('Kit report'!F21&lt;0,"0",'Kit report'!F21)</f>
        <v>300</v>
      </c>
      <c r="I19" s="414">
        <f>IF('Kit report'!X21&lt;0,"0",'Kit report'!X21)</f>
        <v>800</v>
      </c>
      <c r="J19" s="414">
        <f>IF('Utility summery'!H23&lt;0,"0",'Utility summery'!H23)</f>
        <v>22</v>
      </c>
      <c r="K19" s="415">
        <f>IF('UTILITY REPORT 1'!H20&lt;0,"0",'UTILITY REPORT 1'!H20)</f>
        <v>42</v>
      </c>
      <c r="L19" s="414">
        <f>'Water-Meter'!K23</f>
        <v>3</v>
      </c>
      <c r="M19" s="415">
        <f>'Water-Meter'!H23</f>
        <v>0</v>
      </c>
      <c r="N19" s="415">
        <f>'Water-Meter'!Q23</f>
        <v>8</v>
      </c>
      <c r="O19" s="414" t="e">
        <f>K19*E19+H19*I19+#REF!*#REF!+J19*L19</f>
        <v>#REF!</v>
      </c>
      <c r="P19" s="420">
        <f>'Water-Meter'!E23</f>
        <v>128</v>
      </c>
      <c r="Q19" s="217">
        <f>IF('Water-Meter'!U23&lt;0,"0",'Water-Meter'!U23)</f>
        <v>0</v>
      </c>
      <c r="R19" s="217">
        <f>IF('Water-Meter'!X23&lt;0,"0",'Water-Meter'!X23)</f>
        <v>0</v>
      </c>
      <c r="S19" s="217">
        <f>IF('Water-Meter'!AA23&lt;0,"0",'Water-Meter'!AA23)</f>
        <v>37</v>
      </c>
      <c r="T19" s="217">
        <f>IF('Water-Meter'!AD23&lt;0,"0",'Water-Meter'!AD23)</f>
        <v>17</v>
      </c>
      <c r="U19" s="217">
        <f>IF('Water-Meter'!AG23&lt;0,"0",'Water-Meter'!AG23)</f>
        <v>0</v>
      </c>
      <c r="V19" s="217">
        <f>IF('Water-Meter'!AJ23&lt;0,"0",'Water-Meter'!AJ23)</f>
        <v>31</v>
      </c>
      <c r="W19" s="21">
        <f>'Water-Meter'!AN23</f>
        <v>85</v>
      </c>
      <c r="X19" s="431">
        <f>Total!K19</f>
        <v>0</v>
      </c>
    </row>
    <row r="20" spans="1:24" x14ac:dyDescent="0.2">
      <c r="A20" s="416" t="s">
        <v>12</v>
      </c>
      <c r="B20" s="413">
        <f t="shared" si="0"/>
        <v>19</v>
      </c>
      <c r="C20" s="418">
        <v>7</v>
      </c>
      <c r="D20" s="419">
        <v>2021</v>
      </c>
      <c r="E20" s="414">
        <f>'UTILITY REPORT 1'!I21</f>
        <v>224</v>
      </c>
      <c r="F20" s="414">
        <f>'UTILITY REPORT 1'!E21</f>
        <v>1812.3899999999999</v>
      </c>
      <c r="G20" s="415">
        <f>'UTILITY REPORT 1'!F21</f>
        <v>4633</v>
      </c>
      <c r="H20" s="414">
        <f>IF('Kit report'!F22&lt;0,"0",'Kit report'!F22)</f>
        <v>287.99999999995634</v>
      </c>
      <c r="I20" s="414">
        <f>IF('Kit report'!X22&lt;0,"0",'Kit report'!X22)</f>
        <v>779.99999999992724</v>
      </c>
      <c r="J20" s="414">
        <f>IF('Utility summery'!H24&lt;0,"0",'Utility summery'!H24)</f>
        <v>47</v>
      </c>
      <c r="K20" s="415">
        <f>IF('UTILITY REPORT 1'!H21&lt;0,"0",'UTILITY REPORT 1'!H21)</f>
        <v>101</v>
      </c>
      <c r="L20" s="414">
        <f>'Water-Meter'!K24</f>
        <v>1</v>
      </c>
      <c r="M20" s="415">
        <f>'Water-Meter'!H24</f>
        <v>0</v>
      </c>
      <c r="N20" s="415">
        <f>'Water-Meter'!Q24</f>
        <v>12</v>
      </c>
      <c r="O20" s="414" t="e">
        <f>K20*E20+H20*I20+#REF!*#REF!+J20*L20</f>
        <v>#REF!</v>
      </c>
      <c r="P20" s="420">
        <f>'Water-Meter'!E24</f>
        <v>115</v>
      </c>
      <c r="Q20" s="217">
        <f>IF('Water-Meter'!U24&lt;0,"0",'Water-Meter'!U24)</f>
        <v>1</v>
      </c>
      <c r="R20" s="217">
        <f>IF('Water-Meter'!X24&lt;0,"0",'Water-Meter'!X24)</f>
        <v>0</v>
      </c>
      <c r="S20" s="217">
        <f>IF('Water-Meter'!AA24&lt;0,"0",'Water-Meter'!AA24)</f>
        <v>38</v>
      </c>
      <c r="T20" s="217">
        <f>IF('Water-Meter'!AD24&lt;0,"0",'Water-Meter'!AD24)</f>
        <v>18</v>
      </c>
      <c r="U20" s="217">
        <f>IF('Water-Meter'!AG24&lt;0,"0",'Water-Meter'!AG24)</f>
        <v>0</v>
      </c>
      <c r="V20" s="217">
        <f>IF('Water-Meter'!AJ24&lt;0,"0",'Water-Meter'!AJ24)</f>
        <v>31</v>
      </c>
      <c r="W20" s="21">
        <f>'Water-Meter'!AN24</f>
        <v>88</v>
      </c>
      <c r="X20" s="431">
        <f>Total!K20</f>
        <v>0</v>
      </c>
    </row>
    <row r="21" spans="1:24" x14ac:dyDescent="0.2">
      <c r="A21" s="416" t="s">
        <v>12</v>
      </c>
      <c r="B21" s="413">
        <f t="shared" si="0"/>
        <v>20</v>
      </c>
      <c r="C21" s="418">
        <v>7</v>
      </c>
      <c r="D21" s="419">
        <v>2021</v>
      </c>
      <c r="E21" s="414">
        <f>'UTILITY REPORT 1'!I22</f>
        <v>49.26</v>
      </c>
      <c r="F21" s="414">
        <f>'UTILITY REPORT 1'!E22</f>
        <v>2007.64</v>
      </c>
      <c r="G21" s="415">
        <f>'UTILITY REPORT 1'!F22</f>
        <v>4722</v>
      </c>
      <c r="H21" s="414">
        <f>IF('Kit report'!F23&lt;0,"0",'Kit report'!F23)</f>
        <v>336.00000000013097</v>
      </c>
      <c r="I21" s="414">
        <f>IF('Kit report'!X23&lt;0,"0",'Kit report'!X23)</f>
        <v>700</v>
      </c>
      <c r="J21" s="414">
        <f>IF('Utility summery'!H25&lt;0,"0",'Utility summery'!H25)</f>
        <v>25</v>
      </c>
      <c r="K21" s="415">
        <f>IF('UTILITY REPORT 1'!H22&lt;0,"0",'UTILITY REPORT 1'!H22)</f>
        <v>155</v>
      </c>
      <c r="L21" s="414">
        <f>'Water-Meter'!K25</f>
        <v>1</v>
      </c>
      <c r="M21" s="415">
        <f>'Water-Meter'!H25</f>
        <v>0</v>
      </c>
      <c r="N21" s="415">
        <f>'Water-Meter'!Q25</f>
        <v>8</v>
      </c>
      <c r="O21" s="414" t="e">
        <f>K21*E21+H21*I21+#REF!*#REF!+J21*L21</f>
        <v>#REF!</v>
      </c>
      <c r="P21" s="420">
        <f>'Water-Meter'!E25</f>
        <v>113</v>
      </c>
      <c r="Q21" s="217">
        <f>IF('Water-Meter'!U25&lt;0,"0",'Water-Meter'!U25)</f>
        <v>84</v>
      </c>
      <c r="R21" s="217">
        <f>IF('Water-Meter'!X25&lt;0,"0",'Water-Meter'!X25)</f>
        <v>0</v>
      </c>
      <c r="S21" s="217">
        <f>IF('Water-Meter'!AA25&lt;0,"0",'Water-Meter'!AA25)</f>
        <v>36</v>
      </c>
      <c r="T21" s="217">
        <f>IF('Water-Meter'!AD25&lt;0,"0",'Water-Meter'!AD25)</f>
        <v>17</v>
      </c>
      <c r="U21" s="217">
        <f>IF('Water-Meter'!AG25&lt;0,"0",'Water-Meter'!AG25)</f>
        <v>0</v>
      </c>
      <c r="V21" s="217">
        <f>IF('Water-Meter'!AJ25&lt;0,"0",'Water-Meter'!AJ25)</f>
        <v>31</v>
      </c>
      <c r="W21" s="21">
        <f>'Water-Meter'!AN25</f>
        <v>168</v>
      </c>
      <c r="X21" s="431">
        <f>Total!K21</f>
        <v>0</v>
      </c>
    </row>
    <row r="22" spans="1:24" x14ac:dyDescent="0.2">
      <c r="A22" s="416" t="s">
        <v>12</v>
      </c>
      <c r="B22" s="413">
        <f t="shared" si="0"/>
        <v>21</v>
      </c>
      <c r="C22" s="418">
        <v>7</v>
      </c>
      <c r="D22" s="419">
        <v>2021</v>
      </c>
      <c r="E22" s="414">
        <f>'UTILITY REPORT 1'!I23</f>
        <v>556.39</v>
      </c>
      <c r="F22" s="414">
        <f>'UTILITY REPORT 1'!E23</f>
        <v>1992.78</v>
      </c>
      <c r="G22" s="415">
        <f>'UTILITY REPORT 1'!F23</f>
        <v>4911</v>
      </c>
      <c r="H22" s="414">
        <f>IF('Kit report'!F24&lt;0,"0",'Kit report'!F24)</f>
        <v>300</v>
      </c>
      <c r="I22" s="414">
        <f>IF('Kit report'!X24&lt;0,"0",'Kit report'!X24)</f>
        <v>779.99999999992724</v>
      </c>
      <c r="J22" s="414">
        <f>IF('Utility summery'!H26&lt;0,"0",'Utility summery'!H26)</f>
        <v>43</v>
      </c>
      <c r="K22" s="415">
        <f>IF('UTILITY REPORT 1'!H23&lt;0,"0",'UTILITY REPORT 1'!H23)</f>
        <v>0</v>
      </c>
      <c r="L22" s="414">
        <f>'Water-Meter'!K26</f>
        <v>2</v>
      </c>
      <c r="M22" s="415">
        <f>'Water-Meter'!H26</f>
        <v>0</v>
      </c>
      <c r="N22" s="415">
        <f>'Water-Meter'!Q26</f>
        <v>6</v>
      </c>
      <c r="O22" s="414" t="e">
        <f>K22*E22+H22*I22+#REF!*#REF!+J22*L22</f>
        <v>#REF!</v>
      </c>
      <c r="P22" s="420">
        <f>'Water-Meter'!E26</f>
        <v>133</v>
      </c>
      <c r="Q22" s="217">
        <f>IF('Water-Meter'!U26&lt;0,"0",'Water-Meter'!U26)</f>
        <v>83</v>
      </c>
      <c r="R22" s="217">
        <f>IF('Water-Meter'!X26&lt;0,"0",'Water-Meter'!X26)</f>
        <v>0</v>
      </c>
      <c r="S22" s="217">
        <f>IF('Water-Meter'!AA26&lt;0,"0",'Water-Meter'!AA26)</f>
        <v>36</v>
      </c>
      <c r="T22" s="217">
        <f>IF('Water-Meter'!AD26&lt;0,"0",'Water-Meter'!AD26)</f>
        <v>18</v>
      </c>
      <c r="U22" s="217">
        <f>IF('Water-Meter'!AG26&lt;0,"0",'Water-Meter'!AG26)</f>
        <v>0</v>
      </c>
      <c r="V22" s="217">
        <f>IF('Water-Meter'!AJ26&lt;0,"0",'Water-Meter'!AJ26)</f>
        <v>32</v>
      </c>
      <c r="W22" s="21">
        <f>'Water-Meter'!AN26</f>
        <v>169</v>
      </c>
      <c r="X22" s="431">
        <f>Total!K22</f>
        <v>0</v>
      </c>
    </row>
    <row r="23" spans="1:24" x14ac:dyDescent="0.2">
      <c r="A23" s="416" t="s">
        <v>12</v>
      </c>
      <c r="B23" s="413">
        <f t="shared" si="0"/>
        <v>22</v>
      </c>
      <c r="C23" s="418">
        <v>7</v>
      </c>
      <c r="D23" s="419">
        <v>2021</v>
      </c>
      <c r="E23" s="414">
        <f>'UTILITY REPORT 1'!I24</f>
        <v>494.65</v>
      </c>
      <c r="F23" s="414">
        <f>'UTILITY REPORT 1'!E24</f>
        <v>2232.89</v>
      </c>
      <c r="G23" s="415">
        <f>'UTILITY REPORT 1'!F24</f>
        <v>5226</v>
      </c>
      <c r="H23" s="414">
        <f>IF('Kit report'!F25&lt;0,"0",'Kit report'!F25)</f>
        <v>323.99999999986903</v>
      </c>
      <c r="I23" s="414">
        <f>IF('Kit report'!X25&lt;0,"0",'Kit report'!X25)</f>
        <v>779.99999999992724</v>
      </c>
      <c r="J23" s="414">
        <f>IF('Utility summery'!H27&lt;0,"0",'Utility summery'!H27)</f>
        <v>57</v>
      </c>
      <c r="K23" s="415">
        <f>IF('UTILITY REPORT 1'!H24&lt;0,"0",'UTILITY REPORT 1'!H24)</f>
        <v>167</v>
      </c>
      <c r="L23" s="414">
        <f>'Water-Meter'!K27</f>
        <v>1</v>
      </c>
      <c r="M23" s="415">
        <f>'Water-Meter'!H27</f>
        <v>0</v>
      </c>
      <c r="N23" s="415">
        <f>'Water-Meter'!Q27</f>
        <v>9</v>
      </c>
      <c r="O23" s="414" t="e">
        <f>K23*E23+H23*I23+#REF!*#REF!+J23*L23</f>
        <v>#REF!</v>
      </c>
      <c r="P23" s="420">
        <f>'Water-Meter'!E27</f>
        <v>113</v>
      </c>
      <c r="Q23" s="217">
        <f>IF('Water-Meter'!U27&lt;0,"0",'Water-Meter'!U27)</f>
        <v>45</v>
      </c>
      <c r="R23" s="217">
        <f>IF('Water-Meter'!X27&lt;0,"0",'Water-Meter'!X27)</f>
        <v>0</v>
      </c>
      <c r="S23" s="217">
        <f>IF('Water-Meter'!AA27&lt;0,"0",'Water-Meter'!AA27)</f>
        <v>35</v>
      </c>
      <c r="T23" s="217">
        <f>IF('Water-Meter'!AD27&lt;0,"0",'Water-Meter'!AD27)</f>
        <v>28</v>
      </c>
      <c r="U23" s="217">
        <f>IF('Water-Meter'!AG27&lt;0,"0",'Water-Meter'!AG27)</f>
        <v>0</v>
      </c>
      <c r="V23" s="217">
        <f>IF('Water-Meter'!AJ27&lt;0,"0",'Water-Meter'!AJ27)</f>
        <v>31</v>
      </c>
      <c r="W23" s="21">
        <f>'Water-Meter'!AN27</f>
        <v>139</v>
      </c>
      <c r="X23" s="431">
        <f>Total!K23</f>
        <v>0</v>
      </c>
    </row>
    <row r="24" spans="1:24" x14ac:dyDescent="0.2">
      <c r="A24" s="416" t="s">
        <v>12</v>
      </c>
      <c r="B24" s="413">
        <f t="shared" si="0"/>
        <v>23</v>
      </c>
      <c r="C24" s="418">
        <v>7</v>
      </c>
      <c r="D24" s="419">
        <v>2021</v>
      </c>
      <c r="E24" s="414">
        <f>'UTILITY REPORT 1'!I25</f>
        <v>228.3</v>
      </c>
      <c r="F24" s="414">
        <f>'UTILITY REPORT 1'!E25</f>
        <v>2090.79</v>
      </c>
      <c r="G24" s="415">
        <f>'UTILITY REPORT 1'!F25</f>
        <v>4730</v>
      </c>
      <c r="H24" s="414">
        <f>IF('Kit report'!F26&lt;0,"0",'Kit report'!F26)</f>
        <v>348.00000000017462</v>
      </c>
      <c r="I24" s="414">
        <f>IF('Kit report'!X26&lt;0,"0",'Kit report'!X26)</f>
        <v>860.00000000021828</v>
      </c>
      <c r="J24" s="414">
        <f>IF('Utility summery'!H28&lt;0,"0",'Utility summery'!H28)</f>
        <v>23</v>
      </c>
      <c r="K24" s="415">
        <f>IF('UTILITY REPORT 1'!H25&lt;0,"0",'UTILITY REPORT 1'!H25)</f>
        <v>163</v>
      </c>
      <c r="L24" s="414">
        <f>'Water-Meter'!K28</f>
        <v>1</v>
      </c>
      <c r="M24" s="415">
        <f>'Water-Meter'!H28</f>
        <v>0</v>
      </c>
      <c r="N24" s="415">
        <f>'Water-Meter'!Q28</f>
        <v>8</v>
      </c>
      <c r="O24" s="414" t="e">
        <f>K24*E24+H24*I24+#REF!*#REF!+J24*L24</f>
        <v>#REF!</v>
      </c>
      <c r="P24" s="420">
        <f>'Water-Meter'!E28</f>
        <v>108</v>
      </c>
      <c r="Q24" s="217">
        <f>IF('Water-Meter'!U28&lt;0,"0",'Water-Meter'!U28)</f>
        <v>77</v>
      </c>
      <c r="R24" s="217">
        <f>IF('Water-Meter'!X28&lt;0,"0",'Water-Meter'!X28)</f>
        <v>0</v>
      </c>
      <c r="S24" s="217">
        <f>IF('Water-Meter'!AA28&lt;0,"0",'Water-Meter'!AA28)</f>
        <v>35</v>
      </c>
      <c r="T24" s="217">
        <f>IF('Water-Meter'!AD28&lt;0,"0",'Water-Meter'!AD28)</f>
        <v>21</v>
      </c>
      <c r="U24" s="217">
        <f>IF('Water-Meter'!AG28&lt;0,"0",'Water-Meter'!AG28)</f>
        <v>0</v>
      </c>
      <c r="V24" s="217">
        <f>IF('Water-Meter'!AJ28&lt;0,"0",'Water-Meter'!AJ28)</f>
        <v>32</v>
      </c>
      <c r="W24" s="21">
        <f>'Water-Meter'!AN28</f>
        <v>165</v>
      </c>
      <c r="X24" s="431">
        <f>Total!K24</f>
        <v>0</v>
      </c>
    </row>
    <row r="25" spans="1:24" x14ac:dyDescent="0.2">
      <c r="A25" s="416" t="s">
        <v>12</v>
      </c>
      <c r="B25" s="413">
        <f t="shared" si="0"/>
        <v>24</v>
      </c>
      <c r="C25" s="418">
        <v>7</v>
      </c>
      <c r="D25" s="419">
        <v>2021</v>
      </c>
      <c r="E25" s="414">
        <f>'UTILITY REPORT 1'!I26</f>
        <v>442.98</v>
      </c>
      <c r="F25" s="414">
        <f>'UTILITY REPORT 1'!E26</f>
        <v>2014.73</v>
      </c>
      <c r="G25" s="415">
        <f>'UTILITY REPORT 1'!F26</f>
        <v>4879</v>
      </c>
      <c r="H25" s="414">
        <f>IF('Kit report'!F27&lt;0,"0",'Kit report'!F27)</f>
        <v>347.99999999995634</v>
      </c>
      <c r="I25" s="414">
        <f>IF('Kit report'!X27&lt;0,"0",'Kit report'!X27)</f>
        <v>739.99999999978172</v>
      </c>
      <c r="J25" s="414">
        <f>IF('Utility summery'!H29&lt;0,"0",'Utility summery'!H29)</f>
        <v>67</v>
      </c>
      <c r="K25" s="415">
        <f>IF('UTILITY REPORT 1'!H26&lt;0,"0",'UTILITY REPORT 1'!H26)</f>
        <v>0</v>
      </c>
      <c r="L25" s="414">
        <f>'Water-Meter'!K29</f>
        <v>2</v>
      </c>
      <c r="M25" s="415">
        <f>'Water-Meter'!H29</f>
        <v>0</v>
      </c>
      <c r="N25" s="415">
        <f>'Water-Meter'!Q29</f>
        <v>11</v>
      </c>
      <c r="O25" s="414" t="e">
        <f>K25*E25+H25*I25+#REF!*#REF!+J25*L25</f>
        <v>#REF!</v>
      </c>
      <c r="P25" s="420">
        <f>'Water-Meter'!E29</f>
        <v>106</v>
      </c>
      <c r="Q25" s="217">
        <f>IF('Water-Meter'!U29&lt;0,"0",'Water-Meter'!U29)</f>
        <v>79</v>
      </c>
      <c r="R25" s="217">
        <f>IF('Water-Meter'!X29&lt;0,"0",'Water-Meter'!X29)</f>
        <v>0</v>
      </c>
      <c r="S25" s="217">
        <f>IF('Water-Meter'!AA29&lt;0,"0",'Water-Meter'!AA29)</f>
        <v>33</v>
      </c>
      <c r="T25" s="217">
        <f>IF('Water-Meter'!AD29&lt;0,"0",'Water-Meter'!AD29)</f>
        <v>17</v>
      </c>
      <c r="U25" s="217">
        <f>IF('Water-Meter'!AG29&lt;0,"0",'Water-Meter'!AG29)</f>
        <v>0</v>
      </c>
      <c r="V25" s="217">
        <f>IF('Water-Meter'!AJ29&lt;0,"0",'Water-Meter'!AJ29)</f>
        <v>29</v>
      </c>
      <c r="W25" s="21">
        <f>'Water-Meter'!AN29</f>
        <v>158</v>
      </c>
      <c r="X25" s="431">
        <f>Total!K25</f>
        <v>0</v>
      </c>
    </row>
    <row r="26" spans="1:24" x14ac:dyDescent="0.2">
      <c r="A26" s="416" t="s">
        <v>12</v>
      </c>
      <c r="B26" s="413">
        <f>B25+1</f>
        <v>25</v>
      </c>
      <c r="C26" s="418">
        <v>7</v>
      </c>
      <c r="D26" s="419">
        <v>2021</v>
      </c>
      <c r="E26" s="414">
        <f>'UTILITY REPORT 1'!I27</f>
        <v>259.78999999999996</v>
      </c>
      <c r="F26" s="414">
        <f>'UTILITY REPORT 1'!E27</f>
        <v>1869.09</v>
      </c>
      <c r="G26" s="415">
        <f>'UTILITY REPORT 1'!F27</f>
        <v>4599</v>
      </c>
      <c r="H26" s="414">
        <f>IF('Kit report'!F28&lt;0,"0",'Kit report'!F28)</f>
        <v>360</v>
      </c>
      <c r="I26" s="414">
        <f>IF('Kit report'!X28&lt;0,"0",'Kit report'!X28)</f>
        <v>800</v>
      </c>
      <c r="J26" s="414">
        <f>IF('Utility summery'!H30&lt;0,"0",'Utility summery'!H30)</f>
        <v>64</v>
      </c>
      <c r="K26" s="415">
        <f>IF('UTILITY REPORT 1'!H27&lt;0,"0",'UTILITY REPORT 1'!H27)</f>
        <v>81</v>
      </c>
      <c r="L26" s="414">
        <f>'Water-Meter'!K30</f>
        <v>2</v>
      </c>
      <c r="M26" s="415">
        <f>'Water-Meter'!H30</f>
        <v>0</v>
      </c>
      <c r="N26" s="415">
        <f>'Water-Meter'!Q30</f>
        <v>10</v>
      </c>
      <c r="O26" s="414" t="e">
        <f>K26*E26+H26*I26+#REF!*#REF!+J26*L26</f>
        <v>#REF!</v>
      </c>
      <c r="P26" s="420">
        <f>'Water-Meter'!E30</f>
        <v>106</v>
      </c>
      <c r="Q26" s="217">
        <f>IF('Water-Meter'!U30&lt;0,"0",'Water-Meter'!U30)</f>
        <v>82</v>
      </c>
      <c r="R26" s="217">
        <f>IF('Water-Meter'!X30&lt;0,"0",'Water-Meter'!X30)</f>
        <v>0</v>
      </c>
      <c r="S26" s="217">
        <f>IF('Water-Meter'!AA31&lt;0,"0",'Water-Meter'!AA31)</f>
        <v>35</v>
      </c>
      <c r="T26" s="217">
        <f>IF('Water-Meter'!AD30&lt;0,"0",'Water-Meter'!AD30)</f>
        <v>19</v>
      </c>
      <c r="U26" s="217">
        <f>IF('Water-Meter'!AG30&lt;0,"0",'Water-Meter'!AG30)</f>
        <v>0</v>
      </c>
      <c r="V26" s="217">
        <f>IF('Water-Meter'!AJ30&lt;0,"0",'Water-Meter'!AJ30)</f>
        <v>33</v>
      </c>
      <c r="W26" s="21">
        <f>'Water-Meter'!AN30</f>
        <v>169</v>
      </c>
      <c r="X26" s="431">
        <f>Total!K26</f>
        <v>0</v>
      </c>
    </row>
    <row r="27" spans="1:24" x14ac:dyDescent="0.2">
      <c r="A27" s="416" t="s">
        <v>12</v>
      </c>
      <c r="B27" s="413">
        <f t="shared" si="0"/>
        <v>26</v>
      </c>
      <c r="C27" s="418">
        <v>7</v>
      </c>
      <c r="D27" s="419">
        <v>2021</v>
      </c>
      <c r="E27" s="414">
        <f>'UTILITY REPORT 1'!I28</f>
        <v>70.92</v>
      </c>
      <c r="F27" s="414">
        <f>'UTILITY REPORT 1'!E28</f>
        <v>1888.7999999999997</v>
      </c>
      <c r="G27" s="415">
        <f>'UTILITY REPORT 1'!F28</f>
        <v>4415</v>
      </c>
      <c r="H27" s="414">
        <f>IF('Kit report'!F29&lt;0,"0",'Kit report'!F29)</f>
        <v>275.99999999991269</v>
      </c>
      <c r="I27" s="414">
        <f>IF('Kit report'!X29&lt;0,"0",'Kit report'!X29)</f>
        <v>860.00000000021828</v>
      </c>
      <c r="J27" s="414">
        <f>IF('Utility summery'!H31&lt;0,"0",'Utility summery'!H31)</f>
        <v>58</v>
      </c>
      <c r="K27" s="415">
        <f>IF('UTILITY REPORT 1'!H28&lt;0,"0",'UTILITY REPORT 1'!H28)</f>
        <v>25</v>
      </c>
      <c r="L27" s="414">
        <f>'Water-Meter'!K31</f>
        <v>3</v>
      </c>
      <c r="M27" s="415">
        <f>'Water-Meter'!H31</f>
        <v>0</v>
      </c>
      <c r="N27" s="415">
        <f>'Water-Meter'!Q31</f>
        <v>10</v>
      </c>
      <c r="O27" s="414" t="e">
        <f>K27*E27+H27*I27+#REF!*#REF!+J27*L27</f>
        <v>#REF!</v>
      </c>
      <c r="P27" s="420">
        <f>'Water-Meter'!E31</f>
        <v>96</v>
      </c>
      <c r="Q27" s="217">
        <f>IF('Water-Meter'!U31&lt;0,"0",'Water-Meter'!U31)</f>
        <v>81</v>
      </c>
      <c r="R27" s="217">
        <f>IF('Water-Meter'!X31&lt;0,"0",'Water-Meter'!X31)</f>
        <v>0</v>
      </c>
      <c r="S27" s="217" t="e">
        <f>IF('Water-Meter'!#REF!&lt;0,"0",'Water-Meter'!#REF!)</f>
        <v>#REF!</v>
      </c>
      <c r="T27" s="217">
        <f>IF('Water-Meter'!AD31&lt;0,"0",'Water-Meter'!AD31)</f>
        <v>17</v>
      </c>
      <c r="U27" s="217">
        <f>IF('Water-Meter'!AG31&lt;0,"0",'Water-Meter'!AG31)</f>
        <v>0</v>
      </c>
      <c r="V27" s="217">
        <f>IF('Water-Meter'!AJ31&lt;0,"0",'Water-Meter'!AJ31)</f>
        <v>31</v>
      </c>
      <c r="W27" s="21">
        <f>'Water-Meter'!AN31</f>
        <v>164</v>
      </c>
      <c r="X27" s="431">
        <f>Total!K27</f>
        <v>0</v>
      </c>
    </row>
    <row r="28" spans="1:24" x14ac:dyDescent="0.2">
      <c r="A28" s="416" t="s">
        <v>12</v>
      </c>
      <c r="B28" s="413">
        <f t="shared" si="0"/>
        <v>27</v>
      </c>
      <c r="C28" s="418">
        <v>7</v>
      </c>
      <c r="D28" s="419">
        <v>2021</v>
      </c>
      <c r="E28" s="414">
        <f>'UTILITY REPORT 1'!I29</f>
        <v>491.89</v>
      </c>
      <c r="F28" s="414">
        <f>'UTILITY REPORT 1'!E29</f>
        <v>1921.29</v>
      </c>
      <c r="G28" s="415">
        <f>'UTILITY REPORT 1'!F29</f>
        <v>4607</v>
      </c>
      <c r="H28" s="414">
        <f>IF('Kit report'!F30&lt;0,"0",'Kit report'!F30)</f>
        <v>300</v>
      </c>
      <c r="I28" s="414">
        <f>IF('Kit report'!X30&lt;0,"0",'Kit report'!X30)</f>
        <v>700</v>
      </c>
      <c r="J28" s="414">
        <f>IF('Utility summery'!H32&lt;0,"0",'Utility summery'!H32)</f>
        <v>47</v>
      </c>
      <c r="K28" s="415">
        <f>IF('UTILITY REPORT 1'!H29&lt;0,"0",'UTILITY REPORT 1'!H29)</f>
        <v>93</v>
      </c>
      <c r="L28" s="414">
        <f>'Water-Meter'!K32</f>
        <v>2</v>
      </c>
      <c r="M28" s="415">
        <f>'Water-Meter'!H32</f>
        <v>0</v>
      </c>
      <c r="N28" s="415">
        <f>'Water-Meter'!Q32</f>
        <v>8</v>
      </c>
      <c r="O28" s="414" t="e">
        <f>K28*E28+H28*I28+#REF!*#REF!+J28*L28</f>
        <v>#REF!</v>
      </c>
      <c r="P28" s="420">
        <f>'Water-Meter'!E32</f>
        <v>103</v>
      </c>
      <c r="Q28" s="217">
        <f>IF('Water-Meter'!U32&lt;0,"0",'Water-Meter'!U32)</f>
        <v>80</v>
      </c>
      <c r="R28" s="217">
        <f>IF('Water-Meter'!X32&lt;0,"0",'Water-Meter'!X32)</f>
        <v>0</v>
      </c>
      <c r="S28" s="217">
        <f>IF('Water-Meter'!AA32&lt;0,"0",'Water-Meter'!AA32)</f>
        <v>35</v>
      </c>
      <c r="T28" s="217">
        <f>IF('Water-Meter'!AD32&lt;0,"0",'Water-Meter'!AD32)</f>
        <v>17</v>
      </c>
      <c r="U28" s="217">
        <f>IF('Water-Meter'!AG32&lt;0,"0",'Water-Meter'!AG32)</f>
        <v>0</v>
      </c>
      <c r="V28" s="217">
        <f>IF('Water-Meter'!AJ32&lt;0,"0",'Water-Meter'!AJ32)</f>
        <v>31</v>
      </c>
      <c r="W28" s="21">
        <f>'Water-Meter'!AN32</f>
        <v>163</v>
      </c>
      <c r="X28" s="431">
        <f>Total!K28</f>
        <v>0</v>
      </c>
    </row>
    <row r="29" spans="1:24" x14ac:dyDescent="0.2">
      <c r="A29" s="416" t="s">
        <v>12</v>
      </c>
      <c r="B29" s="413">
        <f t="shared" si="0"/>
        <v>28</v>
      </c>
      <c r="C29" s="418">
        <v>7</v>
      </c>
      <c r="D29" s="419">
        <v>2021</v>
      </c>
      <c r="E29" s="414">
        <f>'UTILITY REPORT 1'!I30</f>
        <v>147.47</v>
      </c>
      <c r="F29" s="414">
        <f>'UTILITY REPORT 1'!E30</f>
        <v>1696.6200000000001</v>
      </c>
      <c r="G29" s="415">
        <f>'UTILITY REPORT 1'!F30</f>
        <v>4642</v>
      </c>
      <c r="H29" s="414">
        <f>IF('Kit report'!F31&lt;0,"0",'Kit report'!F31)</f>
        <v>324.00000000008731</v>
      </c>
      <c r="I29" s="414">
        <f>IF('Kit report'!X31&lt;0,"0",'Kit report'!X31)</f>
        <v>679.99999999992724</v>
      </c>
      <c r="J29" s="414">
        <f>IF('Utility summery'!H33&lt;0,"0",'Utility summery'!H33)</f>
        <v>53</v>
      </c>
      <c r="K29" s="415">
        <f>IF('UTILITY REPORT 1'!H30&lt;0,"0",'UTILITY REPORT 1'!H30)</f>
        <v>161</v>
      </c>
      <c r="L29" s="414">
        <f>'Water-Meter'!K33</f>
        <v>3</v>
      </c>
      <c r="M29" s="415">
        <f>'Water-Meter'!H33</f>
        <v>0</v>
      </c>
      <c r="N29" s="415">
        <f>'Water-Meter'!Q33</f>
        <v>9</v>
      </c>
      <c r="O29" s="414" t="e">
        <f>K29*E29+H29*I29+#REF!*#REF!+J29*L29</f>
        <v>#REF!</v>
      </c>
      <c r="P29" s="420">
        <f>'Water-Meter'!E33</f>
        <v>115</v>
      </c>
      <c r="Q29" s="217">
        <f>IF('Water-Meter'!U33&lt;0,"0",'Water-Meter'!U33)</f>
        <v>13</v>
      </c>
      <c r="R29" s="217">
        <f>IF('Water-Meter'!X33&lt;0,"0",'Water-Meter'!X33)</f>
        <v>0</v>
      </c>
      <c r="S29" s="217">
        <f>IF('Water-Meter'!AA33&lt;0,"0",'Water-Meter'!AA33)</f>
        <v>34</v>
      </c>
      <c r="T29" s="217">
        <f>IF('Water-Meter'!AD33&lt;0,"0",'Water-Meter'!AD33)</f>
        <v>17</v>
      </c>
      <c r="U29" s="217">
        <f>IF('Water-Meter'!AG33&lt;0,"0",'Water-Meter'!AG33)</f>
        <v>0</v>
      </c>
      <c r="V29" s="217">
        <f>IF('Water-Meter'!AJ33&lt;0,"0",'Water-Meter'!AJ33)</f>
        <v>32</v>
      </c>
      <c r="W29" s="21">
        <f>'Water-Meter'!AN33</f>
        <v>96</v>
      </c>
      <c r="X29" s="431">
        <f>Total!K29</f>
        <v>0</v>
      </c>
    </row>
    <row r="30" spans="1:24" x14ac:dyDescent="0.2">
      <c r="A30" s="416" t="s">
        <v>12</v>
      </c>
      <c r="B30" s="413">
        <f t="shared" si="0"/>
        <v>29</v>
      </c>
      <c r="C30" s="418">
        <v>7</v>
      </c>
      <c r="D30" s="419">
        <v>2021</v>
      </c>
      <c r="E30" s="414">
        <f>'UTILITY REPORT 1'!I31</f>
        <v>246.95</v>
      </c>
      <c r="F30" s="414">
        <f>'UTILITY REPORT 1'!E31</f>
        <v>1992.06</v>
      </c>
      <c r="G30" s="415">
        <f>'UTILITY REPORT 1'!F31</f>
        <v>3985</v>
      </c>
      <c r="H30" s="414">
        <f>IF('Kit report'!F32&lt;0,"0",'Kit report'!F32)</f>
        <v>335.99999999991269</v>
      </c>
      <c r="I30" s="414">
        <f>IF('Kit report'!X32&lt;0,"0",'Kit report'!X32)</f>
        <v>600</v>
      </c>
      <c r="J30" s="414">
        <f>IF('Utility summery'!H34&lt;0,"0",'Utility summery'!H34)</f>
        <v>51</v>
      </c>
      <c r="K30" s="415">
        <f>IF('UTILITY REPORT 1'!H31&lt;0,"0",'UTILITY REPORT 1'!H31)</f>
        <v>109</v>
      </c>
      <c r="L30" s="414">
        <f>'Water-Meter'!K34</f>
        <v>2</v>
      </c>
      <c r="M30" s="415">
        <f>'Water-Meter'!H34</f>
        <v>0</v>
      </c>
      <c r="N30" s="415">
        <f>'Water-Meter'!Q34</f>
        <v>10</v>
      </c>
      <c r="O30" s="414" t="e">
        <f>K30*E30+H30*I30+#REF!*#REF!+J30*L30</f>
        <v>#REF!</v>
      </c>
      <c r="P30" s="420">
        <f>'Water-Meter'!E34</f>
        <v>111</v>
      </c>
      <c r="Q30" s="217">
        <f>IF('Water-Meter'!U34&lt;0,"0",'Water-Meter'!U34)</f>
        <v>72</v>
      </c>
      <c r="R30" s="217">
        <f>IF('Water-Meter'!X34&lt;0,"0",'Water-Meter'!X34)</f>
        <v>0</v>
      </c>
      <c r="S30" s="217">
        <f>IF('Water-Meter'!AA34&lt;0,"0",'Water-Meter'!AA34)</f>
        <v>34</v>
      </c>
      <c r="T30" s="217">
        <f>IF('Water-Meter'!AD34&lt;0,"0",'Water-Meter'!AD34)</f>
        <v>16</v>
      </c>
      <c r="U30" s="217">
        <f>IF('Water-Meter'!AG34&lt;0,"0",'Water-Meter'!AG34)</f>
        <v>0</v>
      </c>
      <c r="V30" s="217">
        <f>IF('Water-Meter'!AJ34&lt;0,"0",'Water-Meter'!AJ34)</f>
        <v>31</v>
      </c>
      <c r="W30" s="21">
        <f>'Water-Meter'!AN34</f>
        <v>153</v>
      </c>
      <c r="X30" s="431">
        <f>Total!K30</f>
        <v>0</v>
      </c>
    </row>
    <row r="31" spans="1:24" x14ac:dyDescent="0.2">
      <c r="A31" s="416" t="s">
        <v>12</v>
      </c>
      <c r="B31" s="413">
        <v>30</v>
      </c>
      <c r="C31" s="418">
        <v>7</v>
      </c>
      <c r="D31" s="419">
        <v>2021</v>
      </c>
      <c r="E31" s="414">
        <f>'UTILITY REPORT 1'!I32</f>
        <v>369</v>
      </c>
      <c r="F31" s="414">
        <f>'UTILITY REPORT 1'!E32</f>
        <v>1822.57</v>
      </c>
      <c r="G31" s="415">
        <f>'UTILITY REPORT 1'!F32</f>
        <v>4484</v>
      </c>
      <c r="H31" s="414">
        <f>IF('Kit report'!F33&lt;0,"0",'Kit report'!F33)</f>
        <v>300</v>
      </c>
      <c r="I31" s="414">
        <f>IF('Kit report'!X33&lt;0,"0",'Kit report'!X33)</f>
        <v>659.99999999985448</v>
      </c>
      <c r="J31" s="414">
        <f>IF('Utility summery'!H35&lt;0,"0",'Utility summery'!H35)</f>
        <v>47</v>
      </c>
      <c r="K31" s="415">
        <f>IF('UTILITY REPORT 1'!H32&lt;0,"0",'UTILITY REPORT 1'!H32)</f>
        <v>64</v>
      </c>
      <c r="L31" s="414">
        <f>'Water-Meter'!K35</f>
        <v>3</v>
      </c>
      <c r="M31" s="415">
        <f>'Water-Meter'!H35</f>
        <v>0</v>
      </c>
      <c r="N31" s="415">
        <f>'Water-Meter'!Q35</f>
        <v>10</v>
      </c>
      <c r="O31" s="414" t="e">
        <f>K31*E31+H31*I31+#REF!*#REF!+J31*L31</f>
        <v>#REF!</v>
      </c>
      <c r="P31" s="420">
        <f>'Water-Meter'!E35</f>
        <v>105</v>
      </c>
      <c r="Q31" s="217">
        <f>IF('Water-Meter'!U35&lt;0,"0",'Water-Meter'!U35)</f>
        <v>81</v>
      </c>
      <c r="R31" s="217">
        <f>IF('Water-Meter'!X35&lt;0,"0",'Water-Meter'!X35)</f>
        <v>0</v>
      </c>
      <c r="S31" s="217">
        <f>IF('Water-Meter'!AA35&lt;0,"0",'Water-Meter'!AA35)</f>
        <v>35</v>
      </c>
      <c r="T31" s="217">
        <f>IF('Water-Meter'!AD35&lt;0,"0",'Water-Meter'!AD35)</f>
        <v>20</v>
      </c>
      <c r="U31" s="217">
        <f>IF('Water-Meter'!AG35&lt;0,"0",'Water-Meter'!AG35)</f>
        <v>0</v>
      </c>
      <c r="V31" s="217">
        <f>IF('Water-Meter'!AJ35&lt;0,"0",'Water-Meter'!AJ35)</f>
        <v>31</v>
      </c>
      <c r="W31" s="21">
        <f>'Water-Meter'!AN35</f>
        <v>167</v>
      </c>
      <c r="X31" s="431">
        <f>Total!K31</f>
        <v>0</v>
      </c>
    </row>
    <row r="32" spans="1:24" x14ac:dyDescent="0.2">
      <c r="A32" s="416" t="s">
        <v>12</v>
      </c>
      <c r="B32" s="413">
        <v>31</v>
      </c>
      <c r="C32" s="418">
        <v>7</v>
      </c>
      <c r="D32" s="419">
        <v>2021</v>
      </c>
      <c r="E32" s="414">
        <f>'UTILITY REPORT 1'!I33</f>
        <v>376.24</v>
      </c>
      <c r="F32" s="414">
        <f>'UTILITY REPORT 1'!E33</f>
        <v>1680.02</v>
      </c>
      <c r="G32" s="415">
        <f>'UTILITY REPORT 1'!F33</f>
        <v>4015</v>
      </c>
      <c r="H32" s="414">
        <f>IF('Kit report'!F34&lt;0,"0",'Kit report'!F34)</f>
        <v>336.00000000013097</v>
      </c>
      <c r="I32" s="414">
        <f>IF('Kit report'!X34&lt;0,"0",'Kit report'!X34)</f>
        <v>760.00000000021828</v>
      </c>
      <c r="J32" s="414">
        <f>IF('Utility summery'!H36&lt;0,"0",'Utility summery'!H36)</f>
        <v>50</v>
      </c>
      <c r="K32" s="415">
        <f>IF('UTILITY REPORT 1'!H33&lt;0,"0",'UTILITY REPORT 1'!H33)</f>
        <v>65</v>
      </c>
      <c r="L32" s="414">
        <f>'Water-Meter'!K36</f>
        <v>2</v>
      </c>
      <c r="M32" s="415">
        <f>'Water-Meter'!H36</f>
        <v>0</v>
      </c>
      <c r="N32" s="415">
        <f>'Water-Meter'!Q36</f>
        <v>11</v>
      </c>
      <c r="O32" s="217"/>
      <c r="P32" s="420">
        <f>'Water-Meter'!E36</f>
        <v>99</v>
      </c>
      <c r="Q32" s="217">
        <f>IF('Water-Meter'!U36&lt;0,"0",'Water-Meter'!U36)</f>
        <v>80</v>
      </c>
      <c r="R32" s="217" t="str">
        <f>IF('Water-Meter'!X36&lt;0,"0",'Water-Meter'!X36)</f>
        <v>0</v>
      </c>
      <c r="S32" s="217">
        <f>IF('Water-Meter'!AA36&lt;0,"0",'Water-Meter'!AA36)</f>
        <v>33</v>
      </c>
      <c r="T32" s="217">
        <f>IF('Water-Meter'!AD36&lt;0,"0",'Water-Meter'!AD36)</f>
        <v>16</v>
      </c>
      <c r="U32" s="217">
        <f>IF('Water-Meter'!AG36&lt;0,"0",'Water-Meter'!AG36)</f>
        <v>0</v>
      </c>
      <c r="V32" s="217">
        <f>IF('Water-Meter'!AJ36&lt;0,"0",'Water-Meter'!AJ36)</f>
        <v>20</v>
      </c>
      <c r="W32" s="21">
        <f>'Water-Meter'!AN36</f>
        <v>149</v>
      </c>
      <c r="X32" s="431">
        <f>Total!K32</f>
        <v>0</v>
      </c>
    </row>
    <row r="33" spans="5:12" x14ac:dyDescent="0.2">
      <c r="E33" s="379"/>
      <c r="F33" s="379"/>
      <c r="H33" s="379"/>
      <c r="I33" s="379"/>
      <c r="J33" s="379"/>
      <c r="L33" s="379"/>
    </row>
    <row r="34" spans="5:12" x14ac:dyDescent="0.2">
      <c r="E34" s="379"/>
      <c r="F34" s="379"/>
      <c r="H34" s="379"/>
      <c r="I34" s="379"/>
      <c r="J34" s="379"/>
      <c r="L34" s="379"/>
    </row>
    <row r="35" spans="5:12" x14ac:dyDescent="0.2">
      <c r="E35" s="379"/>
      <c r="F35" s="379"/>
      <c r="H35" s="379"/>
      <c r="I35" s="379"/>
      <c r="J35" s="379"/>
      <c r="L35" s="379"/>
    </row>
    <row r="36" spans="5:12" x14ac:dyDescent="0.2">
      <c r="E36" s="379"/>
      <c r="F36" s="379"/>
      <c r="H36" s="379"/>
      <c r="I36" s="379"/>
      <c r="J36" s="379"/>
      <c r="L36" s="379"/>
    </row>
    <row r="37" spans="5:12" x14ac:dyDescent="0.2">
      <c r="E37" s="379"/>
      <c r="F37" s="379"/>
      <c r="H37" s="379"/>
      <c r="I37" s="379"/>
      <c r="J37" s="379"/>
      <c r="L37" s="379"/>
    </row>
    <row r="38" spans="5:12" x14ac:dyDescent="0.2">
      <c r="E38" s="379"/>
      <c r="F38" s="379"/>
      <c r="H38" s="379"/>
      <c r="I38" s="379"/>
      <c r="J38" s="379"/>
      <c r="L38" s="37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C11" sqref="C11"/>
    </sheetView>
  </sheetViews>
  <sheetFormatPr defaultRowHeight="12.75" x14ac:dyDescent="0.2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 x14ac:dyDescent="0.4">
      <c r="A1" s="864" t="s">
        <v>31</v>
      </c>
      <c r="B1" s="864"/>
      <c r="C1" s="864"/>
      <c r="D1" s="864"/>
      <c r="E1" s="864"/>
      <c r="F1" s="864"/>
      <c r="G1" s="864"/>
      <c r="H1" s="864"/>
    </row>
    <row r="2" spans="1:9" ht="48" customHeight="1" thickBot="1" x14ac:dyDescent="0.25">
      <c r="A2" s="216" t="s">
        <v>32</v>
      </c>
      <c r="B2" s="116" t="s">
        <v>33</v>
      </c>
      <c r="C2" s="364" t="s">
        <v>34</v>
      </c>
      <c r="D2" s="254" t="s">
        <v>35</v>
      </c>
      <c r="E2" s="362" t="s">
        <v>36</v>
      </c>
      <c r="F2" s="254" t="s">
        <v>37</v>
      </c>
      <c r="G2" s="254" t="s">
        <v>38</v>
      </c>
      <c r="H2" s="364" t="s">
        <v>19</v>
      </c>
      <c r="I2" s="254" t="s">
        <v>39</v>
      </c>
    </row>
    <row r="3" spans="1:9" ht="13.5" x14ac:dyDescent="0.25">
      <c r="A3" s="363">
        <f>Gen!A11</f>
        <v>44378</v>
      </c>
      <c r="B3" s="365">
        <f>Gen!B11</f>
        <v>0.3</v>
      </c>
      <c r="C3" s="366">
        <f>'Summery Report'!E5</f>
        <v>23</v>
      </c>
      <c r="D3" s="367">
        <v>1</v>
      </c>
      <c r="E3" s="366">
        <f>Gen!S11</f>
        <v>1799.58</v>
      </c>
      <c r="F3" s="366">
        <f>Gen!T11</f>
        <v>4264</v>
      </c>
      <c r="G3" s="366">
        <f>'Water-Meter'!E6</f>
        <v>109</v>
      </c>
      <c r="H3" s="366">
        <f>'Utility report '!AC6</f>
        <v>80</v>
      </c>
      <c r="I3" s="366">
        <f>Gen!AJ11</f>
        <v>0</v>
      </c>
    </row>
    <row r="4" spans="1:9" ht="13.5" x14ac:dyDescent="0.25">
      <c r="A4" s="363">
        <f>Gen!A12</f>
        <v>44379</v>
      </c>
      <c r="B4" s="365">
        <f>Gen!B12</f>
        <v>0.35</v>
      </c>
      <c r="C4" s="366">
        <f>'Summery Report'!E6</f>
        <v>27</v>
      </c>
      <c r="D4" s="367">
        <v>1</v>
      </c>
      <c r="E4" s="366">
        <f>Gen!S12</f>
        <v>1691.9199999999998</v>
      </c>
      <c r="F4" s="366">
        <f>Gen!T12</f>
        <v>4274</v>
      </c>
      <c r="G4" s="366">
        <f>'Water-Meter'!E7</f>
        <v>101</v>
      </c>
      <c r="H4" s="366">
        <f>'Utility report '!AC7</f>
        <v>60</v>
      </c>
      <c r="I4" s="366">
        <f>Gen!AJ12</f>
        <v>324.81</v>
      </c>
    </row>
    <row r="5" spans="1:9" ht="13.5" x14ac:dyDescent="0.25">
      <c r="A5" s="363">
        <f>Gen!A13</f>
        <v>44380</v>
      </c>
      <c r="B5" s="365">
        <f>Gen!B13</f>
        <v>0.26090000000000002</v>
      </c>
      <c r="C5" s="366">
        <f>'Summery Report'!E7</f>
        <v>20</v>
      </c>
      <c r="D5" s="367">
        <v>1</v>
      </c>
      <c r="E5" s="366">
        <f>Gen!S13</f>
        <v>1810.5</v>
      </c>
      <c r="F5" s="366">
        <f>Gen!T13</f>
        <v>4467</v>
      </c>
      <c r="G5" s="366">
        <f>'Water-Meter'!E8</f>
        <v>94</v>
      </c>
      <c r="H5" s="366">
        <f>'Utility report '!AC8</f>
        <v>55</v>
      </c>
      <c r="I5" s="366">
        <f>Gen!AJ13</f>
        <v>0</v>
      </c>
    </row>
    <row r="6" spans="1:9" ht="13.5" x14ac:dyDescent="0.25">
      <c r="A6" s="363">
        <f>Gen!A14</f>
        <v>44381</v>
      </c>
      <c r="B6" s="365">
        <f>Gen!B14</f>
        <v>0.18</v>
      </c>
      <c r="C6" s="366">
        <f>'Summery Report'!E8</f>
        <v>14</v>
      </c>
      <c r="D6" s="367">
        <v>1</v>
      </c>
      <c r="E6" s="366">
        <f>Gen!S14</f>
        <v>1652.34</v>
      </c>
      <c r="F6" s="366">
        <f>Gen!T14</f>
        <v>4106</v>
      </c>
      <c r="G6" s="366">
        <f>'Water-Meter'!E9</f>
        <v>98</v>
      </c>
      <c r="H6" s="366">
        <f>'Utility report '!AC9</f>
        <v>48</v>
      </c>
      <c r="I6" s="366">
        <f>Gen!AJ14</f>
        <v>233.22</v>
      </c>
    </row>
    <row r="7" spans="1:9" ht="13.5" x14ac:dyDescent="0.25">
      <c r="A7" s="363">
        <f>Gen!A15</f>
        <v>44382</v>
      </c>
      <c r="B7" s="365">
        <f>Gen!B15</f>
        <v>0.14000000000000001</v>
      </c>
      <c r="C7" s="366">
        <f>'Summery Report'!E9</f>
        <v>11</v>
      </c>
      <c r="D7" s="367">
        <v>1</v>
      </c>
      <c r="E7" s="366">
        <f>Gen!S15</f>
        <v>1644.32</v>
      </c>
      <c r="F7" s="366">
        <f>Gen!T15</f>
        <v>4026</v>
      </c>
      <c r="G7" s="366">
        <f>'Water-Meter'!E10</f>
        <v>135</v>
      </c>
      <c r="H7" s="366">
        <f>'Utility report '!AC10</f>
        <v>50</v>
      </c>
      <c r="I7" s="366">
        <f>Gen!AJ15</f>
        <v>148.61000000000001</v>
      </c>
    </row>
    <row r="8" spans="1:9" ht="13.5" x14ac:dyDescent="0.25">
      <c r="A8" s="363">
        <f>Gen!A16</f>
        <v>44383</v>
      </c>
      <c r="B8" s="365">
        <f>Gen!B16</f>
        <v>0.16900000000000001</v>
      </c>
      <c r="C8" s="366">
        <f>'Summery Report'!E10</f>
        <v>14</v>
      </c>
      <c r="D8" s="367">
        <v>1</v>
      </c>
      <c r="E8" s="366">
        <f>Gen!S16</f>
        <v>1669.23</v>
      </c>
      <c r="F8" s="366">
        <f>Gen!T16</f>
        <v>4145</v>
      </c>
      <c r="G8" s="366">
        <f>'Water-Meter'!E11</f>
        <v>124</v>
      </c>
      <c r="H8" s="366">
        <f>'Utility report '!AC11</f>
        <v>113</v>
      </c>
      <c r="I8" s="366">
        <f>Gen!AJ16</f>
        <v>199.93</v>
      </c>
    </row>
    <row r="9" spans="1:9" ht="13.5" x14ac:dyDescent="0.25">
      <c r="A9" s="363">
        <f>Gen!A17</f>
        <v>44384</v>
      </c>
      <c r="B9" s="365">
        <f>Gen!B17</f>
        <v>0.36399999999999999</v>
      </c>
      <c r="C9" s="366">
        <f>'Summery Report'!E11</f>
        <v>29</v>
      </c>
      <c r="D9" s="367">
        <v>1</v>
      </c>
      <c r="E9" s="366">
        <f>Gen!S17</f>
        <v>1898.91</v>
      </c>
      <c r="F9" s="366">
        <f>Gen!T17</f>
        <v>4675</v>
      </c>
      <c r="G9" s="366">
        <f>'Water-Meter'!E12</f>
        <v>114</v>
      </c>
      <c r="H9" s="366">
        <f>'Utility report '!AC12</f>
        <v>121</v>
      </c>
      <c r="I9" s="366">
        <f>Gen!AJ17</f>
        <v>168.95</v>
      </c>
    </row>
    <row r="10" spans="1:9" ht="13.5" x14ac:dyDescent="0.25">
      <c r="A10" s="363">
        <f>Gen!A18</f>
        <v>44385</v>
      </c>
      <c r="B10" s="365">
        <f>Gen!B18</f>
        <v>0.45500000000000002</v>
      </c>
      <c r="C10" s="366">
        <f>'Summery Report'!E12</f>
        <v>35</v>
      </c>
      <c r="D10" s="367">
        <v>1</v>
      </c>
      <c r="E10" s="366">
        <f>Gen!S18</f>
        <v>1865.79</v>
      </c>
      <c r="F10" s="366">
        <f>Gen!T18</f>
        <v>4550</v>
      </c>
      <c r="G10" s="366">
        <f>'Water-Meter'!E13</f>
        <v>94</v>
      </c>
      <c r="H10" s="366">
        <f>'Utility report '!AC13</f>
        <v>201</v>
      </c>
      <c r="I10" s="366">
        <f>Gen!AJ18</f>
        <v>47</v>
      </c>
    </row>
    <row r="11" spans="1:9" ht="13.5" x14ac:dyDescent="0.25">
      <c r="A11" s="363">
        <f>Gen!A19</f>
        <v>44386</v>
      </c>
      <c r="B11" s="365">
        <f>Gen!B19</f>
        <v>0.46800000000000003</v>
      </c>
      <c r="C11" s="366">
        <f>'Summery Report'!E13</f>
        <v>39</v>
      </c>
      <c r="D11" s="367">
        <v>1</v>
      </c>
      <c r="E11" s="366">
        <f>Gen!S19</f>
        <v>1807.2200000000003</v>
      </c>
      <c r="F11" s="366">
        <f>Gen!T19</f>
        <v>4263</v>
      </c>
      <c r="G11" s="366">
        <f>'Water-Meter'!E14</f>
        <v>108</v>
      </c>
      <c r="H11" s="366">
        <f>'Utility report '!AC14</f>
        <v>1</v>
      </c>
      <c r="I11" s="366">
        <f>Gen!AJ19</f>
        <v>456</v>
      </c>
    </row>
    <row r="12" spans="1:9" ht="13.5" x14ac:dyDescent="0.25">
      <c r="A12" s="363">
        <f>Gen!A20</f>
        <v>44387</v>
      </c>
      <c r="B12" s="365">
        <f>Gen!B20</f>
        <v>0.39</v>
      </c>
      <c r="C12" s="366">
        <f>'Summery Report'!E14</f>
        <v>32</v>
      </c>
      <c r="D12" s="367">
        <v>1</v>
      </c>
      <c r="E12" s="366">
        <f>Gen!S20</f>
        <v>1887.8799999999999</v>
      </c>
      <c r="F12" s="366">
        <f>Gen!T20</f>
        <v>4506</v>
      </c>
      <c r="G12" s="366">
        <f>'Water-Meter'!E15</f>
        <v>116</v>
      </c>
      <c r="H12" s="366">
        <f>'Utility report '!AC15</f>
        <v>70</v>
      </c>
      <c r="I12" s="366">
        <f>Gen!AJ20</f>
        <v>644.97</v>
      </c>
    </row>
    <row r="13" spans="1:9" ht="13.5" x14ac:dyDescent="0.25">
      <c r="A13" s="363">
        <f>Gen!A21</f>
        <v>44388</v>
      </c>
      <c r="B13" s="365">
        <f>Gen!B21</f>
        <v>0.40300000000000002</v>
      </c>
      <c r="C13" s="366">
        <f>'Summery Report'!E15</f>
        <v>31</v>
      </c>
      <c r="D13" s="367">
        <v>1</v>
      </c>
      <c r="E13" s="366">
        <f>Gen!S21</f>
        <v>1852.6</v>
      </c>
      <c r="F13" s="366">
        <f>Gen!T21</f>
        <v>4459</v>
      </c>
      <c r="G13" s="366">
        <f>'Water-Meter'!E16</f>
        <v>116</v>
      </c>
      <c r="H13" s="366">
        <f>'Utility report '!AC16</f>
        <v>41</v>
      </c>
      <c r="I13" s="366">
        <f>Gen!AJ21</f>
        <v>608.62</v>
      </c>
    </row>
    <row r="14" spans="1:9" ht="13.5" x14ac:dyDescent="0.25">
      <c r="A14" s="363">
        <f>Gen!A22</f>
        <v>44389</v>
      </c>
      <c r="B14" s="365">
        <f>Gen!B22</f>
        <v>0.39</v>
      </c>
      <c r="C14" s="366">
        <f>'Summery Report'!E16</f>
        <v>32</v>
      </c>
      <c r="D14" s="367">
        <v>1</v>
      </c>
      <c r="E14" s="366">
        <f>Gen!S22</f>
        <v>1662.17</v>
      </c>
      <c r="F14" s="366">
        <f>Gen!T22</f>
        <v>4438</v>
      </c>
      <c r="G14" s="366">
        <f>'Water-Meter'!E17</f>
        <v>109</v>
      </c>
      <c r="H14" s="366">
        <f>'Utility report '!AC17</f>
        <v>40</v>
      </c>
      <c r="I14" s="366">
        <f>Gen!AJ22</f>
        <v>677.99</v>
      </c>
    </row>
    <row r="15" spans="1:9" ht="13.5" x14ac:dyDescent="0.25">
      <c r="A15" s="363">
        <f>Gen!A23</f>
        <v>44390</v>
      </c>
      <c r="B15" s="365">
        <f>Gen!B23</f>
        <v>0.221</v>
      </c>
      <c r="C15" s="366">
        <f>'Summery Report'!E17</f>
        <v>19</v>
      </c>
      <c r="D15" s="367">
        <v>1</v>
      </c>
      <c r="E15" s="366">
        <f>Gen!S23</f>
        <v>1844.9099999999999</v>
      </c>
      <c r="F15" s="366">
        <f>Gen!T23</f>
        <v>4300</v>
      </c>
      <c r="G15" s="366">
        <f>'Water-Meter'!E18</f>
        <v>105</v>
      </c>
      <c r="H15" s="366">
        <f>'Utility report '!AC18</f>
        <v>37</v>
      </c>
      <c r="I15" s="366">
        <f>Gen!AJ23</f>
        <v>204.13</v>
      </c>
    </row>
    <row r="16" spans="1:9" ht="13.5" x14ac:dyDescent="0.25">
      <c r="A16" s="363">
        <f>Gen!A24</f>
        <v>44391</v>
      </c>
      <c r="B16" s="365">
        <f>Gen!B24</f>
        <v>0.19500000000000001</v>
      </c>
      <c r="C16" s="366">
        <f>'Summery Report'!E18</f>
        <v>14</v>
      </c>
      <c r="D16" s="367">
        <v>1</v>
      </c>
      <c r="E16" s="366">
        <f>Gen!S24</f>
        <v>1650.17</v>
      </c>
      <c r="F16" s="366">
        <f>Gen!T24</f>
        <v>3902</v>
      </c>
      <c r="G16" s="366">
        <f>'Water-Meter'!E19</f>
        <v>105</v>
      </c>
      <c r="H16" s="366">
        <f>'Utility report '!AC19</f>
        <v>38</v>
      </c>
      <c r="I16" s="366">
        <f>Gen!AJ24</f>
        <v>1434.84</v>
      </c>
    </row>
    <row r="17" spans="1:9" ht="13.5" x14ac:dyDescent="0.25">
      <c r="A17" s="363">
        <f>Gen!A25</f>
        <v>44392</v>
      </c>
      <c r="B17" s="365">
        <f>Gen!B25</f>
        <v>0.20799999999999999</v>
      </c>
      <c r="C17" s="366">
        <f>'Summery Report'!E19</f>
        <v>16</v>
      </c>
      <c r="D17" s="367">
        <v>1</v>
      </c>
      <c r="E17" s="366">
        <f>Gen!S25</f>
        <v>1643.2600000000002</v>
      </c>
      <c r="F17" s="366">
        <f>Gen!T25</f>
        <v>3833</v>
      </c>
      <c r="G17" s="366">
        <f>'Water-Meter'!E20</f>
        <v>83</v>
      </c>
      <c r="H17" s="366">
        <f>'Utility report '!AC20</f>
        <v>36</v>
      </c>
      <c r="I17" s="366">
        <f>Gen!AJ25</f>
        <v>155.97999999999999</v>
      </c>
    </row>
    <row r="18" spans="1:9" ht="13.5" x14ac:dyDescent="0.25">
      <c r="A18" s="363">
        <f>Gen!A26</f>
        <v>44393</v>
      </c>
      <c r="B18" s="365">
        <f>Gen!B26</f>
        <v>0.27</v>
      </c>
      <c r="C18" s="366">
        <f>'Summery Report'!E20</f>
        <v>0</v>
      </c>
      <c r="D18" s="367">
        <v>1</v>
      </c>
      <c r="E18" s="366">
        <f>Gen!S26</f>
        <v>1732.74</v>
      </c>
      <c r="F18" s="366">
        <f>Gen!T26</f>
        <v>4080</v>
      </c>
      <c r="G18" s="366">
        <f>'Water-Meter'!E21</f>
        <v>103</v>
      </c>
      <c r="H18" s="366">
        <f>'Utility report '!AC21</f>
        <v>21</v>
      </c>
      <c r="I18" s="366">
        <f>Gen!AJ26</f>
        <v>85.68</v>
      </c>
    </row>
    <row r="19" spans="1:9" ht="13.5" x14ac:dyDescent="0.25">
      <c r="A19" s="363">
        <f>Gen!A27</f>
        <v>44394</v>
      </c>
      <c r="B19" s="365">
        <f>Gen!B27</f>
        <v>0.26</v>
      </c>
      <c r="C19" s="366">
        <f>'Summery Report'!E21</f>
        <v>0</v>
      </c>
      <c r="D19" s="367">
        <v>1</v>
      </c>
      <c r="E19" s="366">
        <f>Gen!S27</f>
        <v>1766.6399999999999</v>
      </c>
      <c r="F19" s="366">
        <f>Gen!T27</f>
        <v>4092</v>
      </c>
      <c r="G19" s="366">
        <f>'Water-Meter'!E22</f>
        <v>107</v>
      </c>
      <c r="H19" s="366">
        <f>'Utility report '!AC22</f>
        <v>35</v>
      </c>
      <c r="I19" s="366">
        <f>Gen!AJ27</f>
        <v>496.38</v>
      </c>
    </row>
    <row r="20" spans="1:9" ht="13.5" x14ac:dyDescent="0.25">
      <c r="A20" s="363">
        <f>Gen!A28</f>
        <v>44395</v>
      </c>
      <c r="B20" s="365">
        <f>Gen!B28</f>
        <v>0.35</v>
      </c>
      <c r="C20" s="366">
        <f>'Summery Report'!E22</f>
        <v>0</v>
      </c>
      <c r="D20" s="367">
        <v>1</v>
      </c>
      <c r="E20" s="366">
        <f>Gen!S28</f>
        <v>1787.9799999999998</v>
      </c>
      <c r="F20" s="366">
        <f>Gen!T28</f>
        <v>4450</v>
      </c>
      <c r="G20" s="366">
        <f>'Water-Meter'!E23</f>
        <v>128</v>
      </c>
      <c r="H20" s="366">
        <f>'Utility report '!AC23</f>
        <v>42</v>
      </c>
      <c r="I20" s="366">
        <f>Gen!AJ28</f>
        <v>374.23</v>
      </c>
    </row>
    <row r="21" spans="1:9" ht="13.5" x14ac:dyDescent="0.25">
      <c r="A21" s="363">
        <f>Gen!A29</f>
        <v>44396</v>
      </c>
      <c r="B21" s="365">
        <f>Gen!B29</f>
        <v>0.39</v>
      </c>
      <c r="C21" s="366">
        <f>'Summery Report'!E23</f>
        <v>0</v>
      </c>
      <c r="D21" s="367">
        <v>1</v>
      </c>
      <c r="E21" s="366">
        <f>Gen!S29</f>
        <v>1812.3899999999999</v>
      </c>
      <c r="F21" s="366">
        <f>Gen!T29</f>
        <v>4633</v>
      </c>
      <c r="G21" s="366">
        <f>'Water-Meter'!E24</f>
        <v>115</v>
      </c>
      <c r="H21" s="366">
        <f>'Utility report '!AC24</f>
        <v>101</v>
      </c>
      <c r="I21" s="366">
        <f>Gen!AJ29</f>
        <v>224</v>
      </c>
    </row>
    <row r="22" spans="1:9" ht="13.5" x14ac:dyDescent="0.25">
      <c r="A22" s="363">
        <f>Gen!A30</f>
        <v>44397</v>
      </c>
      <c r="B22" s="365">
        <f>Gen!B30</f>
        <v>0.39</v>
      </c>
      <c r="C22" s="366">
        <f>'Summery Report'!E24</f>
        <v>0</v>
      </c>
      <c r="D22" s="367">
        <v>1</v>
      </c>
      <c r="E22" s="366">
        <f>Gen!S30</f>
        <v>2007.64</v>
      </c>
      <c r="F22" s="366">
        <f>Gen!T30</f>
        <v>4722</v>
      </c>
      <c r="G22" s="366">
        <f>'Water-Meter'!E25</f>
        <v>113</v>
      </c>
      <c r="H22" s="366">
        <f>'Utility report '!AC25</f>
        <v>155</v>
      </c>
      <c r="I22" s="366">
        <f>Gen!AJ30</f>
        <v>49.26</v>
      </c>
    </row>
    <row r="23" spans="1:9" ht="13.5" x14ac:dyDescent="0.25">
      <c r="A23" s="363">
        <f>Gen!A31</f>
        <v>44398</v>
      </c>
      <c r="B23" s="365">
        <f>Gen!B31</f>
        <v>0.55000000000000004</v>
      </c>
      <c r="C23" s="366">
        <f>'Summery Report'!E25</f>
        <v>0</v>
      </c>
      <c r="D23" s="367">
        <v>1</v>
      </c>
      <c r="E23" s="366">
        <f>Gen!S31</f>
        <v>1992.78</v>
      </c>
      <c r="F23" s="366">
        <f>Gen!T31</f>
        <v>4911</v>
      </c>
      <c r="G23" s="366">
        <f>'Water-Meter'!E26</f>
        <v>133</v>
      </c>
      <c r="H23" s="366">
        <f>'Utility report '!AC26</f>
        <v>0</v>
      </c>
      <c r="I23" s="366">
        <f>Gen!AJ31</f>
        <v>556.39</v>
      </c>
    </row>
    <row r="24" spans="1:9" ht="13.5" x14ac:dyDescent="0.25">
      <c r="A24" s="363">
        <f>Gen!A32</f>
        <v>44399</v>
      </c>
      <c r="B24" s="365">
        <f>Gen!B32</f>
        <v>0.54500000000000004</v>
      </c>
      <c r="C24" s="366">
        <f>'Summery Report'!E26</f>
        <v>0</v>
      </c>
      <c r="D24" s="367">
        <v>1</v>
      </c>
      <c r="E24" s="366">
        <f>Gen!S32</f>
        <v>2232.89</v>
      </c>
      <c r="F24" s="366">
        <f>Gen!T32</f>
        <v>5226</v>
      </c>
      <c r="G24" s="366">
        <f>'Water-Meter'!E27</f>
        <v>113</v>
      </c>
      <c r="H24" s="366">
        <f>'Utility report '!AC27</f>
        <v>167</v>
      </c>
      <c r="I24" s="366">
        <f>Gen!AJ32</f>
        <v>494.65</v>
      </c>
    </row>
    <row r="25" spans="1:9" ht="13.5" x14ac:dyDescent="0.25">
      <c r="A25" s="363">
        <f>Gen!A33</f>
        <v>44400</v>
      </c>
      <c r="B25" s="365">
        <f>Gen!B33</f>
        <v>0.45500000000000002</v>
      </c>
      <c r="C25" s="366">
        <f>'Summery Report'!E27</f>
        <v>0</v>
      </c>
      <c r="D25" s="367">
        <v>1</v>
      </c>
      <c r="E25" s="366">
        <f>Gen!S33</f>
        <v>2090.79</v>
      </c>
      <c r="F25" s="366">
        <f>Gen!T33</f>
        <v>4730</v>
      </c>
      <c r="G25" s="366">
        <f>'Water-Meter'!E28</f>
        <v>108</v>
      </c>
      <c r="H25" s="366">
        <f>'Utility report '!AC28</f>
        <v>163</v>
      </c>
      <c r="I25" s="366">
        <f>Gen!AJ33</f>
        <v>228.3</v>
      </c>
    </row>
    <row r="26" spans="1:9" ht="13.5" x14ac:dyDescent="0.25">
      <c r="A26" s="363">
        <f>Gen!A34</f>
        <v>44401</v>
      </c>
      <c r="B26" s="365">
        <f>Gen!B34</f>
        <v>0.247</v>
      </c>
      <c r="C26" s="366">
        <f>'Summery Report'!E28</f>
        <v>0</v>
      </c>
      <c r="D26" s="367">
        <v>1</v>
      </c>
      <c r="E26" s="366">
        <f>Gen!S34</f>
        <v>2014.73</v>
      </c>
      <c r="F26" s="366">
        <f>Gen!T34</f>
        <v>4879</v>
      </c>
      <c r="G26" s="366">
        <f>'Water-Meter'!E29</f>
        <v>106</v>
      </c>
      <c r="H26" s="366">
        <f>'Utility report '!AC29</f>
        <v>0</v>
      </c>
      <c r="I26" s="366">
        <f>Gen!AJ34</f>
        <v>442.98</v>
      </c>
    </row>
    <row r="27" spans="1:9" ht="13.5" x14ac:dyDescent="0.25">
      <c r="A27" s="363">
        <f>Gen!A35</f>
        <v>44402</v>
      </c>
      <c r="B27" s="365">
        <f>Gen!B35</f>
        <v>0.20799999999999999</v>
      </c>
      <c r="C27" s="366">
        <f>'Summery Report'!E29</f>
        <v>0</v>
      </c>
      <c r="D27" s="367">
        <v>1</v>
      </c>
      <c r="E27" s="366">
        <f>Gen!S35</f>
        <v>1869.09</v>
      </c>
      <c r="F27" s="366">
        <f>Gen!T35</f>
        <v>4599</v>
      </c>
      <c r="G27" s="366">
        <f>'Water-Meter'!E30</f>
        <v>106</v>
      </c>
      <c r="H27" s="366">
        <f>'Utility report '!AC30</f>
        <v>81</v>
      </c>
      <c r="I27" s="366">
        <f>Gen!AJ35</f>
        <v>259.78999999999996</v>
      </c>
    </row>
    <row r="28" spans="1:9" ht="13.5" x14ac:dyDescent="0.25">
      <c r="A28" s="363">
        <f>Gen!A36</f>
        <v>44403</v>
      </c>
      <c r="B28" s="365">
        <f>Gen!B36</f>
        <v>0.156</v>
      </c>
      <c r="C28" s="366">
        <f>'Summery Report'!E30</f>
        <v>0</v>
      </c>
      <c r="D28" s="367">
        <v>1</v>
      </c>
      <c r="E28" s="366">
        <f>Gen!S36</f>
        <v>1888.7999999999997</v>
      </c>
      <c r="F28" s="366">
        <f>Gen!T36</f>
        <v>4415</v>
      </c>
      <c r="G28" s="366">
        <f>'Water-Meter'!E31</f>
        <v>96</v>
      </c>
      <c r="H28" s="366">
        <f>'Utility report '!AC31</f>
        <v>25</v>
      </c>
      <c r="I28" s="366">
        <f>Gen!AJ36</f>
        <v>70.92</v>
      </c>
    </row>
    <row r="29" spans="1:9" ht="13.5" x14ac:dyDescent="0.25">
      <c r="A29" s="363">
        <f>Gen!A37</f>
        <v>44404</v>
      </c>
      <c r="B29" s="365">
        <f>Gen!B37</f>
        <v>0.29899999999999999</v>
      </c>
      <c r="C29" s="366">
        <f>'Summery Report'!E31</f>
        <v>0</v>
      </c>
      <c r="D29" s="367">
        <v>1</v>
      </c>
      <c r="E29" s="366">
        <f>Gen!S37</f>
        <v>1921.29</v>
      </c>
      <c r="F29" s="366">
        <f>Gen!T37</f>
        <v>4607</v>
      </c>
      <c r="G29" s="366">
        <f>'Water-Meter'!E32</f>
        <v>103</v>
      </c>
      <c r="H29" s="366">
        <f>'Utility report '!AC32</f>
        <v>93</v>
      </c>
      <c r="I29" s="366">
        <f>Gen!AJ37</f>
        <v>491.89</v>
      </c>
    </row>
    <row r="30" spans="1:9" ht="13.5" x14ac:dyDescent="0.25">
      <c r="A30" s="363">
        <f>Gen!A38</f>
        <v>44405</v>
      </c>
      <c r="B30" s="365">
        <f>Gen!B38</f>
        <v>0.46800000000000003</v>
      </c>
      <c r="C30" s="366">
        <f>'Summery Report'!E32</f>
        <v>0</v>
      </c>
      <c r="D30" s="367">
        <v>1</v>
      </c>
      <c r="E30" s="366">
        <f>Gen!S38</f>
        <v>1696.6200000000001</v>
      </c>
      <c r="F30" s="366">
        <f>Gen!T38</f>
        <v>4642</v>
      </c>
      <c r="G30" s="366">
        <f>'Water-Meter'!E33</f>
        <v>115</v>
      </c>
      <c r="H30" s="366">
        <f>'Utility report '!AC33</f>
        <v>161</v>
      </c>
      <c r="I30" s="366">
        <f>Gen!AJ38</f>
        <v>147.47</v>
      </c>
    </row>
    <row r="31" spans="1:9" ht="13.5" x14ac:dyDescent="0.25">
      <c r="A31" s="363">
        <f>Gen!A39</f>
        <v>44406</v>
      </c>
      <c r="B31" s="365">
        <f>Gen!B39</f>
        <v>0.51</v>
      </c>
      <c r="C31" s="366">
        <f>'Summery Report'!E33</f>
        <v>0</v>
      </c>
      <c r="D31" s="367">
        <v>1</v>
      </c>
      <c r="E31" s="366">
        <f>Gen!S39</f>
        <v>1992.06</v>
      </c>
      <c r="F31" s="366">
        <f>Gen!T39</f>
        <v>3985</v>
      </c>
      <c r="G31" s="366">
        <f>'Water-Meter'!E34</f>
        <v>111</v>
      </c>
      <c r="H31" s="366">
        <f>'Utility report '!AC34</f>
        <v>109</v>
      </c>
      <c r="I31" s="366">
        <f>Gen!AJ39</f>
        <v>246.95</v>
      </c>
    </row>
    <row r="32" spans="1:9" ht="13.5" x14ac:dyDescent="0.25">
      <c r="A32" s="363">
        <f>Gen!A40</f>
        <v>44407</v>
      </c>
      <c r="B32" s="365">
        <f>Gen!B40</f>
        <v>0.38</v>
      </c>
      <c r="C32" s="366">
        <f>'Summery Report'!E34</f>
        <v>0</v>
      </c>
      <c r="D32" s="367">
        <v>1</v>
      </c>
      <c r="E32" s="366">
        <f>Gen!S40</f>
        <v>1822.57</v>
      </c>
      <c r="F32" s="366">
        <f>Gen!T40</f>
        <v>4484</v>
      </c>
      <c r="G32" s="366">
        <f>'Water-Meter'!E35</f>
        <v>105</v>
      </c>
      <c r="H32" s="366">
        <f>'Utility report '!AC35</f>
        <v>64</v>
      </c>
      <c r="I32" s="366">
        <f>Gen!AJ40</f>
        <v>369</v>
      </c>
    </row>
    <row r="33" spans="1:9" ht="13.5" x14ac:dyDescent="0.25">
      <c r="A33" s="363">
        <f>Gen!A41</f>
        <v>44408</v>
      </c>
      <c r="B33" s="365">
        <f>Gen!B41</f>
        <v>0.15</v>
      </c>
      <c r="C33" s="366">
        <f>'Summery Report'!E35</f>
        <v>0</v>
      </c>
      <c r="D33" s="367">
        <v>1</v>
      </c>
      <c r="E33" s="366">
        <f>Gen!S41</f>
        <v>1680.02</v>
      </c>
      <c r="F33" s="366">
        <f>Gen!T41</f>
        <v>4015</v>
      </c>
      <c r="G33" s="366">
        <f>'Water-Meter'!E36</f>
        <v>99</v>
      </c>
      <c r="H33" s="366">
        <f>'Utility report '!AC36</f>
        <v>65</v>
      </c>
      <c r="I33" s="366">
        <f>Gen!AJ41</f>
        <v>376.24</v>
      </c>
    </row>
    <row r="34" spans="1:9" ht="13.5" x14ac:dyDescent="0.25">
      <c r="A34" s="363"/>
      <c r="B34" s="365">
        <f>Gen!B42</f>
        <v>0</v>
      </c>
      <c r="C34" s="366">
        <f>'Summery Report'!E36</f>
        <v>0</v>
      </c>
      <c r="D34" s="367">
        <v>2</v>
      </c>
      <c r="E34" s="366">
        <f>Gen!S42</f>
        <v>0</v>
      </c>
      <c r="F34" s="366">
        <f>Gen!T42</f>
        <v>0</v>
      </c>
      <c r="G34" s="366" t="str">
        <f>'Water-Meter'!E37</f>
        <v>0</v>
      </c>
      <c r="H34" s="366">
        <f>'Utility report '!AC37</f>
        <v>-7713</v>
      </c>
      <c r="I34" s="366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39"/>
  <sheetViews>
    <sheetView topLeftCell="F17" zoomScale="85" zoomScaleNormal="85" workbookViewId="0">
      <selection activeCell="O40" sqref="O40"/>
    </sheetView>
  </sheetViews>
  <sheetFormatPr defaultRowHeight="12.75" x14ac:dyDescent="0.2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style="380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5" width="10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 x14ac:dyDescent="0.25"/>
    <row r="4" spans="1:19" ht="23.25" thickBot="1" x14ac:dyDescent="0.25">
      <c r="A4" s="705" t="s">
        <v>32</v>
      </c>
      <c r="B4" s="706" t="s">
        <v>40</v>
      </c>
      <c r="C4" s="707" t="s">
        <v>41</v>
      </c>
      <c r="D4" s="865" t="s">
        <v>42</v>
      </c>
      <c r="E4" s="865"/>
      <c r="F4" s="865"/>
      <c r="G4" s="866" t="s">
        <v>43</v>
      </c>
      <c r="H4" s="866"/>
      <c r="I4" s="866"/>
      <c r="J4" s="867" t="s">
        <v>44</v>
      </c>
      <c r="K4" s="867"/>
      <c r="L4" s="867"/>
      <c r="M4" s="867"/>
      <c r="N4" s="868" t="s">
        <v>45</v>
      </c>
      <c r="O4" s="868"/>
      <c r="P4" s="868"/>
      <c r="Q4" s="708"/>
      <c r="R4" s="708"/>
      <c r="S4" s="709"/>
    </row>
    <row r="5" spans="1:19" ht="25.5" x14ac:dyDescent="0.2">
      <c r="A5" s="710"/>
      <c r="B5" s="711"/>
      <c r="C5" s="712"/>
      <c r="D5" s="713" t="s">
        <v>46</v>
      </c>
      <c r="E5" s="713" t="s">
        <v>47</v>
      </c>
      <c r="F5" s="713" t="s">
        <v>48</v>
      </c>
      <c r="G5" s="714" t="s">
        <v>49</v>
      </c>
      <c r="H5" s="714" t="s">
        <v>50</v>
      </c>
      <c r="I5" s="854" t="s">
        <v>51</v>
      </c>
      <c r="J5" s="715" t="s">
        <v>52</v>
      </c>
      <c r="K5" s="715" t="s">
        <v>53</v>
      </c>
      <c r="L5" s="715" t="s">
        <v>53</v>
      </c>
      <c r="M5" s="716" t="s">
        <v>54</v>
      </c>
      <c r="N5" s="717" t="s">
        <v>55</v>
      </c>
      <c r="O5" s="717" t="s">
        <v>56</v>
      </c>
      <c r="P5" s="718" t="s">
        <v>57</v>
      </c>
      <c r="Q5" s="719" t="s">
        <v>58</v>
      </c>
      <c r="R5" s="719" t="s">
        <v>59</v>
      </c>
      <c r="S5" s="720" t="s">
        <v>60</v>
      </c>
    </row>
    <row r="6" spans="1:19" ht="14.25" x14ac:dyDescent="0.2">
      <c r="A6" s="408">
        <f>Gen!A11</f>
        <v>44378</v>
      </c>
      <c r="B6" s="6">
        <f>'Summery Report'!E5</f>
        <v>23</v>
      </c>
      <c r="C6" s="6">
        <f>Gen!U11</f>
        <v>0.42204033771106941</v>
      </c>
      <c r="D6" s="134">
        <f>Gen!S11</f>
        <v>1799.58</v>
      </c>
      <c r="E6" s="134">
        <f>Gen!AJ11</f>
        <v>0</v>
      </c>
      <c r="F6" s="134">
        <f>Gen!AS11</f>
        <v>0</v>
      </c>
      <c r="G6" s="135">
        <f>'Utility report '!AC6</f>
        <v>80</v>
      </c>
      <c r="H6" s="135">
        <f>'Utility report '!AE6</f>
        <v>33</v>
      </c>
      <c r="I6" s="855">
        <f>'Water-Meter'!E6</f>
        <v>109</v>
      </c>
      <c r="J6" s="136">
        <f>'Lpg (2)'!B10</f>
        <v>85</v>
      </c>
      <c r="K6" s="136">
        <f>'Lpg (2)'!C10</f>
        <v>37</v>
      </c>
      <c r="L6" s="136">
        <f>'Lpg (2)'!D10</f>
        <v>85</v>
      </c>
      <c r="M6" s="6">
        <f>'Lpg (2)'!G10</f>
        <v>130.67999999998722</v>
      </c>
      <c r="N6" s="133">
        <f>D6*1.4</f>
        <v>2519.4119999999998</v>
      </c>
      <c r="O6" s="133">
        <f>E6*1.4</f>
        <v>0</v>
      </c>
      <c r="P6" s="132">
        <f>('Lpg (2)'!G10)*2.38</f>
        <v>311.01839999996957</v>
      </c>
      <c r="Q6" s="133" t="e">
        <v>#REF!</v>
      </c>
      <c r="R6" s="133">
        <f>N6/B6</f>
        <v>109.53965217391304</v>
      </c>
      <c r="S6" s="409" t="e">
        <f>Q6/B6</f>
        <v>#REF!</v>
      </c>
    </row>
    <row r="7" spans="1:19" ht="14.25" x14ac:dyDescent="0.2">
      <c r="A7" s="408">
        <f>Gen!A12</f>
        <v>44379</v>
      </c>
      <c r="B7" s="6">
        <f>'Summery Report'!E6</f>
        <v>27</v>
      </c>
      <c r="C7" s="6">
        <f>Gen!U12</f>
        <v>0.39586335985025733</v>
      </c>
      <c r="D7" s="134">
        <f>Gen!S12</f>
        <v>1691.9199999999998</v>
      </c>
      <c r="E7" s="134">
        <f>Gen!AJ12</f>
        <v>324.81</v>
      </c>
      <c r="F7" s="134">
        <f>Gen!AS12</f>
        <v>0</v>
      </c>
      <c r="G7" s="135">
        <f>'Utility report '!AC7</f>
        <v>60</v>
      </c>
      <c r="H7" s="135">
        <f>'Utility report '!AE7</f>
        <v>35</v>
      </c>
      <c r="I7" s="855">
        <f>'Water-Meter'!E7</f>
        <v>101</v>
      </c>
      <c r="J7" s="136">
        <f>'Lpg (2)'!B11</f>
        <v>85</v>
      </c>
      <c r="K7" s="136">
        <f>'Lpg (2)'!C11</f>
        <v>35</v>
      </c>
      <c r="L7" s="136">
        <f>'Lpg (2)'!D11</f>
        <v>85</v>
      </c>
      <c r="M7" s="6">
        <f>'Lpg (2)'!G11</f>
        <v>124.52000000001281</v>
      </c>
      <c r="N7" s="133">
        <f>D7*1.4</f>
        <v>2368.6879999999996</v>
      </c>
      <c r="O7" s="133">
        <f>E7*1.4</f>
        <v>454.73399999999998</v>
      </c>
      <c r="P7" s="132">
        <f>('Lpg (2)'!G11)*2.38</f>
        <v>296.35760000003046</v>
      </c>
      <c r="Q7" s="133" t="e">
        <v>#REF!</v>
      </c>
      <c r="R7" s="133">
        <f t="shared" ref="R7:R37" si="0">N7/B7</f>
        <v>87.729185185185173</v>
      </c>
      <c r="S7" s="409" t="e">
        <f t="shared" ref="S7:S37" si="1">Q7/B7</f>
        <v>#REF!</v>
      </c>
    </row>
    <row r="8" spans="1:19" ht="14.25" x14ac:dyDescent="0.2">
      <c r="A8" s="408">
        <f>Gen!A13</f>
        <v>44380</v>
      </c>
      <c r="B8" s="6">
        <f>'Summery Report'!E7</f>
        <v>20</v>
      </c>
      <c r="C8" s="6">
        <f>Gen!U13</f>
        <v>0.40530557421087976</v>
      </c>
      <c r="D8" s="134">
        <f>Gen!S13</f>
        <v>1810.5</v>
      </c>
      <c r="E8" s="134">
        <f>Gen!AJ13</f>
        <v>0</v>
      </c>
      <c r="F8" s="134">
        <f>Gen!AS13</f>
        <v>0</v>
      </c>
      <c r="G8" s="135">
        <f>'Utility report '!AC8</f>
        <v>55</v>
      </c>
      <c r="H8" s="135">
        <f>'Utility report '!AE8</f>
        <v>10</v>
      </c>
      <c r="I8" s="855">
        <f>'Water-Meter'!E8</f>
        <v>94</v>
      </c>
      <c r="J8" s="136">
        <f>'Lpg (2)'!B12</f>
        <v>85</v>
      </c>
      <c r="K8" s="136">
        <f>'Lpg (2)'!C12</f>
        <v>30</v>
      </c>
      <c r="L8" s="136">
        <f>'Lpg (2)'!D12</f>
        <v>85</v>
      </c>
      <c r="M8" s="6">
        <f>'Lpg (2)'!G12</f>
        <v>44</v>
      </c>
      <c r="N8" s="133">
        <f t="shared" ref="N8:O36" si="2">D8*1.4</f>
        <v>2534.6999999999998</v>
      </c>
      <c r="O8" s="133">
        <f t="shared" si="2"/>
        <v>0</v>
      </c>
      <c r="P8" s="132">
        <f>('Lpg (2)'!G12)*2.38</f>
        <v>104.72</v>
      </c>
      <c r="Q8" s="133" t="e">
        <v>#REF!</v>
      </c>
      <c r="R8" s="133">
        <f t="shared" si="0"/>
        <v>126.73499999999999</v>
      </c>
      <c r="S8" s="409" t="e">
        <f t="shared" si="1"/>
        <v>#REF!</v>
      </c>
    </row>
    <row r="9" spans="1:19" ht="14.25" x14ac:dyDescent="0.2">
      <c r="A9" s="408">
        <f>Gen!A14</f>
        <v>44381</v>
      </c>
      <c r="B9" s="6">
        <f>'Summery Report'!E8</f>
        <v>14</v>
      </c>
      <c r="C9" s="6">
        <f>Gen!U14</f>
        <v>0.40242084754018509</v>
      </c>
      <c r="D9" s="134">
        <f>Gen!S14</f>
        <v>1652.34</v>
      </c>
      <c r="E9" s="134">
        <f>Gen!AJ14</f>
        <v>233.22</v>
      </c>
      <c r="F9" s="134">
        <f>Gen!AS14</f>
        <v>0</v>
      </c>
      <c r="G9" s="135">
        <f>'Utility report '!AC9</f>
        <v>48</v>
      </c>
      <c r="H9" s="135">
        <f>'Utility report '!AE9</f>
        <v>58</v>
      </c>
      <c r="I9" s="855">
        <f>'Water-Meter'!E9</f>
        <v>98</v>
      </c>
      <c r="J9" s="136">
        <f>'Lpg (2)'!B13</f>
        <v>85</v>
      </c>
      <c r="K9" s="136">
        <f>'Lpg (2)'!C13</f>
        <v>20</v>
      </c>
      <c r="L9" s="136">
        <f>'Lpg (2)'!D13</f>
        <v>85</v>
      </c>
      <c r="M9" s="6">
        <f>'Lpg (2)'!G13</f>
        <v>89.363999999989758</v>
      </c>
      <c r="N9" s="133">
        <f t="shared" si="2"/>
        <v>2313.2759999999998</v>
      </c>
      <c r="O9" s="133">
        <f t="shared" si="2"/>
        <v>326.50799999999998</v>
      </c>
      <c r="P9" s="132">
        <f>('Lpg (2)'!G13)*2.38</f>
        <v>212.68631999997561</v>
      </c>
      <c r="Q9" s="133" t="e">
        <v>#REF!</v>
      </c>
      <c r="R9" s="133">
        <f t="shared" si="0"/>
        <v>165.23399999999998</v>
      </c>
      <c r="S9" s="409" t="e">
        <f t="shared" si="1"/>
        <v>#REF!</v>
      </c>
    </row>
    <row r="10" spans="1:19" ht="14.25" x14ac:dyDescent="0.2">
      <c r="A10" s="408">
        <f>Gen!A15</f>
        <v>44382</v>
      </c>
      <c r="B10" s="6">
        <f>'Summery Report'!E9</f>
        <v>11</v>
      </c>
      <c r="C10" s="6">
        <f>Gen!U15</f>
        <v>0.40842523596621955</v>
      </c>
      <c r="D10" s="134">
        <f>Gen!S15</f>
        <v>1644.32</v>
      </c>
      <c r="E10" s="134">
        <f>Gen!AJ15</f>
        <v>148.61000000000001</v>
      </c>
      <c r="F10" s="134">
        <f>Gen!AS15</f>
        <v>0</v>
      </c>
      <c r="G10" s="135">
        <f>'Utility report '!AC10</f>
        <v>50</v>
      </c>
      <c r="H10" s="135">
        <f>'Utility report '!AE10</f>
        <v>44</v>
      </c>
      <c r="I10" s="855">
        <f>'Water-Meter'!E10</f>
        <v>135</v>
      </c>
      <c r="J10" s="136">
        <f>'Lpg (2)'!B14</f>
        <v>85</v>
      </c>
      <c r="K10" s="136">
        <f>'Lpg (2)'!C14</f>
        <v>15</v>
      </c>
      <c r="L10" s="136">
        <f>'Lpg (2)'!D14</f>
        <v>85</v>
      </c>
      <c r="M10" s="6">
        <f>'Lpg (2)'!G14</f>
        <v>112.42000000001282</v>
      </c>
      <c r="N10" s="133">
        <f t="shared" si="2"/>
        <v>2302.0479999999998</v>
      </c>
      <c r="O10" s="133">
        <f t="shared" si="2"/>
        <v>208.054</v>
      </c>
      <c r="P10" s="132">
        <f>('Lpg (2)'!G14)*2.38</f>
        <v>267.55960000003051</v>
      </c>
      <c r="Q10" s="133" t="e">
        <v>#REF!</v>
      </c>
      <c r="R10" s="133">
        <f t="shared" si="0"/>
        <v>209.2770909090909</v>
      </c>
      <c r="S10" s="409" t="e">
        <f t="shared" si="1"/>
        <v>#REF!</v>
      </c>
    </row>
    <row r="11" spans="1:19" ht="14.25" x14ac:dyDescent="0.2">
      <c r="A11" s="408">
        <f>Gen!A16</f>
        <v>44383</v>
      </c>
      <c r="B11" s="6">
        <f>'Summery Report'!E10</f>
        <v>14</v>
      </c>
      <c r="C11" s="6">
        <f>Gen!U16</f>
        <v>0.40270928829915559</v>
      </c>
      <c r="D11" s="134">
        <f>Gen!S16</f>
        <v>1669.23</v>
      </c>
      <c r="E11" s="134">
        <f>Gen!AJ16</f>
        <v>199.93</v>
      </c>
      <c r="F11" s="134">
        <f>Gen!AS16</f>
        <v>0</v>
      </c>
      <c r="G11" s="135">
        <f>'Utility report '!AC11</f>
        <v>113</v>
      </c>
      <c r="H11" s="135">
        <f>'Utility report '!AE11</f>
        <v>52</v>
      </c>
      <c r="I11" s="855">
        <f>'Water-Meter'!E11</f>
        <v>124</v>
      </c>
      <c r="J11" s="136">
        <f>'Lpg (2)'!B15</f>
        <v>85</v>
      </c>
      <c r="K11" s="136">
        <f>'Lpg (2)'!C15</f>
        <v>10</v>
      </c>
      <c r="L11" s="136">
        <f>'Lpg (2)'!D15</f>
        <v>85</v>
      </c>
      <c r="M11" s="6">
        <f>'Lpg (2)'!G15</f>
        <v>116.77599999997183</v>
      </c>
      <c r="N11" s="133">
        <f t="shared" si="2"/>
        <v>2336.922</v>
      </c>
      <c r="O11" s="133">
        <f t="shared" si="2"/>
        <v>279.90199999999999</v>
      </c>
      <c r="P11" s="132">
        <f>('Lpg (2)'!G15)*2.38</f>
        <v>277.92687999993296</v>
      </c>
      <c r="Q11" s="133" t="e">
        <v>#REF!</v>
      </c>
      <c r="R11" s="133">
        <f t="shared" si="0"/>
        <v>166.923</v>
      </c>
      <c r="S11" s="409" t="e">
        <f t="shared" si="1"/>
        <v>#REF!</v>
      </c>
    </row>
    <row r="12" spans="1:19" ht="14.25" x14ac:dyDescent="0.2">
      <c r="A12" s="408">
        <f>Gen!A17</f>
        <v>44384</v>
      </c>
      <c r="B12" s="6">
        <f>'Summery Report'!E11</f>
        <v>29</v>
      </c>
      <c r="C12" s="6">
        <f>Gen!U17</f>
        <v>0.40618395721925138</v>
      </c>
      <c r="D12" s="134">
        <f>Gen!S17</f>
        <v>1898.91</v>
      </c>
      <c r="E12" s="134">
        <f>Gen!AJ17</f>
        <v>168.95</v>
      </c>
      <c r="F12" s="134">
        <f>Gen!AS17</f>
        <v>0</v>
      </c>
      <c r="G12" s="135">
        <f>'Utility report '!AC12</f>
        <v>121</v>
      </c>
      <c r="H12" s="135">
        <f>'Utility report '!AE12</f>
        <v>52</v>
      </c>
      <c r="I12" s="855">
        <f>'Water-Meter'!E12</f>
        <v>114</v>
      </c>
      <c r="J12" s="136">
        <f>'Lpg (2)'!B16</f>
        <v>85</v>
      </c>
      <c r="K12" s="136">
        <f>'Lpg (2)'!C16</f>
        <v>4</v>
      </c>
      <c r="L12" s="136">
        <f>'Lpg (2)'!D16</f>
        <v>85</v>
      </c>
      <c r="M12" s="6">
        <f>'Lpg (2)'!G16</f>
        <v>108.32800000004355</v>
      </c>
      <c r="N12" s="133">
        <f t="shared" si="2"/>
        <v>2658.4740000000002</v>
      </c>
      <c r="O12" s="133">
        <f t="shared" si="2"/>
        <v>236.52999999999997</v>
      </c>
      <c r="P12" s="132">
        <f>('Lpg (2)'!G16)*2.38</f>
        <v>257.82064000010365</v>
      </c>
      <c r="Q12" s="133" t="e">
        <v>#REF!</v>
      </c>
      <c r="R12" s="133">
        <f t="shared" si="0"/>
        <v>91.67151724137932</v>
      </c>
      <c r="S12" s="409" t="e">
        <f t="shared" si="1"/>
        <v>#REF!</v>
      </c>
    </row>
    <row r="13" spans="1:19" ht="14.25" x14ac:dyDescent="0.2">
      <c r="A13" s="408">
        <f>Gen!A18</f>
        <v>44385</v>
      </c>
      <c r="B13" s="6">
        <f>'Summery Report'!E12</f>
        <v>35</v>
      </c>
      <c r="C13" s="6">
        <f>Gen!U18</f>
        <v>0.41006373626373627</v>
      </c>
      <c r="D13" s="134">
        <f>Gen!S18</f>
        <v>1865.79</v>
      </c>
      <c r="E13" s="134">
        <f>Gen!AJ18</f>
        <v>47</v>
      </c>
      <c r="F13" s="134">
        <f>Gen!AS18</f>
        <v>0</v>
      </c>
      <c r="G13" s="135">
        <f>'Utility report '!AC13</f>
        <v>201</v>
      </c>
      <c r="H13" s="135">
        <f>'Utility report '!AE13</f>
        <v>57</v>
      </c>
      <c r="I13" s="855">
        <f>'Water-Meter'!E13</f>
        <v>94</v>
      </c>
      <c r="J13" s="136">
        <f>'Lpg (2)'!B17</f>
        <v>85</v>
      </c>
      <c r="K13" s="136">
        <f>'Lpg (2)'!C17</f>
        <v>3</v>
      </c>
      <c r="L13" s="136">
        <f>'Lpg (2)'!D17</f>
        <v>85</v>
      </c>
      <c r="M13" s="132">
        <f>'Lpg (2)'!G17</f>
        <v>112.37599999997184</v>
      </c>
      <c r="N13" s="133">
        <f t="shared" si="2"/>
        <v>2612.1059999999998</v>
      </c>
      <c r="O13" s="133">
        <f t="shared" si="2"/>
        <v>65.8</v>
      </c>
      <c r="P13" s="132">
        <f>('Lpg (2)'!G17)*2.38</f>
        <v>267.45487999993298</v>
      </c>
      <c r="Q13" s="133" t="e">
        <v>#REF!</v>
      </c>
      <c r="R13" s="133">
        <f t="shared" si="0"/>
        <v>74.631599999999992</v>
      </c>
      <c r="S13" s="409" t="e">
        <f t="shared" si="1"/>
        <v>#REF!</v>
      </c>
    </row>
    <row r="14" spans="1:19" ht="14.25" x14ac:dyDescent="0.2">
      <c r="A14" s="408">
        <f>Gen!A19</f>
        <v>44386</v>
      </c>
      <c r="B14" s="6">
        <f>'Summery Report'!E13</f>
        <v>39</v>
      </c>
      <c r="C14" s="6">
        <f>Gen!U19</f>
        <v>0.42393150363593718</v>
      </c>
      <c r="D14" s="134">
        <f>Gen!S19</f>
        <v>1807.2200000000003</v>
      </c>
      <c r="E14" s="134">
        <f>Gen!AJ19</f>
        <v>456</v>
      </c>
      <c r="F14" s="134">
        <f>Gen!AS19</f>
        <v>0</v>
      </c>
      <c r="G14" s="135">
        <f>'Utility report '!AC14</f>
        <v>1</v>
      </c>
      <c r="H14" s="135">
        <f>'Utility report '!AE14</f>
        <v>59</v>
      </c>
      <c r="I14" s="855">
        <f>'Water-Meter'!E14</f>
        <v>108</v>
      </c>
      <c r="J14" s="136">
        <f>'Lpg (2)'!B18</f>
        <v>85</v>
      </c>
      <c r="K14" s="136">
        <f>'Lpg (2)'!C18</f>
        <v>2</v>
      </c>
      <c r="L14" s="136">
        <f>'Lpg (2)'!D18</f>
        <v>85</v>
      </c>
      <c r="M14" s="6">
        <f>'Lpg (2)'!G18</f>
        <v>103.4</v>
      </c>
      <c r="N14" s="133">
        <f t="shared" si="2"/>
        <v>2530.1080000000002</v>
      </c>
      <c r="O14" s="133">
        <f t="shared" si="2"/>
        <v>638.4</v>
      </c>
      <c r="P14" s="132">
        <f>('Lpg (2)'!G18)*2.38</f>
        <v>246.09200000000001</v>
      </c>
      <c r="Q14" s="133" t="e">
        <v>#REF!</v>
      </c>
      <c r="R14" s="133">
        <f t="shared" si="0"/>
        <v>64.874564102564108</v>
      </c>
      <c r="S14" s="409" t="e">
        <f t="shared" si="1"/>
        <v>#REF!</v>
      </c>
    </row>
    <row r="15" spans="1:19" ht="14.25" x14ac:dyDescent="0.2">
      <c r="A15" s="408">
        <f>Gen!A20</f>
        <v>44387</v>
      </c>
      <c r="B15" s="6">
        <f>'Summery Report'!E14</f>
        <v>32</v>
      </c>
      <c r="C15" s="6">
        <f>Gen!U20</f>
        <v>0.41897026187305814</v>
      </c>
      <c r="D15" s="134">
        <f>Gen!S20</f>
        <v>1887.8799999999999</v>
      </c>
      <c r="E15" s="134">
        <f>Gen!AJ20</f>
        <v>644.97</v>
      </c>
      <c r="F15" s="134">
        <f>Gen!AS20</f>
        <v>0</v>
      </c>
      <c r="G15" s="135">
        <f>'Utility report '!AC15</f>
        <v>70</v>
      </c>
      <c r="H15" s="135">
        <f>'Utility report '!AE15</f>
        <v>56</v>
      </c>
      <c r="I15" s="855">
        <f>'Water-Meter'!E15</f>
        <v>116</v>
      </c>
      <c r="J15" s="136">
        <f>'Lpg (2)'!B19</f>
        <v>85</v>
      </c>
      <c r="K15" s="136">
        <f>'Lpg (2)'!C19</f>
        <v>1</v>
      </c>
      <c r="L15" s="136">
        <f>'Lpg (2)'!D19</f>
        <v>85</v>
      </c>
      <c r="M15" s="6">
        <f>'Lpg (2)'!G19</f>
        <v>117.30400000001538</v>
      </c>
      <c r="N15" s="133">
        <f t="shared" si="2"/>
        <v>2643.0319999999997</v>
      </c>
      <c r="O15" s="133">
        <f t="shared" si="2"/>
        <v>902.95799999999997</v>
      </c>
      <c r="P15" s="132">
        <f>('Lpg (2)'!G19)*2.38</f>
        <v>279.18352000003659</v>
      </c>
      <c r="Q15" s="133" t="e">
        <v>#REF!</v>
      </c>
      <c r="R15" s="133">
        <f t="shared" si="0"/>
        <v>82.594749999999991</v>
      </c>
      <c r="S15" s="409" t="e">
        <f t="shared" si="1"/>
        <v>#REF!</v>
      </c>
    </row>
    <row r="16" spans="1:19" ht="14.25" x14ac:dyDescent="0.2">
      <c r="A16" s="408">
        <f>Gen!A21</f>
        <v>44388</v>
      </c>
      <c r="B16" s="6">
        <f>'Summery Report'!E15</f>
        <v>31</v>
      </c>
      <c r="C16" s="6">
        <f>Gen!U21</f>
        <v>0.41547432159677056</v>
      </c>
      <c r="D16" s="134">
        <f>Gen!S21</f>
        <v>1852.6</v>
      </c>
      <c r="E16" s="134">
        <f>Gen!AJ21</f>
        <v>608.62</v>
      </c>
      <c r="F16" s="134">
        <f>Gen!AS21</f>
        <v>0</v>
      </c>
      <c r="G16" s="135">
        <f>'Utility report '!AC16</f>
        <v>41</v>
      </c>
      <c r="H16" s="135">
        <f>'Utility report '!AE16</f>
        <v>0</v>
      </c>
      <c r="I16" s="855">
        <f>'Water-Meter'!E16</f>
        <v>116</v>
      </c>
      <c r="J16" s="136">
        <f>'Lpg (2)'!B20</f>
        <v>85</v>
      </c>
      <c r="K16" s="136">
        <f>'Lpg (2)'!C20</f>
        <v>0</v>
      </c>
      <c r="L16" s="136">
        <f>'Lpg (2)'!D20</f>
        <v>85</v>
      </c>
      <c r="M16" s="6">
        <f>'Lpg (2)'!G20</f>
        <v>115.67599999997184</v>
      </c>
      <c r="N16" s="133">
        <f t="shared" si="2"/>
        <v>2593.64</v>
      </c>
      <c r="O16" s="133">
        <f t="shared" si="2"/>
        <v>852.06799999999998</v>
      </c>
      <c r="P16" s="132">
        <f>('Lpg (2)'!G20)*2.38</f>
        <v>275.30887999993297</v>
      </c>
      <c r="Q16" s="133" t="e">
        <v>#REF!</v>
      </c>
      <c r="R16" s="133">
        <f t="shared" si="0"/>
        <v>83.665806451612895</v>
      </c>
      <c r="S16" s="409" t="e">
        <f t="shared" si="1"/>
        <v>#REF!</v>
      </c>
    </row>
    <row r="17" spans="1:19" ht="14.25" x14ac:dyDescent="0.2">
      <c r="A17" s="408">
        <f>Gen!A22</f>
        <v>44389</v>
      </c>
      <c r="B17" s="6">
        <f>'Summery Report'!E16</f>
        <v>32</v>
      </c>
      <c r="C17" s="6">
        <f>Gen!U22</f>
        <v>0.37453132041460119</v>
      </c>
      <c r="D17" s="134">
        <f>Gen!S22</f>
        <v>1662.17</v>
      </c>
      <c r="E17" s="134">
        <f>Gen!AJ22</f>
        <v>677.99</v>
      </c>
      <c r="F17" s="134">
        <f>Gen!AS22</f>
        <v>0</v>
      </c>
      <c r="G17" s="135">
        <f>'Utility report '!AC17</f>
        <v>40</v>
      </c>
      <c r="H17" s="135">
        <f>'Utility report '!AE17</f>
        <v>1</v>
      </c>
      <c r="I17" s="855">
        <f>'Water-Meter'!E17</f>
        <v>109</v>
      </c>
      <c r="J17" s="136">
        <f>'Lpg (2)'!B21</f>
        <v>85</v>
      </c>
      <c r="K17" s="136">
        <f>'Lpg (2)'!C22</f>
        <v>0</v>
      </c>
      <c r="L17" s="136">
        <f>'Lpg (2)'!D21</f>
        <v>80</v>
      </c>
      <c r="M17" s="6">
        <f>'Lpg (2)'!G21</f>
        <v>126.98400000000257</v>
      </c>
      <c r="N17" s="133">
        <f t="shared" si="2"/>
        <v>2327.038</v>
      </c>
      <c r="O17" s="133">
        <f t="shared" si="2"/>
        <v>949.18599999999992</v>
      </c>
      <c r="P17" s="132">
        <f>('Lpg (2)'!G21)*2.38</f>
        <v>302.22192000000609</v>
      </c>
      <c r="Q17" s="133" t="e">
        <v>#REF!</v>
      </c>
      <c r="R17" s="133">
        <f t="shared" si="0"/>
        <v>72.7199375</v>
      </c>
      <c r="S17" s="409" t="e">
        <f t="shared" si="1"/>
        <v>#REF!</v>
      </c>
    </row>
    <row r="18" spans="1:19" ht="14.25" x14ac:dyDescent="0.2">
      <c r="A18" s="408">
        <f>Gen!A23</f>
        <v>44390</v>
      </c>
      <c r="B18" s="6">
        <f>'Summery Report'!E17</f>
        <v>19</v>
      </c>
      <c r="C18" s="6">
        <f>Gen!U23</f>
        <v>0.42904883720930231</v>
      </c>
      <c r="D18" s="134">
        <f>Gen!S23</f>
        <v>1844.9099999999999</v>
      </c>
      <c r="E18" s="134">
        <f>Gen!AJ23</f>
        <v>204.13</v>
      </c>
      <c r="F18" s="134">
        <f>Gen!AS23</f>
        <v>0</v>
      </c>
      <c r="G18" s="135">
        <f>'Utility report '!AC18</f>
        <v>37</v>
      </c>
      <c r="H18" s="135">
        <f>'Utility report '!AE18</f>
        <v>60</v>
      </c>
      <c r="I18" s="855">
        <f>'Water-Meter'!E18</f>
        <v>105</v>
      </c>
      <c r="J18" s="136">
        <f>'Lpg (2)'!B22</f>
        <v>85</v>
      </c>
      <c r="K18" s="136">
        <f>'Lpg (2)'!C23</f>
        <v>0</v>
      </c>
      <c r="L18" s="136">
        <f>'Lpg (2)'!D22</f>
        <v>76</v>
      </c>
      <c r="M18" s="6">
        <f>'Lpg (2)'!G22</f>
        <v>117.87600000003586</v>
      </c>
      <c r="N18" s="133">
        <f t="shared" si="2"/>
        <v>2582.8739999999998</v>
      </c>
      <c r="O18" s="133">
        <f t="shared" si="2"/>
        <v>285.78199999999998</v>
      </c>
      <c r="P18" s="132">
        <f>('Lpg (2)'!G22)*2.38</f>
        <v>280.54488000008536</v>
      </c>
      <c r="Q18" s="133" t="e">
        <v>#REF!</v>
      </c>
      <c r="R18" s="133">
        <f t="shared" si="0"/>
        <v>135.94073684210525</v>
      </c>
      <c r="S18" s="409" t="e">
        <f t="shared" si="1"/>
        <v>#REF!</v>
      </c>
    </row>
    <row r="19" spans="1:19" ht="14.25" x14ac:dyDescent="0.2">
      <c r="A19" s="408">
        <f>Gen!A24</f>
        <v>44391</v>
      </c>
      <c r="B19" s="6">
        <f>'Summery Report'!E18</f>
        <v>14</v>
      </c>
      <c r="C19" s="6">
        <f>Gen!U24</f>
        <v>0.42290363915940543</v>
      </c>
      <c r="D19" s="134">
        <f>Gen!S24</f>
        <v>1650.17</v>
      </c>
      <c r="E19" s="134">
        <f>Gen!AJ24</f>
        <v>1434.84</v>
      </c>
      <c r="F19" s="134">
        <f>Gen!AS24</f>
        <v>0</v>
      </c>
      <c r="G19" s="135">
        <f>'Utility report '!AC19</f>
        <v>38</v>
      </c>
      <c r="H19" s="135">
        <f>'Utility report '!AE19</f>
        <v>58</v>
      </c>
      <c r="I19" s="855">
        <f>'Water-Meter'!E19</f>
        <v>105</v>
      </c>
      <c r="J19" s="136">
        <f>'Lpg (2)'!B23</f>
        <v>85</v>
      </c>
      <c r="K19" s="136">
        <f>'Lpg (2)'!C24</f>
        <v>0</v>
      </c>
      <c r="L19" s="136">
        <f>'Lpg (2)'!D23</f>
        <v>70</v>
      </c>
      <c r="M19" s="6">
        <f>'Lpg (2)'!G23</f>
        <v>127.77599999997184</v>
      </c>
      <c r="N19" s="133">
        <f t="shared" si="2"/>
        <v>2310.2379999999998</v>
      </c>
      <c r="O19" s="133">
        <f t="shared" si="2"/>
        <v>2008.7759999999998</v>
      </c>
      <c r="P19" s="132">
        <f>('Lpg (2)'!G23)*2.38</f>
        <v>304.10687999993297</v>
      </c>
      <c r="Q19" s="133" t="e">
        <v>#REF!</v>
      </c>
      <c r="R19" s="133">
        <f t="shared" si="0"/>
        <v>165.017</v>
      </c>
      <c r="S19" s="409" t="e">
        <f t="shared" si="1"/>
        <v>#REF!</v>
      </c>
    </row>
    <row r="20" spans="1:19" ht="14.25" x14ac:dyDescent="0.2">
      <c r="A20" s="408">
        <f>Gen!A25</f>
        <v>44392</v>
      </c>
      <c r="B20" s="6">
        <f>'Summery Report'!E19</f>
        <v>16</v>
      </c>
      <c r="C20" s="6">
        <f>Gen!U25</f>
        <v>0.42871380120010444</v>
      </c>
      <c r="D20" s="134">
        <f>Gen!S25</f>
        <v>1643.2600000000002</v>
      </c>
      <c r="E20" s="134">
        <f>Gen!AJ25</f>
        <v>155.97999999999999</v>
      </c>
      <c r="F20" s="134">
        <f>Gen!AS25</f>
        <v>0</v>
      </c>
      <c r="G20" s="135">
        <f>'Utility report '!AC20</f>
        <v>36</v>
      </c>
      <c r="H20" s="135">
        <f>'Utility report '!AE20</f>
        <v>53</v>
      </c>
      <c r="I20" s="855">
        <f>'Water-Meter'!E20</f>
        <v>83</v>
      </c>
      <c r="J20" s="136">
        <f>'Lpg (2)'!B24</f>
        <v>85</v>
      </c>
      <c r="K20" s="136">
        <f>'Lpg (2)'!C25</f>
        <v>0</v>
      </c>
      <c r="L20" s="136">
        <f>'Lpg (2)'!D24</f>
        <v>65</v>
      </c>
      <c r="M20" s="6">
        <f>'Lpg (2)'!G24</f>
        <v>124.74000000002562</v>
      </c>
      <c r="N20" s="133">
        <f t="shared" si="2"/>
        <v>2300.5640000000003</v>
      </c>
      <c r="O20" s="133">
        <f t="shared" si="2"/>
        <v>218.37199999999999</v>
      </c>
      <c r="P20" s="132">
        <f>('Lpg (2)'!G24)*2.38</f>
        <v>296.88120000006097</v>
      </c>
      <c r="Q20" s="133" t="e">
        <v>#REF!</v>
      </c>
      <c r="R20" s="133">
        <f t="shared" si="0"/>
        <v>143.78525000000002</v>
      </c>
      <c r="S20" s="409" t="e">
        <f t="shared" si="1"/>
        <v>#REF!</v>
      </c>
    </row>
    <row r="21" spans="1:19" ht="14.25" x14ac:dyDescent="0.2">
      <c r="A21" s="408">
        <f>Gen!A26</f>
        <v>44393</v>
      </c>
      <c r="B21" s="6">
        <f>'Summery Report'!E20</f>
        <v>0</v>
      </c>
      <c r="C21" s="6">
        <f>Gen!U26</f>
        <v>0.42469117647058824</v>
      </c>
      <c r="D21" s="134">
        <f>Gen!S26</f>
        <v>1732.74</v>
      </c>
      <c r="E21" s="134">
        <f>Gen!AJ26</f>
        <v>85.68</v>
      </c>
      <c r="F21" s="134">
        <f>Gen!AS26</f>
        <v>0</v>
      </c>
      <c r="G21" s="135">
        <f>'Utility report '!AC21</f>
        <v>21</v>
      </c>
      <c r="H21" s="135">
        <f>'Utility report '!AE21</f>
        <v>58</v>
      </c>
      <c r="I21" s="855">
        <f>'Water-Meter'!E21</f>
        <v>103</v>
      </c>
      <c r="J21" s="136">
        <f>'Lpg (2)'!B25</f>
        <v>85</v>
      </c>
      <c r="K21" s="136">
        <f>'Lpg (2)'!C25</f>
        <v>0</v>
      </c>
      <c r="L21" s="136">
        <f>'Lpg (2)'!D25</f>
        <v>45</v>
      </c>
      <c r="M21" s="6">
        <f>'Lpg (2)'!G25</f>
        <v>119.06399999998976</v>
      </c>
      <c r="N21" s="133">
        <f t="shared" si="2"/>
        <v>2425.8359999999998</v>
      </c>
      <c r="O21" s="133">
        <f t="shared" si="2"/>
        <v>119.952</v>
      </c>
      <c r="P21" s="132">
        <f>('Lpg (2)'!G25)*2.38</f>
        <v>283.37231999997562</v>
      </c>
      <c r="Q21" s="133" t="e">
        <v>#REF!</v>
      </c>
      <c r="R21" s="133" t="e">
        <f t="shared" si="0"/>
        <v>#DIV/0!</v>
      </c>
      <c r="S21" s="409" t="e">
        <f t="shared" si="1"/>
        <v>#REF!</v>
      </c>
    </row>
    <row r="22" spans="1:19" ht="14.25" x14ac:dyDescent="0.2">
      <c r="A22" s="408">
        <f>Gen!A27</f>
        <v>44394</v>
      </c>
      <c r="B22" s="6">
        <f>'Summery Report'!E21</f>
        <v>0</v>
      </c>
      <c r="C22" s="6">
        <f>Gen!U27</f>
        <v>0.43173020527859235</v>
      </c>
      <c r="D22" s="134">
        <f>Gen!S27</f>
        <v>1766.6399999999999</v>
      </c>
      <c r="E22" s="134">
        <f>Gen!AJ27</f>
        <v>496.38</v>
      </c>
      <c r="F22" s="134">
        <f>Gen!AS27</f>
        <v>0</v>
      </c>
      <c r="G22" s="135">
        <f>'Utility report '!AC22</f>
        <v>35</v>
      </c>
      <c r="H22" s="135">
        <f>'Utility report '!AE22</f>
        <v>58</v>
      </c>
      <c r="I22" s="855">
        <f>'Water-Meter'!E22</f>
        <v>107</v>
      </c>
      <c r="J22" s="136">
        <f>'Lpg (2)'!B26</f>
        <v>85</v>
      </c>
      <c r="K22" s="136">
        <f>'Lpg (2)'!C26</f>
        <v>0</v>
      </c>
      <c r="L22" s="136">
        <f>'Lpg (2)'!D26</f>
        <v>38</v>
      </c>
      <c r="M22" s="6">
        <f>'Lpg (2)'!G26</f>
        <v>114.44399999997695</v>
      </c>
      <c r="N22" s="133">
        <f t="shared" si="2"/>
        <v>2473.2959999999998</v>
      </c>
      <c r="O22" s="133">
        <f t="shared" si="2"/>
        <v>694.9319999999999</v>
      </c>
      <c r="P22" s="132">
        <f>('Lpg (2)'!G26)*2.38</f>
        <v>272.37671999994512</v>
      </c>
      <c r="Q22" s="133" t="e">
        <v>#REF!</v>
      </c>
      <c r="R22" s="133" t="e">
        <f t="shared" si="0"/>
        <v>#DIV/0!</v>
      </c>
      <c r="S22" s="409" t="e">
        <f t="shared" si="1"/>
        <v>#REF!</v>
      </c>
    </row>
    <row r="23" spans="1:19" ht="14.25" x14ac:dyDescent="0.2">
      <c r="A23" s="408">
        <f>Gen!A28</f>
        <v>44395</v>
      </c>
      <c r="B23" s="6">
        <f>'Summery Report'!E22</f>
        <v>0</v>
      </c>
      <c r="C23" s="6">
        <f>Gen!U28</f>
        <v>0.40179325842696623</v>
      </c>
      <c r="D23" s="134">
        <f>Gen!S28</f>
        <v>1787.9799999999998</v>
      </c>
      <c r="E23" s="134">
        <f>Gen!AJ28</f>
        <v>374.23</v>
      </c>
      <c r="F23" s="134">
        <f>Gen!AS28</f>
        <v>0</v>
      </c>
      <c r="G23" s="135">
        <f>'Utility report '!AC23</f>
        <v>42</v>
      </c>
      <c r="H23" s="135">
        <f>'Utility report '!AE23</f>
        <v>22</v>
      </c>
      <c r="I23" s="855">
        <f>'Water-Meter'!E23</f>
        <v>128</v>
      </c>
      <c r="J23" s="136">
        <f>'Lpg (2)'!B27</f>
        <v>85</v>
      </c>
      <c r="K23" s="136">
        <f>'Lpg (2)'!C27</f>
        <v>0</v>
      </c>
      <c r="L23" s="136">
        <f>'Lpg (2)'!D27</f>
        <v>30</v>
      </c>
      <c r="M23" s="6">
        <f>'Lpg (2)'!G27</f>
        <v>104.32400000002818</v>
      </c>
      <c r="N23" s="133">
        <f t="shared" si="2"/>
        <v>2503.1719999999996</v>
      </c>
      <c r="O23" s="133">
        <f t="shared" si="2"/>
        <v>523.92200000000003</v>
      </c>
      <c r="P23" s="132">
        <f>('Lpg (2)'!G27)*2.38</f>
        <v>248.29112000006705</v>
      </c>
      <c r="Q23" s="133" t="e">
        <v>#REF!</v>
      </c>
      <c r="R23" s="133" t="e">
        <f t="shared" si="0"/>
        <v>#DIV/0!</v>
      </c>
      <c r="S23" s="409" t="e">
        <f t="shared" si="1"/>
        <v>#REF!</v>
      </c>
    </row>
    <row r="24" spans="1:19" ht="14.25" x14ac:dyDescent="0.2">
      <c r="A24" s="408">
        <f>Gen!A29</f>
        <v>44396</v>
      </c>
      <c r="B24" s="6">
        <f>'Summery Report'!E23</f>
        <v>0</v>
      </c>
      <c r="C24" s="6">
        <f>Gen!U29</f>
        <v>0.39119145262249078</v>
      </c>
      <c r="D24" s="134">
        <f>Gen!S29</f>
        <v>1812.3899999999999</v>
      </c>
      <c r="E24" s="134">
        <f>Gen!AJ29</f>
        <v>224</v>
      </c>
      <c r="F24" s="134">
        <f>Gen!AS29</f>
        <v>0</v>
      </c>
      <c r="G24" s="135">
        <f>'Utility report '!AC24</f>
        <v>101</v>
      </c>
      <c r="H24" s="135">
        <f>'Utility report '!AE24</f>
        <v>47</v>
      </c>
      <c r="I24" s="855">
        <f>'Water-Meter'!E24</f>
        <v>115</v>
      </c>
      <c r="J24" s="136">
        <f>'Lpg (2)'!B28</f>
        <v>85</v>
      </c>
      <c r="K24" s="136">
        <f>'Lpg (2)'!C28</f>
        <v>0</v>
      </c>
      <c r="L24" s="136">
        <f>'Lpg (2)'!D28</f>
        <v>27</v>
      </c>
      <c r="M24" s="6">
        <f>'Lpg (2)'!G28</f>
        <v>113.65200000000769</v>
      </c>
      <c r="N24" s="133">
        <f t="shared" si="2"/>
        <v>2537.3459999999995</v>
      </c>
      <c r="O24" s="133">
        <f t="shared" si="2"/>
        <v>313.59999999999997</v>
      </c>
      <c r="P24" s="132">
        <f>('Lpg (2)'!G28)*2.38</f>
        <v>270.4917600000183</v>
      </c>
      <c r="Q24" s="133" t="e">
        <v>#REF!</v>
      </c>
      <c r="R24" s="133" t="e">
        <f t="shared" si="0"/>
        <v>#DIV/0!</v>
      </c>
      <c r="S24" s="409" t="e">
        <f t="shared" si="1"/>
        <v>#REF!</v>
      </c>
    </row>
    <row r="25" spans="1:19" ht="14.25" x14ac:dyDescent="0.2">
      <c r="A25" s="408">
        <f>Gen!A30</f>
        <v>44397</v>
      </c>
      <c r="B25" s="6">
        <f>'Summery Report'!E24</f>
        <v>0</v>
      </c>
      <c r="C25" s="6">
        <f>Gen!U30</f>
        <v>0.42516730199068192</v>
      </c>
      <c r="D25" s="134">
        <f>Gen!S30</f>
        <v>2007.64</v>
      </c>
      <c r="E25" s="134">
        <f>Gen!AJ30</f>
        <v>49.26</v>
      </c>
      <c r="F25" s="134">
        <f>Gen!AS30</f>
        <v>0</v>
      </c>
      <c r="G25" s="135">
        <f>'Utility report '!AC25</f>
        <v>155</v>
      </c>
      <c r="H25" s="135">
        <f>'Utility report '!AE25</f>
        <v>25</v>
      </c>
      <c r="I25" s="855">
        <f>'Water-Meter'!E25</f>
        <v>113</v>
      </c>
      <c r="J25" s="136">
        <f>'Lpg (2)'!B29</f>
        <v>85</v>
      </c>
      <c r="K25" s="136">
        <f>'Lpg (2)'!C29</f>
        <v>0</v>
      </c>
      <c r="L25" s="136">
        <f>'Lpg (2)'!D29</f>
        <v>20</v>
      </c>
      <c r="M25" s="6">
        <f>'Lpg (2)'!G29</f>
        <v>111.89199999996927</v>
      </c>
      <c r="N25" s="133">
        <f t="shared" si="2"/>
        <v>2810.6959999999999</v>
      </c>
      <c r="O25" s="133">
        <f t="shared" si="2"/>
        <v>68.963999999999999</v>
      </c>
      <c r="P25" s="132">
        <f>('Lpg (2)'!G29)*2.38</f>
        <v>266.30295999992688</v>
      </c>
      <c r="Q25" s="133" t="e">
        <v>#REF!</v>
      </c>
      <c r="R25" s="133" t="e">
        <f t="shared" si="0"/>
        <v>#DIV/0!</v>
      </c>
      <c r="S25" s="409" t="e">
        <f t="shared" si="1"/>
        <v>#REF!</v>
      </c>
    </row>
    <row r="26" spans="1:19" ht="14.25" x14ac:dyDescent="0.2">
      <c r="A26" s="408">
        <f>Gen!A31</f>
        <v>44398</v>
      </c>
      <c r="B26" s="6">
        <f>'Summery Report'!E25</f>
        <v>0</v>
      </c>
      <c r="C26" s="6">
        <f>Gen!U31</f>
        <v>0.40577886377519851</v>
      </c>
      <c r="D26" s="134">
        <f>Gen!S31</f>
        <v>1992.78</v>
      </c>
      <c r="E26" s="134">
        <f>Gen!AJ31</f>
        <v>556.39</v>
      </c>
      <c r="F26" s="134">
        <f>Gen!AS31</f>
        <v>0</v>
      </c>
      <c r="G26" s="135">
        <f>'Utility report '!AC26</f>
        <v>0</v>
      </c>
      <c r="H26" s="135">
        <f>'Utility report '!AE26</f>
        <v>43</v>
      </c>
      <c r="I26" s="855">
        <f>'Water-Meter'!E26</f>
        <v>133</v>
      </c>
      <c r="J26" s="136">
        <f>'Lpg (2)'!B30</f>
        <v>85</v>
      </c>
      <c r="K26" s="136">
        <f>'Lpg (2)'!C30</f>
        <v>0</v>
      </c>
      <c r="L26" s="136">
        <f>'Lpg (2)'!D30</f>
        <v>15</v>
      </c>
      <c r="M26" s="6">
        <f>'Lpg (2)'!G30</f>
        <v>336.11599999999748</v>
      </c>
      <c r="N26" s="133">
        <f t="shared" si="2"/>
        <v>2789.8919999999998</v>
      </c>
      <c r="O26" s="133">
        <f t="shared" si="2"/>
        <v>778.94599999999991</v>
      </c>
      <c r="P26" s="132">
        <f>('Lpg (2)'!G30)*2.38</f>
        <v>799.95607999999402</v>
      </c>
      <c r="Q26" s="133" t="e">
        <v>#REF!</v>
      </c>
      <c r="R26" s="133" t="e">
        <f t="shared" si="0"/>
        <v>#DIV/0!</v>
      </c>
      <c r="S26" s="409" t="e">
        <f t="shared" si="1"/>
        <v>#REF!</v>
      </c>
    </row>
    <row r="27" spans="1:19" ht="14.25" x14ac:dyDescent="0.2">
      <c r="A27" s="408">
        <f>Gen!A32</f>
        <v>44399</v>
      </c>
      <c r="B27" s="6">
        <f>'Summery Report'!E26</f>
        <v>0</v>
      </c>
      <c r="C27" s="6">
        <f>Gen!U32</f>
        <v>0.42726559510141598</v>
      </c>
      <c r="D27" s="134">
        <f>Gen!S32</f>
        <v>2232.89</v>
      </c>
      <c r="E27" s="134">
        <f>Gen!AJ32</f>
        <v>494.65</v>
      </c>
      <c r="F27" s="134">
        <f>Gen!AS32</f>
        <v>0</v>
      </c>
      <c r="G27" s="135">
        <f>'Utility report '!AC27</f>
        <v>167</v>
      </c>
      <c r="H27" s="135">
        <f>'Utility report '!AE27</f>
        <v>57</v>
      </c>
      <c r="I27" s="855">
        <f>'Water-Meter'!E27</f>
        <v>113</v>
      </c>
      <c r="J27" s="136">
        <f>'Lpg (2)'!B31</f>
        <v>85</v>
      </c>
      <c r="K27" s="136">
        <f>'Lpg (2)'!C31</f>
        <v>0</v>
      </c>
      <c r="L27" s="136">
        <f>'Lpg (2)'!D31</f>
        <v>9</v>
      </c>
      <c r="M27" s="6">
        <f>'Lpg (2)'!G31</f>
        <v>-106.61199999998207</v>
      </c>
      <c r="N27" s="133">
        <f t="shared" si="2"/>
        <v>3126.0459999999998</v>
      </c>
      <c r="O27" s="133">
        <f t="shared" si="2"/>
        <v>692.50999999999988</v>
      </c>
      <c r="P27" s="132">
        <f>('Lpg (2)'!G31)*2.38</f>
        <v>-253.73655999995734</v>
      </c>
      <c r="Q27" s="133" t="e">
        <v>#REF!</v>
      </c>
      <c r="R27" s="133" t="e">
        <f t="shared" si="0"/>
        <v>#DIV/0!</v>
      </c>
      <c r="S27" s="409" t="e">
        <f t="shared" si="1"/>
        <v>#REF!</v>
      </c>
    </row>
    <row r="28" spans="1:19" ht="14.25" x14ac:dyDescent="0.2">
      <c r="A28" s="408">
        <f>Gen!A33</f>
        <v>44400</v>
      </c>
      <c r="B28" s="6">
        <f>'Summery Report'!E27</f>
        <v>0</v>
      </c>
      <c r="C28" s="6">
        <f>Gen!U33</f>
        <v>0.44202748414376319</v>
      </c>
      <c r="D28" s="134">
        <f>Gen!S33</f>
        <v>2090.79</v>
      </c>
      <c r="E28" s="134">
        <f>Gen!AJ33</f>
        <v>228.3</v>
      </c>
      <c r="F28" s="134">
        <f>Gen!AS33</f>
        <v>0</v>
      </c>
      <c r="G28" s="135">
        <f>'Utility report '!AC28</f>
        <v>163</v>
      </c>
      <c r="H28" s="135">
        <f>'Utility report '!AE28</f>
        <v>23</v>
      </c>
      <c r="I28" s="855">
        <f>'Water-Meter'!E28</f>
        <v>108</v>
      </c>
      <c r="J28" s="136">
        <f>'Lpg (2)'!B32</f>
        <v>85</v>
      </c>
      <c r="K28" s="136">
        <f>'Lpg (2)'!C32</f>
        <v>0</v>
      </c>
      <c r="L28" s="136">
        <f>'Lpg (2)'!D32</f>
        <v>5</v>
      </c>
      <c r="M28" s="6">
        <f>'Lpg (2)'!G32</f>
        <v>98.295999999984645</v>
      </c>
      <c r="N28" s="133">
        <f t="shared" si="2"/>
        <v>2927.1059999999998</v>
      </c>
      <c r="O28" s="133">
        <f t="shared" si="2"/>
        <v>319.62</v>
      </c>
      <c r="P28" s="132">
        <f>('Lpg (2)'!G32)*2.38</f>
        <v>233.94447999996345</v>
      </c>
      <c r="Q28" s="133" t="e">
        <v>#REF!</v>
      </c>
      <c r="R28" s="133" t="e">
        <f t="shared" si="0"/>
        <v>#DIV/0!</v>
      </c>
      <c r="S28" s="409" t="e">
        <f t="shared" si="1"/>
        <v>#REF!</v>
      </c>
    </row>
    <row r="29" spans="1:19" ht="14.25" x14ac:dyDescent="0.2">
      <c r="A29" s="408">
        <f>Gen!A34</f>
        <v>44401</v>
      </c>
      <c r="B29" s="6">
        <f>'Summery Report'!E28</f>
        <v>0</v>
      </c>
      <c r="C29" s="6">
        <f>Gen!U34</f>
        <v>0.4129391268702603</v>
      </c>
      <c r="D29" s="134">
        <f>Gen!S34</f>
        <v>2014.73</v>
      </c>
      <c r="E29" s="134">
        <f>Gen!AJ34</f>
        <v>442.98</v>
      </c>
      <c r="F29" s="134">
        <f>Gen!AS34</f>
        <v>0</v>
      </c>
      <c r="G29" s="135">
        <f>'Utility report '!AC29</f>
        <v>0</v>
      </c>
      <c r="H29" s="135">
        <f>'Utility report '!AE29</f>
        <v>67</v>
      </c>
      <c r="I29" s="855">
        <f>'Water-Meter'!E29</f>
        <v>106</v>
      </c>
      <c r="J29" s="136">
        <f>'Lpg (2)'!B33</f>
        <v>85</v>
      </c>
      <c r="K29" s="136">
        <f>'Lpg (2)'!C33</f>
        <v>0</v>
      </c>
      <c r="L29" s="136">
        <f>'Lpg (2)'!D33</f>
        <v>2</v>
      </c>
      <c r="M29" s="6">
        <f>'Lpg (2)'!G33</f>
        <v>98.868000000005125</v>
      </c>
      <c r="N29" s="133">
        <f t="shared" si="2"/>
        <v>2820.6219999999998</v>
      </c>
      <c r="O29" s="133">
        <f t="shared" si="2"/>
        <v>620.17200000000003</v>
      </c>
      <c r="P29" s="132">
        <f>('Lpg (2)'!G33)*2.38</f>
        <v>235.30584000001218</v>
      </c>
      <c r="Q29" s="133" t="e">
        <v>#REF!</v>
      </c>
      <c r="R29" s="133" t="e">
        <f t="shared" si="0"/>
        <v>#DIV/0!</v>
      </c>
      <c r="S29" s="409" t="e">
        <f t="shared" si="1"/>
        <v>#REF!</v>
      </c>
    </row>
    <row r="30" spans="1:19" ht="14.25" x14ac:dyDescent="0.2">
      <c r="A30" s="408">
        <f>Gen!A35</f>
        <v>44402</v>
      </c>
      <c r="B30" s="6">
        <f>'Summery Report'!E29</f>
        <v>0</v>
      </c>
      <c r="C30" s="6">
        <f>Gen!U35</f>
        <v>0.40641226353555121</v>
      </c>
      <c r="D30" s="134">
        <f>Gen!S35</f>
        <v>1869.09</v>
      </c>
      <c r="E30" s="134">
        <f>Gen!AJ35</f>
        <v>259.78999999999996</v>
      </c>
      <c r="F30" s="134">
        <f>Gen!AS35</f>
        <v>0</v>
      </c>
      <c r="G30" s="135">
        <f>'Utility report '!AC30</f>
        <v>81</v>
      </c>
      <c r="H30" s="135">
        <f>'Utility report '!AE30</f>
        <v>64</v>
      </c>
      <c r="I30" s="855">
        <f>'Water-Meter'!E30</f>
        <v>106</v>
      </c>
      <c r="J30" s="136">
        <f>'Lpg (2)'!B34</f>
        <v>85</v>
      </c>
      <c r="K30" s="136">
        <f>'Lpg (2)'!C34</f>
        <v>0</v>
      </c>
      <c r="L30" s="136">
        <f>'Lpg (2)'!D34</f>
        <v>1</v>
      </c>
      <c r="M30" s="6">
        <f>'Lpg (2)'!G34</f>
        <v>106.39200000003331</v>
      </c>
      <c r="N30" s="133">
        <f t="shared" si="2"/>
        <v>2616.7259999999997</v>
      </c>
      <c r="O30" s="133">
        <f t="shared" si="2"/>
        <v>363.7059999999999</v>
      </c>
      <c r="P30" s="132">
        <f>('Lpg (2)'!G34)*2.38</f>
        <v>253.21296000007925</v>
      </c>
      <c r="Q30" s="133" t="e">
        <v>#REF!</v>
      </c>
      <c r="R30" s="133" t="e">
        <f t="shared" si="0"/>
        <v>#DIV/0!</v>
      </c>
      <c r="S30" s="409" t="e">
        <f t="shared" si="1"/>
        <v>#REF!</v>
      </c>
    </row>
    <row r="31" spans="1:19" ht="14.25" x14ac:dyDescent="0.2">
      <c r="A31" s="408">
        <f>Gen!A36</f>
        <v>44403</v>
      </c>
      <c r="B31" s="6">
        <f>'Summery Report'!E30</f>
        <v>0</v>
      </c>
      <c r="C31" s="6">
        <f>Gen!U36</f>
        <v>0.42781426953567375</v>
      </c>
      <c r="D31" s="134">
        <f>Gen!S36</f>
        <v>1888.7999999999997</v>
      </c>
      <c r="E31" s="134">
        <f>Gen!AJ36</f>
        <v>70.92</v>
      </c>
      <c r="F31" s="134">
        <f>Gen!AS36</f>
        <v>0</v>
      </c>
      <c r="G31" s="135">
        <f>'Utility report '!AC31</f>
        <v>25</v>
      </c>
      <c r="H31" s="135">
        <f>'Utility report '!AE31</f>
        <v>58</v>
      </c>
      <c r="I31" s="855">
        <f>'Water-Meter'!E31</f>
        <v>96</v>
      </c>
      <c r="J31" s="136">
        <f>'Lpg (2)'!B35</f>
        <v>85</v>
      </c>
      <c r="K31" s="136">
        <f>'Lpg (2)'!C35</f>
        <v>0</v>
      </c>
      <c r="L31" s="136">
        <f>'Lpg (2)'!D35</f>
        <v>1</v>
      </c>
      <c r="M31" s="6">
        <f>'Lpg (2)'!G35</f>
        <v>93.323999999964158</v>
      </c>
      <c r="N31" s="133">
        <f t="shared" si="2"/>
        <v>2644.3199999999993</v>
      </c>
      <c r="O31" s="133">
        <f t="shared" si="2"/>
        <v>99.287999999999997</v>
      </c>
      <c r="P31" s="132">
        <f>('Lpg (2)'!G35)*2.38</f>
        <v>222.11111999991468</v>
      </c>
      <c r="Q31" s="133" t="e">
        <v>#REF!</v>
      </c>
      <c r="R31" s="133" t="e">
        <f t="shared" si="0"/>
        <v>#DIV/0!</v>
      </c>
      <c r="S31" s="409" t="e">
        <f t="shared" si="1"/>
        <v>#REF!</v>
      </c>
    </row>
    <row r="32" spans="1:19" ht="14.25" x14ac:dyDescent="0.2">
      <c r="A32" s="408">
        <f>Gen!A37</f>
        <v>44404</v>
      </c>
      <c r="B32" s="6">
        <f>'Summery Report'!E31</f>
        <v>0</v>
      </c>
      <c r="C32" s="6">
        <f>Gen!U37</f>
        <v>0.41703711742999783</v>
      </c>
      <c r="D32" s="134">
        <f>Gen!S37</f>
        <v>1921.29</v>
      </c>
      <c r="E32" s="134">
        <f>Gen!AJ37</f>
        <v>491.89</v>
      </c>
      <c r="F32" s="134">
        <f>Gen!AS37</f>
        <v>0</v>
      </c>
      <c r="G32" s="135">
        <f>'Utility report '!AC32</f>
        <v>93</v>
      </c>
      <c r="H32" s="135">
        <f>'Utility report '!AE32</f>
        <v>47</v>
      </c>
      <c r="I32" s="855">
        <f>'Water-Meter'!E32</f>
        <v>103</v>
      </c>
      <c r="J32" s="136">
        <f>'Lpg (2)'!B36</f>
        <v>85</v>
      </c>
      <c r="K32" s="136">
        <f>'Lpg (2)'!C36</f>
        <v>0</v>
      </c>
      <c r="L32" s="136">
        <f>'Lpg (2)'!D36</f>
        <v>0</v>
      </c>
      <c r="M32" s="6">
        <f>'Lpg (2)'!G36</f>
        <v>74.228000000043551</v>
      </c>
      <c r="N32" s="133">
        <f t="shared" si="2"/>
        <v>2689.8059999999996</v>
      </c>
      <c r="O32" s="133">
        <f t="shared" si="2"/>
        <v>688.64599999999996</v>
      </c>
      <c r="P32" s="132">
        <f>('Lpg (2)'!G36)*2.38</f>
        <v>176.66264000010364</v>
      </c>
      <c r="Q32" s="133" t="e">
        <v>#REF!</v>
      </c>
      <c r="R32" s="133" t="e">
        <f t="shared" si="0"/>
        <v>#DIV/0!</v>
      </c>
      <c r="S32" s="409" t="e">
        <f t="shared" si="1"/>
        <v>#REF!</v>
      </c>
    </row>
    <row r="33" spans="1:19" ht="14.25" x14ac:dyDescent="0.2">
      <c r="A33" s="408">
        <f>Gen!A38</f>
        <v>44405</v>
      </c>
      <c r="B33" s="6">
        <f>'Summery Report'!E32</f>
        <v>0</v>
      </c>
      <c r="C33" s="6">
        <f>Gen!U38</f>
        <v>0.36549332184403277</v>
      </c>
      <c r="D33" s="134">
        <f>Gen!S38</f>
        <v>1696.6200000000001</v>
      </c>
      <c r="E33" s="134">
        <f>Gen!AJ38</f>
        <v>147.47</v>
      </c>
      <c r="F33" s="134">
        <f>Gen!AS38</f>
        <v>0</v>
      </c>
      <c r="G33" s="135">
        <f>'Utility report '!AC33</f>
        <v>161</v>
      </c>
      <c r="H33" s="135">
        <f>'Utility report '!AE33</f>
        <v>53</v>
      </c>
      <c r="I33" s="855">
        <f>'Water-Meter'!E33</f>
        <v>115</v>
      </c>
      <c r="J33" s="136">
        <f>'Lpg (2)'!B37</f>
        <v>85</v>
      </c>
      <c r="K33" s="136">
        <f>'Lpg (2)'!C37</f>
        <v>0</v>
      </c>
      <c r="L33" s="136">
        <f>'Lpg (2)'!D37</f>
        <v>0</v>
      </c>
      <c r="M33" s="6">
        <f>'Lpg (2)'!G37</f>
        <v>79.2</v>
      </c>
      <c r="N33" s="133">
        <f t="shared" si="2"/>
        <v>2375.268</v>
      </c>
      <c r="O33" s="133">
        <f t="shared" si="2"/>
        <v>206.458</v>
      </c>
      <c r="P33" s="132">
        <f>('Lpg (2)'!G37)*2.38</f>
        <v>188.49600000000001</v>
      </c>
      <c r="Q33" s="133" t="e">
        <v>#REF!</v>
      </c>
      <c r="R33" s="133" t="e">
        <f t="shared" si="0"/>
        <v>#DIV/0!</v>
      </c>
      <c r="S33" s="409" t="e">
        <f t="shared" si="1"/>
        <v>#REF!</v>
      </c>
    </row>
    <row r="34" spans="1:19" ht="14.25" x14ac:dyDescent="0.2">
      <c r="A34" s="408">
        <f>Gen!A39</f>
        <v>44406</v>
      </c>
      <c r="B34" s="6">
        <f>'Summery Report'!E33</f>
        <v>0</v>
      </c>
      <c r="C34" s="6">
        <f>Gen!U39</f>
        <v>0.49988958594730237</v>
      </c>
      <c r="D34" s="134">
        <f>Gen!S39</f>
        <v>1992.06</v>
      </c>
      <c r="E34" s="134">
        <f>Gen!AJ39</f>
        <v>246.95</v>
      </c>
      <c r="F34" s="134">
        <f>Gen!AS39</f>
        <v>0</v>
      </c>
      <c r="G34" s="135">
        <f>'Utility report '!AC34</f>
        <v>109</v>
      </c>
      <c r="H34" s="135">
        <f>'Utility report '!AE34</f>
        <v>51</v>
      </c>
      <c r="I34" s="855">
        <f>'Water-Meter'!E34</f>
        <v>111</v>
      </c>
      <c r="J34" s="136">
        <f>'Lpg (2)'!B38</f>
        <v>84</v>
      </c>
      <c r="K34" s="136">
        <f>'Lpg (2)'!C38</f>
        <v>0</v>
      </c>
      <c r="L34" s="136">
        <f>'Lpg (2)'!D38</f>
        <v>0</v>
      </c>
      <c r="M34" s="6">
        <f>'Lpg (2)'!G38</f>
        <v>175.64799999999232</v>
      </c>
      <c r="N34" s="133">
        <f t="shared" si="2"/>
        <v>2788.8839999999996</v>
      </c>
      <c r="O34" s="133">
        <f t="shared" si="2"/>
        <v>345.72999999999996</v>
      </c>
      <c r="P34" s="132">
        <f>('Lpg (2)'!G38)*2.38</f>
        <v>418.04223999998169</v>
      </c>
      <c r="Q34" s="133" t="e">
        <v>#REF!</v>
      </c>
      <c r="R34" s="133" t="e">
        <f t="shared" si="0"/>
        <v>#DIV/0!</v>
      </c>
      <c r="S34" s="409" t="e">
        <f t="shared" si="1"/>
        <v>#REF!</v>
      </c>
    </row>
    <row r="35" spans="1:19" ht="14.25" x14ac:dyDescent="0.2">
      <c r="A35" s="408">
        <f>Gen!A40</f>
        <v>44407</v>
      </c>
      <c r="B35" s="6">
        <f>'Summery Report'!E34</f>
        <v>0</v>
      </c>
      <c r="C35" s="6">
        <f>Gen!U40</f>
        <v>0.4064607493309545</v>
      </c>
      <c r="D35" s="134">
        <f>Gen!S40</f>
        <v>1822.57</v>
      </c>
      <c r="E35" s="134">
        <f>Gen!AJ40</f>
        <v>369</v>
      </c>
      <c r="F35" s="134">
        <f>Gen!AS40</f>
        <v>0</v>
      </c>
      <c r="G35" s="135">
        <f>'Utility report '!AC35</f>
        <v>64</v>
      </c>
      <c r="H35" s="135">
        <f>'Utility report '!AE35</f>
        <v>47</v>
      </c>
      <c r="I35" s="855">
        <f>'Water-Meter'!E35</f>
        <v>105</v>
      </c>
      <c r="J35" s="136">
        <f>'Lpg (2)'!B39</f>
        <v>80</v>
      </c>
      <c r="K35" s="136">
        <f>'Lpg (2)'!C39</f>
        <v>0</v>
      </c>
      <c r="L35" s="136">
        <f>'Lpg (2)'!D39</f>
        <v>0</v>
      </c>
      <c r="M35" s="6">
        <f>'Lpg (2)'!G39</f>
        <v>171.29199999996928</v>
      </c>
      <c r="N35" s="133">
        <f t="shared" si="2"/>
        <v>2551.598</v>
      </c>
      <c r="O35" s="133">
        <f t="shared" si="2"/>
        <v>516.6</v>
      </c>
      <c r="P35" s="132">
        <f>('Lpg (2)'!G39)*2.38</f>
        <v>407.67495999992684</v>
      </c>
      <c r="Q35" s="133" t="e">
        <v>#REF!</v>
      </c>
      <c r="R35" s="133" t="e">
        <f t="shared" si="0"/>
        <v>#DIV/0!</v>
      </c>
      <c r="S35" s="409" t="e">
        <f t="shared" si="1"/>
        <v>#REF!</v>
      </c>
    </row>
    <row r="36" spans="1:19" ht="14.25" x14ac:dyDescent="0.2">
      <c r="A36" s="408">
        <f>Gen!A41</f>
        <v>44408</v>
      </c>
      <c r="B36" s="6">
        <f>'Summery Report'!E35</f>
        <v>0</v>
      </c>
      <c r="C36" s="6">
        <f>Gen!U41</f>
        <v>0.41843586550435863</v>
      </c>
      <c r="D36" s="134">
        <f>Gen!S41</f>
        <v>1680.02</v>
      </c>
      <c r="E36" s="134">
        <f>Gen!AJ41</f>
        <v>376.24</v>
      </c>
      <c r="F36" s="134">
        <f>Gen!AS41</f>
        <v>0</v>
      </c>
      <c r="G36" s="135">
        <f>'Utility report '!AC36</f>
        <v>65</v>
      </c>
      <c r="H36" s="135">
        <f>'Utility report '!AE36</f>
        <v>50</v>
      </c>
      <c r="I36" s="855">
        <f>'Water-Meter'!E36</f>
        <v>99</v>
      </c>
      <c r="J36" s="136">
        <f>'Lpg (2)'!B40</f>
        <v>76</v>
      </c>
      <c r="K36" s="136">
        <f>'Lpg (2)'!C40</f>
        <v>0</v>
      </c>
      <c r="L36" s="136">
        <f>'Lpg (2)'!D40</f>
        <v>0</v>
      </c>
      <c r="M36" s="6">
        <f>'Lpg (2)'!G40</f>
        <v>111.23199999999488</v>
      </c>
      <c r="N36" s="133">
        <f t="shared" si="2"/>
        <v>2352.0279999999998</v>
      </c>
      <c r="O36" s="133">
        <f t="shared" si="2"/>
        <v>526.73599999999999</v>
      </c>
      <c r="P36" s="132">
        <f>('Lpg (2)'!G40)*2.38</f>
        <v>264.7321599999878</v>
      </c>
      <c r="Q36" s="133" t="e">
        <v>#REF!</v>
      </c>
      <c r="R36" s="133" t="e">
        <f t="shared" si="0"/>
        <v>#DIV/0!</v>
      </c>
      <c r="S36" s="409" t="e">
        <f t="shared" si="1"/>
        <v>#REF!</v>
      </c>
    </row>
    <row r="37" spans="1:19" ht="14.25" x14ac:dyDescent="0.2">
      <c r="A37" s="408"/>
      <c r="B37" s="6">
        <f>'Summery Report'!E36</f>
        <v>0</v>
      </c>
      <c r="C37" s="6">
        <f>Gen!U42</f>
        <v>0</v>
      </c>
      <c r="D37" s="134">
        <f>Gen!S42</f>
        <v>0</v>
      </c>
      <c r="E37" s="134">
        <f>Gen!AJ42</f>
        <v>0</v>
      </c>
      <c r="F37" s="134">
        <f>Gen!AS42</f>
        <v>0</v>
      </c>
      <c r="G37" s="135"/>
      <c r="H37" s="135"/>
      <c r="I37" s="855" t="str">
        <f>'Water-Meter'!E37</f>
        <v>0</v>
      </c>
      <c r="J37" s="136">
        <f>'Lpg (2)'!B41</f>
        <v>0</v>
      </c>
      <c r="K37" s="136">
        <f>'Lpg (2)'!C41</f>
        <v>0</v>
      </c>
      <c r="L37" s="136">
        <f>'Lpg (2)'!D41</f>
        <v>0</v>
      </c>
      <c r="M37" s="6"/>
      <c r="N37" s="6"/>
      <c r="O37" s="6"/>
      <c r="P37" s="6"/>
      <c r="Q37" s="133" t="e">
        <v>#REF!</v>
      </c>
      <c r="R37" s="133" t="e">
        <f t="shared" si="0"/>
        <v>#DIV/0!</v>
      </c>
      <c r="S37" s="409" t="e">
        <f t="shared" si="1"/>
        <v>#REF!</v>
      </c>
    </row>
    <row r="38" spans="1:19" ht="14.25" x14ac:dyDescent="0.2">
      <c r="A38" s="408"/>
      <c r="B38" s="6"/>
      <c r="C38" s="6"/>
      <c r="D38" s="6"/>
      <c r="E38" s="6"/>
      <c r="F38" s="6"/>
      <c r="G38" s="6"/>
      <c r="H38" s="6"/>
      <c r="I38" s="856"/>
      <c r="J38" s="6"/>
      <c r="K38" s="6"/>
      <c r="L38" s="6"/>
      <c r="M38" s="6"/>
      <c r="N38" s="6"/>
      <c r="O38" s="6"/>
      <c r="P38" s="6"/>
      <c r="Q38" s="6"/>
      <c r="R38" s="6"/>
      <c r="S38" s="410"/>
    </row>
    <row r="39" spans="1:19" ht="13.5" thickBot="1" x14ac:dyDescent="0.25">
      <c r="A39" s="44" t="s">
        <v>61</v>
      </c>
      <c r="B39" s="411">
        <f>SUM(B7:B37)</f>
        <v>333</v>
      </c>
      <c r="C39" s="411">
        <f>AVERAGE(C6:C36)</f>
        <v>0.41518431161154062</v>
      </c>
      <c r="D39" s="411">
        <f>SUM(D7:D35)</f>
        <v>53210.23</v>
      </c>
      <c r="E39" s="411">
        <f>SUM(E7:E36)</f>
        <v>10219.179999999998</v>
      </c>
      <c r="F39" s="411">
        <f t="shared" ref="F39:S39" si="3">SUM(F7:F35)</f>
        <v>0</v>
      </c>
      <c r="G39" s="411">
        <f t="shared" ref="G39:O39" si="4">SUM(G7:G36)</f>
        <v>2193</v>
      </c>
      <c r="H39" s="411">
        <f t="shared" si="4"/>
        <v>1365</v>
      </c>
      <c r="I39" s="857">
        <f t="shared" si="4"/>
        <v>3263</v>
      </c>
      <c r="J39" s="411">
        <f t="shared" si="4"/>
        <v>2535</v>
      </c>
      <c r="K39" s="411">
        <f t="shared" si="4"/>
        <v>120</v>
      </c>
      <c r="L39" s="411">
        <f t="shared" si="4"/>
        <v>1334</v>
      </c>
      <c r="M39" s="411">
        <f t="shared" si="4"/>
        <v>3342.9000000000015</v>
      </c>
      <c r="N39" s="411">
        <f t="shared" si="4"/>
        <v>76846.35000000002</v>
      </c>
      <c r="O39" s="411">
        <f t="shared" si="4"/>
        <v>14306.852000000004</v>
      </c>
      <c r="P39" s="411">
        <f t="shared" si="3"/>
        <v>7691.3698400000112</v>
      </c>
      <c r="Q39" s="411" t="e">
        <f t="shared" si="3"/>
        <v>#REF!</v>
      </c>
      <c r="R39" s="411" t="e">
        <f t="shared" si="3"/>
        <v>#DIV/0!</v>
      </c>
      <c r="S39" s="412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I1" activePane="topRight" state="frozen"/>
      <selection pane="topRight" activeCell="T12" sqref="T12"/>
    </sheetView>
  </sheetViews>
  <sheetFormatPr defaultRowHeight="12.75" x14ac:dyDescent="0.2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 x14ac:dyDescent="0.25">
      <c r="A1" s="876">
        <f>A6</f>
        <v>44378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8"/>
    </row>
    <row r="2" spans="1:37" ht="61.5" customHeight="1" thickBot="1" x14ac:dyDescent="0.25">
      <c r="A2" s="122" t="s">
        <v>62</v>
      </c>
      <c r="B2" s="879" t="s">
        <v>63</v>
      </c>
      <c r="C2" s="880"/>
      <c r="D2" s="881"/>
      <c r="E2" s="123"/>
      <c r="F2" s="123"/>
      <c r="G2" s="123"/>
      <c r="H2" s="120" t="s">
        <v>64</v>
      </c>
      <c r="I2" s="676" t="s">
        <v>65</v>
      </c>
      <c r="J2" s="678" t="s">
        <v>66</v>
      </c>
      <c r="K2" s="679"/>
      <c r="L2" s="680" t="s">
        <v>67</v>
      </c>
      <c r="M2" s="858" t="s">
        <v>68</v>
      </c>
      <c r="N2" s="253" t="s">
        <v>69</v>
      </c>
      <c r="O2" s="869" t="s">
        <v>70</v>
      </c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253" t="s">
        <v>71</v>
      </c>
      <c r="AB2" s="879" t="s">
        <v>72</v>
      </c>
      <c r="AC2" s="881"/>
      <c r="AD2" s="119">
        <v>0</v>
      </c>
      <c r="AE2" s="361" t="s">
        <v>50</v>
      </c>
      <c r="AF2" s="124" t="s">
        <v>73</v>
      </c>
      <c r="AG2" s="120" t="s">
        <v>74</v>
      </c>
      <c r="AH2" s="124" t="s">
        <v>75</v>
      </c>
      <c r="AI2" s="120" t="s">
        <v>76</v>
      </c>
      <c r="AJ2" s="121" t="s">
        <v>77</v>
      </c>
      <c r="AK2" s="120" t="s">
        <v>78</v>
      </c>
    </row>
    <row r="3" spans="1:37" ht="44.25" customHeight="1" thickBot="1" x14ac:dyDescent="0.3">
      <c r="A3" s="127" t="s">
        <v>79</v>
      </c>
      <c r="B3" s="128">
        <v>1640</v>
      </c>
      <c r="C3" s="126" t="s">
        <v>80</v>
      </c>
      <c r="D3" s="128">
        <v>2175</v>
      </c>
      <c r="E3" s="129"/>
      <c r="F3" s="882">
        <f>SUM(D3/B3)</f>
        <v>1.3262195121951219</v>
      </c>
      <c r="G3" s="883"/>
      <c r="H3" s="112">
        <f>Gen!C11</f>
        <v>29939.139999999992</v>
      </c>
      <c r="I3" s="859"/>
      <c r="J3" s="681"/>
      <c r="K3" s="682" t="s">
        <v>81</v>
      </c>
      <c r="L3" s="681"/>
      <c r="M3" s="563" t="s">
        <v>82</v>
      </c>
      <c r="N3" s="681"/>
      <c r="O3" s="869" t="s">
        <v>83</v>
      </c>
      <c r="P3" s="869"/>
      <c r="Q3" s="869"/>
      <c r="R3" s="869"/>
      <c r="S3" s="870" t="s">
        <v>84</v>
      </c>
      <c r="T3" s="871"/>
      <c r="U3" s="871"/>
      <c r="V3" s="872"/>
      <c r="W3" s="873" t="s">
        <v>85</v>
      </c>
      <c r="X3" s="874"/>
      <c r="Y3" s="874"/>
      <c r="Z3" s="875"/>
      <c r="AA3" s="255" t="s">
        <v>86</v>
      </c>
      <c r="AB3" s="111" t="s">
        <v>82</v>
      </c>
      <c r="AD3" s="111">
        <v>0</v>
      </c>
      <c r="AE3" s="111" t="s">
        <v>87</v>
      </c>
      <c r="AF3" s="670" t="s">
        <v>88</v>
      </c>
      <c r="AG3" s="671" t="s">
        <v>88</v>
      </c>
      <c r="AH3" s="361" t="s">
        <v>88</v>
      </c>
      <c r="AI3" s="119" t="s">
        <v>89</v>
      </c>
      <c r="AJ3" s="672" t="s">
        <v>86</v>
      </c>
      <c r="AK3" s="673" t="s">
        <v>86</v>
      </c>
    </row>
    <row r="4" spans="1:37" ht="60" x14ac:dyDescent="0.2">
      <c r="A4" s="152"/>
      <c r="B4" s="153" t="s">
        <v>90</v>
      </c>
      <c r="C4" s="154" t="s">
        <v>33</v>
      </c>
      <c r="D4" s="155" t="s">
        <v>91</v>
      </c>
      <c r="E4" s="156"/>
      <c r="F4" s="156" t="s">
        <v>92</v>
      </c>
      <c r="G4" s="156" t="s">
        <v>93</v>
      </c>
      <c r="H4" s="157"/>
      <c r="I4" s="677"/>
      <c r="J4" s="691"/>
      <c r="K4" s="258"/>
      <c r="L4" s="680"/>
      <c r="M4" s="683"/>
      <c r="N4" s="253"/>
      <c r="O4" s="684" t="s">
        <v>94</v>
      </c>
      <c r="P4" s="257" t="s">
        <v>95</v>
      </c>
      <c r="Q4" s="257" t="s">
        <v>96</v>
      </c>
      <c r="R4" s="155" t="s">
        <v>97</v>
      </c>
      <c r="S4" s="256" t="s">
        <v>94</v>
      </c>
      <c r="T4" s="257" t="s">
        <v>95</v>
      </c>
      <c r="U4" s="257" t="s">
        <v>96</v>
      </c>
      <c r="V4" s="155" t="s">
        <v>97</v>
      </c>
      <c r="W4" s="256" t="s">
        <v>94</v>
      </c>
      <c r="X4" s="258" t="s">
        <v>98</v>
      </c>
      <c r="Y4" s="258" t="s">
        <v>96</v>
      </c>
      <c r="Z4" s="257" t="s">
        <v>97</v>
      </c>
      <c r="AA4" s="259" t="s">
        <v>99</v>
      </c>
      <c r="AB4" s="160"/>
      <c r="AC4" s="158" t="s">
        <v>99</v>
      </c>
      <c r="AD4" s="160"/>
      <c r="AE4" s="158" t="s">
        <v>99</v>
      </c>
      <c r="AF4" s="674">
        <v>2000</v>
      </c>
      <c r="AG4" s="675">
        <v>1000</v>
      </c>
      <c r="AH4" s="858">
        <v>1000</v>
      </c>
      <c r="AI4" s="111" t="e" vm="1">
        <v>#VALUE!</v>
      </c>
      <c r="AJ4" s="860" t="s">
        <v>100</v>
      </c>
      <c r="AK4" s="111" t="s">
        <v>99</v>
      </c>
    </row>
    <row r="5" spans="1:37" ht="18.75" x14ac:dyDescent="0.25">
      <c r="A5" s="686"/>
      <c r="B5" s="694"/>
      <c r="C5" s="695"/>
      <c r="D5" s="696"/>
      <c r="E5" s="696"/>
      <c r="F5" s="696"/>
      <c r="G5" s="696"/>
      <c r="H5" s="697"/>
      <c r="I5" s="697"/>
      <c r="J5" s="631"/>
      <c r="K5" s="648"/>
      <c r="L5" s="113"/>
      <c r="M5" s="428"/>
      <c r="N5" s="685"/>
      <c r="O5" s="630"/>
      <c r="P5" s="795">
        <v>19038</v>
      </c>
      <c r="Q5" s="658"/>
      <c r="R5" s="648"/>
      <c r="S5" s="630"/>
      <c r="T5" s="637">
        <v>18452</v>
      </c>
      <c r="U5" s="630"/>
      <c r="V5" s="648"/>
      <c r="W5" s="630"/>
      <c r="X5" s="642">
        <v>28673</v>
      </c>
      <c r="Y5" s="630"/>
      <c r="Z5" s="635"/>
      <c r="AA5" s="645"/>
      <c r="AB5" s="644">
        <v>5440</v>
      </c>
      <c r="AC5" s="630"/>
      <c r="AD5" s="794">
        <v>218871</v>
      </c>
      <c r="AE5" s="632"/>
      <c r="AF5" s="651">
        <v>0.85</v>
      </c>
      <c r="AG5" s="652">
        <v>0.85</v>
      </c>
      <c r="AH5" s="665">
        <v>0.85</v>
      </c>
      <c r="AI5" s="655"/>
      <c r="AJ5" s="645"/>
      <c r="AK5" s="645"/>
    </row>
    <row r="6" spans="1:37" ht="18.75" x14ac:dyDescent="0.3">
      <c r="A6" s="687">
        <f>Gen!A11</f>
        <v>44378</v>
      </c>
      <c r="B6" s="385">
        <f>'Summery Report'!E5</f>
        <v>23</v>
      </c>
      <c r="C6" s="692">
        <f>Gen!B11</f>
        <v>0.3</v>
      </c>
      <c r="D6" s="654">
        <f>'Summery Report'!E5</f>
        <v>23</v>
      </c>
      <c r="E6" s="654">
        <f>SUM(F3)</f>
        <v>1.3262195121951219</v>
      </c>
      <c r="F6" s="397">
        <f>SUM(J6*E6)/D6</f>
        <v>245.86956521739131</v>
      </c>
      <c r="G6" s="397">
        <f t="shared" ref="G6:G36" si="0">SUM(L6*E6)/D6</f>
        <v>245.86956521739131</v>
      </c>
      <c r="H6" s="654">
        <f>Gen!C11</f>
        <v>29939.139999999992</v>
      </c>
      <c r="I6" s="654">
        <f>Gen!E11</f>
        <v>0</v>
      </c>
      <c r="J6" s="693">
        <f>Gen!T11</f>
        <v>4264</v>
      </c>
      <c r="K6" s="698">
        <f>Gen!AK11</f>
        <v>0</v>
      </c>
      <c r="L6" s="689">
        <f t="shared" ref="L6:L13" si="1">SUM(J6:K6)</f>
        <v>4264</v>
      </c>
      <c r="M6" s="407">
        <f>'Water-Meter'!K46</f>
        <v>486.19483286834009</v>
      </c>
      <c r="N6" s="649">
        <f>'Water-Meter'!E6</f>
        <v>109</v>
      </c>
      <c r="O6" s="630"/>
      <c r="P6" s="795">
        <v>19038</v>
      </c>
      <c r="Q6" s="659">
        <f t="shared" ref="Q6:Q36" si="2">SUM(P6-P5)</f>
        <v>0</v>
      </c>
      <c r="R6" s="386">
        <f>SUM(Q6*O6)</f>
        <v>0</v>
      </c>
      <c r="S6" s="630">
        <v>7.2</v>
      </c>
      <c r="T6" s="637">
        <v>18471</v>
      </c>
      <c r="U6" s="659">
        <f>T6-T5</f>
        <v>19</v>
      </c>
      <c r="V6" s="387" t="s">
        <v>101</v>
      </c>
      <c r="W6" s="630">
        <v>1.6</v>
      </c>
      <c r="X6" s="642">
        <v>28673</v>
      </c>
      <c r="Y6" s="659">
        <f>X6-X5</f>
        <v>0</v>
      </c>
      <c r="Z6" s="643">
        <f t="shared" ref="Z6:AA6" si="3">Y6-Y5</f>
        <v>0</v>
      </c>
      <c r="AA6" s="646">
        <f t="shared" si="3"/>
        <v>0</v>
      </c>
      <c r="AB6" s="644">
        <v>5520</v>
      </c>
      <c r="AC6" s="625">
        <f>AB6-AB5</f>
        <v>80</v>
      </c>
      <c r="AD6" s="627">
        <v>218904</v>
      </c>
      <c r="AE6" s="159">
        <f>AD6-AD5</f>
        <v>33</v>
      </c>
      <c r="AF6" s="653">
        <f>'Lpg (2)'!B10*2000/85</f>
        <v>2000</v>
      </c>
      <c r="AG6" s="236">
        <f>'Lpg (2)'!C10*1000/85</f>
        <v>435.29411764705884</v>
      </c>
      <c r="AH6" s="666">
        <f>'Lpg (2)'!D10*1000/85</f>
        <v>1000</v>
      </c>
      <c r="AI6" s="656">
        <f>SUM(AF6*2000)+(AG6*1000)+(AH6*1000)</f>
        <v>5435294.1176470593</v>
      </c>
      <c r="AJ6" s="388">
        <f t="shared" ref="AJ6:AJ36" si="4">SUM(AI5-AI6)</f>
        <v>-5435294.1176470593</v>
      </c>
      <c r="AK6" s="117"/>
    </row>
    <row r="7" spans="1:37" ht="18.75" x14ac:dyDescent="0.3">
      <c r="A7" s="687">
        <f>Gen!A12</f>
        <v>44379</v>
      </c>
      <c r="B7" s="385">
        <f>'Summery Report'!E6</f>
        <v>27</v>
      </c>
      <c r="C7" s="692">
        <f>Gen!B12</f>
        <v>0.35</v>
      </c>
      <c r="D7" s="654">
        <f>'Summery Report'!E6</f>
        <v>27</v>
      </c>
      <c r="E7" s="654">
        <f>SUM(E6)</f>
        <v>1.3262195121951219</v>
      </c>
      <c r="F7" s="397">
        <f>SUM(J7*E7)/D7</f>
        <v>209.93563685636855</v>
      </c>
      <c r="G7" s="397">
        <f t="shared" si="0"/>
        <v>209.93563685636855</v>
      </c>
      <c r="H7" s="654">
        <f>Gen!C12</f>
        <v>28139.55999999999</v>
      </c>
      <c r="I7" s="654">
        <f>Gen!E12</f>
        <v>0</v>
      </c>
      <c r="J7" s="693">
        <f>Gen!T12</f>
        <v>4274</v>
      </c>
      <c r="K7" s="698">
        <f>Gen!AK12</f>
        <v>0</v>
      </c>
      <c r="L7" s="689">
        <f t="shared" si="1"/>
        <v>4274</v>
      </c>
      <c r="M7" s="407">
        <f>'Water-Meter'!K47</f>
        <v>486.22339581048436</v>
      </c>
      <c r="N7" s="649">
        <f>'Water-Meter'!E7</f>
        <v>101</v>
      </c>
      <c r="O7" s="630"/>
      <c r="P7" s="795">
        <v>19038</v>
      </c>
      <c r="Q7" s="659">
        <f t="shared" si="2"/>
        <v>0</v>
      </c>
      <c r="R7" s="386">
        <f t="shared" ref="R7:R36" si="5">SUM(Q7*O7)</f>
        <v>0</v>
      </c>
      <c r="S7" s="630">
        <v>7.2</v>
      </c>
      <c r="T7" s="637">
        <v>18494</v>
      </c>
      <c r="U7" s="659">
        <f t="shared" ref="U7:U36" si="6">T7-T6</f>
        <v>23</v>
      </c>
      <c r="V7" s="387">
        <f t="shared" ref="V7:V8" si="7">SUM(U7*S7)</f>
        <v>165.6</v>
      </c>
      <c r="W7" s="630">
        <v>1.6</v>
      </c>
      <c r="X7" s="642">
        <v>28673</v>
      </c>
      <c r="Y7" s="659">
        <f t="shared" ref="Y7:Y36" si="8">X7-X6</f>
        <v>0</v>
      </c>
      <c r="Z7" s="640">
        <f t="shared" ref="Z7:Z36" si="9">SUM(Y7*W7)</f>
        <v>0</v>
      </c>
      <c r="AA7" s="647">
        <f t="shared" ref="AA7:AA36" si="10">SUM(Z7*X9)</f>
        <v>0</v>
      </c>
      <c r="AB7" s="644">
        <v>5580</v>
      </c>
      <c r="AC7" s="625">
        <f t="shared" ref="AC7:AC27" si="11">AB7-AB6</f>
        <v>60</v>
      </c>
      <c r="AD7" s="627">
        <v>218939</v>
      </c>
      <c r="AE7" s="159">
        <f>AD7-AD6</f>
        <v>35</v>
      </c>
      <c r="AF7" s="653">
        <f>'Lpg (2)'!B11*2000/85</f>
        <v>2000</v>
      </c>
      <c r="AG7" s="236">
        <f>'Lpg (2)'!C11*1000/85</f>
        <v>411.76470588235293</v>
      </c>
      <c r="AH7" s="666">
        <f>'Lpg (2)'!D11*1000/85</f>
        <v>1000</v>
      </c>
      <c r="AI7" s="656">
        <f t="shared" ref="AI7:AI14" si="12">SUM(AF6*2000)+(AG7*1000)+(AH7*1000)</f>
        <v>5411764.7058823528</v>
      </c>
      <c r="AJ7" s="388">
        <f t="shared" si="4"/>
        <v>23529.411764706485</v>
      </c>
      <c r="AK7" s="117"/>
    </row>
    <row r="8" spans="1:37" ht="18.75" x14ac:dyDescent="0.3">
      <c r="A8" s="687">
        <f>Gen!A13</f>
        <v>44380</v>
      </c>
      <c r="B8" s="385">
        <f>'Summery Report'!E7</f>
        <v>20</v>
      </c>
      <c r="C8" s="692">
        <f>Gen!B13</f>
        <v>0.26090000000000002</v>
      </c>
      <c r="D8" s="654">
        <f>'Summery Report'!E7</f>
        <v>20</v>
      </c>
      <c r="E8" s="654">
        <f t="shared" ref="E8:E36" si="13">SUM(E7)</f>
        <v>1.3262195121951219</v>
      </c>
      <c r="F8" s="397">
        <f t="shared" ref="F8:F36" si="14">SUM(J8*E8)/D8</f>
        <v>296.21112804878049</v>
      </c>
      <c r="G8" s="397">
        <f t="shared" si="0"/>
        <v>296.21112804878049</v>
      </c>
      <c r="H8" s="654">
        <f>Gen!C13</f>
        <v>44122.829999999987</v>
      </c>
      <c r="I8" s="654">
        <f>Gen!E13</f>
        <v>18000</v>
      </c>
      <c r="J8" s="693">
        <f>Gen!T13</f>
        <v>4467</v>
      </c>
      <c r="K8" s="698">
        <f>Gen!AK13</f>
        <v>0</v>
      </c>
      <c r="L8" s="689">
        <f t="shared" si="1"/>
        <v>4467</v>
      </c>
      <c r="M8" s="407">
        <f>'Water-Meter'!K48</f>
        <v>535.73280530338695</v>
      </c>
      <c r="N8" s="649">
        <f>'Water-Meter'!E8</f>
        <v>94</v>
      </c>
      <c r="O8" s="630"/>
      <c r="P8" s="795">
        <v>19038</v>
      </c>
      <c r="Q8" s="659">
        <f t="shared" si="2"/>
        <v>0</v>
      </c>
      <c r="R8" s="386">
        <f t="shared" si="5"/>
        <v>0</v>
      </c>
      <c r="S8" s="630">
        <v>7.1</v>
      </c>
      <c r="T8" s="637">
        <v>18500</v>
      </c>
      <c r="U8" s="659">
        <f t="shared" si="6"/>
        <v>6</v>
      </c>
      <c r="V8" s="387">
        <f t="shared" si="7"/>
        <v>42.599999999999994</v>
      </c>
      <c r="W8" s="630">
        <v>1.6</v>
      </c>
      <c r="X8" s="642">
        <v>28673</v>
      </c>
      <c r="Y8" s="659">
        <f t="shared" si="8"/>
        <v>0</v>
      </c>
      <c r="Z8" s="640">
        <f t="shared" si="9"/>
        <v>0</v>
      </c>
      <c r="AA8" s="647">
        <f t="shared" si="10"/>
        <v>0</v>
      </c>
      <c r="AB8" s="644">
        <v>5635</v>
      </c>
      <c r="AC8" s="625">
        <f t="shared" si="11"/>
        <v>55</v>
      </c>
      <c r="AD8" s="627">
        <v>218949</v>
      </c>
      <c r="AE8" s="159">
        <f t="shared" ref="AE8:AE15" si="15">AD8-AD7</f>
        <v>10</v>
      </c>
      <c r="AF8" s="653">
        <f>'Lpg (2)'!B12*2000/85</f>
        <v>2000</v>
      </c>
      <c r="AG8" s="236">
        <f>'Lpg (2)'!C12*1000/85</f>
        <v>352.94117647058823</v>
      </c>
      <c r="AH8" s="666">
        <f>'Lpg (2)'!D12*1000/85</f>
        <v>1000</v>
      </c>
      <c r="AI8" s="656">
        <f t="shared" si="12"/>
        <v>5352941.176470588</v>
      </c>
      <c r="AJ8" s="388">
        <f t="shared" si="4"/>
        <v>58823.529411764815</v>
      </c>
      <c r="AK8" s="117"/>
    </row>
    <row r="9" spans="1:37" ht="18.75" x14ac:dyDescent="0.3">
      <c r="A9" s="687">
        <f>Gen!A14</f>
        <v>44381</v>
      </c>
      <c r="B9" s="385">
        <f>'Summery Report'!E8</f>
        <v>14</v>
      </c>
      <c r="C9" s="692">
        <f>Gen!B14</f>
        <v>0.18</v>
      </c>
      <c r="D9" s="654">
        <f>'Summery Report'!E8</f>
        <v>14</v>
      </c>
      <c r="E9" s="654">
        <f t="shared" si="13"/>
        <v>1.3262195121951219</v>
      </c>
      <c r="F9" s="397">
        <f t="shared" si="14"/>
        <v>388.96123693379792</v>
      </c>
      <c r="G9" s="397">
        <f t="shared" si="0"/>
        <v>388.96123693379792</v>
      </c>
      <c r="H9" s="654">
        <f>Gen!C14</f>
        <v>42312.329999999987</v>
      </c>
      <c r="I9" s="654">
        <f>Gen!E14</f>
        <v>0</v>
      </c>
      <c r="J9" s="693">
        <f>Gen!T14</f>
        <v>4106</v>
      </c>
      <c r="K9" s="698">
        <f>Gen!AK14</f>
        <v>0</v>
      </c>
      <c r="L9" s="689">
        <f t="shared" si="1"/>
        <v>4106</v>
      </c>
      <c r="M9" s="407">
        <f>'Water-Meter'!K49</f>
        <v>571.29614189046833</v>
      </c>
      <c r="N9" s="649">
        <f>'Water-Meter'!E9</f>
        <v>98</v>
      </c>
      <c r="O9" s="630"/>
      <c r="P9" s="795">
        <v>19038</v>
      </c>
      <c r="Q9" s="659">
        <f t="shared" si="2"/>
        <v>0</v>
      </c>
      <c r="R9" s="386">
        <f t="shared" si="5"/>
        <v>0</v>
      </c>
      <c r="S9" s="630">
        <v>6.9</v>
      </c>
      <c r="T9" s="637">
        <v>18501</v>
      </c>
      <c r="U9" s="659">
        <f t="shared" si="6"/>
        <v>1</v>
      </c>
      <c r="V9" s="387">
        <f>SUM(U9*S10)</f>
        <v>6.9</v>
      </c>
      <c r="W9" s="630">
        <v>1.6</v>
      </c>
      <c r="X9" s="642">
        <v>28673</v>
      </c>
      <c r="Y9" s="659">
        <f t="shared" si="8"/>
        <v>0</v>
      </c>
      <c r="Z9" s="640">
        <f>SUM(Y9*W11)</f>
        <v>0</v>
      </c>
      <c r="AA9" s="647">
        <f t="shared" si="10"/>
        <v>0</v>
      </c>
      <c r="AB9" s="644">
        <v>5683</v>
      </c>
      <c r="AC9" s="625">
        <f t="shared" si="11"/>
        <v>48</v>
      </c>
      <c r="AD9" s="627">
        <v>219007</v>
      </c>
      <c r="AE9" s="159">
        <f t="shared" si="15"/>
        <v>58</v>
      </c>
      <c r="AF9" s="653">
        <f>'Lpg (2)'!B13*2000/85</f>
        <v>2000</v>
      </c>
      <c r="AG9" s="236">
        <f>'Lpg (2)'!C13*1000/85</f>
        <v>235.29411764705881</v>
      </c>
      <c r="AH9" s="666">
        <f>'Lpg (2)'!D13*1000/85</f>
        <v>1000</v>
      </c>
      <c r="AI9" s="656">
        <f t="shared" si="12"/>
        <v>5235294.1176470593</v>
      </c>
      <c r="AJ9" s="388">
        <f t="shared" si="4"/>
        <v>117647.0588235287</v>
      </c>
      <c r="AK9" s="117"/>
    </row>
    <row r="10" spans="1:37" ht="18.75" x14ac:dyDescent="0.3">
      <c r="A10" s="687">
        <f>Gen!A15</f>
        <v>44382</v>
      </c>
      <c r="B10" s="385">
        <f>'Summery Report'!E9</f>
        <v>11</v>
      </c>
      <c r="C10" s="692">
        <f>Gen!B15</f>
        <v>0.14000000000000001</v>
      </c>
      <c r="D10" s="654">
        <f>'Summery Report'!E9</f>
        <v>11</v>
      </c>
      <c r="E10" s="654">
        <f t="shared" si="13"/>
        <v>1.3262195121951219</v>
      </c>
      <c r="F10" s="397">
        <f t="shared" si="14"/>
        <v>485.39634146341456</v>
      </c>
      <c r="G10" s="397">
        <f t="shared" si="0"/>
        <v>485.39634146341456</v>
      </c>
      <c r="H10" s="654">
        <f>Gen!C15</f>
        <v>40426.76999999999</v>
      </c>
      <c r="I10" s="654">
        <f>Gen!E15</f>
        <v>0</v>
      </c>
      <c r="J10" s="693">
        <f>Gen!T15</f>
        <v>4026</v>
      </c>
      <c r="K10" s="698">
        <f>Gen!AK15</f>
        <v>0</v>
      </c>
      <c r="L10" s="689">
        <f t="shared" si="1"/>
        <v>4026</v>
      </c>
      <c r="M10" s="407">
        <f>'Water-Meter'!K50</f>
        <v>565.93234446074405</v>
      </c>
      <c r="N10" s="649">
        <f>'Water-Meter'!E10</f>
        <v>135</v>
      </c>
      <c r="O10" s="630"/>
      <c r="P10" s="795">
        <v>19038</v>
      </c>
      <c r="Q10" s="659">
        <f t="shared" si="2"/>
        <v>0</v>
      </c>
      <c r="R10" s="386">
        <f t="shared" si="5"/>
        <v>0</v>
      </c>
      <c r="S10" s="630">
        <v>6.9</v>
      </c>
      <c r="T10" s="637">
        <v>18502</v>
      </c>
      <c r="U10" s="659">
        <f t="shared" si="6"/>
        <v>1</v>
      </c>
      <c r="V10" s="387">
        <f t="shared" ref="V10:V11" si="16">SUM(U10*S11)</f>
        <v>6.9</v>
      </c>
      <c r="W10" s="630">
        <v>1.6</v>
      </c>
      <c r="X10" s="642">
        <v>28695</v>
      </c>
      <c r="Y10" s="659">
        <f t="shared" si="8"/>
        <v>22</v>
      </c>
      <c r="Z10" s="640">
        <f t="shared" si="9"/>
        <v>35.200000000000003</v>
      </c>
      <c r="AA10" s="647">
        <f t="shared" si="10"/>
        <v>1010908.8</v>
      </c>
      <c r="AB10" s="644">
        <v>5733</v>
      </c>
      <c r="AC10" s="625">
        <f t="shared" si="11"/>
        <v>50</v>
      </c>
      <c r="AD10" s="627">
        <v>219051</v>
      </c>
      <c r="AE10" s="159">
        <f t="shared" si="15"/>
        <v>44</v>
      </c>
      <c r="AF10" s="653">
        <f>'Lpg (2)'!B14*2000/85</f>
        <v>2000</v>
      </c>
      <c r="AG10" s="236">
        <f>'Lpg (2)'!C14*1000/85</f>
        <v>176.47058823529412</v>
      </c>
      <c r="AH10" s="666">
        <f>'Lpg (2)'!D14*1000/85</f>
        <v>1000</v>
      </c>
      <c r="AI10" s="656">
        <f t="shared" si="12"/>
        <v>5176470.5882352944</v>
      </c>
      <c r="AJ10" s="388">
        <f t="shared" si="4"/>
        <v>58823.529411764815</v>
      </c>
      <c r="AK10" s="117"/>
    </row>
    <row r="11" spans="1:37" ht="18.75" x14ac:dyDescent="0.3">
      <c r="A11" s="687">
        <f>Gen!A16</f>
        <v>44383</v>
      </c>
      <c r="B11" s="385">
        <f>'Summery Report'!E10</f>
        <v>14</v>
      </c>
      <c r="C11" s="692">
        <f>Gen!B16</f>
        <v>0.16900000000000001</v>
      </c>
      <c r="D11" s="654">
        <f>'Summery Report'!E10</f>
        <v>14</v>
      </c>
      <c r="E11" s="654">
        <f t="shared" si="13"/>
        <v>1.3262195121951219</v>
      </c>
      <c r="F11" s="397">
        <f t="shared" si="14"/>
        <v>392.65570557491293</v>
      </c>
      <c r="G11" s="397">
        <f>SUM(L11*E11)/D11</f>
        <v>392.65570557491293</v>
      </c>
      <c r="H11" s="654">
        <f>Gen!C16</f>
        <v>38633.839999999989</v>
      </c>
      <c r="I11" s="654">
        <f>Gen!E16</f>
        <v>0</v>
      </c>
      <c r="J11" s="693">
        <f>Gen!T16</f>
        <v>4145</v>
      </c>
      <c r="K11" s="698">
        <f>Gen!AK16</f>
        <v>0</v>
      </c>
      <c r="L11" s="689">
        <f t="shared" si="1"/>
        <v>4145</v>
      </c>
      <c r="M11" s="407">
        <f>'Water-Meter'!K51</f>
        <v>459.57977695519963</v>
      </c>
      <c r="N11" s="649">
        <f>'Water-Meter'!E11</f>
        <v>124</v>
      </c>
      <c r="O11" s="630"/>
      <c r="P11" s="795">
        <v>19038</v>
      </c>
      <c r="Q11" s="659">
        <f t="shared" si="2"/>
        <v>0</v>
      </c>
      <c r="R11" s="386">
        <f t="shared" si="5"/>
        <v>0</v>
      </c>
      <c r="S11" s="630">
        <v>6.9</v>
      </c>
      <c r="T11" s="637">
        <v>18504</v>
      </c>
      <c r="U11" s="659">
        <f t="shared" si="6"/>
        <v>2</v>
      </c>
      <c r="V11" s="387">
        <f t="shared" si="16"/>
        <v>14.2</v>
      </c>
      <c r="W11" s="630">
        <v>1.6</v>
      </c>
      <c r="X11" s="642">
        <v>28695</v>
      </c>
      <c r="Y11" s="659">
        <f t="shared" si="8"/>
        <v>0</v>
      </c>
      <c r="Z11" s="640">
        <f t="shared" si="9"/>
        <v>0</v>
      </c>
      <c r="AA11" s="647">
        <f t="shared" si="10"/>
        <v>0</v>
      </c>
      <c r="AB11" s="644">
        <v>5846</v>
      </c>
      <c r="AC11" s="625">
        <f t="shared" si="11"/>
        <v>113</v>
      </c>
      <c r="AD11" s="627">
        <v>219103</v>
      </c>
      <c r="AE11" s="159">
        <f t="shared" si="15"/>
        <v>52</v>
      </c>
      <c r="AF11" s="653">
        <f>'Lpg (2)'!B15*2000/85</f>
        <v>2000</v>
      </c>
      <c r="AG11" s="236">
        <f>'Lpg (2)'!C15*1000/85</f>
        <v>117.64705882352941</v>
      </c>
      <c r="AH11" s="666">
        <f>'Lpg (2)'!D15*1000/85</f>
        <v>1000</v>
      </c>
      <c r="AI11" s="656">
        <f t="shared" si="12"/>
        <v>5117647.0588235296</v>
      </c>
      <c r="AJ11" s="388">
        <f t="shared" si="4"/>
        <v>58823.529411764815</v>
      </c>
      <c r="AK11" s="117"/>
    </row>
    <row r="12" spans="1:37" ht="18.75" x14ac:dyDescent="0.3">
      <c r="A12" s="687">
        <f>Gen!A17</f>
        <v>44384</v>
      </c>
      <c r="B12" s="385">
        <f>'Summery Report'!E11</f>
        <v>29</v>
      </c>
      <c r="C12" s="692">
        <f>Gen!B17</f>
        <v>0.36399999999999999</v>
      </c>
      <c r="D12" s="654">
        <f>'Summery Report'!E11</f>
        <v>29</v>
      </c>
      <c r="E12" s="654">
        <f t="shared" si="13"/>
        <v>1.3262195121951219</v>
      </c>
      <c r="F12" s="397">
        <f t="shared" si="14"/>
        <v>213.79573170731709</v>
      </c>
      <c r="G12" s="397">
        <f t="shared" si="0"/>
        <v>213.79573170731709</v>
      </c>
      <c r="H12" s="654">
        <f>Gen!C17</f>
        <v>36764.679999999986</v>
      </c>
      <c r="I12" s="654">
        <f>Gen!E17</f>
        <v>0</v>
      </c>
      <c r="J12" s="693">
        <f>Gen!T17</f>
        <v>4675</v>
      </c>
      <c r="K12" s="698">
        <f>Gen!AK17</f>
        <v>0</v>
      </c>
      <c r="L12" s="689">
        <f t="shared" si="1"/>
        <v>4675</v>
      </c>
      <c r="M12" s="407">
        <f>'Water-Meter'!K52</f>
        <v>384.44269270443351</v>
      </c>
      <c r="N12" s="649">
        <f>'Water-Meter'!E12</f>
        <v>114</v>
      </c>
      <c r="O12" s="630"/>
      <c r="P12" s="795">
        <v>19038</v>
      </c>
      <c r="Q12" s="659">
        <f t="shared" si="2"/>
        <v>0</v>
      </c>
      <c r="R12" s="386">
        <f t="shared" si="5"/>
        <v>0</v>
      </c>
      <c r="S12" s="630">
        <v>7.1</v>
      </c>
      <c r="T12" s="637">
        <v>18516</v>
      </c>
      <c r="U12" s="659">
        <f t="shared" si="6"/>
        <v>12</v>
      </c>
      <c r="V12" s="387">
        <f t="shared" ref="V12:V16" si="17">SUM(U12*S12)</f>
        <v>85.199999999999989</v>
      </c>
      <c r="W12" s="630">
        <v>1.6</v>
      </c>
      <c r="X12" s="642">
        <v>28719</v>
      </c>
      <c r="Y12" s="659">
        <f t="shared" si="8"/>
        <v>24</v>
      </c>
      <c r="Z12" s="640">
        <f t="shared" si="9"/>
        <v>38.400000000000006</v>
      </c>
      <c r="AA12" s="647">
        <f t="shared" si="10"/>
        <v>1103769.6000000001</v>
      </c>
      <c r="AB12" s="644">
        <v>5967</v>
      </c>
      <c r="AC12" s="625">
        <f t="shared" si="11"/>
        <v>121</v>
      </c>
      <c r="AD12" s="796">
        <v>219155</v>
      </c>
      <c r="AE12" s="159">
        <f t="shared" si="15"/>
        <v>52</v>
      </c>
      <c r="AF12" s="653">
        <f>'Lpg (2)'!B16*2000/85</f>
        <v>2000</v>
      </c>
      <c r="AG12" s="236">
        <f>'Lpg (2)'!C16*1000/85</f>
        <v>47.058823529411768</v>
      </c>
      <c r="AH12" s="666">
        <f>'Lpg (2)'!D16*1000/85</f>
        <v>1000</v>
      </c>
      <c r="AI12" s="656">
        <f t="shared" si="12"/>
        <v>5047058.8235294111</v>
      </c>
      <c r="AJ12" s="388">
        <f t="shared" si="4"/>
        <v>70588.235294118524</v>
      </c>
      <c r="AK12" s="117"/>
    </row>
    <row r="13" spans="1:37" ht="18.75" x14ac:dyDescent="0.3">
      <c r="A13" s="687">
        <f>Gen!A18</f>
        <v>44385</v>
      </c>
      <c r="B13" s="385">
        <f>'Summery Report'!E12</f>
        <v>35</v>
      </c>
      <c r="C13" s="692">
        <f>Gen!B18</f>
        <v>0.45500000000000002</v>
      </c>
      <c r="D13" s="654">
        <f>'Summery Report'!E12</f>
        <v>35</v>
      </c>
      <c r="E13" s="654">
        <f t="shared" si="13"/>
        <v>1.3262195121951219</v>
      </c>
      <c r="F13" s="397">
        <f t="shared" si="14"/>
        <v>172.40853658536585</v>
      </c>
      <c r="G13" s="397">
        <f t="shared" si="0"/>
        <v>172.40853658536585</v>
      </c>
      <c r="H13" s="654">
        <f>Gen!C18</f>
        <v>34696.819999999985</v>
      </c>
      <c r="I13" s="654">
        <f>Gen!E18</f>
        <v>0</v>
      </c>
      <c r="J13" s="693">
        <f>Gen!T18</f>
        <v>4550</v>
      </c>
      <c r="K13" s="698">
        <f>Gen!AK18</f>
        <v>0</v>
      </c>
      <c r="L13" s="689">
        <f t="shared" si="1"/>
        <v>4550</v>
      </c>
      <c r="M13" s="407">
        <f>'Water-Meter'!K53</f>
        <v>353.81279717086977</v>
      </c>
      <c r="N13" s="649">
        <f>'Water-Meter'!E13</f>
        <v>94</v>
      </c>
      <c r="O13" s="630"/>
      <c r="P13" s="795">
        <v>19038</v>
      </c>
      <c r="Q13" s="659">
        <f t="shared" si="2"/>
        <v>0</v>
      </c>
      <c r="R13" s="386">
        <f>SUM(Q13*O13)</f>
        <v>0</v>
      </c>
      <c r="S13" s="630">
        <v>7.2</v>
      </c>
      <c r="T13" s="637">
        <v>18539</v>
      </c>
      <c r="U13" s="659">
        <f t="shared" si="6"/>
        <v>23</v>
      </c>
      <c r="V13" s="387">
        <f t="shared" si="17"/>
        <v>165.6</v>
      </c>
      <c r="W13" s="630">
        <v>1.7</v>
      </c>
      <c r="X13" s="642">
        <v>28743</v>
      </c>
      <c r="Y13" s="659">
        <f t="shared" si="8"/>
        <v>24</v>
      </c>
      <c r="Z13" s="640">
        <f t="shared" si="9"/>
        <v>40.799999999999997</v>
      </c>
      <c r="AA13" s="647">
        <f t="shared" si="10"/>
        <v>1172755.2</v>
      </c>
      <c r="AB13" s="644">
        <v>6168</v>
      </c>
      <c r="AC13" s="625">
        <f t="shared" si="11"/>
        <v>201</v>
      </c>
      <c r="AD13" s="627">
        <v>219212</v>
      </c>
      <c r="AE13" s="159">
        <f t="shared" si="15"/>
        <v>57</v>
      </c>
      <c r="AF13" s="653">
        <f>'Lpg (2)'!B17*2000/85</f>
        <v>2000</v>
      </c>
      <c r="AG13" s="236">
        <f>'Lpg (2)'!C17*1000/85</f>
        <v>35.294117647058826</v>
      </c>
      <c r="AH13" s="666">
        <f>'Lpg (2)'!D17*1000/85</f>
        <v>1000</v>
      </c>
      <c r="AI13" s="656">
        <f t="shared" si="12"/>
        <v>5035294.1176470593</v>
      </c>
      <c r="AJ13" s="388">
        <f t="shared" si="4"/>
        <v>11764.705882351846</v>
      </c>
      <c r="AK13" s="117"/>
    </row>
    <row r="14" spans="1:37" ht="18.75" x14ac:dyDescent="0.3">
      <c r="A14" s="687">
        <f>Gen!A19</f>
        <v>44386</v>
      </c>
      <c r="B14" s="385">
        <f>'Summery Report'!E13</f>
        <v>39</v>
      </c>
      <c r="C14" s="692">
        <f>Gen!B19</f>
        <v>0.46800000000000003</v>
      </c>
      <c r="D14" s="654">
        <f>'Summery Report'!E13</f>
        <v>39</v>
      </c>
      <c r="E14" s="654">
        <f t="shared" si="13"/>
        <v>1.3262195121951219</v>
      </c>
      <c r="F14" s="397">
        <f t="shared" si="14"/>
        <v>144.96599437148217</v>
      </c>
      <c r="G14" s="397">
        <f t="shared" si="0"/>
        <v>144.96599437148217</v>
      </c>
      <c r="H14" s="654">
        <f>Gen!C19</f>
        <v>32784.029999999984</v>
      </c>
      <c r="I14" s="654">
        <f>Gen!E19</f>
        <v>0</v>
      </c>
      <c r="J14" s="693">
        <f>Gen!T19</f>
        <v>4263</v>
      </c>
      <c r="K14" s="698">
        <f>Gen!AK19</f>
        <v>0</v>
      </c>
      <c r="L14" s="689">
        <f t="shared" ref="L14:L37" si="18">SUM(J14:K14)</f>
        <v>4263</v>
      </c>
      <c r="M14" s="407">
        <f>'Water-Meter'!K54</f>
        <v>427.30401476564208</v>
      </c>
      <c r="N14" s="649">
        <f>'Water-Meter'!E14</f>
        <v>108</v>
      </c>
      <c r="O14" s="630"/>
      <c r="P14" s="795">
        <v>19038</v>
      </c>
      <c r="Q14" s="659">
        <f t="shared" si="2"/>
        <v>0</v>
      </c>
      <c r="R14" s="386">
        <f t="shared" si="5"/>
        <v>0</v>
      </c>
      <c r="S14" s="630">
        <v>7.1</v>
      </c>
      <c r="T14" s="637">
        <v>18540</v>
      </c>
      <c r="U14" s="659">
        <f t="shared" si="6"/>
        <v>1</v>
      </c>
      <c r="V14" s="387">
        <f t="shared" si="17"/>
        <v>7.1</v>
      </c>
      <c r="W14" s="630">
        <v>1.6</v>
      </c>
      <c r="X14" s="642">
        <v>28744</v>
      </c>
      <c r="Y14" s="659">
        <f t="shared" si="8"/>
        <v>1</v>
      </c>
      <c r="Z14" s="640">
        <f t="shared" si="9"/>
        <v>1.6</v>
      </c>
      <c r="AA14" s="647">
        <f t="shared" si="10"/>
        <v>46051.200000000004</v>
      </c>
      <c r="AB14" s="644">
        <v>6169</v>
      </c>
      <c r="AC14" s="625">
        <f t="shared" si="11"/>
        <v>1</v>
      </c>
      <c r="AD14" s="627">
        <v>219271</v>
      </c>
      <c r="AE14" s="159">
        <f t="shared" si="15"/>
        <v>59</v>
      </c>
      <c r="AF14" s="653">
        <f>'Lpg (2)'!B18*2000/85</f>
        <v>2000</v>
      </c>
      <c r="AG14" s="236">
        <f>'Lpg (2)'!C18*1000/85</f>
        <v>23.529411764705884</v>
      </c>
      <c r="AH14" s="666">
        <f>'Lpg (2)'!D18*1000/85</f>
        <v>1000</v>
      </c>
      <c r="AI14" s="656">
        <f t="shared" si="12"/>
        <v>5023529.4117647056</v>
      </c>
      <c r="AJ14" s="388">
        <f t="shared" si="4"/>
        <v>11764.705882353708</v>
      </c>
      <c r="AK14" s="117"/>
    </row>
    <row r="15" spans="1:37" ht="18.75" x14ac:dyDescent="0.3">
      <c r="A15" s="687">
        <f>Gen!A20</f>
        <v>44387</v>
      </c>
      <c r="B15" s="385">
        <f>'Summery Report'!E14</f>
        <v>32</v>
      </c>
      <c r="C15" s="692">
        <f>Gen!B20</f>
        <v>0.39</v>
      </c>
      <c r="D15" s="654">
        <f>'Summery Report'!E14</f>
        <v>32</v>
      </c>
      <c r="E15" s="654">
        <f t="shared" si="13"/>
        <v>1.3262195121951219</v>
      </c>
      <c r="F15" s="397">
        <f t="shared" si="14"/>
        <v>186.7482850609756</v>
      </c>
      <c r="G15" s="397">
        <f t="shared" si="0"/>
        <v>186.7482850609756</v>
      </c>
      <c r="H15" s="654">
        <f>Gen!C20</f>
        <v>30520.809999999983</v>
      </c>
      <c r="I15" s="654">
        <f>Gen!E20</f>
        <v>0</v>
      </c>
      <c r="J15" s="693">
        <f>Gen!T20</f>
        <v>4506</v>
      </c>
      <c r="K15" s="698">
        <f>Gen!AK20</f>
        <v>0</v>
      </c>
      <c r="L15" s="689">
        <f t="shared" si="18"/>
        <v>4506</v>
      </c>
      <c r="M15" s="407">
        <f>'Water-Meter'!K55</f>
        <v>433.33688080813022</v>
      </c>
      <c r="N15" s="649">
        <f>'Water-Meter'!E15</f>
        <v>116</v>
      </c>
      <c r="O15" s="630"/>
      <c r="P15" s="795">
        <v>19038</v>
      </c>
      <c r="Q15" s="659">
        <f t="shared" si="2"/>
        <v>0</v>
      </c>
      <c r="R15" s="386">
        <f t="shared" si="5"/>
        <v>0</v>
      </c>
      <c r="S15" s="630">
        <v>7.1</v>
      </c>
      <c r="T15" s="637">
        <v>18548</v>
      </c>
      <c r="U15" s="659">
        <f t="shared" si="6"/>
        <v>8</v>
      </c>
      <c r="V15" s="387">
        <f t="shared" si="17"/>
        <v>56.8</v>
      </c>
      <c r="W15" s="630"/>
      <c r="X15" s="642">
        <v>28744</v>
      </c>
      <c r="Y15" s="659">
        <f t="shared" si="8"/>
        <v>0</v>
      </c>
      <c r="Z15" s="640">
        <f t="shared" si="9"/>
        <v>0</v>
      </c>
      <c r="AA15" s="647">
        <f t="shared" si="10"/>
        <v>0</v>
      </c>
      <c r="AB15" s="644">
        <v>6239</v>
      </c>
      <c r="AC15" s="625">
        <f t="shared" si="11"/>
        <v>70</v>
      </c>
      <c r="AD15" s="627">
        <v>219327</v>
      </c>
      <c r="AE15" s="159">
        <f t="shared" si="15"/>
        <v>56</v>
      </c>
      <c r="AF15" s="653">
        <f>'Lpg (2)'!B19*2000/85</f>
        <v>2000</v>
      </c>
      <c r="AG15" s="236">
        <f>'Lpg (2)'!C19*1000/85</f>
        <v>11.764705882352942</v>
      </c>
      <c r="AH15" s="666">
        <f>'Lpg (2)'!D19*1000/85</f>
        <v>1000</v>
      </c>
      <c r="AI15" s="656">
        <f t="shared" ref="AI15:AI35" si="19">SUM(AF15*2000)+(AG15*1000)+(AH15*1000)</f>
        <v>5011764.7058823528</v>
      </c>
      <c r="AJ15" s="388">
        <f t="shared" si="4"/>
        <v>11764.705882352777</v>
      </c>
      <c r="AK15" s="117"/>
    </row>
    <row r="16" spans="1:37" ht="18.75" x14ac:dyDescent="0.3">
      <c r="A16" s="687">
        <f>Gen!A21</f>
        <v>44388</v>
      </c>
      <c r="B16" s="385">
        <f>'Summery Report'!E15</f>
        <v>31</v>
      </c>
      <c r="C16" s="692">
        <f>Gen!B21</f>
        <v>0.40300000000000002</v>
      </c>
      <c r="D16" s="654">
        <f>'Summery Report'!E15</f>
        <v>31</v>
      </c>
      <c r="E16" s="654">
        <f t="shared" si="13"/>
        <v>1.3262195121951219</v>
      </c>
      <c r="F16" s="397">
        <f t="shared" si="14"/>
        <v>190.76170338316285</v>
      </c>
      <c r="G16" s="397">
        <f t="shared" si="0"/>
        <v>190.76170338316285</v>
      </c>
      <c r="H16" s="654">
        <f>Gen!C21</f>
        <v>45987.959999999985</v>
      </c>
      <c r="I16" s="654">
        <f>Gen!E21</f>
        <v>0</v>
      </c>
      <c r="J16" s="693">
        <f>Gen!T21</f>
        <v>4459</v>
      </c>
      <c r="K16" s="698">
        <f>Gen!AK21</f>
        <v>0</v>
      </c>
      <c r="L16" s="689">
        <f t="shared" si="18"/>
        <v>4459</v>
      </c>
      <c r="M16" s="407">
        <f>'Water-Meter'!K56</f>
        <v>513.31630414057975</v>
      </c>
      <c r="N16" s="649">
        <f>'Water-Meter'!E16</f>
        <v>116</v>
      </c>
      <c r="O16" s="630"/>
      <c r="P16" s="795">
        <v>19038</v>
      </c>
      <c r="Q16" s="659">
        <f t="shared" si="2"/>
        <v>0</v>
      </c>
      <c r="R16" s="386">
        <f t="shared" si="5"/>
        <v>0</v>
      </c>
      <c r="S16" s="630">
        <v>7.1</v>
      </c>
      <c r="T16" s="637">
        <v>18548</v>
      </c>
      <c r="U16" s="659">
        <f t="shared" si="6"/>
        <v>0</v>
      </c>
      <c r="V16" s="387">
        <f t="shared" si="17"/>
        <v>0</v>
      </c>
      <c r="W16" s="630">
        <v>1.7</v>
      </c>
      <c r="X16" s="642">
        <v>28782</v>
      </c>
      <c r="Y16" s="659">
        <f t="shared" si="8"/>
        <v>38</v>
      </c>
      <c r="Z16" s="640">
        <f t="shared" si="9"/>
        <v>64.599999999999994</v>
      </c>
      <c r="AA16" s="647">
        <f t="shared" si="10"/>
        <v>1862353.4</v>
      </c>
      <c r="AB16" s="644">
        <v>6280</v>
      </c>
      <c r="AC16" s="625">
        <f t="shared" si="11"/>
        <v>41</v>
      </c>
      <c r="AD16" s="627">
        <v>219327</v>
      </c>
      <c r="AE16" s="159">
        <f t="shared" ref="AE16:AE37" si="20">AD16-AD15</f>
        <v>0</v>
      </c>
      <c r="AF16" s="653">
        <f>'Lpg (2)'!B20*2000/85</f>
        <v>2000</v>
      </c>
      <c r="AG16" s="236">
        <f>'Lpg (2)'!C20*1000/85</f>
        <v>0</v>
      </c>
      <c r="AH16" s="666">
        <f>'Lpg (2)'!D20*1000/85</f>
        <v>1000</v>
      </c>
      <c r="AI16" s="656">
        <f t="shared" si="19"/>
        <v>5000000</v>
      </c>
      <c r="AJ16" s="388">
        <f t="shared" si="4"/>
        <v>11764.705882352777</v>
      </c>
      <c r="AK16" s="117"/>
    </row>
    <row r="17" spans="1:37" ht="18.75" x14ac:dyDescent="0.3">
      <c r="A17" s="687">
        <f>Gen!A22</f>
        <v>44389</v>
      </c>
      <c r="B17" s="385">
        <f>'Summery Report'!E16</f>
        <v>32</v>
      </c>
      <c r="C17" s="692">
        <f>Gen!B22</f>
        <v>0.39</v>
      </c>
      <c r="D17" s="654">
        <f>'Summery Report'!E16</f>
        <v>32</v>
      </c>
      <c r="E17" s="654">
        <f t="shared" si="13"/>
        <v>1.3262195121951219</v>
      </c>
      <c r="F17" s="397">
        <f t="shared" si="14"/>
        <v>183.93006859756096</v>
      </c>
      <c r="G17" s="397">
        <f t="shared" si="0"/>
        <v>183.93006859756096</v>
      </c>
      <c r="H17" s="654">
        <f>Gen!C22</f>
        <v>43526.739999999983</v>
      </c>
      <c r="I17" s="654">
        <f>Gen!E22</f>
        <v>0</v>
      </c>
      <c r="J17" s="693">
        <f>Gen!T22</f>
        <v>4438</v>
      </c>
      <c r="K17" s="698">
        <f>Gen!AK22</f>
        <v>0</v>
      </c>
      <c r="L17" s="689">
        <f t="shared" si="18"/>
        <v>4438</v>
      </c>
      <c r="M17" s="407">
        <f>'Water-Meter'!K57</f>
        <v>541.07139760893983</v>
      </c>
      <c r="N17" s="649">
        <f>'Water-Meter'!E17</f>
        <v>109</v>
      </c>
      <c r="O17" s="630"/>
      <c r="P17" s="839">
        <v>19038</v>
      </c>
      <c r="Q17" s="659">
        <f>SUM(P18-P16)</f>
        <v>0</v>
      </c>
      <c r="R17" s="386">
        <f t="shared" si="5"/>
        <v>0</v>
      </c>
      <c r="S17" s="630">
        <v>7.1</v>
      </c>
      <c r="T17" s="637">
        <v>18548</v>
      </c>
      <c r="U17" s="659">
        <f t="shared" si="6"/>
        <v>0</v>
      </c>
      <c r="V17" s="387">
        <f t="shared" ref="V17:V36" si="21">SUM(U17*S17)</f>
        <v>0</v>
      </c>
      <c r="W17" s="630">
        <v>1.7</v>
      </c>
      <c r="X17" s="642">
        <v>28806</v>
      </c>
      <c r="Y17" s="659">
        <f t="shared" si="8"/>
        <v>24</v>
      </c>
      <c r="Z17" s="640">
        <f t="shared" si="9"/>
        <v>40.799999999999997</v>
      </c>
      <c r="AA17" s="647">
        <f t="shared" si="10"/>
        <v>1177202.3999999999</v>
      </c>
      <c r="AB17" s="644">
        <v>6320</v>
      </c>
      <c r="AC17" s="625">
        <f t="shared" si="11"/>
        <v>40</v>
      </c>
      <c r="AD17" s="627">
        <v>219328</v>
      </c>
      <c r="AE17" s="159">
        <f t="shared" si="20"/>
        <v>1</v>
      </c>
      <c r="AF17" s="653">
        <f>'Lpg (2)'!B21*2000/85</f>
        <v>2000</v>
      </c>
      <c r="AG17" s="236">
        <f>'Lpg (2)'!C21*1000/85</f>
        <v>0</v>
      </c>
      <c r="AH17" s="666">
        <f>'Lpg (2)'!D21*1000/85</f>
        <v>941.17647058823525</v>
      </c>
      <c r="AI17" s="656">
        <f t="shared" si="19"/>
        <v>4941176.4705882352</v>
      </c>
      <c r="AJ17" s="388">
        <f t="shared" si="4"/>
        <v>58823.529411764815</v>
      </c>
      <c r="AK17" s="117"/>
    </row>
    <row r="18" spans="1:37" ht="18.75" x14ac:dyDescent="0.3">
      <c r="A18" s="687">
        <f>Gen!A23</f>
        <v>44390</v>
      </c>
      <c r="B18" s="385">
        <f>'Summery Report'!E17</f>
        <v>19</v>
      </c>
      <c r="C18" s="692">
        <f>Gen!B23</f>
        <v>0.221</v>
      </c>
      <c r="D18" s="654">
        <f>'Summery Report'!E17</f>
        <v>19</v>
      </c>
      <c r="E18" s="654">
        <f t="shared" si="13"/>
        <v>1.3262195121951219</v>
      </c>
      <c r="F18" s="397">
        <f t="shared" si="14"/>
        <v>300.14441591784339</v>
      </c>
      <c r="G18" s="397">
        <f t="shared" si="0"/>
        <v>300.14441591784339</v>
      </c>
      <c r="H18" s="654">
        <f>Gen!C23</f>
        <v>41186.579999999987</v>
      </c>
      <c r="I18" s="654">
        <f>Gen!E23</f>
        <v>0</v>
      </c>
      <c r="J18" s="693">
        <f>Gen!T23</f>
        <v>4300</v>
      </c>
      <c r="K18" s="698">
        <f>Gen!AK23</f>
        <v>0</v>
      </c>
      <c r="L18" s="689">
        <f t="shared" si="18"/>
        <v>4300</v>
      </c>
      <c r="M18" s="407">
        <f>'Water-Meter'!K58</f>
        <v>585.69948231867716</v>
      </c>
      <c r="N18" s="649">
        <f>'Water-Meter'!E18</f>
        <v>105</v>
      </c>
      <c r="O18" s="630"/>
      <c r="P18" s="839">
        <v>19038</v>
      </c>
      <c r="Q18" s="659"/>
      <c r="R18" s="386">
        <f t="shared" si="5"/>
        <v>0</v>
      </c>
      <c r="S18" s="630">
        <v>7.1</v>
      </c>
      <c r="T18" s="637">
        <v>18548</v>
      </c>
      <c r="U18" s="659">
        <f t="shared" si="6"/>
        <v>0</v>
      </c>
      <c r="V18" s="387">
        <f t="shared" si="21"/>
        <v>0</v>
      </c>
      <c r="W18" s="630">
        <v>1.7</v>
      </c>
      <c r="X18" s="642">
        <v>28829</v>
      </c>
      <c r="Y18" s="659">
        <f t="shared" si="8"/>
        <v>23</v>
      </c>
      <c r="Z18" s="640">
        <f t="shared" si="9"/>
        <v>39.1</v>
      </c>
      <c r="AA18" s="647">
        <f t="shared" si="10"/>
        <v>1129090.7</v>
      </c>
      <c r="AB18" s="644">
        <v>6357</v>
      </c>
      <c r="AC18" s="625">
        <f t="shared" si="11"/>
        <v>37</v>
      </c>
      <c r="AD18" s="627">
        <v>219388</v>
      </c>
      <c r="AE18" s="159">
        <f t="shared" si="20"/>
        <v>60</v>
      </c>
      <c r="AF18" s="653">
        <f>'Lpg (2)'!B22*2000/85</f>
        <v>2000</v>
      </c>
      <c r="AG18" s="236">
        <f>'Lpg (2)'!C22*1000/85</f>
        <v>0</v>
      </c>
      <c r="AH18" s="666">
        <f>'Lpg (2)'!D22*1000/85</f>
        <v>894.11764705882354</v>
      </c>
      <c r="AI18" s="656">
        <f t="shared" si="19"/>
        <v>4894117.6470588231</v>
      </c>
      <c r="AJ18" s="388">
        <f t="shared" si="4"/>
        <v>47058.823529412039</v>
      </c>
      <c r="AK18" s="117"/>
    </row>
    <row r="19" spans="1:37" ht="18.75" x14ac:dyDescent="0.3">
      <c r="A19" s="687">
        <f>Gen!A24</f>
        <v>44391</v>
      </c>
      <c r="B19" s="385">
        <f>'Summery Report'!E18</f>
        <v>14</v>
      </c>
      <c r="C19" s="692">
        <f>Gen!B24</f>
        <v>0.19500000000000001</v>
      </c>
      <c r="D19" s="654">
        <f>'Summery Report'!E18</f>
        <v>14</v>
      </c>
      <c r="E19" s="654">
        <f t="shared" si="13"/>
        <v>1.3262195121951219</v>
      </c>
      <c r="F19" s="397">
        <f t="shared" si="14"/>
        <v>369.6363240418118</v>
      </c>
      <c r="G19" s="397">
        <f t="shared" si="0"/>
        <v>369.6363240418118</v>
      </c>
      <c r="H19" s="654">
        <f>Gen!C24</f>
        <v>39137.539999999986</v>
      </c>
      <c r="I19" s="654">
        <f>Gen!E24</f>
        <v>18000</v>
      </c>
      <c r="J19" s="693">
        <f>Gen!T24</f>
        <v>3902</v>
      </c>
      <c r="K19" s="698">
        <f>Gen!AK24</f>
        <v>0</v>
      </c>
      <c r="L19" s="689">
        <f t="shared" si="18"/>
        <v>3902</v>
      </c>
      <c r="M19" s="407">
        <f>'Water-Meter'!K59</f>
        <v>599.92981048399861</v>
      </c>
      <c r="N19" s="649">
        <f>'Water-Meter'!E19</f>
        <v>105</v>
      </c>
      <c r="O19" s="641"/>
      <c r="P19" s="839">
        <v>19038</v>
      </c>
      <c r="Q19" s="659"/>
      <c r="R19" s="386">
        <f t="shared" si="5"/>
        <v>0</v>
      </c>
      <c r="S19" s="630">
        <v>7.1</v>
      </c>
      <c r="T19" s="637">
        <v>18548</v>
      </c>
      <c r="U19" s="659">
        <f t="shared" si="6"/>
        <v>0</v>
      </c>
      <c r="V19" s="387">
        <f t="shared" si="21"/>
        <v>0</v>
      </c>
      <c r="W19" s="630">
        <v>1.7</v>
      </c>
      <c r="X19" s="642">
        <v>28853</v>
      </c>
      <c r="Y19" s="659">
        <f t="shared" si="8"/>
        <v>24</v>
      </c>
      <c r="Z19" s="640">
        <f t="shared" si="9"/>
        <v>40.799999999999997</v>
      </c>
      <c r="AA19" s="647">
        <f t="shared" si="10"/>
        <v>1178752.7999999998</v>
      </c>
      <c r="AB19" s="644">
        <v>6395</v>
      </c>
      <c r="AC19" s="625">
        <f t="shared" si="11"/>
        <v>38</v>
      </c>
      <c r="AD19" s="627">
        <v>219446</v>
      </c>
      <c r="AE19" s="159">
        <f t="shared" si="20"/>
        <v>58</v>
      </c>
      <c r="AF19" s="653">
        <f>'Lpg (2)'!B23*2000/85</f>
        <v>2000</v>
      </c>
      <c r="AG19" s="236">
        <f>'Lpg (2)'!C23*1000/85</f>
        <v>0</v>
      </c>
      <c r="AH19" s="666">
        <f>'Lpg (2)'!D23*1000/85</f>
        <v>823.52941176470586</v>
      </c>
      <c r="AI19" s="656">
        <f t="shared" si="19"/>
        <v>4823529.4117647056</v>
      </c>
      <c r="AJ19" s="388">
        <f t="shared" si="4"/>
        <v>70588.235294117592</v>
      </c>
      <c r="AK19" s="117"/>
    </row>
    <row r="20" spans="1:37" ht="18.75" x14ac:dyDescent="0.3">
      <c r="A20" s="687">
        <f>Gen!A25</f>
        <v>44392</v>
      </c>
      <c r="B20" s="385">
        <f>'Summery Report'!E19</f>
        <v>16</v>
      </c>
      <c r="C20" s="692">
        <f>Gen!B25</f>
        <v>0.20799999999999999</v>
      </c>
      <c r="D20" s="654">
        <f>'Summery Report'!E19</f>
        <v>16</v>
      </c>
      <c r="E20" s="654">
        <f t="shared" si="13"/>
        <v>1.3262195121951219</v>
      </c>
      <c r="F20" s="397">
        <f t="shared" si="14"/>
        <v>317.7124618902439</v>
      </c>
      <c r="G20" s="397">
        <f t="shared" si="0"/>
        <v>317.7124618902439</v>
      </c>
      <c r="H20" s="654">
        <f>Gen!C25</f>
        <v>36052.529999999984</v>
      </c>
      <c r="I20" s="654">
        <f>Gen!E25</f>
        <v>0</v>
      </c>
      <c r="J20" s="693">
        <f>Gen!T25</f>
        <v>3833</v>
      </c>
      <c r="K20" s="698">
        <f>Gen!AK25</f>
        <v>0</v>
      </c>
      <c r="L20" s="689">
        <f t="shared" si="18"/>
        <v>3833</v>
      </c>
      <c r="M20" s="407">
        <f>'Water-Meter'!K60</f>
        <v>535.35338194314352</v>
      </c>
      <c r="N20" s="649">
        <f>'Water-Meter'!E20</f>
        <v>83</v>
      </c>
      <c r="O20" s="641"/>
      <c r="P20" s="839">
        <v>19038</v>
      </c>
      <c r="Q20" s="659">
        <f t="shared" si="2"/>
        <v>0</v>
      </c>
      <c r="R20" s="386">
        <f t="shared" si="5"/>
        <v>0</v>
      </c>
      <c r="S20" s="630">
        <v>7.1</v>
      </c>
      <c r="T20" s="637">
        <v>18548</v>
      </c>
      <c r="U20" s="659">
        <f t="shared" si="6"/>
        <v>0</v>
      </c>
      <c r="V20" s="387">
        <f t="shared" si="21"/>
        <v>0</v>
      </c>
      <c r="W20" s="641">
        <v>1.5</v>
      </c>
      <c r="X20" s="642">
        <v>28877</v>
      </c>
      <c r="Y20" s="659">
        <f t="shared" si="8"/>
        <v>24</v>
      </c>
      <c r="Z20" s="640">
        <f t="shared" si="9"/>
        <v>36</v>
      </c>
      <c r="AA20" s="647">
        <f t="shared" si="10"/>
        <v>1040076</v>
      </c>
      <c r="AB20" s="644">
        <v>6431</v>
      </c>
      <c r="AC20" s="625">
        <f t="shared" si="11"/>
        <v>36</v>
      </c>
      <c r="AD20" s="627">
        <v>219499</v>
      </c>
      <c r="AE20" s="159">
        <f t="shared" si="20"/>
        <v>53</v>
      </c>
      <c r="AF20" s="653">
        <f>'Lpg (2)'!B24*2000/85</f>
        <v>2000</v>
      </c>
      <c r="AG20" s="236">
        <f>'Lpg (2)'!C24*1000/85</f>
        <v>0</v>
      </c>
      <c r="AH20" s="666">
        <f>'Lpg (2)'!D24*1000/85</f>
        <v>764.70588235294122</v>
      </c>
      <c r="AI20" s="656">
        <f t="shared" si="19"/>
        <v>4764705.8823529407</v>
      </c>
      <c r="AJ20" s="388">
        <f t="shared" si="4"/>
        <v>58823.529411764815</v>
      </c>
      <c r="AK20" s="117"/>
    </row>
    <row r="21" spans="1:37" ht="18.75" x14ac:dyDescent="0.3">
      <c r="A21" s="687">
        <f>Gen!A26</f>
        <v>44393</v>
      </c>
      <c r="B21" s="385">
        <f>'Summery Report'!E20</f>
        <v>0</v>
      </c>
      <c r="C21" s="692">
        <f>Gen!B26</f>
        <v>0.27</v>
      </c>
      <c r="D21" s="654">
        <f>'Summery Report'!E20</f>
        <v>0</v>
      </c>
      <c r="E21" s="654">
        <f t="shared" si="13"/>
        <v>1.3262195121951219</v>
      </c>
      <c r="F21" s="397" t="e">
        <f t="shared" si="14"/>
        <v>#DIV/0!</v>
      </c>
      <c r="G21" s="397" t="e">
        <f t="shared" si="0"/>
        <v>#DIV/0!</v>
      </c>
      <c r="H21" s="654">
        <f>Gen!C26</f>
        <v>34253.289999999986</v>
      </c>
      <c r="I21" s="654">
        <f>Gen!E26</f>
        <v>0</v>
      </c>
      <c r="J21" s="693">
        <f>Gen!T26</f>
        <v>4080</v>
      </c>
      <c r="K21" s="698">
        <f>Gen!AK26</f>
        <v>0</v>
      </c>
      <c r="L21" s="689">
        <f t="shared" si="18"/>
        <v>4080</v>
      </c>
      <c r="M21" s="407">
        <f>'Water-Meter'!K61</f>
        <v>517.67916190231608</v>
      </c>
      <c r="N21" s="649">
        <f>'Water-Meter'!E21</f>
        <v>103</v>
      </c>
      <c r="O21" s="641"/>
      <c r="P21" s="839">
        <v>19038</v>
      </c>
      <c r="Q21" s="659">
        <f t="shared" si="2"/>
        <v>0</v>
      </c>
      <c r="R21" s="386">
        <f t="shared" si="5"/>
        <v>0</v>
      </c>
      <c r="S21" s="630">
        <v>7.1</v>
      </c>
      <c r="T21" s="637">
        <v>18548</v>
      </c>
      <c r="U21" s="659">
        <f t="shared" si="6"/>
        <v>0</v>
      </c>
      <c r="V21" s="387">
        <f t="shared" si="21"/>
        <v>0</v>
      </c>
      <c r="W21" s="641">
        <v>1.5</v>
      </c>
      <c r="X21" s="642">
        <v>28891</v>
      </c>
      <c r="Y21" s="659">
        <f t="shared" si="8"/>
        <v>14</v>
      </c>
      <c r="Z21" s="640">
        <f t="shared" si="9"/>
        <v>21</v>
      </c>
      <c r="AA21" s="647">
        <f t="shared" si="10"/>
        <v>606711</v>
      </c>
      <c r="AB21" s="644">
        <v>6452</v>
      </c>
      <c r="AC21" s="625">
        <f t="shared" si="11"/>
        <v>21</v>
      </c>
      <c r="AD21" s="627">
        <v>219557</v>
      </c>
      <c r="AE21" s="159">
        <f t="shared" si="20"/>
        <v>58</v>
      </c>
      <c r="AF21" s="653">
        <f>'Lpg (2)'!B25*2000/85</f>
        <v>2000</v>
      </c>
      <c r="AG21" s="236">
        <f>'Lpg (2)'!C25*1000/85</f>
        <v>0</v>
      </c>
      <c r="AH21" s="666">
        <f>'Lpg (2)'!D25*1000/85</f>
        <v>529.41176470588232</v>
      </c>
      <c r="AI21" s="656">
        <f t="shared" si="19"/>
        <v>4529411.7647058824</v>
      </c>
      <c r="AJ21" s="388">
        <f t="shared" si="4"/>
        <v>235294.11764705833</v>
      </c>
      <c r="AK21" s="117"/>
    </row>
    <row r="22" spans="1:37" ht="18.75" x14ac:dyDescent="0.3">
      <c r="A22" s="687">
        <f>Gen!A27</f>
        <v>44394</v>
      </c>
      <c r="B22" s="385">
        <f>'Summery Report'!E21</f>
        <v>0</v>
      </c>
      <c r="C22" s="692">
        <f>Gen!B27</f>
        <v>0.26</v>
      </c>
      <c r="D22" s="654">
        <f>'Summery Report'!E21</f>
        <v>0</v>
      </c>
      <c r="E22" s="654">
        <f t="shared" si="13"/>
        <v>1.3262195121951219</v>
      </c>
      <c r="F22" s="397" t="e">
        <f t="shared" si="14"/>
        <v>#DIV/0!</v>
      </c>
      <c r="G22" s="397" t="e">
        <f t="shared" si="0"/>
        <v>#DIV/0!</v>
      </c>
      <c r="H22" s="654">
        <f>Gen!C27</f>
        <v>32434.869999999988</v>
      </c>
      <c r="I22" s="654">
        <f>Gen!E27</f>
        <v>0</v>
      </c>
      <c r="J22" s="693">
        <f>Gen!T27</f>
        <v>4092</v>
      </c>
      <c r="K22" s="698">
        <f>Gen!AK27</f>
        <v>0</v>
      </c>
      <c r="L22" s="689">
        <f t="shared" si="18"/>
        <v>4092</v>
      </c>
      <c r="M22" s="407">
        <f>'Water-Meter'!K62</f>
        <v>561.96719111119012</v>
      </c>
      <c r="N22" s="649">
        <f>'Water-Meter'!E22</f>
        <v>107</v>
      </c>
      <c r="O22" s="641"/>
      <c r="P22" s="839">
        <v>19038</v>
      </c>
      <c r="Q22" s="659">
        <f t="shared" si="2"/>
        <v>0</v>
      </c>
      <c r="R22" s="386">
        <f t="shared" si="5"/>
        <v>0</v>
      </c>
      <c r="S22" s="630">
        <v>7.1</v>
      </c>
      <c r="T22" s="637">
        <v>18548</v>
      </c>
      <c r="U22" s="659">
        <f t="shared" si="6"/>
        <v>0</v>
      </c>
      <c r="V22" s="387">
        <f t="shared" si="21"/>
        <v>0</v>
      </c>
      <c r="W22" s="641">
        <v>1.5</v>
      </c>
      <c r="X22" s="642">
        <v>28891</v>
      </c>
      <c r="Y22" s="659">
        <f t="shared" si="8"/>
        <v>0</v>
      </c>
      <c r="Z22" s="640">
        <f t="shared" si="9"/>
        <v>0</v>
      </c>
      <c r="AA22" s="647">
        <f t="shared" si="10"/>
        <v>0</v>
      </c>
      <c r="AB22" s="644">
        <v>6487</v>
      </c>
      <c r="AC22" s="625">
        <f t="shared" si="11"/>
        <v>35</v>
      </c>
      <c r="AD22" s="627">
        <v>219615</v>
      </c>
      <c r="AE22" s="159">
        <f t="shared" si="20"/>
        <v>58</v>
      </c>
      <c r="AF22" s="653">
        <f>'Lpg (2)'!B26*2000/85</f>
        <v>2000</v>
      </c>
      <c r="AG22" s="236">
        <f>'Lpg (2)'!C26*1000/85</f>
        <v>0</v>
      </c>
      <c r="AH22" s="666">
        <f>'Lpg (2)'!D26*1000/85</f>
        <v>447.05882352941177</v>
      </c>
      <c r="AI22" s="656">
        <f t="shared" si="19"/>
        <v>4447058.823529412</v>
      </c>
      <c r="AJ22" s="388">
        <f t="shared" si="4"/>
        <v>82352.941176470369</v>
      </c>
      <c r="AK22" s="117"/>
    </row>
    <row r="23" spans="1:37" ht="18.75" x14ac:dyDescent="0.3">
      <c r="A23" s="687">
        <f>Gen!A28</f>
        <v>44395</v>
      </c>
      <c r="B23" s="385">
        <f>'Summery Report'!E22</f>
        <v>0</v>
      </c>
      <c r="C23" s="692">
        <f>Gen!B28</f>
        <v>0.35</v>
      </c>
      <c r="D23" s="654">
        <f>'Summery Report'!E22</f>
        <v>0</v>
      </c>
      <c r="E23" s="654">
        <f t="shared" si="13"/>
        <v>1.3262195121951219</v>
      </c>
      <c r="F23" s="397" t="e">
        <f t="shared" si="14"/>
        <v>#DIV/0!</v>
      </c>
      <c r="G23" s="397" t="e">
        <f t="shared" si="0"/>
        <v>#DIV/0!</v>
      </c>
      <c r="H23" s="654">
        <f>Gen!C28</f>
        <v>30171.849999999988</v>
      </c>
      <c r="I23" s="654">
        <f>Gen!E28</f>
        <v>0</v>
      </c>
      <c r="J23" s="693">
        <f>Gen!T28</f>
        <v>4450</v>
      </c>
      <c r="K23" s="698">
        <f>Gen!AK28</f>
        <v>0</v>
      </c>
      <c r="L23" s="689">
        <f t="shared" si="18"/>
        <v>4450</v>
      </c>
      <c r="M23" s="407">
        <f>'Water-Meter'!K63</f>
        <v>598.40500630645306</v>
      </c>
      <c r="N23" s="649">
        <f>'Water-Meter'!E23</f>
        <v>128</v>
      </c>
      <c r="O23" s="641"/>
      <c r="P23" s="839">
        <v>19038</v>
      </c>
      <c r="Q23" s="659">
        <f t="shared" si="2"/>
        <v>0</v>
      </c>
      <c r="R23" s="386">
        <f t="shared" si="5"/>
        <v>0</v>
      </c>
      <c r="S23" s="630">
        <v>7.1</v>
      </c>
      <c r="T23" s="637">
        <v>18556</v>
      </c>
      <c r="U23" s="659">
        <f t="shared" si="6"/>
        <v>8</v>
      </c>
      <c r="V23" s="387">
        <f t="shared" si="21"/>
        <v>56.8</v>
      </c>
      <c r="W23" s="641">
        <v>1.5</v>
      </c>
      <c r="X23" s="642">
        <v>28891</v>
      </c>
      <c r="Y23" s="659">
        <f t="shared" si="8"/>
        <v>0</v>
      </c>
      <c r="Z23" s="640">
        <f t="shared" si="9"/>
        <v>0</v>
      </c>
      <c r="AA23" s="647">
        <f t="shared" si="10"/>
        <v>0</v>
      </c>
      <c r="AB23" s="644">
        <v>6529</v>
      </c>
      <c r="AC23" s="625">
        <f t="shared" si="11"/>
        <v>42</v>
      </c>
      <c r="AD23" s="628">
        <v>219637</v>
      </c>
      <c r="AE23" s="159">
        <f t="shared" si="20"/>
        <v>22</v>
      </c>
      <c r="AF23" s="653">
        <f>'Lpg (2)'!B27*2000/85</f>
        <v>2000</v>
      </c>
      <c r="AG23" s="236">
        <f>'Lpg (2)'!C27*1000/85</f>
        <v>0</v>
      </c>
      <c r="AH23" s="666">
        <f>'Lpg (2)'!D27*1000/85</f>
        <v>352.94117647058823</v>
      </c>
      <c r="AI23" s="656">
        <f t="shared" si="19"/>
        <v>4352941.176470588</v>
      </c>
      <c r="AJ23" s="388">
        <f t="shared" si="4"/>
        <v>94117.647058824077</v>
      </c>
      <c r="AK23" s="117"/>
    </row>
    <row r="24" spans="1:37" ht="18.75" x14ac:dyDescent="0.3">
      <c r="A24" s="687">
        <f>Gen!A29</f>
        <v>44396</v>
      </c>
      <c r="B24" s="385">
        <f>'Summery Report'!E23</f>
        <v>0</v>
      </c>
      <c r="C24" s="692">
        <f>Gen!B29</f>
        <v>0.39</v>
      </c>
      <c r="D24" s="654">
        <f>'Summery Report'!E23</f>
        <v>0</v>
      </c>
      <c r="E24" s="654">
        <f t="shared" si="13"/>
        <v>1.3262195121951219</v>
      </c>
      <c r="F24" s="397" t="e">
        <f t="shared" si="14"/>
        <v>#DIV/0!</v>
      </c>
      <c r="G24" s="397" t="e">
        <f t="shared" si="0"/>
        <v>#DIV/0!</v>
      </c>
      <c r="H24" s="654">
        <f>Gen!C29</f>
        <v>28009.639999999989</v>
      </c>
      <c r="I24" s="654">
        <f>Gen!E29</f>
        <v>0</v>
      </c>
      <c r="J24" s="693">
        <f>Gen!T29</f>
        <v>4633</v>
      </c>
      <c r="K24" s="698">
        <f>Gen!AK29</f>
        <v>0</v>
      </c>
      <c r="L24" s="689">
        <f t="shared" si="18"/>
        <v>4633</v>
      </c>
      <c r="M24" s="407">
        <f>'Water-Meter'!K64</f>
        <v>490.51432217071692</v>
      </c>
      <c r="N24" s="649">
        <f>'Water-Meter'!E24</f>
        <v>115</v>
      </c>
      <c r="O24" s="641"/>
      <c r="P24" s="839">
        <v>19038</v>
      </c>
      <c r="Q24" s="659">
        <f t="shared" si="2"/>
        <v>0</v>
      </c>
      <c r="R24" s="386">
        <f t="shared" si="5"/>
        <v>0</v>
      </c>
      <c r="S24" s="630">
        <v>7.1</v>
      </c>
      <c r="T24" s="637">
        <v>18571</v>
      </c>
      <c r="U24" s="659">
        <f t="shared" si="6"/>
        <v>15</v>
      </c>
      <c r="V24" s="387">
        <f t="shared" si="21"/>
        <v>106.5</v>
      </c>
      <c r="W24" s="641">
        <v>1.5</v>
      </c>
      <c r="X24" s="642">
        <v>28891</v>
      </c>
      <c r="Y24" s="659">
        <f t="shared" si="8"/>
        <v>0</v>
      </c>
      <c r="Z24" s="640">
        <f t="shared" si="9"/>
        <v>0</v>
      </c>
      <c r="AA24" s="647">
        <f t="shared" si="10"/>
        <v>0</v>
      </c>
      <c r="AB24" s="644">
        <v>6630</v>
      </c>
      <c r="AC24" s="625">
        <f t="shared" si="11"/>
        <v>101</v>
      </c>
      <c r="AD24" s="628">
        <v>219684</v>
      </c>
      <c r="AE24" s="159">
        <f t="shared" si="20"/>
        <v>47</v>
      </c>
      <c r="AF24" s="653">
        <f>'Lpg (2)'!B28*2000/85</f>
        <v>2000</v>
      </c>
      <c r="AG24" s="236">
        <f>'Lpg (2)'!C28*1000/85</f>
        <v>0</v>
      </c>
      <c r="AH24" s="666">
        <f>'Lpg (2)'!D28*1000/85</f>
        <v>317.64705882352939</v>
      </c>
      <c r="AI24" s="656">
        <f t="shared" si="19"/>
        <v>4317647.0588235296</v>
      </c>
      <c r="AJ24" s="388">
        <f t="shared" si="4"/>
        <v>35294.11764705833</v>
      </c>
      <c r="AK24" s="117"/>
    </row>
    <row r="25" spans="1:37" ht="18.75" x14ac:dyDescent="0.3">
      <c r="A25" s="687">
        <f>Gen!A30</f>
        <v>44397</v>
      </c>
      <c r="B25" s="385">
        <f>'Summery Report'!E24</f>
        <v>0</v>
      </c>
      <c r="C25" s="692">
        <f>Gen!B30</f>
        <v>0.39</v>
      </c>
      <c r="D25" s="654">
        <f>'Summery Report'!E24</f>
        <v>0</v>
      </c>
      <c r="E25" s="654">
        <f t="shared" si="13"/>
        <v>1.3262195121951219</v>
      </c>
      <c r="F25" s="397" t="e">
        <f t="shared" si="14"/>
        <v>#DIV/0!</v>
      </c>
      <c r="G25" s="397" t="e">
        <f t="shared" si="0"/>
        <v>#DIV/0!</v>
      </c>
      <c r="H25" s="654">
        <f>Gen!C30</f>
        <v>25973.249999999989</v>
      </c>
      <c r="I25" s="654">
        <f>Gen!E30</f>
        <v>0</v>
      </c>
      <c r="J25" s="693">
        <f>Gen!T30</f>
        <v>4722</v>
      </c>
      <c r="K25" s="698">
        <f>Gen!AK30</f>
        <v>0</v>
      </c>
      <c r="L25" s="689">
        <f t="shared" si="18"/>
        <v>4722</v>
      </c>
      <c r="M25" s="407">
        <f>'Water-Meter'!K65</f>
        <v>494.66638811544431</v>
      </c>
      <c r="N25" s="649">
        <f>'Water-Meter'!E25</f>
        <v>113</v>
      </c>
      <c r="O25" s="641"/>
      <c r="P25" s="839">
        <v>19038</v>
      </c>
      <c r="Q25" s="659">
        <f t="shared" si="2"/>
        <v>0</v>
      </c>
      <c r="R25" s="386">
        <f t="shared" si="5"/>
        <v>0</v>
      </c>
      <c r="S25" s="630">
        <v>6.7</v>
      </c>
      <c r="T25" s="637">
        <v>18592</v>
      </c>
      <c r="U25" s="659">
        <f t="shared" si="6"/>
        <v>21</v>
      </c>
      <c r="V25" s="387">
        <f t="shared" si="21"/>
        <v>140.70000000000002</v>
      </c>
      <c r="W25" s="641">
        <v>1.5</v>
      </c>
      <c r="X25" s="642">
        <v>28891</v>
      </c>
      <c r="Y25" s="659">
        <f t="shared" si="8"/>
        <v>0</v>
      </c>
      <c r="Z25" s="640">
        <f t="shared" si="9"/>
        <v>0</v>
      </c>
      <c r="AA25" s="647">
        <f t="shared" si="10"/>
        <v>0</v>
      </c>
      <c r="AB25" s="644">
        <v>6785</v>
      </c>
      <c r="AC25" s="625">
        <f t="shared" si="11"/>
        <v>155</v>
      </c>
      <c r="AD25" s="628">
        <v>219709</v>
      </c>
      <c r="AE25" s="159">
        <f t="shared" si="20"/>
        <v>25</v>
      </c>
      <c r="AF25" s="653">
        <f>'Lpg (2)'!B29*2000/85</f>
        <v>2000</v>
      </c>
      <c r="AG25" s="236">
        <f>'Lpg (2)'!C29*1000/85</f>
        <v>0</v>
      </c>
      <c r="AH25" s="666">
        <f>'Lpg (2)'!D29*1000/85</f>
        <v>235.29411764705881</v>
      </c>
      <c r="AI25" s="656">
        <f t="shared" si="19"/>
        <v>4235294.1176470593</v>
      </c>
      <c r="AJ25" s="388">
        <f t="shared" si="4"/>
        <v>82352.941176470369</v>
      </c>
      <c r="AK25" s="117"/>
    </row>
    <row r="26" spans="1:37" ht="18.75" x14ac:dyDescent="0.3">
      <c r="A26" s="687">
        <f>Gen!A31</f>
        <v>44398</v>
      </c>
      <c r="B26" s="385">
        <f>'Summery Report'!E25</f>
        <v>0</v>
      </c>
      <c r="C26" s="692">
        <f>Gen!B31</f>
        <v>0.55000000000000004</v>
      </c>
      <c r="D26" s="654">
        <f>'Summery Report'!E25</f>
        <v>0</v>
      </c>
      <c r="E26" s="654">
        <f t="shared" si="13"/>
        <v>1.3262195121951219</v>
      </c>
      <c r="F26" s="397" t="e">
        <f>SUM(J26*E26)/D26</f>
        <v>#DIV/0!</v>
      </c>
      <c r="G26" s="397" t="e">
        <f t="shared" si="0"/>
        <v>#DIV/0!</v>
      </c>
      <c r="H26" s="654">
        <f>Gen!C31</f>
        <v>23916.349999999988</v>
      </c>
      <c r="I26" s="654">
        <f>Gen!E31</f>
        <v>0</v>
      </c>
      <c r="J26" s="693">
        <f>Gen!T31</f>
        <v>4911</v>
      </c>
      <c r="K26" s="698">
        <f>Gen!AK31</f>
        <v>0</v>
      </c>
      <c r="L26" s="689">
        <f t="shared" si="18"/>
        <v>4911</v>
      </c>
      <c r="M26" s="407">
        <f>'Water-Meter'!K66</f>
        <v>493.16090494960673</v>
      </c>
      <c r="N26" s="649">
        <f>'Water-Meter'!E26</f>
        <v>133</v>
      </c>
      <c r="O26" s="641"/>
      <c r="P26" s="839">
        <v>19038</v>
      </c>
      <c r="Q26" s="659">
        <f t="shared" si="2"/>
        <v>0</v>
      </c>
      <c r="R26" s="386">
        <f t="shared" si="5"/>
        <v>0</v>
      </c>
      <c r="S26" s="630">
        <v>6.7</v>
      </c>
      <c r="T26" s="637">
        <v>18592</v>
      </c>
      <c r="U26" s="659">
        <f t="shared" si="6"/>
        <v>0</v>
      </c>
      <c r="V26" s="387">
        <f t="shared" si="21"/>
        <v>0</v>
      </c>
      <c r="W26" s="641">
        <v>1.5</v>
      </c>
      <c r="X26" s="642">
        <v>28891</v>
      </c>
      <c r="Y26" s="659">
        <f t="shared" si="8"/>
        <v>0</v>
      </c>
      <c r="Z26" s="640">
        <f>SUM(Y26*W27)</f>
        <v>0</v>
      </c>
      <c r="AA26" s="647">
        <f t="shared" si="10"/>
        <v>0</v>
      </c>
      <c r="AB26" s="644">
        <v>6785</v>
      </c>
      <c r="AC26" s="625">
        <f t="shared" si="11"/>
        <v>0</v>
      </c>
      <c r="AD26" s="628">
        <v>219752</v>
      </c>
      <c r="AE26" s="159">
        <f t="shared" si="20"/>
        <v>43</v>
      </c>
      <c r="AF26" s="653">
        <f>'Lpg (2)'!B30*2000/85</f>
        <v>2000</v>
      </c>
      <c r="AG26" s="236">
        <f>'Lpg (2)'!C30*1000/85</f>
        <v>0</v>
      </c>
      <c r="AH26" s="666">
        <f>'Lpg (2)'!D30*1000/85</f>
        <v>176.47058823529412</v>
      </c>
      <c r="AI26" s="656">
        <f t="shared" si="19"/>
        <v>4176470.588235294</v>
      </c>
      <c r="AJ26" s="388">
        <f t="shared" si="4"/>
        <v>58823.529411765281</v>
      </c>
      <c r="AK26" s="117"/>
    </row>
    <row r="27" spans="1:37" ht="18.75" x14ac:dyDescent="0.3">
      <c r="A27" s="687">
        <f>Gen!A32</f>
        <v>44399</v>
      </c>
      <c r="B27" s="385">
        <f>'Summery Report'!E26</f>
        <v>0</v>
      </c>
      <c r="C27" s="692">
        <f>Gen!B32</f>
        <v>0.54500000000000004</v>
      </c>
      <c r="D27" s="654">
        <f>'Summery Report'!E26</f>
        <v>0</v>
      </c>
      <c r="E27" s="654">
        <f t="shared" si="13"/>
        <v>1.3262195121951219</v>
      </c>
      <c r="F27" s="397" t="e">
        <f t="shared" si="14"/>
        <v>#DIV/0!</v>
      </c>
      <c r="G27" s="397" t="e">
        <f t="shared" si="0"/>
        <v>#DIV/0!</v>
      </c>
      <c r="H27" s="654">
        <f>Gen!C32</f>
        <v>21367.179999999986</v>
      </c>
      <c r="I27" s="654">
        <f>Gen!E32</f>
        <v>0</v>
      </c>
      <c r="J27" s="693">
        <f>Gen!T32</f>
        <v>5226</v>
      </c>
      <c r="K27" s="698">
        <f>Gen!AK32</f>
        <v>0</v>
      </c>
      <c r="L27" s="689">
        <f t="shared" si="18"/>
        <v>5226</v>
      </c>
      <c r="M27" s="407">
        <f>'Water-Meter'!K67</f>
        <v>451.95097528874697</v>
      </c>
      <c r="N27" s="649">
        <f>'Water-Meter'!E27</f>
        <v>113</v>
      </c>
      <c r="O27" s="641"/>
      <c r="P27" s="839">
        <v>19038</v>
      </c>
      <c r="Q27" s="659">
        <f t="shared" si="2"/>
        <v>0</v>
      </c>
      <c r="R27" s="386">
        <f t="shared" si="5"/>
        <v>0</v>
      </c>
      <c r="S27" s="636">
        <v>7.1</v>
      </c>
      <c r="T27" s="637">
        <v>18616</v>
      </c>
      <c r="U27" s="659">
        <f t="shared" si="6"/>
        <v>24</v>
      </c>
      <c r="V27" s="387">
        <f t="shared" si="21"/>
        <v>170.39999999999998</v>
      </c>
      <c r="W27" s="641">
        <v>1.5</v>
      </c>
      <c r="X27" s="642">
        <v>28891</v>
      </c>
      <c r="Y27" s="659">
        <f t="shared" si="8"/>
        <v>0</v>
      </c>
      <c r="Z27" s="640" t="e">
        <f>SUM(Y27*#REF!)</f>
        <v>#REF!</v>
      </c>
      <c r="AA27" s="647" t="e">
        <f t="shared" si="10"/>
        <v>#REF!</v>
      </c>
      <c r="AB27" s="644">
        <v>6952</v>
      </c>
      <c r="AC27" s="625">
        <f t="shared" si="11"/>
        <v>167</v>
      </c>
      <c r="AD27" s="628">
        <v>219809</v>
      </c>
      <c r="AE27" s="159">
        <f t="shared" si="20"/>
        <v>57</v>
      </c>
      <c r="AF27" s="653">
        <f>'Lpg (2)'!B31*2000/85</f>
        <v>2000</v>
      </c>
      <c r="AG27" s="236">
        <f>'Lpg (2)'!C31*1000/85</f>
        <v>0</v>
      </c>
      <c r="AH27" s="666">
        <f>'Lpg (2)'!D31*1000/85</f>
        <v>105.88235294117646</v>
      </c>
      <c r="AI27" s="656">
        <f t="shared" si="19"/>
        <v>4105882.3529411764</v>
      </c>
      <c r="AJ27" s="388">
        <f t="shared" si="4"/>
        <v>70588.235294117592</v>
      </c>
      <c r="AK27" s="117"/>
    </row>
    <row r="28" spans="1:37" ht="18.75" x14ac:dyDescent="0.3">
      <c r="A28" s="687">
        <f>Gen!A33</f>
        <v>44400</v>
      </c>
      <c r="B28" s="385">
        <f>'Summery Report'!E27</f>
        <v>0</v>
      </c>
      <c r="C28" s="692">
        <f>Gen!B33</f>
        <v>0.45500000000000002</v>
      </c>
      <c r="D28" s="654">
        <f>'Summery Report'!E27</f>
        <v>0</v>
      </c>
      <c r="E28" s="654">
        <f t="shared" si="13"/>
        <v>1.3262195121951219</v>
      </c>
      <c r="F28" s="397" t="e">
        <f t="shared" si="14"/>
        <v>#DIV/0!</v>
      </c>
      <c r="G28" s="397" t="e">
        <f t="shared" si="0"/>
        <v>#DIV/0!</v>
      </c>
      <c r="H28" s="654">
        <f>Gen!C33</f>
        <v>18639.639999999985</v>
      </c>
      <c r="I28" s="654">
        <f>Gen!E33</f>
        <v>0</v>
      </c>
      <c r="J28" s="693">
        <f>Gen!T33</f>
        <v>4730</v>
      </c>
      <c r="K28" s="698">
        <f>Gen!AK33</f>
        <v>0</v>
      </c>
      <c r="L28" s="689">
        <f t="shared" si="18"/>
        <v>4730</v>
      </c>
      <c r="M28" s="407">
        <f>'Water-Meter'!K68</f>
        <v>419.79784868144452</v>
      </c>
      <c r="N28" s="649">
        <f>'Water-Meter'!E28</f>
        <v>108</v>
      </c>
      <c r="O28" s="641"/>
      <c r="P28" s="839">
        <v>19038</v>
      </c>
      <c r="Q28" s="659">
        <f t="shared" si="2"/>
        <v>0</v>
      </c>
      <c r="R28" s="386">
        <f t="shared" si="5"/>
        <v>0</v>
      </c>
      <c r="S28" s="636">
        <v>7.1</v>
      </c>
      <c r="T28" s="637">
        <v>18639</v>
      </c>
      <c r="U28" s="659">
        <f t="shared" si="6"/>
        <v>23</v>
      </c>
      <c r="V28" s="387">
        <f t="shared" si="21"/>
        <v>163.29999999999998</v>
      </c>
      <c r="W28" s="641">
        <v>1.5</v>
      </c>
      <c r="X28" s="642">
        <v>28891</v>
      </c>
      <c r="Y28" s="659">
        <f t="shared" si="8"/>
        <v>0</v>
      </c>
      <c r="Z28" s="640">
        <f t="shared" si="9"/>
        <v>0</v>
      </c>
      <c r="AA28" s="647">
        <f t="shared" si="10"/>
        <v>0</v>
      </c>
      <c r="AB28" s="644">
        <v>7115</v>
      </c>
      <c r="AC28" s="625">
        <f t="shared" ref="AC28:AC37" si="22">SUM(AB28-AB27)</f>
        <v>163</v>
      </c>
      <c r="AD28" s="628">
        <v>219832</v>
      </c>
      <c r="AE28" s="159">
        <f t="shared" si="20"/>
        <v>23</v>
      </c>
      <c r="AF28" s="653">
        <f>'Lpg (2)'!B32*2000/85</f>
        <v>2000</v>
      </c>
      <c r="AG28" s="236">
        <f>'Lpg (2)'!C32*1000/85</f>
        <v>0</v>
      </c>
      <c r="AH28" s="666">
        <f>'Lpg (2)'!D32*1000/85</f>
        <v>58.823529411764703</v>
      </c>
      <c r="AI28" s="656">
        <f t="shared" si="19"/>
        <v>4058823.5294117648</v>
      </c>
      <c r="AJ28" s="388">
        <f t="shared" si="4"/>
        <v>47058.823529411573</v>
      </c>
      <c r="AK28" s="117"/>
    </row>
    <row r="29" spans="1:37" ht="18.75" x14ac:dyDescent="0.3">
      <c r="A29" s="687">
        <f>Gen!A34</f>
        <v>44401</v>
      </c>
      <c r="B29" s="385">
        <f>'Summery Report'!E28</f>
        <v>0</v>
      </c>
      <c r="C29" s="692">
        <f>Gen!B34</f>
        <v>0.247</v>
      </c>
      <c r="D29" s="654">
        <f>'Summery Report'!E28</f>
        <v>0</v>
      </c>
      <c r="E29" s="654">
        <f t="shared" si="13"/>
        <v>1.3262195121951219</v>
      </c>
      <c r="F29" s="397" t="e">
        <f t="shared" si="14"/>
        <v>#DIV/0!</v>
      </c>
      <c r="G29" s="397" t="e">
        <f t="shared" si="0"/>
        <v>#DIV/0!</v>
      </c>
      <c r="H29" s="654">
        <f>Gen!C34</f>
        <v>16320.549999999985</v>
      </c>
      <c r="I29" s="654">
        <f>Gen!E34</f>
        <v>15000</v>
      </c>
      <c r="J29" s="693">
        <f>Gen!T34</f>
        <v>4879</v>
      </c>
      <c r="K29" s="698">
        <f>Gen!AK34</f>
        <v>0</v>
      </c>
      <c r="L29" s="689">
        <f t="shared" si="18"/>
        <v>4879</v>
      </c>
      <c r="M29" s="407">
        <f>'Water-Meter'!K69</f>
        <v>397.53680658895098</v>
      </c>
      <c r="N29" s="649">
        <f>'Water-Meter'!E29</f>
        <v>106</v>
      </c>
      <c r="O29" s="641"/>
      <c r="P29" s="839">
        <v>19038</v>
      </c>
      <c r="Q29" s="659">
        <f t="shared" si="2"/>
        <v>0</v>
      </c>
      <c r="R29" s="386">
        <f t="shared" si="5"/>
        <v>0</v>
      </c>
      <c r="S29" s="636">
        <v>7.1</v>
      </c>
      <c r="T29" s="637">
        <v>18639</v>
      </c>
      <c r="U29" s="659">
        <f t="shared" si="6"/>
        <v>0</v>
      </c>
      <c r="V29" s="387">
        <f t="shared" si="21"/>
        <v>0</v>
      </c>
      <c r="W29" s="641">
        <v>1.5</v>
      </c>
      <c r="X29" s="642">
        <v>28891</v>
      </c>
      <c r="Y29" s="659">
        <f t="shared" si="8"/>
        <v>0</v>
      </c>
      <c r="Z29" s="640">
        <f t="shared" si="9"/>
        <v>0</v>
      </c>
      <c r="AA29" s="647">
        <f t="shared" si="10"/>
        <v>0</v>
      </c>
      <c r="AB29" s="644">
        <v>7115</v>
      </c>
      <c r="AC29" s="625">
        <f t="shared" si="22"/>
        <v>0</v>
      </c>
      <c r="AD29" s="628">
        <v>219899</v>
      </c>
      <c r="AE29" s="159">
        <f t="shared" si="20"/>
        <v>67</v>
      </c>
      <c r="AF29" s="653">
        <f>'Lpg (2)'!B33*2000/85</f>
        <v>2000</v>
      </c>
      <c r="AG29" s="236">
        <f>'Lpg (2)'!C33*1000/85</f>
        <v>0</v>
      </c>
      <c r="AH29" s="666">
        <f>'Lpg (2)'!D33*1000/85</f>
        <v>23.529411764705884</v>
      </c>
      <c r="AI29" s="656">
        <f t="shared" si="19"/>
        <v>4023529.411764706</v>
      </c>
      <c r="AJ29" s="388">
        <f t="shared" si="4"/>
        <v>35294.117647058796</v>
      </c>
      <c r="AK29" s="117"/>
    </row>
    <row r="30" spans="1:37" ht="18.75" x14ac:dyDescent="0.3">
      <c r="A30" s="687">
        <f>Gen!A35</f>
        <v>44402</v>
      </c>
      <c r="B30" s="385">
        <f>'Summery Report'!E29</f>
        <v>0</v>
      </c>
      <c r="C30" s="692">
        <f>Gen!B35</f>
        <v>0.20799999999999999</v>
      </c>
      <c r="D30" s="654">
        <f>'Summery Report'!E29</f>
        <v>0</v>
      </c>
      <c r="E30" s="654">
        <f t="shared" si="13"/>
        <v>1.3262195121951219</v>
      </c>
      <c r="F30" s="397" t="e">
        <f t="shared" si="14"/>
        <v>#DIV/0!</v>
      </c>
      <c r="G30" s="397" t="e">
        <f t="shared" si="0"/>
        <v>#DIV/0!</v>
      </c>
      <c r="H30" s="654">
        <f>Gen!C35</f>
        <v>28862.839999999986</v>
      </c>
      <c r="I30" s="654">
        <f>Gen!E35</f>
        <v>0</v>
      </c>
      <c r="J30" s="693">
        <f>Gen!T35</f>
        <v>4599</v>
      </c>
      <c r="K30" s="698">
        <f>Gen!AK35</f>
        <v>0</v>
      </c>
      <c r="L30" s="689">
        <f t="shared" si="18"/>
        <v>4599</v>
      </c>
      <c r="M30" s="407">
        <f>'Water-Meter'!K70</f>
        <v>426.45072392188558</v>
      </c>
      <c r="N30" s="649">
        <f>'Water-Meter'!E30</f>
        <v>106</v>
      </c>
      <c r="O30" s="641"/>
      <c r="P30" s="839">
        <v>19038</v>
      </c>
      <c r="Q30" s="659">
        <f t="shared" si="2"/>
        <v>0</v>
      </c>
      <c r="R30" s="386">
        <f t="shared" si="5"/>
        <v>0</v>
      </c>
      <c r="S30" s="636">
        <v>7.1</v>
      </c>
      <c r="T30" s="637">
        <v>18647</v>
      </c>
      <c r="U30" s="659">
        <f t="shared" si="6"/>
        <v>8</v>
      </c>
      <c r="V30" s="387">
        <f t="shared" si="21"/>
        <v>56.8</v>
      </c>
      <c r="W30" s="636">
        <v>1.5</v>
      </c>
      <c r="X30" s="642">
        <v>28891</v>
      </c>
      <c r="Y30" s="659">
        <f t="shared" si="8"/>
        <v>0</v>
      </c>
      <c r="Z30" s="640">
        <f t="shared" si="9"/>
        <v>0</v>
      </c>
      <c r="AA30" s="647">
        <f t="shared" si="10"/>
        <v>0</v>
      </c>
      <c r="AB30" s="644">
        <v>7196</v>
      </c>
      <c r="AC30" s="625">
        <f t="shared" si="22"/>
        <v>81</v>
      </c>
      <c r="AD30" s="628">
        <v>219963</v>
      </c>
      <c r="AE30" s="159">
        <f t="shared" si="20"/>
        <v>64</v>
      </c>
      <c r="AF30" s="653">
        <f>'Lpg (2)'!B34*2000/85</f>
        <v>2000</v>
      </c>
      <c r="AG30" s="236">
        <f>'Lpg (2)'!C34*1000/85</f>
        <v>0</v>
      </c>
      <c r="AH30" s="666">
        <f>'Lpg (2)'!D34*1000/85</f>
        <v>11.764705882352942</v>
      </c>
      <c r="AI30" s="656">
        <f t="shared" si="19"/>
        <v>4011764.7058823528</v>
      </c>
      <c r="AJ30" s="388">
        <f t="shared" si="4"/>
        <v>11764.705882353242</v>
      </c>
      <c r="AK30" s="117"/>
    </row>
    <row r="31" spans="1:37" ht="18.75" x14ac:dyDescent="0.3">
      <c r="A31" s="687">
        <f>Gen!A36</f>
        <v>44403</v>
      </c>
      <c r="B31" s="385">
        <f>'Summery Report'!E30</f>
        <v>0</v>
      </c>
      <c r="C31" s="692">
        <f>Gen!B36</f>
        <v>0.156</v>
      </c>
      <c r="D31" s="654">
        <f>'Summery Report'!E30</f>
        <v>0</v>
      </c>
      <c r="E31" s="654">
        <f t="shared" si="13"/>
        <v>1.3262195121951219</v>
      </c>
      <c r="F31" s="397" t="e">
        <f t="shared" si="14"/>
        <v>#DIV/0!</v>
      </c>
      <c r="G31" s="397" t="e">
        <f t="shared" si="0"/>
        <v>#DIV/0!</v>
      </c>
      <c r="H31" s="654">
        <f>Gen!C36</f>
        <v>26733.959999999985</v>
      </c>
      <c r="I31" s="654">
        <f>Gen!E36</f>
        <v>0</v>
      </c>
      <c r="J31" s="693">
        <f>Gen!T36</f>
        <v>4415</v>
      </c>
      <c r="K31" s="698">
        <f>Gen!AK36</f>
        <v>0</v>
      </c>
      <c r="L31" s="689">
        <f t="shared" si="18"/>
        <v>4415</v>
      </c>
      <c r="M31" s="407">
        <f>'Water-Meter'!K71</f>
        <v>473.6484924732988</v>
      </c>
      <c r="N31" s="649">
        <f>'Water-Meter'!E31</f>
        <v>96</v>
      </c>
      <c r="O31" s="641"/>
      <c r="P31" s="839">
        <v>19038</v>
      </c>
      <c r="Q31" s="659">
        <f t="shared" si="2"/>
        <v>0</v>
      </c>
      <c r="R31" s="386">
        <f t="shared" si="5"/>
        <v>0</v>
      </c>
      <c r="S31" s="636">
        <v>7.1</v>
      </c>
      <c r="T31" s="637">
        <v>18651</v>
      </c>
      <c r="U31" s="659">
        <f t="shared" si="6"/>
        <v>4</v>
      </c>
      <c r="V31" s="387">
        <f t="shared" si="21"/>
        <v>28.4</v>
      </c>
      <c r="W31" s="636">
        <v>1.5</v>
      </c>
      <c r="X31" s="642">
        <v>28891</v>
      </c>
      <c r="Y31" s="659">
        <f t="shared" si="8"/>
        <v>0</v>
      </c>
      <c r="Z31" s="640">
        <f t="shared" si="9"/>
        <v>0</v>
      </c>
      <c r="AA31" s="647">
        <f t="shared" si="10"/>
        <v>0</v>
      </c>
      <c r="AB31" s="644">
        <v>7221</v>
      </c>
      <c r="AC31" s="625">
        <f t="shared" si="22"/>
        <v>25</v>
      </c>
      <c r="AD31" s="628">
        <v>220021</v>
      </c>
      <c r="AE31" s="159">
        <f t="shared" si="20"/>
        <v>58</v>
      </c>
      <c r="AF31" s="653">
        <f>'Lpg (2)'!B35*2000/85</f>
        <v>2000</v>
      </c>
      <c r="AG31" s="236">
        <f>'Lpg (2)'!C35*1000/85</f>
        <v>0</v>
      </c>
      <c r="AH31" s="666">
        <f>'Lpg (2)'!D35*1000/85</f>
        <v>11.764705882352942</v>
      </c>
      <c r="AI31" s="656">
        <f t="shared" si="19"/>
        <v>4011764.7058823528</v>
      </c>
      <c r="AJ31" s="388">
        <f t="shared" si="4"/>
        <v>0</v>
      </c>
      <c r="AK31" s="117"/>
    </row>
    <row r="32" spans="1:37" ht="18.75" x14ac:dyDescent="0.3">
      <c r="A32" s="687">
        <f>Gen!A37</f>
        <v>44404</v>
      </c>
      <c r="B32" s="385">
        <f>'Summery Report'!E31</f>
        <v>0</v>
      </c>
      <c r="C32" s="692">
        <f>Gen!B37</f>
        <v>0.29899999999999999</v>
      </c>
      <c r="D32" s="654">
        <f>'Summery Report'!E31</f>
        <v>0</v>
      </c>
      <c r="E32" s="654">
        <f t="shared" si="13"/>
        <v>1.3262195121951219</v>
      </c>
      <c r="F32" s="397" t="e">
        <f t="shared" si="14"/>
        <v>#DIV/0!</v>
      </c>
      <c r="G32" s="397" t="e">
        <f t="shared" si="0"/>
        <v>#DIV/0!</v>
      </c>
      <c r="H32" s="654">
        <f>Gen!C37</f>
        <v>24774.239999999983</v>
      </c>
      <c r="I32" s="654">
        <f>Gen!E37</f>
        <v>18000</v>
      </c>
      <c r="J32" s="693">
        <f>Gen!T37</f>
        <v>4607</v>
      </c>
      <c r="K32" s="698">
        <f>Gen!AK37</f>
        <v>0</v>
      </c>
      <c r="L32" s="689">
        <f t="shared" si="18"/>
        <v>4607</v>
      </c>
      <c r="M32" s="407">
        <f>'Water-Meter'!K72</f>
        <v>541.97525701552365</v>
      </c>
      <c r="N32" s="649">
        <f>'Water-Meter'!E32</f>
        <v>103</v>
      </c>
      <c r="O32" s="641"/>
      <c r="P32" s="839">
        <v>19038</v>
      </c>
      <c r="Q32" s="659">
        <f t="shared" si="2"/>
        <v>0</v>
      </c>
      <c r="R32" s="386">
        <f t="shared" si="5"/>
        <v>0</v>
      </c>
      <c r="S32" s="636">
        <v>7.1</v>
      </c>
      <c r="T32" s="637">
        <v>18651</v>
      </c>
      <c r="U32" s="659">
        <f t="shared" si="6"/>
        <v>0</v>
      </c>
      <c r="V32" s="387">
        <f t="shared" si="21"/>
        <v>0</v>
      </c>
      <c r="W32" s="636">
        <v>1.5</v>
      </c>
      <c r="X32" s="642">
        <v>28891</v>
      </c>
      <c r="Y32" s="659">
        <f t="shared" si="8"/>
        <v>0</v>
      </c>
      <c r="Z32" s="640">
        <f t="shared" si="9"/>
        <v>0</v>
      </c>
      <c r="AA32" s="647">
        <f t="shared" si="10"/>
        <v>0</v>
      </c>
      <c r="AB32" s="644">
        <v>7314</v>
      </c>
      <c r="AC32" s="625">
        <f t="shared" si="22"/>
        <v>93</v>
      </c>
      <c r="AD32" s="628">
        <v>220068</v>
      </c>
      <c r="AE32" s="159">
        <f t="shared" si="20"/>
        <v>47</v>
      </c>
      <c r="AF32" s="653">
        <f>'Lpg (2)'!B36*2000/85</f>
        <v>2000</v>
      </c>
      <c r="AG32" s="236">
        <f>'Lpg (2)'!C36*1000/85</f>
        <v>0</v>
      </c>
      <c r="AH32" s="666">
        <f>'Lpg (2)'!D36*1000/85</f>
        <v>0</v>
      </c>
      <c r="AI32" s="656">
        <f t="shared" si="19"/>
        <v>4000000</v>
      </c>
      <c r="AJ32" s="388">
        <f t="shared" si="4"/>
        <v>11764.705882352777</v>
      </c>
      <c r="AK32" s="117"/>
    </row>
    <row r="33" spans="1:37" ht="18.75" x14ac:dyDescent="0.3">
      <c r="A33" s="687">
        <f>Gen!A38</f>
        <v>44405</v>
      </c>
      <c r="B33" s="385">
        <f>'Summery Report'!E32</f>
        <v>0</v>
      </c>
      <c r="C33" s="692">
        <f>Gen!B38</f>
        <v>0.46800000000000003</v>
      </c>
      <c r="D33" s="654">
        <f>'Summery Report'!E32</f>
        <v>0</v>
      </c>
      <c r="E33" s="654">
        <f t="shared" si="13"/>
        <v>1.3262195121951219</v>
      </c>
      <c r="F33" s="397" t="e">
        <f t="shared" si="14"/>
        <v>#DIV/0!</v>
      </c>
      <c r="G33" s="397" t="e">
        <f t="shared" si="0"/>
        <v>#DIV/0!</v>
      </c>
      <c r="H33" s="654">
        <f>Gen!C38</f>
        <v>37361.059999999983</v>
      </c>
      <c r="I33" s="654">
        <f>Gen!E38</f>
        <v>0</v>
      </c>
      <c r="J33" s="693">
        <f>Gen!T38</f>
        <v>4642</v>
      </c>
      <c r="K33" s="698">
        <f>Gen!AK38</f>
        <v>0</v>
      </c>
      <c r="L33" s="689">
        <f t="shared" si="18"/>
        <v>4642</v>
      </c>
      <c r="M33" s="407">
        <f>'Water-Meter'!K73</f>
        <v>570.54013022033394</v>
      </c>
      <c r="N33" s="649">
        <f>'Water-Meter'!E33</f>
        <v>115</v>
      </c>
      <c r="O33" s="641"/>
      <c r="P33" s="839">
        <v>19038</v>
      </c>
      <c r="Q33" s="659">
        <f t="shared" si="2"/>
        <v>0</v>
      </c>
      <c r="R33" s="386">
        <f t="shared" si="5"/>
        <v>0</v>
      </c>
      <c r="S33" s="636">
        <v>7.1</v>
      </c>
      <c r="T33" s="637">
        <v>18661</v>
      </c>
      <c r="U33" s="659">
        <f t="shared" si="6"/>
        <v>10</v>
      </c>
      <c r="V33" s="387">
        <f t="shared" si="21"/>
        <v>71</v>
      </c>
      <c r="W33" s="636">
        <v>1.5</v>
      </c>
      <c r="X33" s="642">
        <v>28891</v>
      </c>
      <c r="Y33" s="659">
        <f t="shared" si="8"/>
        <v>0</v>
      </c>
      <c r="Z33" s="640">
        <f t="shared" si="9"/>
        <v>0</v>
      </c>
      <c r="AA33" s="647">
        <f t="shared" si="10"/>
        <v>0</v>
      </c>
      <c r="AB33" s="644">
        <v>7475</v>
      </c>
      <c r="AC33" s="625">
        <f t="shared" si="22"/>
        <v>161</v>
      </c>
      <c r="AD33" s="628">
        <v>220121</v>
      </c>
      <c r="AE33" s="159">
        <f t="shared" si="20"/>
        <v>53</v>
      </c>
      <c r="AF33" s="653">
        <f>'Lpg (2)'!B37*2000/85</f>
        <v>2000</v>
      </c>
      <c r="AG33" s="236">
        <f>'Lpg (2)'!C37*1000/85</f>
        <v>0</v>
      </c>
      <c r="AH33" s="666">
        <f>'Lpg (2)'!D37*1000/85</f>
        <v>0</v>
      </c>
      <c r="AI33" s="656">
        <f t="shared" si="19"/>
        <v>4000000</v>
      </c>
      <c r="AJ33" s="388">
        <f t="shared" si="4"/>
        <v>0</v>
      </c>
      <c r="AK33" s="117"/>
    </row>
    <row r="34" spans="1:37" ht="18.75" x14ac:dyDescent="0.3">
      <c r="A34" s="687">
        <f>Gen!A39</f>
        <v>44406</v>
      </c>
      <c r="B34" s="385">
        <f>'Summery Report'!E33</f>
        <v>0</v>
      </c>
      <c r="C34" s="692">
        <f>Gen!B39</f>
        <v>0.51</v>
      </c>
      <c r="D34" s="654">
        <f>'Summery Report'!E33</f>
        <v>0</v>
      </c>
      <c r="E34" s="654">
        <f t="shared" si="13"/>
        <v>1.3262195121951219</v>
      </c>
      <c r="F34" s="397" t="e">
        <f t="shared" si="14"/>
        <v>#DIV/0!</v>
      </c>
      <c r="G34" s="397" t="e">
        <f t="shared" si="0"/>
        <v>#DIV/0!</v>
      </c>
      <c r="H34" s="654">
        <f>Gen!C39</f>
        <v>35516.969999999987</v>
      </c>
      <c r="I34" s="654">
        <f>Gen!E39</f>
        <v>0</v>
      </c>
      <c r="J34" s="693">
        <f>Gen!T39</f>
        <v>3985</v>
      </c>
      <c r="K34" s="698">
        <f>Gen!AK39</f>
        <v>0</v>
      </c>
      <c r="L34" s="689">
        <f t="shared" si="18"/>
        <v>3985</v>
      </c>
      <c r="M34" s="407">
        <f>'Water-Meter'!K74</f>
        <v>431.57864416540525</v>
      </c>
      <c r="N34" s="649">
        <f>'Water-Meter'!E34</f>
        <v>111</v>
      </c>
      <c r="O34" s="641"/>
      <c r="P34" s="839">
        <v>19038</v>
      </c>
      <c r="Q34" s="659">
        <f t="shared" si="2"/>
        <v>0</v>
      </c>
      <c r="R34" s="386">
        <f t="shared" si="5"/>
        <v>0</v>
      </c>
      <c r="S34" s="636">
        <v>7.1</v>
      </c>
      <c r="T34" s="637">
        <v>18680</v>
      </c>
      <c r="U34" s="659">
        <f t="shared" si="6"/>
        <v>19</v>
      </c>
      <c r="V34" s="387">
        <f t="shared" si="21"/>
        <v>134.9</v>
      </c>
      <c r="W34" s="636">
        <v>1.5</v>
      </c>
      <c r="X34" s="642">
        <v>28891</v>
      </c>
      <c r="Y34" s="659">
        <f t="shared" si="8"/>
        <v>0</v>
      </c>
      <c r="Z34" s="640">
        <f t="shared" si="9"/>
        <v>0</v>
      </c>
      <c r="AA34" s="647">
        <f t="shared" si="10"/>
        <v>0</v>
      </c>
      <c r="AB34" s="644">
        <v>7584</v>
      </c>
      <c r="AC34" s="625">
        <f t="shared" si="22"/>
        <v>109</v>
      </c>
      <c r="AD34" s="628">
        <v>220172</v>
      </c>
      <c r="AE34" s="159">
        <f t="shared" si="20"/>
        <v>51</v>
      </c>
      <c r="AF34" s="653">
        <f>'Lpg (2)'!B38*2000/85</f>
        <v>1976.4705882352941</v>
      </c>
      <c r="AG34" s="236">
        <f>'Lpg (2)'!C38*1000/85</f>
        <v>0</v>
      </c>
      <c r="AH34" s="666">
        <f>'Lpg (2)'!D38*1000/85</f>
        <v>0</v>
      </c>
      <c r="AI34" s="656">
        <f t="shared" si="19"/>
        <v>3952941.1764705884</v>
      </c>
      <c r="AJ34" s="388">
        <f t="shared" si="4"/>
        <v>47058.823529411573</v>
      </c>
      <c r="AK34" s="117"/>
    </row>
    <row r="35" spans="1:37" ht="18.75" x14ac:dyDescent="0.3">
      <c r="A35" s="687">
        <f>Gen!A40</f>
        <v>44407</v>
      </c>
      <c r="B35" s="385">
        <f>'Summery Report'!E34</f>
        <v>0</v>
      </c>
      <c r="C35" s="692">
        <f>Gen!B40</f>
        <v>0.38</v>
      </c>
      <c r="D35" s="654">
        <f>'Summery Report'!E34</f>
        <v>0</v>
      </c>
      <c r="E35" s="654">
        <f t="shared" si="13"/>
        <v>1.3262195121951219</v>
      </c>
      <c r="F35" s="397" t="e">
        <f t="shared" si="14"/>
        <v>#DIV/0!</v>
      </c>
      <c r="G35" s="397" t="e">
        <f t="shared" si="0"/>
        <v>#DIV/0!</v>
      </c>
      <c r="H35" s="654">
        <f>Gen!C40</f>
        <v>33277.959999999985</v>
      </c>
      <c r="I35" s="654">
        <f>Gen!E40</f>
        <v>0</v>
      </c>
      <c r="J35" s="693">
        <f>Gen!T40</f>
        <v>4484</v>
      </c>
      <c r="K35" s="698">
        <f>Gen!AK40</f>
        <v>0</v>
      </c>
      <c r="L35" s="689">
        <f t="shared" si="18"/>
        <v>4484</v>
      </c>
      <c r="M35" s="407">
        <f>'Water-Meter'!K75</f>
        <v>452.7441094745401</v>
      </c>
      <c r="N35" s="649">
        <f>'Water-Meter'!E35</f>
        <v>105</v>
      </c>
      <c r="O35" s="641"/>
      <c r="P35" s="839">
        <v>19038</v>
      </c>
      <c r="Q35" s="659">
        <f t="shared" si="2"/>
        <v>0</v>
      </c>
      <c r="R35" s="386">
        <f t="shared" si="5"/>
        <v>0</v>
      </c>
      <c r="S35" s="636">
        <v>7.1</v>
      </c>
      <c r="T35" s="637">
        <v>18680</v>
      </c>
      <c r="U35" s="659">
        <f t="shared" si="6"/>
        <v>0</v>
      </c>
      <c r="V35" s="387">
        <f t="shared" si="21"/>
        <v>0</v>
      </c>
      <c r="W35" s="636">
        <v>1.5</v>
      </c>
      <c r="X35" s="642">
        <v>28891</v>
      </c>
      <c r="Y35" s="659">
        <f t="shared" si="8"/>
        <v>0</v>
      </c>
      <c r="Z35" s="640">
        <f t="shared" si="9"/>
        <v>0</v>
      </c>
      <c r="AA35" s="647">
        <f t="shared" si="10"/>
        <v>0</v>
      </c>
      <c r="AB35" s="644">
        <v>7648</v>
      </c>
      <c r="AC35" s="625">
        <f t="shared" si="22"/>
        <v>64</v>
      </c>
      <c r="AD35" s="628">
        <v>220219</v>
      </c>
      <c r="AE35" s="159">
        <f t="shared" si="20"/>
        <v>47</v>
      </c>
      <c r="AF35" s="653">
        <f>'Lpg (2)'!B39*2000/85</f>
        <v>1882.3529411764705</v>
      </c>
      <c r="AG35" s="236">
        <f>'Lpg (2)'!C39*1000/85</f>
        <v>0</v>
      </c>
      <c r="AH35" s="666">
        <f>'Lpg (2)'!D39*1000/85</f>
        <v>0</v>
      </c>
      <c r="AI35" s="656">
        <f t="shared" si="19"/>
        <v>3764705.8823529412</v>
      </c>
      <c r="AJ35" s="388">
        <f t="shared" si="4"/>
        <v>188235.29411764722</v>
      </c>
      <c r="AK35" s="117"/>
    </row>
    <row r="36" spans="1:37" ht="18.75" x14ac:dyDescent="0.3">
      <c r="A36" s="687">
        <f>Gen!A41</f>
        <v>44408</v>
      </c>
      <c r="B36" s="385">
        <f>'Summery Report'!E35</f>
        <v>0</v>
      </c>
      <c r="C36" s="692">
        <f>Gen!B41</f>
        <v>0.15</v>
      </c>
      <c r="D36" s="654">
        <f>'Summery Report'!E35</f>
        <v>0</v>
      </c>
      <c r="E36" s="654">
        <f t="shared" si="13"/>
        <v>1.3262195121951219</v>
      </c>
      <c r="F36" s="397" t="e">
        <f t="shared" si="14"/>
        <v>#DIV/0!</v>
      </c>
      <c r="G36" s="397" t="e">
        <f t="shared" si="0"/>
        <v>#DIV/0!</v>
      </c>
      <c r="H36" s="654">
        <f>Gen!C41</f>
        <v>31086.389999999985</v>
      </c>
      <c r="I36" s="654">
        <f>Gen!E41</f>
        <v>0</v>
      </c>
      <c r="J36" s="693">
        <f>Gen!T41</f>
        <v>4015</v>
      </c>
      <c r="K36" s="698">
        <f>Gen!AK41</f>
        <v>0</v>
      </c>
      <c r="L36" s="689">
        <f t="shared" si="18"/>
        <v>4015</v>
      </c>
      <c r="M36" s="407">
        <f>'Water-Meter'!K76</f>
        <v>528.06941655627827</v>
      </c>
      <c r="N36" s="649">
        <f>'Water-Meter'!E36</f>
        <v>99</v>
      </c>
      <c r="O36" s="641"/>
      <c r="P36" s="839">
        <v>19038</v>
      </c>
      <c r="Q36" s="659">
        <f t="shared" si="2"/>
        <v>0</v>
      </c>
      <c r="R36" s="386">
        <f t="shared" si="5"/>
        <v>0</v>
      </c>
      <c r="S36" s="636">
        <v>7.1</v>
      </c>
      <c r="T36" s="637">
        <v>18688</v>
      </c>
      <c r="U36" s="659">
        <f t="shared" si="6"/>
        <v>8</v>
      </c>
      <c r="V36" s="387">
        <f t="shared" si="21"/>
        <v>56.8</v>
      </c>
      <c r="W36" s="636">
        <v>1.5</v>
      </c>
      <c r="X36" s="642">
        <v>28891</v>
      </c>
      <c r="Y36" s="659">
        <f t="shared" si="8"/>
        <v>0</v>
      </c>
      <c r="Z36" s="640">
        <f t="shared" si="9"/>
        <v>0</v>
      </c>
      <c r="AA36" s="647">
        <f t="shared" si="10"/>
        <v>0</v>
      </c>
      <c r="AB36" s="644">
        <v>7713</v>
      </c>
      <c r="AC36" s="625">
        <f t="shared" si="22"/>
        <v>65</v>
      </c>
      <c r="AD36" s="628">
        <v>220269</v>
      </c>
      <c r="AE36" s="159">
        <f t="shared" si="20"/>
        <v>50</v>
      </c>
      <c r="AF36" s="653">
        <f>'Lpg (2)'!B40*2000/85</f>
        <v>1788.2352941176471</v>
      </c>
      <c r="AG36" s="236">
        <f>'Lpg (2)'!C40*1000/85</f>
        <v>0</v>
      </c>
      <c r="AH36" s="666">
        <f>'Lpg (2)'!D40*1000/85</f>
        <v>0</v>
      </c>
      <c r="AI36" s="656">
        <f>SUM(AF36*1000)+(AG36*1000)+(AH36*2000)</f>
        <v>1788235.294117647</v>
      </c>
      <c r="AJ36" s="388">
        <f t="shared" si="4"/>
        <v>1976470.5882352942</v>
      </c>
      <c r="AK36" s="117"/>
    </row>
    <row r="37" spans="1:37" s="8" customFormat="1" ht="18" thickBot="1" x14ac:dyDescent="0.35">
      <c r="A37" s="688">
        <f>Gen!A42</f>
        <v>0</v>
      </c>
      <c r="B37" s="699">
        <v>0</v>
      </c>
      <c r="C37" s="700"/>
      <c r="D37" s="700"/>
      <c r="E37" s="700"/>
      <c r="F37" s="700"/>
      <c r="G37" s="700"/>
      <c r="H37" s="701"/>
      <c r="I37" s="702"/>
      <c r="J37" s="703">
        <f>SUM(J6:J36)</f>
        <v>136678</v>
      </c>
      <c r="K37" s="704"/>
      <c r="L37" s="690">
        <f t="shared" si="18"/>
        <v>136678</v>
      </c>
      <c r="M37" s="407">
        <f>'Water-Meter'!K77</f>
        <v>0</v>
      </c>
      <c r="N37" s="650" t="str">
        <f>'Water-Meter'!E37</f>
        <v>0</v>
      </c>
      <c r="O37" s="638"/>
      <c r="P37" s="639"/>
      <c r="Q37" s="660">
        <f t="shared" ref="Q37" si="23">SUM(P37-P36)</f>
        <v>-19038</v>
      </c>
      <c r="R37" s="661">
        <f t="shared" ref="R37" si="24">SUM(Q37*O37)</f>
        <v>0</v>
      </c>
      <c r="S37" s="638"/>
      <c r="T37" s="639"/>
      <c r="U37" s="660">
        <f t="shared" ref="U37" si="25">T37-T36</f>
        <v>-18688</v>
      </c>
      <c r="V37" s="662">
        <f t="shared" ref="V37" si="26">SUM(U37*S37)</f>
        <v>0</v>
      </c>
      <c r="W37" s="638"/>
      <c r="X37" s="639"/>
      <c r="Y37" s="660">
        <f t="shared" ref="Y37" si="27">X37-X36</f>
        <v>-28891</v>
      </c>
      <c r="Z37" s="663">
        <f t="shared" ref="Z37" si="28">SUM(Y37*W37)</f>
        <v>0</v>
      </c>
      <c r="AA37" s="664">
        <f t="shared" ref="AA37" si="29">SUM(Z37*X39)</f>
        <v>0</v>
      </c>
      <c r="AB37" s="633"/>
      <c r="AC37" s="626">
        <f t="shared" si="22"/>
        <v>-7713</v>
      </c>
      <c r="AD37" s="629"/>
      <c r="AE37" s="634">
        <f t="shared" si="20"/>
        <v>-220269</v>
      </c>
      <c r="AF37" s="667">
        <f>'Lpg (2)'!B41*2000/85</f>
        <v>0</v>
      </c>
      <c r="AG37" s="668">
        <f>'Lpg (2)'!C41*1000/85</f>
        <v>0</v>
      </c>
      <c r="AH37" s="669">
        <f>'Lpg (2)'!D41*1000/85</f>
        <v>0</v>
      </c>
      <c r="AI37" s="657"/>
      <c r="AJ37" s="389">
        <f t="shared" ref="AJ37" si="30">SUM(AI36-AI37)</f>
        <v>1788235.294117647</v>
      </c>
      <c r="AK37" s="118"/>
    </row>
    <row r="38" spans="1:37" x14ac:dyDescent="0.2">
      <c r="A38" s="247"/>
      <c r="B38" s="248"/>
      <c r="C38" s="249"/>
      <c r="D38" s="249"/>
      <c r="E38" s="249"/>
      <c r="F38" s="249"/>
      <c r="G38" s="249"/>
      <c r="H38" s="248"/>
      <c r="I38" s="248"/>
      <c r="J38" s="250"/>
      <c r="K38" s="250"/>
      <c r="L38" s="250"/>
      <c r="M38" s="251"/>
      <c r="N38" s="251"/>
      <c r="O38" s="251"/>
      <c r="P38" s="251"/>
      <c r="Q38" s="251"/>
      <c r="R38" s="251"/>
      <c r="S38" s="251"/>
      <c r="T38" s="251"/>
      <c r="U38" s="251"/>
      <c r="V38" s="251"/>
      <c r="W38" s="251"/>
      <c r="AA38" s="114"/>
      <c r="AB38" s="114"/>
      <c r="AC38" s="115"/>
      <c r="AD38" s="114"/>
      <c r="AE38" s="115"/>
      <c r="AI38" s="114"/>
      <c r="AJ38" s="114"/>
    </row>
    <row r="39" spans="1:37" x14ac:dyDescent="0.2">
      <c r="C39" s="115"/>
      <c r="J39" s="115"/>
      <c r="X39" s="115"/>
      <c r="AF39" s="115"/>
      <c r="AH39" s="114"/>
    </row>
    <row r="40" spans="1:37" ht="30.75" customHeight="1" x14ac:dyDescent="0.2">
      <c r="C40" s="115"/>
      <c r="J40" s="115"/>
      <c r="X40" s="115"/>
    </row>
    <row r="41" spans="1:37" x14ac:dyDescent="0.2">
      <c r="C41" s="115"/>
      <c r="J41" s="115"/>
    </row>
    <row r="42" spans="1:37" x14ac:dyDescent="0.2">
      <c r="C42" s="115"/>
      <c r="J42" s="115"/>
    </row>
    <row r="43" spans="1:37" ht="15" x14ac:dyDescent="0.25">
      <c r="C43" s="115"/>
      <c r="J43" s="115"/>
      <c r="X43" s="390"/>
    </row>
    <row r="44" spans="1:37" ht="15" x14ac:dyDescent="0.25">
      <c r="C44" s="115"/>
      <c r="J44" s="115"/>
      <c r="X44" s="391"/>
    </row>
    <row r="45" spans="1:37" ht="15" x14ac:dyDescent="0.25">
      <c r="C45" s="115"/>
      <c r="J45" s="115"/>
      <c r="X45" s="390"/>
    </row>
    <row r="46" spans="1:37" ht="15" x14ac:dyDescent="0.25">
      <c r="C46" s="115"/>
      <c r="J46" s="115"/>
      <c r="X46" s="391"/>
    </row>
    <row r="47" spans="1:37" x14ac:dyDescent="0.2">
      <c r="C47" s="115"/>
      <c r="J47" s="115"/>
    </row>
    <row r="48" spans="1:37" x14ac:dyDescent="0.2">
      <c r="C48" s="115"/>
      <c r="J48" s="115"/>
    </row>
    <row r="49" spans="3:10" x14ac:dyDescent="0.2">
      <c r="C49" s="115"/>
      <c r="J49" s="115"/>
    </row>
    <row r="50" spans="3:10" x14ac:dyDescent="0.2">
      <c r="C50" s="115"/>
      <c r="J50" s="115"/>
    </row>
    <row r="51" spans="3:10" x14ac:dyDescent="0.2">
      <c r="C51" s="115"/>
      <c r="J51" s="115"/>
    </row>
    <row r="52" spans="3:10" x14ac:dyDescent="0.2">
      <c r="C52" s="115"/>
      <c r="J52" s="115"/>
    </row>
    <row r="53" spans="3:10" x14ac:dyDescent="0.2">
      <c r="C53" s="115"/>
      <c r="J53" s="115"/>
    </row>
    <row r="54" spans="3:10" x14ac:dyDescent="0.2">
      <c r="C54" s="115"/>
      <c r="J54" s="115"/>
    </row>
    <row r="55" spans="3:10" x14ac:dyDescent="0.2">
      <c r="C55" s="115"/>
      <c r="J55" s="115"/>
    </row>
    <row r="56" spans="3:10" x14ac:dyDescent="0.2">
      <c r="C56" s="115"/>
      <c r="J56" s="115"/>
    </row>
    <row r="57" spans="3:10" x14ac:dyDescent="0.2">
      <c r="C57" s="115"/>
      <c r="J57" s="115"/>
    </row>
    <row r="58" spans="3:10" x14ac:dyDescent="0.2">
      <c r="C58" s="115"/>
      <c r="J58" s="115"/>
    </row>
    <row r="59" spans="3:10" x14ac:dyDescent="0.2">
      <c r="C59" s="115"/>
      <c r="J59" s="115"/>
    </row>
    <row r="60" spans="3:10" x14ac:dyDescent="0.2">
      <c r="C60" s="115"/>
      <c r="J60" s="115"/>
    </row>
    <row r="61" spans="3:10" x14ac:dyDescent="0.2">
      <c r="C61" s="115"/>
      <c r="J61" s="115"/>
    </row>
    <row r="62" spans="3:10" x14ac:dyDescent="0.2">
      <c r="C62" s="115"/>
      <c r="J62" s="115"/>
    </row>
    <row r="63" spans="3:10" x14ac:dyDescent="0.2">
      <c r="C63" s="115"/>
      <c r="J63" s="115"/>
    </row>
    <row r="64" spans="3:10" x14ac:dyDescent="0.2">
      <c r="C64" s="115"/>
      <c r="J64" s="115"/>
    </row>
    <row r="65" spans="3:24" x14ac:dyDescent="0.2">
      <c r="C65" s="115"/>
      <c r="J65" s="115"/>
    </row>
    <row r="66" spans="3:24" ht="15" x14ac:dyDescent="0.25">
      <c r="C66" s="115"/>
      <c r="J66" s="115"/>
      <c r="X66" s="390"/>
    </row>
    <row r="67" spans="3:24" ht="15" x14ac:dyDescent="0.25">
      <c r="C67" s="115"/>
      <c r="J67" s="115"/>
      <c r="X67" s="392"/>
    </row>
    <row r="68" spans="3:24" ht="15" x14ac:dyDescent="0.25">
      <c r="C68" s="115"/>
      <c r="J68" s="115"/>
      <c r="X68" s="392"/>
    </row>
    <row r="69" spans="3:24" ht="15" x14ac:dyDescent="0.25">
      <c r="C69" s="115"/>
      <c r="J69" s="115"/>
      <c r="X69" s="392"/>
    </row>
    <row r="70" spans="3:24" ht="15" x14ac:dyDescent="0.25">
      <c r="C70" s="115"/>
      <c r="J70" s="115"/>
      <c r="X70" s="392"/>
    </row>
    <row r="71" spans="3:24" ht="15" x14ac:dyDescent="0.25">
      <c r="C71" s="115"/>
      <c r="J71" s="115"/>
      <c r="X71" s="392"/>
    </row>
    <row r="72" spans="3:24" x14ac:dyDescent="0.2">
      <c r="C72" s="115"/>
      <c r="J72" s="115"/>
    </row>
    <row r="73" spans="3:24" x14ac:dyDescent="0.2">
      <c r="C73" s="115"/>
      <c r="J73" s="115"/>
    </row>
    <row r="74" spans="3:24" x14ac:dyDescent="0.2">
      <c r="C74" s="115"/>
      <c r="J74" s="11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B19" zoomScale="70" zoomScaleNormal="70" workbookViewId="0">
      <selection activeCell="D5" sqref="D5"/>
    </sheetView>
  </sheetViews>
  <sheetFormatPr defaultRowHeight="12.75" x14ac:dyDescent="0.2"/>
  <cols>
    <col min="1" max="1" width="9.140625" style="4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 x14ac:dyDescent="0.35">
      <c r="A1" s="861"/>
      <c r="B1" s="884" t="s">
        <v>102</v>
      </c>
      <c r="C1" s="885"/>
      <c r="D1" s="885"/>
      <c r="E1" s="885"/>
      <c r="F1" s="886"/>
      <c r="G1" s="139"/>
      <c r="H1" s="884" t="s">
        <v>103</v>
      </c>
      <c r="I1" s="885"/>
      <c r="J1" s="885"/>
      <c r="K1" s="885"/>
      <c r="L1" s="886"/>
      <c r="M1" s="884" t="s">
        <v>104</v>
      </c>
      <c r="N1" s="885"/>
      <c r="O1" s="885"/>
      <c r="P1" s="885"/>
      <c r="Q1" s="886"/>
      <c r="R1" s="139"/>
      <c r="T1" s="884" t="s">
        <v>105</v>
      </c>
      <c r="U1" s="885"/>
      <c r="V1" s="885"/>
      <c r="W1" s="885"/>
      <c r="X1" s="886"/>
      <c r="Y1" s="884" t="s">
        <v>106</v>
      </c>
      <c r="Z1" s="885"/>
      <c r="AA1" s="885"/>
      <c r="AB1" s="885"/>
      <c r="AC1" s="886"/>
    </row>
    <row r="2" spans="1:29" ht="60.75" thickBot="1" x14ac:dyDescent="0.3">
      <c r="A2" s="527" t="s">
        <v>107</v>
      </c>
      <c r="B2" s="140" t="s">
        <v>108</v>
      </c>
      <c r="C2" s="141" t="s">
        <v>109</v>
      </c>
      <c r="D2" s="142" t="s">
        <v>110</v>
      </c>
      <c r="E2" s="142" t="s">
        <v>111</v>
      </c>
      <c r="F2" s="143" t="s">
        <v>112</v>
      </c>
      <c r="G2" s="144"/>
      <c r="H2" s="140" t="s">
        <v>108</v>
      </c>
      <c r="I2" s="141" t="s">
        <v>109</v>
      </c>
      <c r="J2" s="142" t="s">
        <v>113</v>
      </c>
      <c r="K2" s="142" t="s">
        <v>114</v>
      </c>
      <c r="L2" s="149" t="s">
        <v>115</v>
      </c>
      <c r="M2" s="140" t="s">
        <v>108</v>
      </c>
      <c r="N2" s="141" t="s">
        <v>109</v>
      </c>
      <c r="O2" s="142" t="s">
        <v>113</v>
      </c>
      <c r="P2" s="142" t="s">
        <v>114</v>
      </c>
      <c r="Q2" s="149" t="s">
        <v>115</v>
      </c>
      <c r="R2" s="304" t="s">
        <v>116</v>
      </c>
      <c r="S2" s="580" t="s">
        <v>117</v>
      </c>
      <c r="T2" s="140" t="s">
        <v>108</v>
      </c>
      <c r="U2" s="141" t="s">
        <v>109</v>
      </c>
      <c r="V2" s="142" t="s">
        <v>118</v>
      </c>
      <c r="W2" s="142" t="s">
        <v>119</v>
      </c>
      <c r="X2" s="143" t="s">
        <v>112</v>
      </c>
      <c r="Y2" s="140" t="s">
        <v>108</v>
      </c>
      <c r="Z2" s="141" t="s">
        <v>109</v>
      </c>
      <c r="AA2" s="142" t="s">
        <v>113</v>
      </c>
      <c r="AB2" s="142" t="s">
        <v>114</v>
      </c>
      <c r="AC2" s="143" t="s">
        <v>115</v>
      </c>
    </row>
    <row r="3" spans="1:29" ht="31.5" customHeight="1" thickBot="1" x14ac:dyDescent="0.35">
      <c r="A3" s="528">
        <f>Gen!A11</f>
        <v>44378</v>
      </c>
      <c r="B3" s="887" t="s">
        <v>120</v>
      </c>
      <c r="C3" s="888"/>
      <c r="D3" s="148"/>
      <c r="E3" s="522"/>
      <c r="F3" s="529" t="s">
        <v>121</v>
      </c>
      <c r="G3" s="530"/>
      <c r="H3" s="887" t="s">
        <v>120</v>
      </c>
      <c r="I3" s="888"/>
      <c r="J3" s="555">
        <f>'Water-Meter'!G5</f>
        <v>0</v>
      </c>
      <c r="K3" s="531">
        <f>'Water-Meter'!G5</f>
        <v>0</v>
      </c>
      <c r="L3" s="216"/>
      <c r="M3" s="887" t="s">
        <v>120</v>
      </c>
      <c r="N3" s="888"/>
      <c r="O3" s="148"/>
      <c r="P3" s="532">
        <f>'Water-Meter'!J5</f>
        <v>8522</v>
      </c>
      <c r="Q3" s="147"/>
      <c r="R3" s="216"/>
      <c r="S3" s="581"/>
      <c r="T3" s="887" t="s">
        <v>120</v>
      </c>
      <c r="U3" s="888"/>
      <c r="V3" s="148"/>
      <c r="W3" s="523"/>
      <c r="X3" s="533">
        <f t="shared" ref="X3:X35" si="0">(W3-V3)*200</f>
        <v>0</v>
      </c>
      <c r="Y3" s="887" t="s">
        <v>120</v>
      </c>
      <c r="Z3" s="888"/>
      <c r="AA3" s="148"/>
      <c r="AB3" s="150"/>
      <c r="AC3" s="151"/>
    </row>
    <row r="4" spans="1:29" ht="19.5" thickBot="1" x14ac:dyDescent="0.35">
      <c r="A4" s="582">
        <f>Gen!B11</f>
        <v>0.3</v>
      </c>
      <c r="B4" s="534">
        <f>Gen!A11</f>
        <v>44378</v>
      </c>
      <c r="C4" s="535"/>
      <c r="D4" s="536">
        <f t="shared" ref="D4:D23" si="1">E3</f>
        <v>0</v>
      </c>
      <c r="E4" s="522">
        <v>9401.5</v>
      </c>
      <c r="F4" s="536">
        <f>SUM(E4-D4)*120</f>
        <v>1128180</v>
      </c>
      <c r="G4" s="535"/>
      <c r="H4" s="569">
        <f>B4</f>
        <v>44378</v>
      </c>
      <c r="I4" s="535"/>
      <c r="J4" s="570">
        <f>'Water-Meter'!G6</f>
        <v>0</v>
      </c>
      <c r="K4" s="571">
        <f>'Water-Meter'!G6</f>
        <v>0</v>
      </c>
      <c r="L4" s="535">
        <f t="shared" ref="L4:L34" si="2">SUM(K4-J4)</f>
        <v>0</v>
      </c>
      <c r="M4" s="569">
        <f>H4</f>
        <v>44378</v>
      </c>
      <c r="N4" s="535"/>
      <c r="O4" s="50"/>
      <c r="P4" s="541">
        <f>'Water-Meter'!J6</f>
        <v>8524</v>
      </c>
      <c r="Q4" s="535">
        <f>N4-O3</f>
        <v>0</v>
      </c>
      <c r="R4" s="572">
        <f t="shared" ref="R4:R20" si="3">SUM(Q4/1615)</f>
        <v>0</v>
      </c>
      <c r="S4" s="573">
        <f>Gen!T11</f>
        <v>4264</v>
      </c>
      <c r="T4" s="569">
        <f>M4</f>
        <v>44378</v>
      </c>
      <c r="U4" s="535"/>
      <c r="V4" s="536">
        <f t="shared" ref="V4:V33" si="4">W3</f>
        <v>0</v>
      </c>
      <c r="W4" s="523">
        <v>8236.4</v>
      </c>
      <c r="X4" s="536">
        <f t="shared" si="0"/>
        <v>1647280</v>
      </c>
      <c r="Y4" s="569">
        <f>T4</f>
        <v>44378</v>
      </c>
      <c r="Z4" s="535"/>
      <c r="AA4" s="535"/>
      <c r="AB4" s="541">
        <f>'Water-Meter'!P6</f>
        <v>21544</v>
      </c>
      <c r="AC4" s="542">
        <f>AA4-AB3</f>
        <v>0</v>
      </c>
    </row>
    <row r="5" spans="1:29" ht="19.5" thickBot="1" x14ac:dyDescent="0.35">
      <c r="A5" s="583">
        <f>Gen!B12</f>
        <v>0.35</v>
      </c>
      <c r="B5" s="537">
        <f>Gen!A12</f>
        <v>44379</v>
      </c>
      <c r="C5" s="521"/>
      <c r="D5" s="526">
        <f>E4</f>
        <v>9401.5</v>
      </c>
      <c r="E5" s="522">
        <v>9404.2000000000007</v>
      </c>
      <c r="F5" s="526">
        <f t="shared" ref="F5:F15" si="5">SUM(E5-D5)*120</f>
        <v>324.00000000008731</v>
      </c>
      <c r="G5" s="521"/>
      <c r="H5" s="564">
        <f t="shared" ref="H5:H35" si="6">B5</f>
        <v>44379</v>
      </c>
      <c r="I5" s="521"/>
      <c r="J5" s="565">
        <f>'Water-Meter'!G7</f>
        <v>0</v>
      </c>
      <c r="K5" s="566">
        <f>'Water-Meter'!G7</f>
        <v>0</v>
      </c>
      <c r="L5" s="521">
        <f t="shared" si="2"/>
        <v>0</v>
      </c>
      <c r="M5" s="564">
        <f t="shared" ref="M5:M35" si="7">H5</f>
        <v>44379</v>
      </c>
      <c r="N5" s="521"/>
      <c r="O5" s="6"/>
      <c r="P5" s="525">
        <f>'Water-Meter'!J7</f>
        <v>8526</v>
      </c>
      <c r="Q5" s="521">
        <f t="shared" ref="Q5:Q20" si="8">N5-O4</f>
        <v>0</v>
      </c>
      <c r="R5" s="567">
        <f t="shared" si="3"/>
        <v>0</v>
      </c>
      <c r="S5" s="568">
        <f>Gen!T12</f>
        <v>4274</v>
      </c>
      <c r="T5" s="569">
        <f t="shared" ref="T5:T34" si="9">M5</f>
        <v>44379</v>
      </c>
      <c r="U5" s="521"/>
      <c r="V5" s="526">
        <f t="shared" si="4"/>
        <v>8236.4</v>
      </c>
      <c r="W5" s="523">
        <v>8239.2000000000007</v>
      </c>
      <c r="X5" s="526">
        <f t="shared" si="0"/>
        <v>560.00000000021828</v>
      </c>
      <c r="Y5" s="564">
        <f t="shared" ref="Y5:Y30" si="10">T5</f>
        <v>44379</v>
      </c>
      <c r="Z5" s="521"/>
      <c r="AA5" s="521"/>
      <c r="AB5" s="525">
        <f>'Water-Meter'!P7</f>
        <v>21551</v>
      </c>
      <c r="AC5" s="574">
        <f t="shared" ref="AC5:AC35" si="11">AA5-AB4</f>
        <v>-21544</v>
      </c>
    </row>
    <row r="6" spans="1:29" ht="19.5" thickBot="1" x14ac:dyDescent="0.35">
      <c r="A6" s="583">
        <f>Gen!B13</f>
        <v>0.26090000000000002</v>
      </c>
      <c r="B6" s="537">
        <f>Gen!A13</f>
        <v>44380</v>
      </c>
      <c r="C6" s="521"/>
      <c r="D6" s="526">
        <f t="shared" si="1"/>
        <v>9404.2000000000007</v>
      </c>
      <c r="E6" s="522">
        <v>9407.2000000000007</v>
      </c>
      <c r="F6" s="526">
        <f t="shared" si="5"/>
        <v>360</v>
      </c>
      <c r="G6" s="521"/>
      <c r="H6" s="564">
        <f t="shared" si="6"/>
        <v>44380</v>
      </c>
      <c r="I6" s="521"/>
      <c r="J6" s="565">
        <f>'Water-Meter'!G8</f>
        <v>0</v>
      </c>
      <c r="K6" s="566">
        <f>'Water-Meter'!G8</f>
        <v>0</v>
      </c>
      <c r="L6" s="521">
        <f t="shared" si="2"/>
        <v>0</v>
      </c>
      <c r="M6" s="564">
        <f t="shared" si="7"/>
        <v>44380</v>
      </c>
      <c r="N6" s="521"/>
      <c r="O6" s="6"/>
      <c r="P6" s="525">
        <f>'Water-Meter'!J8</f>
        <v>8529</v>
      </c>
      <c r="Q6" s="521">
        <f t="shared" si="8"/>
        <v>0</v>
      </c>
      <c r="R6" s="567">
        <f t="shared" si="3"/>
        <v>0</v>
      </c>
      <c r="S6" s="568">
        <f>Gen!T13</f>
        <v>4467</v>
      </c>
      <c r="T6" s="569">
        <f t="shared" si="9"/>
        <v>44380</v>
      </c>
      <c r="U6" s="521"/>
      <c r="V6" s="526">
        <f t="shared" si="4"/>
        <v>8239.2000000000007</v>
      </c>
      <c r="W6" s="523">
        <v>8241.9</v>
      </c>
      <c r="X6" s="526">
        <f t="shared" si="0"/>
        <v>539.99999999978172</v>
      </c>
      <c r="Y6" s="564">
        <f t="shared" si="10"/>
        <v>44380</v>
      </c>
      <c r="Z6" s="521"/>
      <c r="AA6" s="521"/>
      <c r="AB6" s="525">
        <f>'Water-Meter'!P8</f>
        <v>21559</v>
      </c>
      <c r="AC6" s="574">
        <f t="shared" si="11"/>
        <v>-21551</v>
      </c>
    </row>
    <row r="7" spans="1:29" ht="19.5" thickBot="1" x14ac:dyDescent="0.35">
      <c r="A7" s="583">
        <f>Gen!B14</f>
        <v>0.18</v>
      </c>
      <c r="B7" s="537">
        <f>Gen!A14</f>
        <v>44381</v>
      </c>
      <c r="C7" s="521"/>
      <c r="D7" s="526">
        <f t="shared" si="1"/>
        <v>9407.2000000000007</v>
      </c>
      <c r="E7" s="522">
        <v>9409.9</v>
      </c>
      <c r="F7" s="526">
        <f t="shared" si="5"/>
        <v>323.99999999986903</v>
      </c>
      <c r="G7" s="521"/>
      <c r="H7" s="564">
        <f t="shared" si="6"/>
        <v>44381</v>
      </c>
      <c r="I7" s="521"/>
      <c r="J7" s="565">
        <f>'Water-Meter'!G9</f>
        <v>0</v>
      </c>
      <c r="K7" s="566">
        <f>'Water-Meter'!G9</f>
        <v>0</v>
      </c>
      <c r="L7" s="521">
        <f t="shared" si="2"/>
        <v>0</v>
      </c>
      <c r="M7" s="564">
        <f t="shared" si="7"/>
        <v>44381</v>
      </c>
      <c r="N7" s="521"/>
      <c r="O7" s="6"/>
      <c r="P7" s="525">
        <f>'Water-Meter'!J9</f>
        <v>8531</v>
      </c>
      <c r="Q7" s="521">
        <f t="shared" si="8"/>
        <v>0</v>
      </c>
      <c r="R7" s="567">
        <f t="shared" si="3"/>
        <v>0</v>
      </c>
      <c r="S7" s="568">
        <f>Gen!T14</f>
        <v>4106</v>
      </c>
      <c r="T7" s="569">
        <f t="shared" si="9"/>
        <v>44381</v>
      </c>
      <c r="U7" s="521"/>
      <c r="V7" s="526">
        <f t="shared" si="4"/>
        <v>8241.9</v>
      </c>
      <c r="W7" s="523">
        <v>8245.2000000000007</v>
      </c>
      <c r="X7" s="526">
        <f t="shared" si="0"/>
        <v>660.00000000021828</v>
      </c>
      <c r="Y7" s="564">
        <f t="shared" si="10"/>
        <v>44381</v>
      </c>
      <c r="Z7" s="521"/>
      <c r="AA7" s="521"/>
      <c r="AB7" s="525">
        <f>'Water-Meter'!P9</f>
        <v>21569</v>
      </c>
      <c r="AC7" s="574">
        <f t="shared" si="11"/>
        <v>-21559</v>
      </c>
    </row>
    <row r="8" spans="1:29" ht="19.5" thickBot="1" x14ac:dyDescent="0.35">
      <c r="A8" s="583">
        <f>Gen!B15</f>
        <v>0.14000000000000001</v>
      </c>
      <c r="B8" s="537">
        <f>Gen!A15</f>
        <v>44382</v>
      </c>
      <c r="C8" s="521"/>
      <c r="D8" s="526">
        <f t="shared" si="1"/>
        <v>9409.9</v>
      </c>
      <c r="E8" s="522">
        <v>9412.1</v>
      </c>
      <c r="F8" s="526">
        <f t="shared" si="5"/>
        <v>264.00000000008731</v>
      </c>
      <c r="G8" s="521"/>
      <c r="H8" s="564">
        <f t="shared" si="6"/>
        <v>44382</v>
      </c>
      <c r="I8" s="521"/>
      <c r="J8" s="565">
        <f>'Water-Meter'!G10</f>
        <v>0</v>
      </c>
      <c r="K8" s="566">
        <f>'Water-Meter'!G10</f>
        <v>0</v>
      </c>
      <c r="L8" s="521">
        <f t="shared" si="2"/>
        <v>0</v>
      </c>
      <c r="M8" s="564">
        <f t="shared" si="7"/>
        <v>44382</v>
      </c>
      <c r="N8" s="521"/>
      <c r="O8" s="6"/>
      <c r="P8" s="525">
        <f>'Water-Meter'!J10</f>
        <v>8532</v>
      </c>
      <c r="Q8" s="521">
        <f t="shared" si="8"/>
        <v>0</v>
      </c>
      <c r="R8" s="567">
        <f t="shared" si="3"/>
        <v>0</v>
      </c>
      <c r="S8" s="568">
        <f>Gen!T15</f>
        <v>4026</v>
      </c>
      <c r="T8" s="569">
        <f t="shared" si="9"/>
        <v>44382</v>
      </c>
      <c r="U8" s="521"/>
      <c r="V8" s="526">
        <f t="shared" si="4"/>
        <v>8245.2000000000007</v>
      </c>
      <c r="W8" s="523">
        <v>8248.5</v>
      </c>
      <c r="X8" s="526">
        <f t="shared" si="0"/>
        <v>659.99999999985448</v>
      </c>
      <c r="Y8" s="564">
        <f t="shared" si="10"/>
        <v>44382</v>
      </c>
      <c r="Z8" s="521"/>
      <c r="AA8" s="521"/>
      <c r="AB8" s="525">
        <f>'Water-Meter'!P10</f>
        <v>21576</v>
      </c>
      <c r="AC8" s="574">
        <f t="shared" si="11"/>
        <v>-21569</v>
      </c>
    </row>
    <row r="9" spans="1:29" ht="19.5" thickBot="1" x14ac:dyDescent="0.35">
      <c r="A9" s="583">
        <f>Gen!B16</f>
        <v>0.16900000000000001</v>
      </c>
      <c r="B9" s="537">
        <f>Gen!A16</f>
        <v>44383</v>
      </c>
      <c r="C9" s="521"/>
      <c r="D9" s="526">
        <f t="shared" si="1"/>
        <v>9412.1</v>
      </c>
      <c r="E9" s="522">
        <v>9414.4</v>
      </c>
      <c r="F9" s="526">
        <f t="shared" si="5"/>
        <v>275.99999999991269</v>
      </c>
      <c r="G9" s="521"/>
      <c r="H9" s="564">
        <f t="shared" si="6"/>
        <v>44383</v>
      </c>
      <c r="I9" s="521"/>
      <c r="J9" s="565">
        <f>'Water-Meter'!G11</f>
        <v>0</v>
      </c>
      <c r="K9" s="566">
        <f>'Water-Meter'!G11</f>
        <v>0</v>
      </c>
      <c r="L9" s="521">
        <f t="shared" si="2"/>
        <v>0</v>
      </c>
      <c r="M9" s="564">
        <f t="shared" si="7"/>
        <v>44383</v>
      </c>
      <c r="N9" s="521"/>
      <c r="O9" s="6"/>
      <c r="P9" s="525">
        <f>'Water-Meter'!J11</f>
        <v>8534</v>
      </c>
      <c r="Q9" s="521">
        <f t="shared" si="8"/>
        <v>0</v>
      </c>
      <c r="R9" s="567">
        <f t="shared" si="3"/>
        <v>0</v>
      </c>
      <c r="S9" s="568">
        <f>Gen!T16</f>
        <v>4145</v>
      </c>
      <c r="T9" s="569">
        <f t="shared" si="9"/>
        <v>44383</v>
      </c>
      <c r="U9" s="521"/>
      <c r="V9" s="526">
        <f t="shared" si="4"/>
        <v>8248.5</v>
      </c>
      <c r="W9" s="523">
        <v>8251.5</v>
      </c>
      <c r="X9" s="526">
        <f t="shared" si="0"/>
        <v>600</v>
      </c>
      <c r="Y9" s="564">
        <f t="shared" si="10"/>
        <v>44383</v>
      </c>
      <c r="Z9" s="521"/>
      <c r="AA9" s="521"/>
      <c r="AB9" s="525">
        <f>'Water-Meter'!P11</f>
        <v>21586</v>
      </c>
      <c r="AC9" s="574">
        <f t="shared" si="11"/>
        <v>-21576</v>
      </c>
    </row>
    <row r="10" spans="1:29" ht="19.5" thickBot="1" x14ac:dyDescent="0.35">
      <c r="A10" s="583">
        <f>Gen!B17</f>
        <v>0.36399999999999999</v>
      </c>
      <c r="B10" s="537">
        <f>Gen!A17</f>
        <v>44384</v>
      </c>
      <c r="C10" s="521"/>
      <c r="D10" s="526">
        <f t="shared" si="1"/>
        <v>9414.4</v>
      </c>
      <c r="E10" s="522">
        <v>9416.6</v>
      </c>
      <c r="F10" s="526">
        <f t="shared" si="5"/>
        <v>264.00000000008731</v>
      </c>
      <c r="G10" s="521"/>
      <c r="H10" s="564">
        <f t="shared" si="6"/>
        <v>44384</v>
      </c>
      <c r="I10" s="521"/>
      <c r="J10" s="565">
        <f>'Water-Meter'!G12</f>
        <v>0</v>
      </c>
      <c r="K10" s="566">
        <f>'Water-Meter'!G12</f>
        <v>0</v>
      </c>
      <c r="L10" s="521">
        <f t="shared" si="2"/>
        <v>0</v>
      </c>
      <c r="M10" s="564">
        <f t="shared" si="7"/>
        <v>44384</v>
      </c>
      <c r="N10" s="521"/>
      <c r="O10" s="6"/>
      <c r="P10" s="525">
        <f>'Water-Meter'!J12</f>
        <v>8536</v>
      </c>
      <c r="Q10" s="521">
        <f t="shared" si="8"/>
        <v>0</v>
      </c>
      <c r="R10" s="567">
        <f t="shared" si="3"/>
        <v>0</v>
      </c>
      <c r="S10" s="568">
        <f>Gen!T17</f>
        <v>4675</v>
      </c>
      <c r="T10" s="569">
        <f t="shared" si="9"/>
        <v>44384</v>
      </c>
      <c r="U10" s="521"/>
      <c r="V10" s="526">
        <f t="shared" si="4"/>
        <v>8251.5</v>
      </c>
      <c r="W10" s="523">
        <v>8255.5</v>
      </c>
      <c r="X10" s="526">
        <f t="shared" si="0"/>
        <v>800</v>
      </c>
      <c r="Y10" s="564">
        <f t="shared" si="10"/>
        <v>44384</v>
      </c>
      <c r="Z10" s="521"/>
      <c r="AA10" s="521"/>
      <c r="AB10" s="525">
        <f>'Water-Meter'!P12</f>
        <v>21597</v>
      </c>
      <c r="AC10" s="574">
        <f t="shared" si="11"/>
        <v>-21586</v>
      </c>
    </row>
    <row r="11" spans="1:29" ht="19.5" thickBot="1" x14ac:dyDescent="0.35">
      <c r="A11" s="583">
        <f>Gen!B18</f>
        <v>0.45500000000000002</v>
      </c>
      <c r="B11" s="537">
        <f>Gen!A18</f>
        <v>44385</v>
      </c>
      <c r="C11" s="521"/>
      <c r="D11" s="526">
        <f t="shared" si="1"/>
        <v>9416.6</v>
      </c>
      <c r="E11" s="522">
        <v>9418.7000000000007</v>
      </c>
      <c r="F11" s="526">
        <f t="shared" si="5"/>
        <v>252.00000000004366</v>
      </c>
      <c r="G11" s="521"/>
      <c r="H11" s="564">
        <f t="shared" si="6"/>
        <v>44385</v>
      </c>
      <c r="I11" s="521"/>
      <c r="J11" s="565">
        <f>'Water-Meter'!G13</f>
        <v>0</v>
      </c>
      <c r="K11" s="566">
        <f>'Water-Meter'!G13</f>
        <v>0</v>
      </c>
      <c r="L11" s="521">
        <f t="shared" si="2"/>
        <v>0</v>
      </c>
      <c r="M11" s="564">
        <f t="shared" si="7"/>
        <v>44385</v>
      </c>
      <c r="N11" s="521"/>
      <c r="O11" s="6"/>
      <c r="P11" s="525">
        <f>'Water-Meter'!J13</f>
        <v>8537</v>
      </c>
      <c r="Q11" s="521">
        <f t="shared" si="8"/>
        <v>0</v>
      </c>
      <c r="R11" s="567">
        <f t="shared" si="3"/>
        <v>0</v>
      </c>
      <c r="S11" s="568">
        <f>Gen!T18</f>
        <v>4550</v>
      </c>
      <c r="T11" s="569">
        <f t="shared" si="9"/>
        <v>44385</v>
      </c>
      <c r="U11" s="521"/>
      <c r="V11" s="526">
        <f t="shared" si="4"/>
        <v>8255.5</v>
      </c>
      <c r="W11" s="523">
        <v>8259.2999999999993</v>
      </c>
      <c r="X11" s="526">
        <f t="shared" si="0"/>
        <v>759.99999999985448</v>
      </c>
      <c r="Y11" s="564">
        <f t="shared" si="10"/>
        <v>44385</v>
      </c>
      <c r="Z11" s="521"/>
      <c r="AA11" s="521"/>
      <c r="AB11" s="525">
        <f>'Water-Meter'!P13</f>
        <v>21606</v>
      </c>
      <c r="AC11" s="574">
        <f t="shared" si="11"/>
        <v>-21597</v>
      </c>
    </row>
    <row r="12" spans="1:29" ht="19.5" thickBot="1" x14ac:dyDescent="0.35">
      <c r="A12" s="583">
        <f>Gen!B19</f>
        <v>0.46800000000000003</v>
      </c>
      <c r="B12" s="537">
        <f>Gen!A19</f>
        <v>44386</v>
      </c>
      <c r="C12" s="521"/>
      <c r="D12" s="526">
        <f t="shared" si="1"/>
        <v>9418.7000000000007</v>
      </c>
      <c r="E12" s="522">
        <v>9421.1</v>
      </c>
      <c r="F12" s="526">
        <f t="shared" si="5"/>
        <v>287.99999999995634</v>
      </c>
      <c r="G12" s="521"/>
      <c r="H12" s="564">
        <f t="shared" si="6"/>
        <v>44386</v>
      </c>
      <c r="I12" s="521"/>
      <c r="J12" s="565">
        <f>'Water-Meter'!G14</f>
        <v>0</v>
      </c>
      <c r="K12" s="566">
        <f>'Water-Meter'!G14</f>
        <v>0</v>
      </c>
      <c r="L12" s="783">
        <f>SUM(K12-J12)</f>
        <v>0</v>
      </c>
      <c r="M12" s="564">
        <f t="shared" si="7"/>
        <v>44386</v>
      </c>
      <c r="N12" s="521"/>
      <c r="O12" s="6"/>
      <c r="P12" s="525">
        <f>'Water-Meter'!J14</f>
        <v>8539</v>
      </c>
      <c r="Q12" s="521">
        <f t="shared" si="8"/>
        <v>0</v>
      </c>
      <c r="R12" s="567">
        <f t="shared" si="3"/>
        <v>0</v>
      </c>
      <c r="S12" s="568">
        <f>Gen!T19</f>
        <v>4263</v>
      </c>
      <c r="T12" s="569">
        <f t="shared" si="9"/>
        <v>44386</v>
      </c>
      <c r="U12" s="521"/>
      <c r="V12" s="526">
        <f t="shared" si="4"/>
        <v>8259.2999999999993</v>
      </c>
      <c r="W12" s="523">
        <v>8263.7000000000007</v>
      </c>
      <c r="X12" s="526">
        <f t="shared" si="0"/>
        <v>880.00000000029104</v>
      </c>
      <c r="Y12" s="564">
        <f t="shared" si="10"/>
        <v>44386</v>
      </c>
      <c r="Z12" s="521"/>
      <c r="AA12" s="521"/>
      <c r="AB12" s="525">
        <f>'Water-Meter'!P14</f>
        <v>21616</v>
      </c>
      <c r="AC12" s="574">
        <f t="shared" si="11"/>
        <v>-21606</v>
      </c>
    </row>
    <row r="13" spans="1:29" ht="18.75" x14ac:dyDescent="0.3">
      <c r="A13" s="583">
        <f>Gen!B20</f>
        <v>0.39</v>
      </c>
      <c r="B13" s="537">
        <f>Gen!A20</f>
        <v>44387</v>
      </c>
      <c r="C13" s="521"/>
      <c r="D13" s="526">
        <f t="shared" si="1"/>
        <v>9421.1</v>
      </c>
      <c r="E13" s="522">
        <v>9423.1</v>
      </c>
      <c r="F13" s="526">
        <f t="shared" si="5"/>
        <v>240</v>
      </c>
      <c r="G13" s="521"/>
      <c r="H13" s="564">
        <f t="shared" si="6"/>
        <v>44387</v>
      </c>
      <c r="I13" s="521"/>
      <c r="J13" s="565">
        <f>'Water-Meter'!G15</f>
        <v>0</v>
      </c>
      <c r="K13" s="566">
        <f>'Water-Meter'!G15</f>
        <v>0</v>
      </c>
      <c r="L13" s="521">
        <f t="shared" si="2"/>
        <v>0</v>
      </c>
      <c r="M13" s="564">
        <f t="shared" si="7"/>
        <v>44387</v>
      </c>
      <c r="N13" s="521"/>
      <c r="O13" s="6"/>
      <c r="P13" s="525">
        <f>'Water-Meter'!J15</f>
        <v>8541</v>
      </c>
      <c r="Q13" s="521">
        <f t="shared" si="8"/>
        <v>0</v>
      </c>
      <c r="R13" s="567">
        <f t="shared" si="3"/>
        <v>0</v>
      </c>
      <c r="S13" s="568">
        <f>Gen!T20</f>
        <v>4506</v>
      </c>
      <c r="T13" s="569">
        <f t="shared" si="9"/>
        <v>44387</v>
      </c>
      <c r="U13" s="521"/>
      <c r="V13" s="526">
        <f t="shared" si="4"/>
        <v>8263.7000000000007</v>
      </c>
      <c r="W13" s="523">
        <v>8267.7999999999993</v>
      </c>
      <c r="X13" s="526">
        <f t="shared" si="0"/>
        <v>819.99999999970896</v>
      </c>
      <c r="Y13" s="564">
        <f t="shared" si="10"/>
        <v>44387</v>
      </c>
      <c r="Z13" s="521"/>
      <c r="AA13" s="521"/>
      <c r="AB13" s="525">
        <f>'Water-Meter'!P15</f>
        <v>21627</v>
      </c>
      <c r="AC13" s="574">
        <f t="shared" si="11"/>
        <v>-21616</v>
      </c>
    </row>
    <row r="14" spans="1:29" ht="19.5" thickBot="1" x14ac:dyDescent="0.35">
      <c r="A14" s="583">
        <f>Gen!B21</f>
        <v>0.40300000000000002</v>
      </c>
      <c r="B14" s="537">
        <f>Gen!A21</f>
        <v>44388</v>
      </c>
      <c r="C14" s="521"/>
      <c r="D14" s="526">
        <f t="shared" si="1"/>
        <v>9423.1</v>
      </c>
      <c r="E14" s="522">
        <v>9425.4</v>
      </c>
      <c r="F14" s="526">
        <f t="shared" si="5"/>
        <v>275.99999999991269</v>
      </c>
      <c r="G14" s="521"/>
      <c r="H14" s="564">
        <f t="shared" si="6"/>
        <v>44388</v>
      </c>
      <c r="I14" s="521"/>
      <c r="J14" s="565">
        <f>'Water-Meter'!G15</f>
        <v>0</v>
      </c>
      <c r="K14" s="566">
        <f>'Water-Meter'!G15</f>
        <v>0</v>
      </c>
      <c r="L14" s="521">
        <f t="shared" si="2"/>
        <v>0</v>
      </c>
      <c r="M14" s="564">
        <f t="shared" si="7"/>
        <v>44388</v>
      </c>
      <c r="N14" s="521"/>
      <c r="O14" s="6"/>
      <c r="P14" s="525">
        <f>'Water-Meter'!J16</f>
        <v>8547</v>
      </c>
      <c r="Q14" s="521">
        <v>8095</v>
      </c>
      <c r="R14" s="567">
        <f t="shared" si="3"/>
        <v>5.0123839009287927</v>
      </c>
      <c r="S14" s="568">
        <f>Gen!T21</f>
        <v>4459</v>
      </c>
      <c r="T14" s="569">
        <f t="shared" si="9"/>
        <v>44388</v>
      </c>
      <c r="U14" s="521"/>
      <c r="V14" s="526">
        <f t="shared" si="4"/>
        <v>8267.7999999999993</v>
      </c>
      <c r="W14" s="523">
        <v>8272.2999999999993</v>
      </c>
      <c r="X14" s="526">
        <f t="shared" si="0"/>
        <v>900</v>
      </c>
      <c r="Y14" s="564">
        <f t="shared" si="10"/>
        <v>44388</v>
      </c>
      <c r="Z14" s="521"/>
      <c r="AA14" s="521"/>
      <c r="AB14" s="525">
        <f>'Water-Meter'!P16</f>
        <v>21638</v>
      </c>
      <c r="AC14" s="574">
        <v>20490</v>
      </c>
    </row>
    <row r="15" spans="1:29" ht="19.5" thickBot="1" x14ac:dyDescent="0.35">
      <c r="A15" s="583">
        <f>Gen!B22</f>
        <v>0.39</v>
      </c>
      <c r="B15" s="537">
        <f>Gen!A22</f>
        <v>44389</v>
      </c>
      <c r="C15" s="521"/>
      <c r="D15" s="526">
        <f t="shared" si="1"/>
        <v>9425.4</v>
      </c>
      <c r="E15" s="522">
        <v>9427.6</v>
      </c>
      <c r="F15" s="526">
        <f t="shared" si="5"/>
        <v>264.00000000008731</v>
      </c>
      <c r="G15" s="521"/>
      <c r="H15" s="564">
        <f t="shared" si="6"/>
        <v>44389</v>
      </c>
      <c r="I15" s="521"/>
      <c r="J15" s="565">
        <f>'Water-Meter'!G17</f>
        <v>0</v>
      </c>
      <c r="K15" s="566">
        <f>'Water-Meter'!G17</f>
        <v>0</v>
      </c>
      <c r="L15" s="521">
        <f t="shared" si="2"/>
        <v>0</v>
      </c>
      <c r="M15" s="564">
        <f t="shared" si="7"/>
        <v>44389</v>
      </c>
      <c r="N15" s="521"/>
      <c r="O15" s="6"/>
      <c r="P15" s="525">
        <f>'Water-Meter'!J17</f>
        <v>8549</v>
      </c>
      <c r="Q15" s="521">
        <f t="shared" si="8"/>
        <v>0</v>
      </c>
      <c r="R15" s="567">
        <f t="shared" si="3"/>
        <v>0</v>
      </c>
      <c r="S15" s="568">
        <f>Gen!T22</f>
        <v>4438</v>
      </c>
      <c r="T15" s="569">
        <f t="shared" si="9"/>
        <v>44389</v>
      </c>
      <c r="U15" s="521"/>
      <c r="V15" s="526">
        <f t="shared" si="4"/>
        <v>8272.2999999999993</v>
      </c>
      <c r="W15" s="523">
        <v>8277.4</v>
      </c>
      <c r="X15" s="526">
        <f t="shared" si="0"/>
        <v>1020.0000000000728</v>
      </c>
      <c r="Y15" s="564">
        <f t="shared" si="10"/>
        <v>44389</v>
      </c>
      <c r="Z15" s="521"/>
      <c r="AA15" s="521"/>
      <c r="AB15" s="525">
        <f>'Water-Meter'!P17</f>
        <v>21648</v>
      </c>
      <c r="AC15" s="574">
        <f t="shared" si="11"/>
        <v>-21638</v>
      </c>
    </row>
    <row r="16" spans="1:29" ht="19.5" thickBot="1" x14ac:dyDescent="0.35">
      <c r="A16" s="583">
        <f>Gen!B23</f>
        <v>0.221</v>
      </c>
      <c r="B16" s="537">
        <f>Gen!A23</f>
        <v>44390</v>
      </c>
      <c r="C16" s="521"/>
      <c r="D16" s="526">
        <f t="shared" si="1"/>
        <v>9427.6</v>
      </c>
      <c r="E16" s="522">
        <v>9429.9</v>
      </c>
      <c r="F16" s="526">
        <f>SUM(E16-D16)*120</f>
        <v>275.99999999991269</v>
      </c>
      <c r="G16" s="521"/>
      <c r="H16" s="564">
        <f t="shared" si="6"/>
        <v>44390</v>
      </c>
      <c r="I16" s="521"/>
      <c r="J16" s="565">
        <f>'Water-Meter'!G18</f>
        <v>0</v>
      </c>
      <c r="K16" s="566">
        <f>'Water-Meter'!G18</f>
        <v>0</v>
      </c>
      <c r="L16" s="521">
        <f t="shared" si="2"/>
        <v>0</v>
      </c>
      <c r="M16" s="564">
        <f t="shared" si="7"/>
        <v>44390</v>
      </c>
      <c r="N16" s="521"/>
      <c r="O16" s="6"/>
      <c r="P16" s="525">
        <f>'Water-Meter'!J18</f>
        <v>8551</v>
      </c>
      <c r="Q16" s="521">
        <f t="shared" si="8"/>
        <v>0</v>
      </c>
      <c r="R16" s="567">
        <f t="shared" si="3"/>
        <v>0</v>
      </c>
      <c r="S16" s="568">
        <f>Gen!T23</f>
        <v>4300</v>
      </c>
      <c r="T16" s="569">
        <f t="shared" si="9"/>
        <v>44390</v>
      </c>
      <c r="U16" s="521"/>
      <c r="V16" s="526">
        <f t="shared" si="4"/>
        <v>8277.4</v>
      </c>
      <c r="W16" s="523">
        <v>8282.2000000000007</v>
      </c>
      <c r="X16" s="526">
        <f t="shared" si="0"/>
        <v>960.00000000021828</v>
      </c>
      <c r="Y16" s="564">
        <f t="shared" si="10"/>
        <v>44390</v>
      </c>
      <c r="Z16" s="521"/>
      <c r="AA16" s="521"/>
      <c r="AB16" s="525">
        <f>'Water-Meter'!P18</f>
        <v>21660</v>
      </c>
      <c r="AC16" s="574">
        <f t="shared" si="11"/>
        <v>-21648</v>
      </c>
    </row>
    <row r="17" spans="1:29" ht="19.5" thickBot="1" x14ac:dyDescent="0.35">
      <c r="A17" s="583">
        <f>Gen!B24</f>
        <v>0.19500000000000001</v>
      </c>
      <c r="B17" s="537">
        <f>Gen!A24</f>
        <v>44391</v>
      </c>
      <c r="C17" s="521"/>
      <c r="D17" s="526">
        <f t="shared" si="1"/>
        <v>9429.9</v>
      </c>
      <c r="E17" s="522">
        <v>9432.2999999999993</v>
      </c>
      <c r="F17" s="526">
        <f>SUM(E17-D17)*120</f>
        <v>287.99999999995634</v>
      </c>
      <c r="G17" s="521"/>
      <c r="H17" s="564">
        <f t="shared" si="6"/>
        <v>44391</v>
      </c>
      <c r="I17" s="521"/>
      <c r="J17" s="565">
        <f>'Water-Meter'!G19</f>
        <v>0</v>
      </c>
      <c r="K17" s="566">
        <f>'Water-Meter'!G19</f>
        <v>0</v>
      </c>
      <c r="L17" s="521">
        <f t="shared" si="2"/>
        <v>0</v>
      </c>
      <c r="M17" s="564">
        <f t="shared" si="7"/>
        <v>44391</v>
      </c>
      <c r="N17" s="521"/>
      <c r="O17" s="6"/>
      <c r="P17" s="525">
        <f>'Water-Meter'!J19</f>
        <v>8553</v>
      </c>
      <c r="Q17" s="521">
        <f t="shared" si="8"/>
        <v>0</v>
      </c>
      <c r="R17" s="567">
        <f t="shared" si="3"/>
        <v>0</v>
      </c>
      <c r="S17" s="568">
        <f>Gen!T24</f>
        <v>3902</v>
      </c>
      <c r="T17" s="569">
        <f t="shared" si="9"/>
        <v>44391</v>
      </c>
      <c r="U17" s="521"/>
      <c r="V17" s="526">
        <f t="shared" si="4"/>
        <v>8282.2000000000007</v>
      </c>
      <c r="W17" s="523">
        <v>8285.1</v>
      </c>
      <c r="X17" s="526">
        <f t="shared" si="0"/>
        <v>579.99999999992724</v>
      </c>
      <c r="Y17" s="564">
        <f t="shared" si="10"/>
        <v>44391</v>
      </c>
      <c r="Z17" s="521"/>
      <c r="AA17" s="521"/>
      <c r="AB17" s="525">
        <f>'Water-Meter'!P19</f>
        <v>21670</v>
      </c>
      <c r="AC17" s="574">
        <f t="shared" si="11"/>
        <v>-21660</v>
      </c>
    </row>
    <row r="18" spans="1:29" ht="19.5" thickBot="1" x14ac:dyDescent="0.35">
      <c r="A18" s="583">
        <f>Gen!B25</f>
        <v>0.20799999999999999</v>
      </c>
      <c r="B18" s="537">
        <f>Gen!A25</f>
        <v>44392</v>
      </c>
      <c r="C18" s="521"/>
      <c r="D18" s="526">
        <f t="shared" si="1"/>
        <v>9432.2999999999993</v>
      </c>
      <c r="E18" s="522">
        <v>9434.7000000000007</v>
      </c>
      <c r="F18" s="526">
        <f t="shared" ref="F18:F22" si="12">SUM(E18-D18)*120</f>
        <v>288.00000000017462</v>
      </c>
      <c r="G18" s="521"/>
      <c r="H18" s="564">
        <f t="shared" si="6"/>
        <v>44392</v>
      </c>
      <c r="I18" s="521"/>
      <c r="J18" s="565">
        <f>'Water-Meter'!G20</f>
        <v>0</v>
      </c>
      <c r="K18" s="566">
        <f>'Water-Meter'!G20</f>
        <v>0</v>
      </c>
      <c r="L18" s="521">
        <f t="shared" si="2"/>
        <v>0</v>
      </c>
      <c r="M18" s="564">
        <f t="shared" si="7"/>
        <v>44392</v>
      </c>
      <c r="N18" s="521"/>
      <c r="O18" s="6">
        <f>'Water-Meter'!J20</f>
        <v>8555</v>
      </c>
      <c r="P18" s="525">
        <f>'Water-Meter'!J20</f>
        <v>8555</v>
      </c>
      <c r="Q18" s="521">
        <f t="shared" si="8"/>
        <v>0</v>
      </c>
      <c r="R18" s="567">
        <f t="shared" si="3"/>
        <v>0</v>
      </c>
      <c r="S18" s="568">
        <f>Gen!T25</f>
        <v>3833</v>
      </c>
      <c r="T18" s="569">
        <f t="shared" si="9"/>
        <v>44392</v>
      </c>
      <c r="U18" s="521"/>
      <c r="V18" s="526">
        <f t="shared" si="4"/>
        <v>8285.1</v>
      </c>
      <c r="W18" s="523">
        <v>8288.9</v>
      </c>
      <c r="X18" s="526">
        <f t="shared" si="0"/>
        <v>759.99999999985448</v>
      </c>
      <c r="Y18" s="564">
        <f t="shared" si="10"/>
        <v>44392</v>
      </c>
      <c r="Z18" s="521"/>
      <c r="AA18" s="521"/>
      <c r="AB18" s="525">
        <f>'Water-Meter'!P20</f>
        <v>21678</v>
      </c>
      <c r="AC18" s="574">
        <f t="shared" si="11"/>
        <v>-21670</v>
      </c>
    </row>
    <row r="19" spans="1:29" ht="19.5" thickBot="1" x14ac:dyDescent="0.35">
      <c r="A19" s="583">
        <f>Gen!B26</f>
        <v>0.27</v>
      </c>
      <c r="B19" s="537">
        <f>Gen!A26</f>
        <v>44393</v>
      </c>
      <c r="C19" s="524"/>
      <c r="D19" s="526">
        <f t="shared" si="1"/>
        <v>9434.7000000000007</v>
      </c>
      <c r="E19" s="522">
        <v>9436.9</v>
      </c>
      <c r="F19" s="526">
        <f t="shared" si="12"/>
        <v>263.99999999986903</v>
      </c>
      <c r="G19" s="521"/>
      <c r="H19" s="564">
        <f t="shared" si="6"/>
        <v>44393</v>
      </c>
      <c r="I19" s="524"/>
      <c r="J19" s="565">
        <f>'Water-Meter'!G21</f>
        <v>0</v>
      </c>
      <c r="K19" s="566">
        <f>'Water-Meter'!G21</f>
        <v>0</v>
      </c>
      <c r="L19" s="521">
        <f t="shared" si="2"/>
        <v>0</v>
      </c>
      <c r="M19" s="564">
        <f t="shared" si="7"/>
        <v>44393</v>
      </c>
      <c r="N19" s="524"/>
      <c r="O19" s="6">
        <f>'Water-Meter'!J21</f>
        <v>8560</v>
      </c>
      <c r="P19" s="525">
        <f>'Water-Meter'!J21</f>
        <v>8560</v>
      </c>
      <c r="Q19" s="521">
        <f t="shared" si="8"/>
        <v>-8555</v>
      </c>
      <c r="R19" s="567">
        <f t="shared" si="3"/>
        <v>-5.2972136222910216</v>
      </c>
      <c r="S19" s="568">
        <f>Gen!T26</f>
        <v>4080</v>
      </c>
      <c r="T19" s="569">
        <f t="shared" si="9"/>
        <v>44393</v>
      </c>
      <c r="U19" s="524"/>
      <c r="V19" s="526">
        <f t="shared" si="4"/>
        <v>8288.9</v>
      </c>
      <c r="W19" s="523">
        <v>8292.2999999999993</v>
      </c>
      <c r="X19" s="526">
        <f t="shared" si="0"/>
        <v>679.99999999992724</v>
      </c>
      <c r="Y19" s="564">
        <f t="shared" si="10"/>
        <v>44393</v>
      </c>
      <c r="Z19" s="524"/>
      <c r="AA19" s="521"/>
      <c r="AB19" s="525">
        <f>'Water-Meter'!P21</f>
        <v>21688</v>
      </c>
      <c r="AC19" s="574">
        <f t="shared" si="11"/>
        <v>-21678</v>
      </c>
    </row>
    <row r="20" spans="1:29" ht="19.5" thickBot="1" x14ac:dyDescent="0.35">
      <c r="A20" s="583">
        <f>Gen!B27</f>
        <v>0.26</v>
      </c>
      <c r="B20" s="537">
        <f>Gen!A27</f>
        <v>44394</v>
      </c>
      <c r="C20" s="524"/>
      <c r="D20" s="526">
        <f t="shared" si="1"/>
        <v>9436.9</v>
      </c>
      <c r="E20" s="522">
        <v>9439.4</v>
      </c>
      <c r="F20" s="526">
        <f t="shared" si="12"/>
        <v>300</v>
      </c>
      <c r="G20" s="521"/>
      <c r="H20" s="564">
        <f t="shared" si="6"/>
        <v>44394</v>
      </c>
      <c r="I20" s="524"/>
      <c r="J20" s="565">
        <f>'Water-Meter'!G22</f>
        <v>0</v>
      </c>
      <c r="K20" s="566">
        <f>'Water-Meter'!G22</f>
        <v>0</v>
      </c>
      <c r="L20" s="521">
        <f t="shared" si="2"/>
        <v>0</v>
      </c>
      <c r="M20" s="564">
        <f t="shared" si="7"/>
        <v>44394</v>
      </c>
      <c r="N20" s="524"/>
      <c r="O20" s="6">
        <f>'Water-Meter'!J22</f>
        <v>8564</v>
      </c>
      <c r="P20" s="525">
        <f>'Water-Meter'!J22</f>
        <v>8564</v>
      </c>
      <c r="Q20" s="521">
        <f t="shared" si="8"/>
        <v>-8560</v>
      </c>
      <c r="R20" s="567">
        <f t="shared" si="3"/>
        <v>-5.3003095975232197</v>
      </c>
      <c r="S20" s="568">
        <f>Gen!T27</f>
        <v>4092</v>
      </c>
      <c r="T20" s="569">
        <f t="shared" si="9"/>
        <v>44394</v>
      </c>
      <c r="U20" s="524"/>
      <c r="V20" s="526">
        <f t="shared" si="4"/>
        <v>8292.2999999999993</v>
      </c>
      <c r="W20" s="523">
        <v>8296.2000000000007</v>
      </c>
      <c r="X20" s="526">
        <f t="shared" si="0"/>
        <v>780.00000000029104</v>
      </c>
      <c r="Y20" s="564">
        <f t="shared" si="10"/>
        <v>44394</v>
      </c>
      <c r="Z20" s="524"/>
      <c r="AA20" s="521"/>
      <c r="AB20" s="525">
        <f>'Water-Meter'!P22</f>
        <v>21698</v>
      </c>
      <c r="AC20" s="574">
        <f t="shared" si="11"/>
        <v>-21688</v>
      </c>
    </row>
    <row r="21" spans="1:29" ht="19.5" thickBot="1" x14ac:dyDescent="0.35">
      <c r="A21" s="583">
        <f>Gen!B28</f>
        <v>0.35</v>
      </c>
      <c r="B21" s="537">
        <f>Gen!A28</f>
        <v>44395</v>
      </c>
      <c r="C21" s="524"/>
      <c r="D21" s="526">
        <f t="shared" si="1"/>
        <v>9439.4</v>
      </c>
      <c r="E21" s="522">
        <v>9441.9</v>
      </c>
      <c r="F21" s="526">
        <f t="shared" si="12"/>
        <v>300</v>
      </c>
      <c r="G21" s="521"/>
      <c r="H21" s="564">
        <f t="shared" si="6"/>
        <v>44395</v>
      </c>
      <c r="I21" s="524"/>
      <c r="J21" s="565">
        <f>'Water-Meter'!G23</f>
        <v>0</v>
      </c>
      <c r="K21" s="566">
        <f>'Water-Meter'!G23</f>
        <v>0</v>
      </c>
      <c r="L21" s="521">
        <f t="shared" si="2"/>
        <v>0</v>
      </c>
      <c r="M21" s="564">
        <f t="shared" si="7"/>
        <v>44395</v>
      </c>
      <c r="N21" s="524"/>
      <c r="O21" s="6">
        <f>'Water-Meter'!J23</f>
        <v>8567</v>
      </c>
      <c r="P21" s="525">
        <f>'Water-Meter'!J23</f>
        <v>8567</v>
      </c>
      <c r="Q21" s="521">
        <f t="shared" ref="Q21:Q35" si="13">N21-O20</f>
        <v>-8564</v>
      </c>
      <c r="R21" s="567">
        <f t="shared" ref="R21:R35" si="14">SUM(Q21/1615)</f>
        <v>-5.3027863777089781</v>
      </c>
      <c r="S21" s="568">
        <f>Gen!T28</f>
        <v>4450</v>
      </c>
      <c r="T21" s="569">
        <f t="shared" si="9"/>
        <v>44395</v>
      </c>
      <c r="U21" s="524"/>
      <c r="V21" s="526">
        <f t="shared" si="4"/>
        <v>8296.2000000000007</v>
      </c>
      <c r="W21" s="523">
        <v>8300.2000000000007</v>
      </c>
      <c r="X21" s="526">
        <f t="shared" si="0"/>
        <v>800</v>
      </c>
      <c r="Y21" s="564">
        <f t="shared" si="10"/>
        <v>44395</v>
      </c>
      <c r="Z21" s="524"/>
      <c r="AA21" s="521"/>
      <c r="AB21" s="525">
        <f>'Water-Meter'!P23</f>
        <v>21706</v>
      </c>
      <c r="AC21" s="574">
        <f t="shared" si="11"/>
        <v>-21698</v>
      </c>
    </row>
    <row r="22" spans="1:29" ht="19.5" thickBot="1" x14ac:dyDescent="0.35">
      <c r="A22" s="583">
        <f>Gen!B29</f>
        <v>0.39</v>
      </c>
      <c r="B22" s="537">
        <f>Gen!A29</f>
        <v>44396</v>
      </c>
      <c r="C22" s="521"/>
      <c r="D22" s="526">
        <f t="shared" si="1"/>
        <v>9441.9</v>
      </c>
      <c r="E22" s="522">
        <v>9444.2999999999993</v>
      </c>
      <c r="F22" s="526">
        <f t="shared" si="12"/>
        <v>287.99999999995634</v>
      </c>
      <c r="G22" s="521"/>
      <c r="H22" s="564">
        <f t="shared" si="6"/>
        <v>44396</v>
      </c>
      <c r="I22" s="521"/>
      <c r="J22" s="565">
        <f>'Water-Meter'!G24</f>
        <v>0</v>
      </c>
      <c r="K22" s="566">
        <f>'Water-Meter'!G24</f>
        <v>0</v>
      </c>
      <c r="L22" s="521">
        <f t="shared" si="2"/>
        <v>0</v>
      </c>
      <c r="M22" s="564">
        <f t="shared" si="7"/>
        <v>44396</v>
      </c>
      <c r="N22" s="521"/>
      <c r="O22" s="6">
        <f>'Water-Meter'!J24</f>
        <v>8568</v>
      </c>
      <c r="P22" s="525">
        <f>'Water-Meter'!J24</f>
        <v>8568</v>
      </c>
      <c r="Q22" s="521">
        <f t="shared" si="13"/>
        <v>-8567</v>
      </c>
      <c r="R22" s="567">
        <f t="shared" si="14"/>
        <v>-5.3046439628482975</v>
      </c>
      <c r="S22" s="568">
        <f>Gen!T29</f>
        <v>4633</v>
      </c>
      <c r="T22" s="569">
        <f t="shared" si="9"/>
        <v>44396</v>
      </c>
      <c r="U22" s="521"/>
      <c r="V22" s="526">
        <f t="shared" si="4"/>
        <v>8300.2000000000007</v>
      </c>
      <c r="W22" s="523">
        <v>8304.1</v>
      </c>
      <c r="X22" s="526">
        <f t="shared" si="0"/>
        <v>779.99999999992724</v>
      </c>
      <c r="Y22" s="564">
        <f t="shared" si="10"/>
        <v>44396</v>
      </c>
      <c r="Z22" s="521"/>
      <c r="AA22" s="521"/>
      <c r="AB22" s="525">
        <f>'Water-Meter'!P24</f>
        <v>21718</v>
      </c>
      <c r="AC22" s="574">
        <f t="shared" si="11"/>
        <v>-21706</v>
      </c>
    </row>
    <row r="23" spans="1:29" ht="19.5" thickBot="1" x14ac:dyDescent="0.35">
      <c r="A23" s="583">
        <f>Gen!B30</f>
        <v>0.39</v>
      </c>
      <c r="B23" s="537">
        <f>Gen!A30</f>
        <v>44397</v>
      </c>
      <c r="C23" s="524"/>
      <c r="D23" s="526">
        <f t="shared" si="1"/>
        <v>9444.2999999999993</v>
      </c>
      <c r="E23" s="522">
        <v>9447.1</v>
      </c>
      <c r="F23" s="526">
        <f t="shared" ref="F23:F35" si="15">SUM(E23-D23)*120</f>
        <v>336.00000000013097</v>
      </c>
      <c r="G23" s="521"/>
      <c r="H23" s="564">
        <f t="shared" si="6"/>
        <v>44397</v>
      </c>
      <c r="I23" s="524"/>
      <c r="J23" s="565">
        <f>'Water-Meter'!G25</f>
        <v>0</v>
      </c>
      <c r="K23" s="566">
        <f>'Water-Meter'!G26</f>
        <v>0</v>
      </c>
      <c r="L23" s="521">
        <f t="shared" si="2"/>
        <v>0</v>
      </c>
      <c r="M23" s="564">
        <f t="shared" si="7"/>
        <v>44397</v>
      </c>
      <c r="N23" s="524"/>
      <c r="O23" s="6">
        <f>'Water-Meter'!J25</f>
        <v>8569</v>
      </c>
      <c r="P23" s="525">
        <f>'Water-Meter'!J25</f>
        <v>8569</v>
      </c>
      <c r="Q23" s="521">
        <f t="shared" si="13"/>
        <v>-8568</v>
      </c>
      <c r="R23" s="567">
        <f t="shared" si="14"/>
        <v>-5.3052631578947365</v>
      </c>
      <c r="S23" s="568">
        <f>Gen!T30</f>
        <v>4722</v>
      </c>
      <c r="T23" s="569">
        <f t="shared" si="9"/>
        <v>44397</v>
      </c>
      <c r="U23" s="524"/>
      <c r="V23" s="526">
        <f t="shared" si="4"/>
        <v>8304.1</v>
      </c>
      <c r="W23" s="523">
        <v>8307.6</v>
      </c>
      <c r="X23" s="526">
        <f t="shared" si="0"/>
        <v>700</v>
      </c>
      <c r="Y23" s="564">
        <f t="shared" si="10"/>
        <v>44397</v>
      </c>
      <c r="Z23" s="524"/>
      <c r="AA23" s="521"/>
      <c r="AB23" s="525">
        <f>'Water-Meter'!P25</f>
        <v>21726</v>
      </c>
      <c r="AC23" s="574">
        <f t="shared" si="11"/>
        <v>-21718</v>
      </c>
    </row>
    <row r="24" spans="1:29" ht="19.5" thickBot="1" x14ac:dyDescent="0.35">
      <c r="A24" s="583">
        <f>Gen!B31</f>
        <v>0.55000000000000004</v>
      </c>
      <c r="B24" s="537">
        <f>Gen!A31</f>
        <v>44398</v>
      </c>
      <c r="C24" s="524"/>
      <c r="D24" s="526">
        <f t="shared" ref="D24:D35" si="16">SUM(E23)</f>
        <v>9447.1</v>
      </c>
      <c r="E24" s="522">
        <v>9449.6</v>
      </c>
      <c r="F24" s="526">
        <f t="shared" si="15"/>
        <v>300</v>
      </c>
      <c r="G24" s="521"/>
      <c r="H24" s="564">
        <f t="shared" si="6"/>
        <v>44398</v>
      </c>
      <c r="I24" s="524"/>
      <c r="J24" s="565">
        <f>'Water-Meter'!G26</f>
        <v>0</v>
      </c>
      <c r="K24" s="566">
        <f>'Water-Meter'!G27</f>
        <v>0</v>
      </c>
      <c r="L24" s="521">
        <f t="shared" si="2"/>
        <v>0</v>
      </c>
      <c r="M24" s="564">
        <f t="shared" si="7"/>
        <v>44398</v>
      </c>
      <c r="N24" s="524"/>
      <c r="O24" s="6">
        <f>'Water-Meter'!J26</f>
        <v>8571</v>
      </c>
      <c r="P24" s="525">
        <f>'Water-Meter'!J26</f>
        <v>8571</v>
      </c>
      <c r="Q24" s="521">
        <f t="shared" si="13"/>
        <v>-8569</v>
      </c>
      <c r="R24" s="567">
        <f t="shared" si="14"/>
        <v>-5.3058823529411763</v>
      </c>
      <c r="S24" s="568">
        <f>Gen!T31</f>
        <v>4911</v>
      </c>
      <c r="T24" s="569">
        <f t="shared" si="9"/>
        <v>44398</v>
      </c>
      <c r="U24" s="524"/>
      <c r="V24" s="526">
        <f t="shared" si="4"/>
        <v>8307.6</v>
      </c>
      <c r="W24" s="523">
        <v>8311.5</v>
      </c>
      <c r="X24" s="526">
        <f t="shared" si="0"/>
        <v>779.99999999992724</v>
      </c>
      <c r="Y24" s="564">
        <f t="shared" si="10"/>
        <v>44398</v>
      </c>
      <c r="Z24" s="524"/>
      <c r="AA24" s="521"/>
      <c r="AB24" s="525">
        <f>'Water-Meter'!P26</f>
        <v>21732</v>
      </c>
      <c r="AC24" s="574">
        <f t="shared" si="11"/>
        <v>-21726</v>
      </c>
    </row>
    <row r="25" spans="1:29" ht="19.5" thickBot="1" x14ac:dyDescent="0.35">
      <c r="A25" s="583">
        <f>Gen!B32</f>
        <v>0.54500000000000004</v>
      </c>
      <c r="B25" s="537">
        <f>Gen!A32</f>
        <v>44399</v>
      </c>
      <c r="C25" s="524"/>
      <c r="D25" s="526">
        <f t="shared" si="16"/>
        <v>9449.6</v>
      </c>
      <c r="E25" s="522">
        <v>9452.2999999999993</v>
      </c>
      <c r="F25" s="526">
        <f t="shared" si="15"/>
        <v>323.99999999986903</v>
      </c>
      <c r="G25" s="521"/>
      <c r="H25" s="564">
        <f t="shared" si="6"/>
        <v>44399</v>
      </c>
      <c r="I25" s="524"/>
      <c r="J25" s="565">
        <f>'Water-Meter'!G27</f>
        <v>0</v>
      </c>
      <c r="K25" s="566">
        <f>'Water-Meter'!G28</f>
        <v>0</v>
      </c>
      <c r="L25" s="521">
        <f t="shared" si="2"/>
        <v>0</v>
      </c>
      <c r="M25" s="564">
        <f t="shared" si="7"/>
        <v>44399</v>
      </c>
      <c r="N25" s="524"/>
      <c r="O25" s="6">
        <f>'Water-Meter'!J27</f>
        <v>8572</v>
      </c>
      <c r="P25" s="525">
        <f>'Water-Meter'!J27</f>
        <v>8572</v>
      </c>
      <c r="Q25" s="521">
        <f t="shared" si="13"/>
        <v>-8571</v>
      </c>
      <c r="R25" s="567">
        <f t="shared" si="14"/>
        <v>-5.3071207430340559</v>
      </c>
      <c r="S25" s="568">
        <f>Gen!T32</f>
        <v>5226</v>
      </c>
      <c r="T25" s="569">
        <f t="shared" si="9"/>
        <v>44399</v>
      </c>
      <c r="U25" s="524"/>
      <c r="V25" s="526">
        <f t="shared" si="4"/>
        <v>8311.5</v>
      </c>
      <c r="W25" s="523">
        <v>8315.4</v>
      </c>
      <c r="X25" s="526">
        <f t="shared" si="0"/>
        <v>779.99999999992724</v>
      </c>
      <c r="Y25" s="564">
        <f t="shared" si="10"/>
        <v>44399</v>
      </c>
      <c r="Z25" s="524"/>
      <c r="AA25" s="521"/>
      <c r="AB25" s="525">
        <f>'Water-Meter'!P27</f>
        <v>21741</v>
      </c>
      <c r="AC25" s="574">
        <f t="shared" si="11"/>
        <v>-21732</v>
      </c>
    </row>
    <row r="26" spans="1:29" ht="19.5" thickBot="1" x14ac:dyDescent="0.35">
      <c r="A26" s="583">
        <f>Gen!B33</f>
        <v>0.45500000000000002</v>
      </c>
      <c r="B26" s="537">
        <f>Gen!A33</f>
        <v>44400</v>
      </c>
      <c r="C26" s="524"/>
      <c r="D26" s="526">
        <f t="shared" si="16"/>
        <v>9452.2999999999993</v>
      </c>
      <c r="E26" s="522">
        <v>9455.2000000000007</v>
      </c>
      <c r="F26" s="526">
        <f t="shared" si="15"/>
        <v>348.00000000017462</v>
      </c>
      <c r="G26" s="521"/>
      <c r="H26" s="564">
        <f t="shared" si="6"/>
        <v>44400</v>
      </c>
      <c r="I26" s="524"/>
      <c r="J26" s="565">
        <f>'Water-Meter'!G28</f>
        <v>0</v>
      </c>
      <c r="K26" s="566">
        <f>'Water-Meter'!G29</f>
        <v>0</v>
      </c>
      <c r="L26" s="521">
        <f t="shared" si="2"/>
        <v>0</v>
      </c>
      <c r="M26" s="564">
        <f t="shared" si="7"/>
        <v>44400</v>
      </c>
      <c r="N26" s="524"/>
      <c r="O26" s="6">
        <f>'Water-Meter'!J28</f>
        <v>8573</v>
      </c>
      <c r="P26" s="525">
        <f>'Water-Meter'!J28</f>
        <v>8573</v>
      </c>
      <c r="Q26" s="521">
        <f t="shared" si="13"/>
        <v>-8572</v>
      </c>
      <c r="R26" s="567">
        <f t="shared" si="14"/>
        <v>-5.3077399380804957</v>
      </c>
      <c r="S26" s="568">
        <f>Gen!T33</f>
        <v>4730</v>
      </c>
      <c r="T26" s="569">
        <f t="shared" si="9"/>
        <v>44400</v>
      </c>
      <c r="U26" s="524"/>
      <c r="V26" s="526">
        <f t="shared" si="4"/>
        <v>8315.4</v>
      </c>
      <c r="W26" s="523">
        <v>8319.7000000000007</v>
      </c>
      <c r="X26" s="526">
        <f t="shared" si="0"/>
        <v>860.00000000021828</v>
      </c>
      <c r="Y26" s="564">
        <f t="shared" si="10"/>
        <v>44400</v>
      </c>
      <c r="Z26" s="524"/>
      <c r="AA26" s="521"/>
      <c r="AB26" s="525">
        <f>'Water-Meter'!P28</f>
        <v>21749</v>
      </c>
      <c r="AC26" s="574">
        <f t="shared" si="11"/>
        <v>-21741</v>
      </c>
    </row>
    <row r="27" spans="1:29" ht="19.5" thickBot="1" x14ac:dyDescent="0.35">
      <c r="A27" s="583">
        <f>Gen!B34</f>
        <v>0.247</v>
      </c>
      <c r="B27" s="537">
        <f>Gen!A34</f>
        <v>44401</v>
      </c>
      <c r="C27" s="524"/>
      <c r="D27" s="526">
        <f t="shared" si="16"/>
        <v>9455.2000000000007</v>
      </c>
      <c r="E27" s="522">
        <v>9458.1</v>
      </c>
      <c r="F27" s="526">
        <f t="shared" si="15"/>
        <v>347.99999999995634</v>
      </c>
      <c r="G27" s="521"/>
      <c r="H27" s="564">
        <f t="shared" si="6"/>
        <v>44401</v>
      </c>
      <c r="I27" s="524"/>
      <c r="J27" s="565">
        <f>'Water-Meter'!G29</f>
        <v>0</v>
      </c>
      <c r="K27" s="566">
        <f>'Water-Meter'!G30</f>
        <v>0</v>
      </c>
      <c r="L27" s="521">
        <f t="shared" si="2"/>
        <v>0</v>
      </c>
      <c r="M27" s="564">
        <f t="shared" si="7"/>
        <v>44401</v>
      </c>
      <c r="N27" s="524"/>
      <c r="O27" s="6">
        <f>'Water-Meter'!J29</f>
        <v>8575</v>
      </c>
      <c r="P27" s="525">
        <f>'Water-Meter'!J29</f>
        <v>8575</v>
      </c>
      <c r="Q27" s="521">
        <f t="shared" si="13"/>
        <v>-8573</v>
      </c>
      <c r="R27" s="567">
        <f t="shared" si="14"/>
        <v>-5.3083591331269346</v>
      </c>
      <c r="S27" s="568">
        <f>Gen!T34</f>
        <v>4879</v>
      </c>
      <c r="T27" s="569">
        <f t="shared" si="9"/>
        <v>44401</v>
      </c>
      <c r="U27" s="524"/>
      <c r="V27" s="526">
        <f t="shared" si="4"/>
        <v>8319.7000000000007</v>
      </c>
      <c r="W27" s="523">
        <v>8323.4</v>
      </c>
      <c r="X27" s="526">
        <f t="shared" si="0"/>
        <v>739.99999999978172</v>
      </c>
      <c r="Y27" s="564">
        <f t="shared" si="10"/>
        <v>44401</v>
      </c>
      <c r="Z27" s="524"/>
      <c r="AA27" s="521"/>
      <c r="AB27" s="525">
        <f>'Water-Meter'!P29</f>
        <v>21760</v>
      </c>
      <c r="AC27" s="574">
        <f t="shared" si="11"/>
        <v>-21749</v>
      </c>
    </row>
    <row r="28" spans="1:29" ht="19.5" thickBot="1" x14ac:dyDescent="0.35">
      <c r="A28" s="583">
        <f>Gen!B35</f>
        <v>0.20799999999999999</v>
      </c>
      <c r="B28" s="537">
        <f>Gen!A35</f>
        <v>44402</v>
      </c>
      <c r="C28" s="524"/>
      <c r="D28" s="526">
        <f t="shared" si="16"/>
        <v>9458.1</v>
      </c>
      <c r="E28" s="522">
        <v>9461.1</v>
      </c>
      <c r="F28" s="526">
        <f t="shared" si="15"/>
        <v>360</v>
      </c>
      <c r="G28" s="521"/>
      <c r="H28" s="564">
        <f t="shared" si="6"/>
        <v>44402</v>
      </c>
      <c r="I28" s="524"/>
      <c r="J28" s="565">
        <f>'Water-Meter'!G30</f>
        <v>0</v>
      </c>
      <c r="K28" s="566">
        <f>'Water-Meter'!G31</f>
        <v>0</v>
      </c>
      <c r="L28" s="521">
        <f t="shared" si="2"/>
        <v>0</v>
      </c>
      <c r="M28" s="564">
        <f t="shared" si="7"/>
        <v>44402</v>
      </c>
      <c r="N28" s="524"/>
      <c r="O28" s="6">
        <f>'Water-Meter'!J30</f>
        <v>8577</v>
      </c>
      <c r="P28" s="525">
        <f>'Water-Meter'!J30</f>
        <v>8577</v>
      </c>
      <c r="Q28" s="521">
        <f t="shared" si="13"/>
        <v>-8575</v>
      </c>
      <c r="R28" s="567">
        <f t="shared" si="14"/>
        <v>-5.3095975232198143</v>
      </c>
      <c r="S28" s="568">
        <f>Gen!T35</f>
        <v>4599</v>
      </c>
      <c r="T28" s="569">
        <f t="shared" si="9"/>
        <v>44402</v>
      </c>
      <c r="U28" s="524"/>
      <c r="V28" s="526">
        <f t="shared" si="4"/>
        <v>8323.4</v>
      </c>
      <c r="W28" s="523">
        <v>8327.4</v>
      </c>
      <c r="X28" s="526">
        <f t="shared" si="0"/>
        <v>800</v>
      </c>
      <c r="Y28" s="564">
        <f t="shared" si="10"/>
        <v>44402</v>
      </c>
      <c r="Z28" s="524"/>
      <c r="AA28" s="521"/>
      <c r="AB28" s="525">
        <f>'Water-Meter'!P30</f>
        <v>21770</v>
      </c>
      <c r="AC28" s="574">
        <f t="shared" si="11"/>
        <v>-21760</v>
      </c>
    </row>
    <row r="29" spans="1:29" ht="19.5" thickBot="1" x14ac:dyDescent="0.35">
      <c r="A29" s="583">
        <f>Gen!B36</f>
        <v>0.156</v>
      </c>
      <c r="B29" s="537">
        <f>Gen!A36</f>
        <v>44403</v>
      </c>
      <c r="C29" s="524"/>
      <c r="D29" s="526">
        <f t="shared" si="16"/>
        <v>9461.1</v>
      </c>
      <c r="E29" s="522">
        <v>9463.4</v>
      </c>
      <c r="F29" s="526">
        <f t="shared" si="15"/>
        <v>275.99999999991269</v>
      </c>
      <c r="G29" s="521"/>
      <c r="H29" s="564">
        <f t="shared" si="6"/>
        <v>44403</v>
      </c>
      <c r="I29" s="524"/>
      <c r="J29" s="565">
        <f>'Water-Meter'!G31</f>
        <v>0</v>
      </c>
      <c r="K29" s="566">
        <f>'Water-Meter'!G32</f>
        <v>0</v>
      </c>
      <c r="L29" s="521">
        <f t="shared" si="2"/>
        <v>0</v>
      </c>
      <c r="M29" s="564">
        <f t="shared" si="7"/>
        <v>44403</v>
      </c>
      <c r="N29" s="524"/>
      <c r="O29" s="6">
        <f>'Water-Meter'!J31</f>
        <v>8580</v>
      </c>
      <c r="P29" s="525">
        <f>'Water-Meter'!J31</f>
        <v>8580</v>
      </c>
      <c r="Q29" s="521">
        <f t="shared" si="13"/>
        <v>-8577</v>
      </c>
      <c r="R29" s="567">
        <f t="shared" si="14"/>
        <v>-5.3108359133126939</v>
      </c>
      <c r="S29" s="568">
        <f>Gen!T36</f>
        <v>4415</v>
      </c>
      <c r="T29" s="569">
        <f t="shared" si="9"/>
        <v>44403</v>
      </c>
      <c r="U29" s="524"/>
      <c r="V29" s="526">
        <f t="shared" si="4"/>
        <v>8327.4</v>
      </c>
      <c r="W29" s="523">
        <v>8331.7000000000007</v>
      </c>
      <c r="X29" s="526">
        <f t="shared" si="0"/>
        <v>860.00000000021828</v>
      </c>
      <c r="Y29" s="564">
        <f t="shared" si="10"/>
        <v>44403</v>
      </c>
      <c r="Z29" s="524"/>
      <c r="AA29" s="521"/>
      <c r="AB29" s="525">
        <f>'Water-Meter'!P31</f>
        <v>21780</v>
      </c>
      <c r="AC29" s="574">
        <f t="shared" si="11"/>
        <v>-21770</v>
      </c>
    </row>
    <row r="30" spans="1:29" ht="19.5" thickBot="1" x14ac:dyDescent="0.35">
      <c r="A30" s="583">
        <f>Gen!B37</f>
        <v>0.29899999999999999</v>
      </c>
      <c r="B30" s="537">
        <f>Gen!A37</f>
        <v>44404</v>
      </c>
      <c r="C30" s="524"/>
      <c r="D30" s="526">
        <f t="shared" si="16"/>
        <v>9463.4</v>
      </c>
      <c r="E30" s="522">
        <v>9465.9</v>
      </c>
      <c r="F30" s="526">
        <f t="shared" si="15"/>
        <v>300</v>
      </c>
      <c r="G30" s="521"/>
      <c r="H30" s="564">
        <f t="shared" si="6"/>
        <v>44404</v>
      </c>
      <c r="I30" s="524"/>
      <c r="J30" s="565">
        <f>'Water-Meter'!G32</f>
        <v>0</v>
      </c>
      <c r="K30" s="566">
        <f>'Water-Meter'!G33</f>
        <v>0</v>
      </c>
      <c r="L30" s="521">
        <f t="shared" si="2"/>
        <v>0</v>
      </c>
      <c r="M30" s="564">
        <f t="shared" si="7"/>
        <v>44404</v>
      </c>
      <c r="N30" s="524"/>
      <c r="O30" s="6">
        <f>'Water-Meter'!J32</f>
        <v>8582</v>
      </c>
      <c r="P30" s="525">
        <f>'Water-Meter'!J32</f>
        <v>8582</v>
      </c>
      <c r="Q30" s="521">
        <f t="shared" si="13"/>
        <v>-8580</v>
      </c>
      <c r="R30" s="567">
        <f t="shared" si="14"/>
        <v>-5.3126934984520124</v>
      </c>
      <c r="S30" s="568">
        <f>Gen!T37</f>
        <v>4607</v>
      </c>
      <c r="T30" s="569">
        <f t="shared" si="9"/>
        <v>44404</v>
      </c>
      <c r="U30" s="524"/>
      <c r="V30" s="526">
        <f t="shared" si="4"/>
        <v>8331.7000000000007</v>
      </c>
      <c r="W30" s="523">
        <v>8335.2000000000007</v>
      </c>
      <c r="X30" s="526">
        <f t="shared" si="0"/>
        <v>700</v>
      </c>
      <c r="Y30" s="564">
        <f t="shared" si="10"/>
        <v>44404</v>
      </c>
      <c r="Z30" s="524"/>
      <c r="AA30" s="521"/>
      <c r="AB30" s="525">
        <f>'Water-Meter'!P32</f>
        <v>21788</v>
      </c>
      <c r="AC30" s="574">
        <f t="shared" si="11"/>
        <v>-21780</v>
      </c>
    </row>
    <row r="31" spans="1:29" ht="19.5" thickBot="1" x14ac:dyDescent="0.35">
      <c r="A31" s="583">
        <f>Gen!B38</f>
        <v>0.46800000000000003</v>
      </c>
      <c r="B31" s="537">
        <f>Gen!A38</f>
        <v>44405</v>
      </c>
      <c r="C31" s="524"/>
      <c r="D31" s="526">
        <f t="shared" si="16"/>
        <v>9465.9</v>
      </c>
      <c r="E31" s="522">
        <v>9468.6</v>
      </c>
      <c r="F31" s="526">
        <f t="shared" si="15"/>
        <v>324.00000000008731</v>
      </c>
      <c r="G31" s="521"/>
      <c r="H31" s="564">
        <f t="shared" si="6"/>
        <v>44405</v>
      </c>
      <c r="I31" s="524"/>
      <c r="J31" s="565">
        <f>'Water-Meter'!G33</f>
        <v>0</v>
      </c>
      <c r="K31" s="566">
        <f>'Water-Meter'!G34</f>
        <v>0</v>
      </c>
      <c r="L31" s="521">
        <f t="shared" si="2"/>
        <v>0</v>
      </c>
      <c r="M31" s="564">
        <f t="shared" si="7"/>
        <v>44405</v>
      </c>
      <c r="N31" s="524"/>
      <c r="O31" s="6">
        <f>'Water-Meter'!J33</f>
        <v>8585</v>
      </c>
      <c r="P31" s="525">
        <f>'Water-Meter'!J33</f>
        <v>8585</v>
      </c>
      <c r="Q31" s="521">
        <f t="shared" si="13"/>
        <v>-8582</v>
      </c>
      <c r="R31" s="567">
        <f t="shared" si="14"/>
        <v>-5.3139318885448921</v>
      </c>
      <c r="S31" s="568">
        <f>Gen!T38</f>
        <v>4642</v>
      </c>
      <c r="T31" s="569">
        <f t="shared" si="9"/>
        <v>44405</v>
      </c>
      <c r="U31" s="524"/>
      <c r="V31" s="526">
        <f t="shared" si="4"/>
        <v>8335.2000000000007</v>
      </c>
      <c r="W31" s="523">
        <v>8338.6</v>
      </c>
      <c r="X31" s="526">
        <f t="shared" si="0"/>
        <v>679.99999999992724</v>
      </c>
      <c r="Y31" s="564">
        <f>T31</f>
        <v>44405</v>
      </c>
      <c r="Z31" s="524"/>
      <c r="AA31" s="521"/>
      <c r="AB31" s="525">
        <f>'Water-Meter'!P33</f>
        <v>21797</v>
      </c>
      <c r="AC31" s="574">
        <f t="shared" si="11"/>
        <v>-21788</v>
      </c>
    </row>
    <row r="32" spans="1:29" ht="19.5" thickBot="1" x14ac:dyDescent="0.35">
      <c r="A32" s="583">
        <f>Gen!B39</f>
        <v>0.51</v>
      </c>
      <c r="B32" s="537">
        <f>Gen!A39</f>
        <v>44406</v>
      </c>
      <c r="C32" s="524"/>
      <c r="D32" s="526">
        <f t="shared" si="16"/>
        <v>9468.6</v>
      </c>
      <c r="E32" s="522">
        <v>9471.4</v>
      </c>
      <c r="F32" s="526">
        <f t="shared" si="15"/>
        <v>335.99999999991269</v>
      </c>
      <c r="G32" s="521"/>
      <c r="H32" s="564">
        <f t="shared" si="6"/>
        <v>44406</v>
      </c>
      <c r="I32" s="524"/>
      <c r="J32" s="565">
        <f>'Water-Meter'!G34</f>
        <v>0</v>
      </c>
      <c r="K32" s="566">
        <f>'Water-Meter'!G34</f>
        <v>0</v>
      </c>
      <c r="L32" s="521">
        <f t="shared" si="2"/>
        <v>0</v>
      </c>
      <c r="M32" s="564">
        <f t="shared" si="7"/>
        <v>44406</v>
      </c>
      <c r="N32" s="524"/>
      <c r="O32" s="6">
        <f>'Water-Meter'!J34</f>
        <v>8587</v>
      </c>
      <c r="P32" s="525">
        <f>'Water-Meter'!J34</f>
        <v>8587</v>
      </c>
      <c r="Q32" s="521">
        <f t="shared" si="13"/>
        <v>-8585</v>
      </c>
      <c r="R32" s="567">
        <f t="shared" si="14"/>
        <v>-5.3157894736842106</v>
      </c>
      <c r="S32" s="568">
        <f>Gen!T39</f>
        <v>3985</v>
      </c>
      <c r="T32" s="569">
        <f t="shared" si="9"/>
        <v>44406</v>
      </c>
      <c r="U32" s="524"/>
      <c r="V32" s="526">
        <f t="shared" si="4"/>
        <v>8338.6</v>
      </c>
      <c r="W32" s="523">
        <v>8341.6</v>
      </c>
      <c r="X32" s="526">
        <f t="shared" si="0"/>
        <v>600</v>
      </c>
      <c r="Y32" s="564">
        <f t="shared" ref="Y32:Y35" si="17">T32</f>
        <v>44406</v>
      </c>
      <c r="Z32" s="524"/>
      <c r="AA32" s="521"/>
      <c r="AB32" s="525">
        <f>'Water-Meter'!P34</f>
        <v>21807</v>
      </c>
      <c r="AC32" s="574">
        <f t="shared" si="11"/>
        <v>-21797</v>
      </c>
    </row>
    <row r="33" spans="1:29" ht="19.5" thickBot="1" x14ac:dyDescent="0.35">
      <c r="A33" s="583">
        <f>Gen!B40</f>
        <v>0.38</v>
      </c>
      <c r="B33" s="537">
        <f>Gen!A40</f>
        <v>44407</v>
      </c>
      <c r="C33" s="524"/>
      <c r="D33" s="526">
        <f t="shared" si="16"/>
        <v>9471.4</v>
      </c>
      <c r="E33" s="522">
        <v>9473.9</v>
      </c>
      <c r="F33" s="526">
        <f t="shared" si="15"/>
        <v>300</v>
      </c>
      <c r="G33" s="521"/>
      <c r="H33" s="564">
        <f t="shared" si="6"/>
        <v>44407</v>
      </c>
      <c r="I33" s="524"/>
      <c r="J33" s="565">
        <f>'Water-Meter'!G35</f>
        <v>0</v>
      </c>
      <c r="K33" s="566">
        <f>'Water-Meter'!G35</f>
        <v>0</v>
      </c>
      <c r="L33" s="521">
        <f t="shared" si="2"/>
        <v>0</v>
      </c>
      <c r="M33" s="564">
        <f t="shared" si="7"/>
        <v>44407</v>
      </c>
      <c r="N33" s="524"/>
      <c r="O33" s="6">
        <f>'Water-Meter'!J35</f>
        <v>8590</v>
      </c>
      <c r="P33" s="525">
        <f>'Water-Meter'!J35</f>
        <v>8590</v>
      </c>
      <c r="Q33" s="521">
        <f t="shared" si="13"/>
        <v>-8587</v>
      </c>
      <c r="R33" s="567">
        <f t="shared" si="14"/>
        <v>-5.3170278637770894</v>
      </c>
      <c r="S33" s="568">
        <f>Gen!T40</f>
        <v>4484</v>
      </c>
      <c r="T33" s="569">
        <f t="shared" si="9"/>
        <v>44407</v>
      </c>
      <c r="U33" s="524"/>
      <c r="V33" s="526">
        <f t="shared" si="4"/>
        <v>8341.6</v>
      </c>
      <c r="W33" s="523">
        <v>8344.9</v>
      </c>
      <c r="X33" s="526">
        <f t="shared" si="0"/>
        <v>659.99999999985448</v>
      </c>
      <c r="Y33" s="564">
        <f t="shared" si="17"/>
        <v>44407</v>
      </c>
      <c r="Z33" s="524"/>
      <c r="AA33" s="521"/>
      <c r="AB33" s="525">
        <f>'Water-Meter'!P35</f>
        <v>21817</v>
      </c>
      <c r="AC33" s="574">
        <f t="shared" si="11"/>
        <v>-21807</v>
      </c>
    </row>
    <row r="34" spans="1:29" ht="18.75" x14ac:dyDescent="0.3">
      <c r="A34" s="583">
        <f>Gen!B41</f>
        <v>0.15</v>
      </c>
      <c r="B34" s="537">
        <f>Gen!A41</f>
        <v>44408</v>
      </c>
      <c r="C34" s="6"/>
      <c r="D34" s="526">
        <f t="shared" si="16"/>
        <v>9473.9</v>
      </c>
      <c r="E34" s="522">
        <v>9476.7000000000007</v>
      </c>
      <c r="F34" s="526">
        <f t="shared" si="15"/>
        <v>336.00000000013097</v>
      </c>
      <c r="G34" s="6"/>
      <c r="H34" s="564">
        <f t="shared" si="6"/>
        <v>44408</v>
      </c>
      <c r="I34" s="6"/>
      <c r="J34" s="565">
        <f>'Water-Meter'!G36</f>
        <v>0</v>
      </c>
      <c r="K34" s="566">
        <f>'Water-Meter'!G36</f>
        <v>0</v>
      </c>
      <c r="L34" s="521">
        <f t="shared" si="2"/>
        <v>0</v>
      </c>
      <c r="M34" s="564">
        <f t="shared" si="7"/>
        <v>44408</v>
      </c>
      <c r="N34" s="6"/>
      <c r="O34" s="6">
        <f>'Water-Meter'!J36</f>
        <v>8592</v>
      </c>
      <c r="P34" s="525">
        <f>'Water-Meter'!J36</f>
        <v>8592</v>
      </c>
      <c r="Q34" s="521">
        <f t="shared" si="13"/>
        <v>-8590</v>
      </c>
      <c r="R34" s="567">
        <f t="shared" si="14"/>
        <v>-5.3188854489164088</v>
      </c>
      <c r="S34" s="568">
        <f>Gen!T41</f>
        <v>4015</v>
      </c>
      <c r="T34" s="569">
        <f t="shared" si="9"/>
        <v>44408</v>
      </c>
      <c r="U34" s="6"/>
      <c r="V34" s="526">
        <f t="shared" ref="V34:V35" si="18">SUM(W33)</f>
        <v>8344.9</v>
      </c>
      <c r="W34" s="523">
        <v>8348.7000000000007</v>
      </c>
      <c r="X34" s="526">
        <f t="shared" si="0"/>
        <v>760.00000000021828</v>
      </c>
      <c r="Y34" s="564">
        <f t="shared" si="17"/>
        <v>44408</v>
      </c>
      <c r="Z34" s="6"/>
      <c r="AA34" s="521"/>
      <c r="AB34" s="525">
        <f>'Water-Meter'!P36</f>
        <v>21828</v>
      </c>
      <c r="AC34" s="574">
        <f t="shared" si="11"/>
        <v>-21817</v>
      </c>
    </row>
    <row r="35" spans="1:29" ht="20.25" customHeight="1" x14ac:dyDescent="0.3">
      <c r="A35" s="584" t="e">
        <v>#REF!</v>
      </c>
      <c r="B35" s="538" t="e">
        <v>#REF!</v>
      </c>
      <c r="C35" s="7"/>
      <c r="D35" s="539">
        <f t="shared" si="16"/>
        <v>9476.7000000000007</v>
      </c>
      <c r="E35" s="540">
        <v>9479.2000000000007</v>
      </c>
      <c r="F35" s="526">
        <f t="shared" si="15"/>
        <v>300</v>
      </c>
      <c r="G35" s="7"/>
      <c r="H35" s="575" t="e">
        <f t="shared" si="6"/>
        <v>#REF!</v>
      </c>
      <c r="I35" s="7"/>
      <c r="J35" s="543">
        <f t="shared" ref="J35" si="19">SUM(K34)</f>
        <v>0</v>
      </c>
      <c r="K35" s="576">
        <f>'Water-Meter'!G37</f>
        <v>0</v>
      </c>
      <c r="L35" s="7">
        <f>SUM(L5:L34)</f>
        <v>0</v>
      </c>
      <c r="M35" s="575" t="e">
        <f t="shared" si="7"/>
        <v>#REF!</v>
      </c>
      <c r="N35" s="7"/>
      <c r="O35" s="543"/>
      <c r="P35" s="544">
        <f>'Water-Meter'!J37</f>
        <v>0</v>
      </c>
      <c r="Q35" s="543">
        <f t="shared" si="13"/>
        <v>-8592</v>
      </c>
      <c r="R35" s="577">
        <f t="shared" si="14"/>
        <v>-5.3201238390092875</v>
      </c>
      <c r="S35" s="578">
        <f>Gen!T42</f>
        <v>0</v>
      </c>
      <c r="T35" s="575" t="e">
        <f t="shared" ref="T35" si="20">M35</f>
        <v>#REF!</v>
      </c>
      <c r="U35" s="7"/>
      <c r="V35" s="539">
        <f t="shared" si="18"/>
        <v>8348.7000000000007</v>
      </c>
      <c r="W35" s="545">
        <v>8352.7999999999993</v>
      </c>
      <c r="X35" s="539">
        <f t="shared" si="0"/>
        <v>819.99999999970896</v>
      </c>
      <c r="Y35" s="575" t="e">
        <f t="shared" si="17"/>
        <v>#REF!</v>
      </c>
      <c r="Z35" s="7"/>
      <c r="AA35" s="543"/>
      <c r="AB35" s="544">
        <f>'Water-Meter'!P37</f>
        <v>0</v>
      </c>
      <c r="AC35" s="579">
        <f t="shared" si="11"/>
        <v>-21828</v>
      </c>
    </row>
    <row r="36" spans="1:29" ht="24.75" customHeight="1" x14ac:dyDescent="0.3">
      <c r="A36" s="861"/>
      <c r="E36" s="353"/>
      <c r="L36" s="125"/>
      <c r="Q36" s="125"/>
      <c r="R36" s="145"/>
      <c r="X36" s="352">
        <f>SUM(X4:X6)</f>
        <v>1648380</v>
      </c>
      <c r="AC36" s="125"/>
    </row>
    <row r="37" spans="1:29" ht="12.75" customHeight="1" x14ac:dyDescent="0.3">
      <c r="A37" s="861"/>
      <c r="E37" s="353"/>
    </row>
    <row r="38" spans="1:29" ht="12.75" customHeight="1" x14ac:dyDescent="0.2">
      <c r="A38" s="861"/>
      <c r="E38" s="145"/>
      <c r="K38" s="145"/>
      <c r="W38" s="145"/>
      <c r="AB38" s="145"/>
    </row>
    <row r="39" spans="1:29" ht="12.75" customHeight="1" x14ac:dyDescent="0.3">
      <c r="A39" s="861"/>
      <c r="E39" s="353"/>
    </row>
    <row r="40" spans="1:29" ht="12.75" customHeight="1" x14ac:dyDescent="0.2">
      <c r="A40" s="861"/>
      <c r="D40" s="125"/>
      <c r="E40" s="145"/>
      <c r="V40" s="125"/>
      <c r="W40" s="145"/>
    </row>
    <row r="41" spans="1:29" ht="12.75" customHeight="1" x14ac:dyDescent="0.3">
      <c r="A41" s="861"/>
      <c r="E41" s="353"/>
    </row>
    <row r="42" spans="1:29" ht="12.75" customHeight="1" x14ac:dyDescent="0.2">
      <c r="A42" s="861"/>
      <c r="C42" s="146"/>
      <c r="E42" s="145"/>
      <c r="U42" s="146"/>
    </row>
    <row r="43" spans="1:29" ht="18.75" x14ac:dyDescent="0.3">
      <c r="A43" s="861"/>
      <c r="E43" s="353"/>
    </row>
    <row r="44" spans="1:29" x14ac:dyDescent="0.2">
      <c r="A44" s="861"/>
      <c r="E44" s="145"/>
    </row>
    <row r="45" spans="1:29" ht="18.75" x14ac:dyDescent="0.3">
      <c r="A45" s="861"/>
      <c r="E45" s="353"/>
    </row>
    <row r="46" spans="1:29" x14ac:dyDescent="0.2">
      <c r="A46" s="861"/>
      <c r="E46" s="145"/>
    </row>
    <row r="47" spans="1:29" ht="18.75" x14ac:dyDescent="0.3">
      <c r="A47" s="861"/>
      <c r="E47" s="353"/>
    </row>
    <row r="48" spans="1:29" x14ac:dyDescent="0.2">
      <c r="A48" s="861"/>
      <c r="E48" s="145"/>
    </row>
    <row r="49" spans="5:5" ht="18.75" x14ac:dyDescent="0.3">
      <c r="E49" s="353"/>
    </row>
    <row r="50" spans="5:5" x14ac:dyDescent="0.2">
      <c r="E50" s="145"/>
    </row>
    <row r="51" spans="5:5" ht="18.75" x14ac:dyDescent="0.3">
      <c r="E51" s="353"/>
    </row>
    <row r="52" spans="5:5" x14ac:dyDescent="0.2">
      <c r="E52" s="145"/>
    </row>
    <row r="53" spans="5:5" ht="18.75" x14ac:dyDescent="0.3">
      <c r="E53" s="35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  <col min="3" max="6" width="15.7109375" customWidth="1"/>
  </cols>
  <sheetData>
    <row r="1" spans="1:6" s="14" customFormat="1" ht="20.25" customHeight="1" x14ac:dyDescent="0.2">
      <c r="A1" s="10" t="s">
        <v>32</v>
      </c>
      <c r="B1" s="13" t="s">
        <v>122</v>
      </c>
      <c r="C1" s="10" t="s">
        <v>107</v>
      </c>
      <c r="D1" s="10" t="s">
        <v>123</v>
      </c>
      <c r="E1" s="10" t="s">
        <v>124</v>
      </c>
    </row>
    <row r="2" spans="1:6" x14ac:dyDescent="0.2">
      <c r="A2" s="79">
        <f>Gen!A11</f>
        <v>44378</v>
      </c>
      <c r="B2" s="12">
        <f>'Summery Report'!F5</f>
        <v>4264</v>
      </c>
      <c r="C2" s="103">
        <f>'Summery Report'!C5</f>
        <v>0.3</v>
      </c>
      <c r="D2" s="800">
        <f>'Summery Report'!D5</f>
        <v>23</v>
      </c>
      <c r="E2" s="800">
        <f>'Summery Report'!E5</f>
        <v>23</v>
      </c>
      <c r="F2" s="18"/>
    </row>
    <row r="3" spans="1:6" x14ac:dyDescent="0.2">
      <c r="A3" s="79">
        <f>Gen!A12</f>
        <v>44379</v>
      </c>
      <c r="B3" s="12">
        <f>'Summery Report'!F6</f>
        <v>4274</v>
      </c>
      <c r="C3" s="103">
        <f>'Summery Report'!C6</f>
        <v>0.35</v>
      </c>
      <c r="D3" s="800">
        <f>'Summery Report'!D6</f>
        <v>27</v>
      </c>
      <c r="E3" s="800">
        <f>'Summery Report'!E6</f>
        <v>27</v>
      </c>
      <c r="F3" s="18"/>
    </row>
    <row r="4" spans="1:6" x14ac:dyDescent="0.2">
      <c r="A4" s="79">
        <f>Gen!A13</f>
        <v>44380</v>
      </c>
      <c r="B4" s="12">
        <f>'Summery Report'!F7</f>
        <v>4467</v>
      </c>
      <c r="C4" s="103">
        <f>'Summery Report'!C7</f>
        <v>0.26090000000000002</v>
      </c>
      <c r="D4" s="800">
        <f>'Summery Report'!D7</f>
        <v>20</v>
      </c>
      <c r="E4" s="800">
        <f>'Summery Report'!E7</f>
        <v>20</v>
      </c>
      <c r="F4" s="18"/>
    </row>
    <row r="5" spans="1:6" x14ac:dyDescent="0.2">
      <c r="A5" s="79">
        <f>Gen!A14</f>
        <v>44381</v>
      </c>
      <c r="B5" s="12">
        <f>'Summery Report'!F8</f>
        <v>4106</v>
      </c>
      <c r="C5" s="103">
        <f>'Summery Report'!C8</f>
        <v>0.18</v>
      </c>
      <c r="D5" s="800">
        <f>'Summery Report'!D8</f>
        <v>14</v>
      </c>
      <c r="E5" s="800">
        <f>'Summery Report'!E8</f>
        <v>14</v>
      </c>
      <c r="F5" s="18"/>
    </row>
    <row r="6" spans="1:6" x14ac:dyDescent="0.2">
      <c r="A6" s="79">
        <f>Gen!A15</f>
        <v>44382</v>
      </c>
      <c r="B6" s="12">
        <f>'Summery Report'!F9</f>
        <v>4026</v>
      </c>
      <c r="C6" s="103">
        <f>'Summery Report'!C9</f>
        <v>0.14000000000000001</v>
      </c>
      <c r="D6" s="800">
        <f>'Summery Report'!D9</f>
        <v>11</v>
      </c>
      <c r="E6" s="800">
        <f>'Summery Report'!E9</f>
        <v>11</v>
      </c>
      <c r="F6" s="18"/>
    </row>
    <row r="7" spans="1:6" x14ac:dyDescent="0.2">
      <c r="A7" s="79">
        <f>Gen!A16</f>
        <v>44383</v>
      </c>
      <c r="B7" s="12">
        <f>'Summery Report'!F10</f>
        <v>4145</v>
      </c>
      <c r="C7" s="103">
        <f>'Summery Report'!C10</f>
        <v>0.16900000000000001</v>
      </c>
      <c r="D7" s="800">
        <f>'Summery Report'!D10</f>
        <v>14</v>
      </c>
      <c r="E7" s="800">
        <f>'Summery Report'!E10</f>
        <v>14</v>
      </c>
      <c r="F7" s="18"/>
    </row>
    <row r="8" spans="1:6" x14ac:dyDescent="0.2">
      <c r="A8" s="79">
        <f>Gen!A17</f>
        <v>44384</v>
      </c>
      <c r="B8" s="12">
        <f>'Summery Report'!F11</f>
        <v>4675</v>
      </c>
      <c r="C8" s="103">
        <f>'Summery Report'!C11</f>
        <v>0.36399999999999999</v>
      </c>
      <c r="D8" s="800">
        <f>'Summery Report'!D11</f>
        <v>29</v>
      </c>
      <c r="E8" s="800">
        <f>'Summery Report'!E11</f>
        <v>29</v>
      </c>
      <c r="F8" s="18"/>
    </row>
    <row r="9" spans="1:6" x14ac:dyDescent="0.2">
      <c r="A9" s="79">
        <f>Gen!A18</f>
        <v>44385</v>
      </c>
      <c r="B9" s="12">
        <f>'Summery Report'!F12</f>
        <v>4550</v>
      </c>
      <c r="C9" s="103">
        <f>'Summery Report'!C12</f>
        <v>0.45500000000000002</v>
      </c>
      <c r="D9" s="800">
        <f>'Summery Report'!D12</f>
        <v>35</v>
      </c>
      <c r="E9" s="800">
        <f>'Summery Report'!E12</f>
        <v>35</v>
      </c>
      <c r="F9" s="18"/>
    </row>
    <row r="10" spans="1:6" x14ac:dyDescent="0.2">
      <c r="A10" s="79">
        <f>Gen!A19</f>
        <v>44386</v>
      </c>
      <c r="B10" s="12">
        <f>'Summery Report'!F13</f>
        <v>4263</v>
      </c>
      <c r="C10" s="103">
        <f>'Summery Report'!C13</f>
        <v>0.46800000000000003</v>
      </c>
      <c r="D10" s="800">
        <f>'Summery Report'!D13</f>
        <v>39</v>
      </c>
      <c r="E10" s="800">
        <f>'Summery Report'!E13</f>
        <v>39</v>
      </c>
      <c r="F10" s="18"/>
    </row>
    <row r="11" spans="1:6" x14ac:dyDescent="0.2">
      <c r="A11" s="79">
        <f>Gen!A20</f>
        <v>44387</v>
      </c>
      <c r="B11" s="12">
        <f>'Summery Report'!F14</f>
        <v>4506</v>
      </c>
      <c r="C11" s="103">
        <f>'Summery Report'!C14</f>
        <v>0.39</v>
      </c>
      <c r="D11" s="800">
        <f>'Summery Report'!D14</f>
        <v>32</v>
      </c>
      <c r="E11" s="800">
        <f>'Summery Report'!E14</f>
        <v>32</v>
      </c>
      <c r="F11" s="18"/>
    </row>
    <row r="12" spans="1:6" x14ac:dyDescent="0.2">
      <c r="A12" s="79">
        <f>Gen!A21</f>
        <v>44388</v>
      </c>
      <c r="B12" s="12">
        <f>'Summery Report'!F15</f>
        <v>4459</v>
      </c>
      <c r="C12" s="103">
        <f>'Summery Report'!C15</f>
        <v>0.40300000000000002</v>
      </c>
      <c r="D12" s="800">
        <f>'Summery Report'!D15</f>
        <v>31</v>
      </c>
      <c r="E12" s="800">
        <f>'Summery Report'!E15</f>
        <v>31</v>
      </c>
      <c r="F12" s="18"/>
    </row>
    <row r="13" spans="1:6" x14ac:dyDescent="0.2">
      <c r="A13" s="79">
        <f>Gen!A22</f>
        <v>44389</v>
      </c>
      <c r="B13" s="12">
        <f>'Summery Report'!F16</f>
        <v>4438</v>
      </c>
      <c r="C13" s="103">
        <f>'Summery Report'!C16</f>
        <v>0.39</v>
      </c>
      <c r="D13" s="800">
        <f>'Summery Report'!D16</f>
        <v>32</v>
      </c>
      <c r="E13" s="800">
        <f>'Summery Report'!E16</f>
        <v>32</v>
      </c>
      <c r="F13" s="18"/>
    </row>
    <row r="14" spans="1:6" x14ac:dyDescent="0.2">
      <c r="A14" s="79">
        <f>Gen!A23</f>
        <v>44390</v>
      </c>
      <c r="B14" s="12">
        <f>'Summery Report'!F17</f>
        <v>4300</v>
      </c>
      <c r="C14" s="103">
        <f>'Summery Report'!C17</f>
        <v>0.221</v>
      </c>
      <c r="D14" s="800">
        <f>'Summery Report'!D17</f>
        <v>19</v>
      </c>
      <c r="E14" s="800">
        <f>'Summery Report'!E17</f>
        <v>19</v>
      </c>
      <c r="F14" s="18"/>
    </row>
    <row r="15" spans="1:6" x14ac:dyDescent="0.2">
      <c r="A15" s="79">
        <f>Gen!A24</f>
        <v>44391</v>
      </c>
      <c r="B15" s="12">
        <f>'Summery Report'!F18</f>
        <v>3902</v>
      </c>
      <c r="C15" s="103">
        <f>'Summery Report'!C18</f>
        <v>0.19500000000000001</v>
      </c>
      <c r="D15" s="800">
        <f>'Summery Report'!D18</f>
        <v>14</v>
      </c>
      <c r="E15" s="800">
        <f>'Summery Report'!E18</f>
        <v>14</v>
      </c>
      <c r="F15" s="18"/>
    </row>
    <row r="16" spans="1:6" x14ac:dyDescent="0.2">
      <c r="A16" s="79">
        <f>Gen!A25</f>
        <v>44392</v>
      </c>
      <c r="B16" s="12">
        <f>'Summery Report'!F19</f>
        <v>3833</v>
      </c>
      <c r="C16" s="103">
        <f>'Summery Report'!C19</f>
        <v>0.20799999999999999</v>
      </c>
      <c r="D16" s="800">
        <f>'Summery Report'!D19</f>
        <v>16</v>
      </c>
      <c r="E16" s="800">
        <f>'Summery Report'!E19</f>
        <v>16</v>
      </c>
      <c r="F16" s="18"/>
    </row>
    <row r="17" spans="1:6" x14ac:dyDescent="0.2">
      <c r="A17" s="79">
        <f>Gen!A26</f>
        <v>44393</v>
      </c>
      <c r="B17" s="12">
        <f>'Summery Report'!F20</f>
        <v>4080</v>
      </c>
      <c r="C17" s="103">
        <f>'Summery Report'!C20</f>
        <v>0.27</v>
      </c>
      <c r="D17" s="800">
        <f>'Summery Report'!D20</f>
        <v>0</v>
      </c>
      <c r="E17" s="800">
        <f>'Summery Report'!E20</f>
        <v>0</v>
      </c>
      <c r="F17" s="18"/>
    </row>
    <row r="18" spans="1:6" x14ac:dyDescent="0.2">
      <c r="A18" s="79">
        <f>Gen!A27</f>
        <v>44394</v>
      </c>
      <c r="B18" s="12">
        <f>'Summery Report'!F21</f>
        <v>4092</v>
      </c>
      <c r="C18" s="103">
        <f>'Summery Report'!C21</f>
        <v>0.26</v>
      </c>
      <c r="D18" s="800">
        <f>'Summery Report'!D21</f>
        <v>0</v>
      </c>
      <c r="E18" s="800">
        <f>'Summery Report'!E21</f>
        <v>0</v>
      </c>
      <c r="F18" s="18"/>
    </row>
    <row r="19" spans="1:6" x14ac:dyDescent="0.2">
      <c r="A19" s="79">
        <f>Gen!A28</f>
        <v>44395</v>
      </c>
      <c r="B19" s="12">
        <f>'Summery Report'!F22</f>
        <v>4450</v>
      </c>
      <c r="C19" s="103">
        <f>'Summery Report'!C22</f>
        <v>0.35</v>
      </c>
      <c r="D19" s="800">
        <f>'Summery Report'!D22</f>
        <v>0</v>
      </c>
      <c r="E19" s="800">
        <f>'Summery Report'!E22</f>
        <v>0</v>
      </c>
      <c r="F19" s="18"/>
    </row>
    <row r="20" spans="1:6" x14ac:dyDescent="0.2">
      <c r="A20" s="79">
        <f>Gen!A29</f>
        <v>44396</v>
      </c>
      <c r="B20" s="12">
        <f>'Summery Report'!F23</f>
        <v>4633</v>
      </c>
      <c r="C20" s="103">
        <f>'Summery Report'!C23</f>
        <v>0.39</v>
      </c>
      <c r="D20" s="800">
        <f>'Summery Report'!D23</f>
        <v>0</v>
      </c>
      <c r="E20" s="800">
        <f>'Summery Report'!E23</f>
        <v>0</v>
      </c>
      <c r="F20" s="18"/>
    </row>
    <row r="21" spans="1:6" x14ac:dyDescent="0.2">
      <c r="A21" s="79">
        <f>Gen!A30</f>
        <v>44397</v>
      </c>
      <c r="B21" s="12">
        <f>'Summery Report'!F24</f>
        <v>4722</v>
      </c>
      <c r="C21" s="103">
        <f>'Summery Report'!C24</f>
        <v>0.39</v>
      </c>
      <c r="D21" s="800">
        <f>'Summery Report'!D24</f>
        <v>0</v>
      </c>
      <c r="E21" s="800">
        <f>'Summery Report'!E24</f>
        <v>0</v>
      </c>
      <c r="F21" s="18"/>
    </row>
    <row r="22" spans="1:6" x14ac:dyDescent="0.2">
      <c r="A22" s="79">
        <f>Gen!A31</f>
        <v>44398</v>
      </c>
      <c r="B22" s="12">
        <f>'Summery Report'!F25</f>
        <v>4911</v>
      </c>
      <c r="C22" s="103">
        <f>'Summery Report'!C25</f>
        <v>0.55000000000000004</v>
      </c>
      <c r="D22" s="800">
        <f>'Summery Report'!D25</f>
        <v>0</v>
      </c>
      <c r="E22" s="800">
        <f>'Summery Report'!E25</f>
        <v>0</v>
      </c>
      <c r="F22" s="18"/>
    </row>
    <row r="23" spans="1:6" x14ac:dyDescent="0.2">
      <c r="A23" s="79">
        <f>Gen!A32</f>
        <v>44399</v>
      </c>
      <c r="B23" s="12">
        <f>'Summery Report'!F26</f>
        <v>5226</v>
      </c>
      <c r="C23" s="103">
        <f>'Summery Report'!C26</f>
        <v>0.54500000000000004</v>
      </c>
      <c r="D23" s="800">
        <f>'Summery Report'!D26</f>
        <v>0</v>
      </c>
      <c r="E23" s="800">
        <f>'Summery Report'!E26</f>
        <v>0</v>
      </c>
      <c r="F23" s="18"/>
    </row>
    <row r="24" spans="1:6" x14ac:dyDescent="0.2">
      <c r="A24" s="79">
        <f>Gen!A33</f>
        <v>44400</v>
      </c>
      <c r="B24" s="12">
        <f>'Summery Report'!F27</f>
        <v>4730</v>
      </c>
      <c r="C24" s="103">
        <f>'Summery Report'!C27</f>
        <v>0.45500000000000002</v>
      </c>
      <c r="D24" s="800">
        <f>'Summery Report'!D27</f>
        <v>0</v>
      </c>
      <c r="E24" s="800">
        <f>'Summery Report'!E27</f>
        <v>0</v>
      </c>
      <c r="F24" s="18"/>
    </row>
    <row r="25" spans="1:6" x14ac:dyDescent="0.2">
      <c r="A25" s="79">
        <f>Gen!A34</f>
        <v>44401</v>
      </c>
      <c r="B25" s="12">
        <f>'Summery Report'!F28</f>
        <v>4879</v>
      </c>
      <c r="C25" s="103">
        <f>'Summery Report'!C28</f>
        <v>0.247</v>
      </c>
      <c r="D25" s="800">
        <f>'Summery Report'!D28</f>
        <v>0</v>
      </c>
      <c r="E25" s="800">
        <f>'Summery Report'!E28</f>
        <v>0</v>
      </c>
      <c r="F25" s="18"/>
    </row>
    <row r="26" spans="1:6" x14ac:dyDescent="0.2">
      <c r="A26" s="79">
        <f>Gen!A35</f>
        <v>44402</v>
      </c>
      <c r="B26" s="12">
        <f>'Summery Report'!F29</f>
        <v>4599</v>
      </c>
      <c r="C26" s="103">
        <f>'Summery Report'!C29</f>
        <v>0.20799999999999999</v>
      </c>
      <c r="D26" s="800">
        <f>'Summery Report'!D29</f>
        <v>0</v>
      </c>
      <c r="E26" s="800">
        <f>'Summery Report'!E29</f>
        <v>0</v>
      </c>
      <c r="F26" s="18"/>
    </row>
    <row r="27" spans="1:6" x14ac:dyDescent="0.2">
      <c r="A27" s="79">
        <f>Gen!A36</f>
        <v>44403</v>
      </c>
      <c r="B27" s="12">
        <f>'Summery Report'!F30</f>
        <v>4415</v>
      </c>
      <c r="C27" s="103">
        <f>'Summery Report'!C30</f>
        <v>0.156</v>
      </c>
      <c r="D27" s="800">
        <f>'Summery Report'!D30</f>
        <v>0</v>
      </c>
      <c r="E27" s="800">
        <f>'Summery Report'!E30</f>
        <v>0</v>
      </c>
      <c r="F27" s="18"/>
    </row>
    <row r="28" spans="1:6" x14ac:dyDescent="0.2">
      <c r="A28" s="79">
        <f>Gen!A37</f>
        <v>44404</v>
      </c>
      <c r="B28" s="12">
        <f>'Summery Report'!F31</f>
        <v>4607</v>
      </c>
      <c r="C28" s="103">
        <f>'Summery Report'!C31</f>
        <v>0.29899999999999999</v>
      </c>
      <c r="D28" s="800">
        <f>'Summery Report'!D31</f>
        <v>0</v>
      </c>
      <c r="E28" s="800">
        <f>'Summery Report'!E31</f>
        <v>0</v>
      </c>
      <c r="F28" s="18"/>
    </row>
    <row r="29" spans="1:6" x14ac:dyDescent="0.2">
      <c r="A29" s="79">
        <f>Gen!A38</f>
        <v>44405</v>
      </c>
      <c r="B29" s="12">
        <f>'Summery Report'!F32</f>
        <v>4642</v>
      </c>
      <c r="C29" s="103">
        <f>'Summery Report'!C32</f>
        <v>0.46800000000000003</v>
      </c>
      <c r="D29" s="800">
        <f>'Summery Report'!D32</f>
        <v>0</v>
      </c>
      <c r="E29" s="800">
        <f>'Summery Report'!E32</f>
        <v>0</v>
      </c>
      <c r="F29" s="18"/>
    </row>
    <row r="30" spans="1:6" x14ac:dyDescent="0.2">
      <c r="A30" s="79">
        <f>Gen!A39</f>
        <v>44406</v>
      </c>
      <c r="B30" s="12">
        <f>'Summery Report'!F33</f>
        <v>3985</v>
      </c>
      <c r="C30" s="103">
        <f>'Summery Report'!C33</f>
        <v>0.51</v>
      </c>
      <c r="D30" s="800">
        <f>'Summery Report'!D33</f>
        <v>0</v>
      </c>
      <c r="E30" s="800">
        <f>'Summery Report'!E33</f>
        <v>0</v>
      </c>
      <c r="F30" s="18"/>
    </row>
    <row r="31" spans="1:6" x14ac:dyDescent="0.2">
      <c r="A31" s="79">
        <f>Gen!A40</f>
        <v>44407</v>
      </c>
      <c r="B31" s="12">
        <f>'Summery Report'!F34</f>
        <v>4484</v>
      </c>
      <c r="C31" s="103">
        <f>'Summery Report'!C34</f>
        <v>0.38</v>
      </c>
      <c r="D31" s="800">
        <f>'Summery Report'!D34</f>
        <v>0</v>
      </c>
      <c r="E31" s="800">
        <f>'Summery Report'!E34</f>
        <v>0</v>
      </c>
      <c r="F31" s="18"/>
    </row>
    <row r="32" spans="1:6" x14ac:dyDescent="0.2">
      <c r="A32" s="79">
        <f>Gen!A41</f>
        <v>44408</v>
      </c>
      <c r="B32" s="12">
        <f>'Summery Report'!F35</f>
        <v>4015</v>
      </c>
      <c r="C32" s="103">
        <f>'Summery Report'!C35</f>
        <v>0.15</v>
      </c>
      <c r="D32" s="800">
        <f>'Summery Report'!D35</f>
        <v>0</v>
      </c>
      <c r="E32" s="800">
        <f>'Summery Report'!E35</f>
        <v>0</v>
      </c>
      <c r="F32" s="18">
        <v>0.17499999999999999</v>
      </c>
    </row>
    <row r="33" spans="1:2" x14ac:dyDescent="0.2">
      <c r="A33" s="79">
        <f>Gen!A42</f>
        <v>0</v>
      </c>
      <c r="B33" s="12">
        <v>0</v>
      </c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pageSetup scale="4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topLeftCell="A19" workbookViewId="0">
      <selection activeCell="K33" sqref="K33"/>
    </sheetView>
  </sheetViews>
  <sheetFormatPr defaultRowHeight="12.75" x14ac:dyDescent="0.2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.7109375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x14ac:dyDescent="0.2">
      <c r="A1" s="889">
        <f>A5</f>
        <v>44378</v>
      </c>
      <c r="B1" s="889"/>
      <c r="C1" s="889"/>
      <c r="D1" s="889"/>
      <c r="E1" s="889"/>
      <c r="F1" s="889"/>
      <c r="G1" s="889"/>
      <c r="H1" s="889"/>
      <c r="I1" s="889"/>
      <c r="J1" s="889"/>
      <c r="K1" s="889"/>
      <c r="L1" s="889"/>
    </row>
    <row r="2" spans="1:13" x14ac:dyDescent="0.2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</row>
    <row r="3" spans="1:13" ht="50.25" customHeight="1" thickBot="1" x14ac:dyDescent="0.25">
      <c r="A3" s="602"/>
      <c r="B3" s="603"/>
      <c r="C3" s="63"/>
      <c r="D3" s="63"/>
      <c r="E3" s="63"/>
      <c r="F3" s="63"/>
      <c r="G3" s="63"/>
      <c r="H3" s="63"/>
      <c r="I3" s="63"/>
      <c r="J3" s="63"/>
      <c r="K3" s="63"/>
      <c r="L3" s="604"/>
    </row>
    <row r="4" spans="1:13" s="40" customFormat="1" ht="50.25" customHeight="1" thickBot="1" x14ac:dyDescent="0.25">
      <c r="A4" s="605" t="s">
        <v>32</v>
      </c>
      <c r="B4" s="606" t="s">
        <v>125</v>
      </c>
      <c r="C4" s="607" t="s">
        <v>126</v>
      </c>
      <c r="D4" s="608" t="s">
        <v>127</v>
      </c>
      <c r="E4" s="608" t="s">
        <v>128</v>
      </c>
      <c r="F4" s="608" t="s">
        <v>129</v>
      </c>
      <c r="G4" s="608" t="s">
        <v>130</v>
      </c>
      <c r="H4" s="608" t="s">
        <v>131</v>
      </c>
      <c r="I4" s="608" t="s">
        <v>132</v>
      </c>
      <c r="J4" s="608" t="s">
        <v>133</v>
      </c>
      <c r="K4" s="608" t="s">
        <v>134</v>
      </c>
      <c r="L4" s="609" t="s">
        <v>135</v>
      </c>
      <c r="M4" s="861"/>
    </row>
    <row r="5" spans="1:13" x14ac:dyDescent="0.2">
      <c r="A5" s="599">
        <f>Gen!A11</f>
        <v>44378</v>
      </c>
      <c r="B5" s="585">
        <f>'Daily report Gen'!Z6</f>
        <v>34</v>
      </c>
      <c r="C5" s="586">
        <f>Gen!B11</f>
        <v>0.3</v>
      </c>
      <c r="D5" s="587">
        <f>E5</f>
        <v>23</v>
      </c>
      <c r="E5" s="588">
        <v>23</v>
      </c>
      <c r="F5" s="799">
        <f>Gen!T11</f>
        <v>4264</v>
      </c>
      <c r="G5" s="797">
        <f>Gen!S11</f>
        <v>1799.58</v>
      </c>
      <c r="H5" s="797">
        <f>Gen!AJ11</f>
        <v>0</v>
      </c>
      <c r="I5" s="830">
        <f>SUM(G5:H5)</f>
        <v>1799.58</v>
      </c>
      <c r="J5" s="589">
        <f>Gen!C11</f>
        <v>29939.139999999992</v>
      </c>
      <c r="K5" s="590">
        <f>'Water-Meter'!E6</f>
        <v>109</v>
      </c>
      <c r="L5" s="591">
        <f>'Lpg (2)'!G10</f>
        <v>130.67999999998722</v>
      </c>
      <c r="M5" s="65" t="e">
        <f>SUM(#REF!-#REF!)</f>
        <v>#REF!</v>
      </c>
    </row>
    <row r="6" spans="1:13" x14ac:dyDescent="0.2">
      <c r="A6" s="600">
        <f>Gen!A12</f>
        <v>44379</v>
      </c>
      <c r="B6" s="592">
        <f>'Daily report Gen'!Z7</f>
        <v>35</v>
      </c>
      <c r="C6" s="73">
        <f>Gen!B12</f>
        <v>0.35</v>
      </c>
      <c r="D6" s="393">
        <f t="shared" ref="D6:D36" si="0">E6</f>
        <v>27</v>
      </c>
      <c r="E6" s="62">
        <v>27</v>
      </c>
      <c r="F6" s="799">
        <f>Gen!T12</f>
        <v>4274</v>
      </c>
      <c r="G6" s="798">
        <f>Gen!S12</f>
        <v>1691.9199999999998</v>
      </c>
      <c r="H6" s="798">
        <f>Gen!AJ12</f>
        <v>324.81</v>
      </c>
      <c r="I6" s="71">
        <f t="shared" ref="I6:I10" si="1">SUM(G6:H6)</f>
        <v>2016.7299999999998</v>
      </c>
      <c r="J6" s="405">
        <f>Gen!C12</f>
        <v>28139.55999999999</v>
      </c>
      <c r="K6" s="263">
        <f>'Water-Meter'!E7</f>
        <v>101</v>
      </c>
      <c r="L6" s="593">
        <f>'Lpg (2)'!G11</f>
        <v>124.52000000001281</v>
      </c>
      <c r="M6" s="65" t="e">
        <f>SUM(#REF!-#REF!)</f>
        <v>#REF!</v>
      </c>
    </row>
    <row r="7" spans="1:13" x14ac:dyDescent="0.2">
      <c r="A7" s="600">
        <f>Gen!A13</f>
        <v>44380</v>
      </c>
      <c r="B7" s="592">
        <f>'Daily report Gen'!Z8</f>
        <v>40</v>
      </c>
      <c r="C7" s="73">
        <f>Gen!B13</f>
        <v>0.26090000000000002</v>
      </c>
      <c r="D7" s="393">
        <f t="shared" si="0"/>
        <v>20</v>
      </c>
      <c r="E7" s="62">
        <v>20</v>
      </c>
      <c r="F7" s="799">
        <f>Gen!T13</f>
        <v>4467</v>
      </c>
      <c r="G7" s="798">
        <f>Gen!S13</f>
        <v>1810.5</v>
      </c>
      <c r="H7" s="798">
        <f>Gen!AJ13</f>
        <v>0</v>
      </c>
      <c r="I7" s="829">
        <f t="shared" si="1"/>
        <v>1810.5</v>
      </c>
      <c r="J7" s="405">
        <f>Gen!C13</f>
        <v>44122.829999999987</v>
      </c>
      <c r="K7" s="263">
        <f>'Water-Meter'!E8</f>
        <v>94</v>
      </c>
      <c r="L7" s="593">
        <f>'Lpg (2)'!G12</f>
        <v>44</v>
      </c>
      <c r="M7" s="65" t="e">
        <f>SUM(#REF!-#REF!)</f>
        <v>#REF!</v>
      </c>
    </row>
    <row r="8" spans="1:13" x14ac:dyDescent="0.2">
      <c r="A8" s="600">
        <f>Gen!A14</f>
        <v>44381</v>
      </c>
      <c r="B8" s="592">
        <f>'Daily report Gen'!Z9</f>
        <v>36</v>
      </c>
      <c r="C8" s="73">
        <f>Gen!B14</f>
        <v>0.18</v>
      </c>
      <c r="D8" s="393">
        <f>E8</f>
        <v>14</v>
      </c>
      <c r="E8" s="62">
        <v>14</v>
      </c>
      <c r="F8" s="799">
        <f>Gen!T14</f>
        <v>4106</v>
      </c>
      <c r="G8" s="798">
        <f>Gen!S14</f>
        <v>1652.34</v>
      </c>
      <c r="H8" s="798">
        <f>Gen!AJ14</f>
        <v>233.22</v>
      </c>
      <c r="I8" s="71">
        <f t="shared" si="1"/>
        <v>1885.56</v>
      </c>
      <c r="J8" s="405">
        <f>Gen!C14</f>
        <v>42312.329999999987</v>
      </c>
      <c r="K8" s="263">
        <f>'Water-Meter'!E9</f>
        <v>98</v>
      </c>
      <c r="L8" s="593">
        <f>'Lpg (2)'!G13</f>
        <v>89.363999999989758</v>
      </c>
      <c r="M8" s="65" t="e">
        <f>SUM(#REF!-#REF!)</f>
        <v>#REF!</v>
      </c>
    </row>
    <row r="9" spans="1:13" x14ac:dyDescent="0.2">
      <c r="A9" s="600">
        <f>Gen!A15</f>
        <v>44382</v>
      </c>
      <c r="B9" s="592">
        <f>'Daily report Gen'!Z10</f>
        <v>34</v>
      </c>
      <c r="C9" s="73">
        <f>Gen!B15</f>
        <v>0.14000000000000001</v>
      </c>
      <c r="D9" s="393">
        <f t="shared" si="0"/>
        <v>11</v>
      </c>
      <c r="E9" s="62">
        <v>11</v>
      </c>
      <c r="F9" s="799">
        <f>Gen!T15</f>
        <v>4026</v>
      </c>
      <c r="G9" s="798">
        <f>Gen!S15</f>
        <v>1644.32</v>
      </c>
      <c r="H9" s="798">
        <f>Gen!AJ15</f>
        <v>148.61000000000001</v>
      </c>
      <c r="I9" s="71">
        <f t="shared" si="1"/>
        <v>1792.9299999999998</v>
      </c>
      <c r="J9" s="405">
        <f>Gen!C15</f>
        <v>40426.76999999999</v>
      </c>
      <c r="K9" s="263">
        <f>'Water-Meter'!E10</f>
        <v>135</v>
      </c>
      <c r="L9" s="593">
        <f>'Lpg (2)'!G14</f>
        <v>112.42000000001282</v>
      </c>
      <c r="M9" s="65" t="e">
        <f>SUM(#REF!-#REF!)</f>
        <v>#REF!</v>
      </c>
    </row>
    <row r="10" spans="1:13" x14ac:dyDescent="0.2">
      <c r="A10" s="600">
        <f>Gen!A16</f>
        <v>44383</v>
      </c>
      <c r="B10" s="592">
        <f>'Daily report Gen'!Z11</f>
        <v>35</v>
      </c>
      <c r="C10" s="73">
        <f>Gen!B16</f>
        <v>0.16900000000000001</v>
      </c>
      <c r="D10" s="393">
        <f t="shared" si="0"/>
        <v>14</v>
      </c>
      <c r="E10" s="62">
        <v>14</v>
      </c>
      <c r="F10" s="799">
        <f>Gen!T16</f>
        <v>4145</v>
      </c>
      <c r="G10" s="798">
        <f>Gen!S16</f>
        <v>1669.23</v>
      </c>
      <c r="H10" s="798">
        <f>Gen!AJ16</f>
        <v>199.93</v>
      </c>
      <c r="I10" s="71">
        <f t="shared" si="1"/>
        <v>1869.16</v>
      </c>
      <c r="J10" s="405">
        <f>Gen!C16</f>
        <v>38633.839999999989</v>
      </c>
      <c r="K10" s="263">
        <f>'Water-Meter'!E11</f>
        <v>124</v>
      </c>
      <c r="L10" s="593">
        <f>'Lpg (2)'!G15</f>
        <v>116.77599999997183</v>
      </c>
      <c r="M10" s="65" t="e">
        <f>SUM(#REF!-#REF!)</f>
        <v>#REF!</v>
      </c>
    </row>
    <row r="11" spans="1:13" x14ac:dyDescent="0.2">
      <c r="A11" s="600">
        <f>Gen!A17</f>
        <v>44384</v>
      </c>
      <c r="B11" s="592">
        <f>'Daily report Gen'!Z12</f>
        <v>41</v>
      </c>
      <c r="C11" s="73">
        <f>Gen!B17</f>
        <v>0.36399999999999999</v>
      </c>
      <c r="D11" s="393">
        <f>E11</f>
        <v>29</v>
      </c>
      <c r="E11" s="62">
        <v>29</v>
      </c>
      <c r="F11" s="799">
        <f>Gen!T17</f>
        <v>4675</v>
      </c>
      <c r="G11" s="798">
        <f>Gen!S17</f>
        <v>1898.91</v>
      </c>
      <c r="H11" s="798">
        <f>Gen!AJ17</f>
        <v>168.95</v>
      </c>
      <c r="I11" s="831">
        <f t="shared" ref="I11:I36" si="2">SUM(G11:H11)</f>
        <v>2067.86</v>
      </c>
      <c r="J11" s="405">
        <f>Gen!C17</f>
        <v>36764.679999999986</v>
      </c>
      <c r="K11" s="263">
        <f>'Water-Meter'!E12</f>
        <v>114</v>
      </c>
      <c r="L11" s="593">
        <f>'Lpg (2)'!G16</f>
        <v>108.32800000004355</v>
      </c>
      <c r="M11" s="65" t="e">
        <f>SUM(#REF!-#REF!)</f>
        <v>#REF!</v>
      </c>
    </row>
    <row r="12" spans="1:13" x14ac:dyDescent="0.2">
      <c r="A12" s="600">
        <f>Gen!A18</f>
        <v>44385</v>
      </c>
      <c r="B12" s="592">
        <f>'Daily report Gen'!Z13</f>
        <v>37</v>
      </c>
      <c r="C12" s="73">
        <f>Gen!B18</f>
        <v>0.45500000000000002</v>
      </c>
      <c r="D12" s="393">
        <f t="shared" si="0"/>
        <v>35</v>
      </c>
      <c r="E12" s="62">
        <v>35</v>
      </c>
      <c r="F12" s="799">
        <f>Gen!T18</f>
        <v>4550</v>
      </c>
      <c r="G12" s="798">
        <f>Gen!S18</f>
        <v>1865.79</v>
      </c>
      <c r="H12" s="798">
        <f>Gen!AJ18</f>
        <v>47</v>
      </c>
      <c r="I12" s="71">
        <f t="shared" si="2"/>
        <v>1912.79</v>
      </c>
      <c r="J12" s="405">
        <f>Gen!C18</f>
        <v>34696.819999999985</v>
      </c>
      <c r="K12" s="263">
        <f>'Water-Meter'!E13</f>
        <v>94</v>
      </c>
      <c r="L12" s="593">
        <f>'Lpg (2)'!G17</f>
        <v>112.37599999997184</v>
      </c>
      <c r="M12" s="65" t="e">
        <f>SUM(#REF!-#REF!)</f>
        <v>#REF!</v>
      </c>
    </row>
    <row r="13" spans="1:13" x14ac:dyDescent="0.2">
      <c r="A13" s="600">
        <f>Gen!A19</f>
        <v>44386</v>
      </c>
      <c r="B13" s="592">
        <f>'Daily report Gen'!Z14</f>
        <v>29</v>
      </c>
      <c r="C13" s="73">
        <f>Gen!B19</f>
        <v>0.46800000000000003</v>
      </c>
      <c r="D13" s="393">
        <f t="shared" si="0"/>
        <v>39</v>
      </c>
      <c r="E13" s="62">
        <v>39</v>
      </c>
      <c r="F13" s="799">
        <f>Gen!T19</f>
        <v>4263</v>
      </c>
      <c r="G13" s="798">
        <f>Gen!S19</f>
        <v>1807.2200000000003</v>
      </c>
      <c r="H13" s="798">
        <f>Gen!AJ19</f>
        <v>456</v>
      </c>
      <c r="I13" s="71">
        <f t="shared" si="2"/>
        <v>2263.2200000000003</v>
      </c>
      <c r="J13" s="405">
        <f>Gen!C19</f>
        <v>32784.029999999984</v>
      </c>
      <c r="K13" s="263">
        <f>'Water-Meter'!E14</f>
        <v>108</v>
      </c>
      <c r="L13" s="593">
        <f>'Lpg (2)'!G18</f>
        <v>103.4</v>
      </c>
      <c r="M13" s="65" t="e">
        <f>SUM(#REF!-#REF!)</f>
        <v>#REF!</v>
      </c>
    </row>
    <row r="14" spans="1:13" x14ac:dyDescent="0.2">
      <c r="A14" s="600">
        <f>Gen!A20</f>
        <v>44387</v>
      </c>
      <c r="B14" s="592">
        <f>'Daily report Gen'!Z15</f>
        <v>43</v>
      </c>
      <c r="C14" s="73">
        <f>Gen!B20</f>
        <v>0.39</v>
      </c>
      <c r="D14" s="393">
        <f t="shared" si="0"/>
        <v>32</v>
      </c>
      <c r="E14" s="62">
        <v>32</v>
      </c>
      <c r="F14" s="799">
        <f>Gen!T20</f>
        <v>4506</v>
      </c>
      <c r="G14" s="798">
        <f>Gen!S20</f>
        <v>1887.8799999999999</v>
      </c>
      <c r="H14" s="798">
        <f>Gen!AJ20</f>
        <v>644.97</v>
      </c>
      <c r="I14" s="71">
        <f t="shared" si="2"/>
        <v>2532.85</v>
      </c>
      <c r="J14" s="405">
        <f>Gen!C20</f>
        <v>30520.809999999983</v>
      </c>
      <c r="K14" s="263">
        <f>'Water-Meter'!E15</f>
        <v>116</v>
      </c>
      <c r="L14" s="593">
        <f>'Lpg (2)'!G19</f>
        <v>117.30400000001538</v>
      </c>
      <c r="M14" s="65" t="e">
        <f>SUM(#REF!-#REF!)</f>
        <v>#REF!</v>
      </c>
    </row>
    <row r="15" spans="1:13" x14ac:dyDescent="0.2">
      <c r="A15" s="600">
        <f>Gen!A21</f>
        <v>44388</v>
      </c>
      <c r="B15" s="592">
        <f>'Daily report Gen'!Z16</f>
        <v>43</v>
      </c>
      <c r="C15" s="73">
        <f>Gen!B21</f>
        <v>0.40300000000000002</v>
      </c>
      <c r="D15" s="393">
        <f t="shared" si="0"/>
        <v>31</v>
      </c>
      <c r="E15" s="62">
        <v>31</v>
      </c>
      <c r="F15" s="799">
        <f>Gen!T21</f>
        <v>4459</v>
      </c>
      <c r="G15" s="798">
        <f>Gen!S21</f>
        <v>1852.6</v>
      </c>
      <c r="H15" s="798">
        <f>Gen!AJ21</f>
        <v>608.62</v>
      </c>
      <c r="I15" s="71">
        <f t="shared" si="2"/>
        <v>2461.2199999999998</v>
      </c>
      <c r="J15" s="405">
        <f>Gen!C21</f>
        <v>45987.959999999985</v>
      </c>
      <c r="K15" s="263">
        <f>'Water-Meter'!E16</f>
        <v>116</v>
      </c>
      <c r="L15" s="593">
        <f>'Lpg (2)'!G20</f>
        <v>115.67599999997184</v>
      </c>
      <c r="M15" s="65" t="e">
        <f>SUM(#REF!-#REF!)</f>
        <v>#REF!</v>
      </c>
    </row>
    <row r="16" spans="1:13" x14ac:dyDescent="0.2">
      <c r="A16" s="600">
        <f>Gen!A22</f>
        <v>44389</v>
      </c>
      <c r="B16" s="592">
        <f>'Daily report Gen'!Z17</f>
        <v>42</v>
      </c>
      <c r="C16" s="73">
        <f>Gen!B22</f>
        <v>0.39</v>
      </c>
      <c r="D16" s="393">
        <f t="shared" si="0"/>
        <v>32</v>
      </c>
      <c r="E16" s="62">
        <v>32</v>
      </c>
      <c r="F16" s="799">
        <f>Gen!T22</f>
        <v>4438</v>
      </c>
      <c r="G16" s="798">
        <f>Gen!S22</f>
        <v>1662.17</v>
      </c>
      <c r="H16" s="798">
        <f>Gen!AJ22</f>
        <v>677.99</v>
      </c>
      <c r="I16" s="71">
        <f t="shared" si="2"/>
        <v>2340.16</v>
      </c>
      <c r="J16" s="405">
        <f>Gen!C22</f>
        <v>43526.739999999983</v>
      </c>
      <c r="K16" s="263">
        <f>'Water-Meter'!E17</f>
        <v>109</v>
      </c>
      <c r="L16" s="593">
        <f>'Lpg (2)'!G21</f>
        <v>126.98400000000257</v>
      </c>
      <c r="M16" s="65" t="e">
        <f>SUM(#REF!-#REF!)</f>
        <v>#REF!</v>
      </c>
    </row>
    <row r="17" spans="1:13" x14ac:dyDescent="0.2">
      <c r="A17" s="600">
        <f>Gen!A23</f>
        <v>44390</v>
      </c>
      <c r="B17" s="592">
        <f>'Daily report Gen'!Z18</f>
        <v>39</v>
      </c>
      <c r="C17" s="73">
        <f>Gen!B23</f>
        <v>0.221</v>
      </c>
      <c r="D17" s="393">
        <f t="shared" si="0"/>
        <v>19</v>
      </c>
      <c r="E17" s="62">
        <v>19</v>
      </c>
      <c r="F17" s="799">
        <f>Gen!T23</f>
        <v>4300</v>
      </c>
      <c r="G17" s="798">
        <f>Gen!S23</f>
        <v>1844.9099999999999</v>
      </c>
      <c r="H17" s="798">
        <f>Gen!AJ23</f>
        <v>204.13</v>
      </c>
      <c r="I17" s="71">
        <f t="shared" si="2"/>
        <v>2049.04</v>
      </c>
      <c r="J17" s="405">
        <f>Gen!C23</f>
        <v>41186.579999999987</v>
      </c>
      <c r="K17" s="263">
        <f>'Water-Meter'!E18</f>
        <v>105</v>
      </c>
      <c r="L17" s="593">
        <f>'Lpg (2)'!G22</f>
        <v>117.87600000003586</v>
      </c>
      <c r="M17" s="65" t="e">
        <f>SUM(#REF!-#REF!)</f>
        <v>#REF!</v>
      </c>
    </row>
    <row r="18" spans="1:13" x14ac:dyDescent="0.2">
      <c r="A18" s="600">
        <f>Gen!A24</f>
        <v>44391</v>
      </c>
      <c r="B18" s="592">
        <f>'Daily report Gen'!Z19</f>
        <v>41</v>
      </c>
      <c r="C18" s="73">
        <f>Gen!B24</f>
        <v>0.19500000000000001</v>
      </c>
      <c r="D18" s="393">
        <f t="shared" si="0"/>
        <v>14</v>
      </c>
      <c r="E18" s="62">
        <v>14</v>
      </c>
      <c r="F18" s="799">
        <f>Gen!T24</f>
        <v>3902</v>
      </c>
      <c r="G18" s="798">
        <f>Gen!S24</f>
        <v>1650.17</v>
      </c>
      <c r="H18" s="798">
        <f>Gen!AJ24</f>
        <v>1434.84</v>
      </c>
      <c r="I18" s="71">
        <f t="shared" si="2"/>
        <v>3085.01</v>
      </c>
      <c r="J18" s="405">
        <f>Gen!C24</f>
        <v>39137.539999999986</v>
      </c>
      <c r="K18" s="263">
        <f>'Water-Meter'!E19</f>
        <v>105</v>
      </c>
      <c r="L18" s="593">
        <f>'Lpg (2)'!G23</f>
        <v>127.77599999997184</v>
      </c>
      <c r="M18" s="65" t="e">
        <f>SUM(#REF!-#REF!)</f>
        <v>#REF!</v>
      </c>
    </row>
    <row r="19" spans="1:13" x14ac:dyDescent="0.2">
      <c r="A19" s="600">
        <f>Gen!A25</f>
        <v>44392</v>
      </c>
      <c r="B19" s="592">
        <f>'Daily report Gen'!Z20</f>
        <v>39</v>
      </c>
      <c r="C19" s="73">
        <f>Gen!B25</f>
        <v>0.20799999999999999</v>
      </c>
      <c r="D19" s="393">
        <f t="shared" si="0"/>
        <v>16</v>
      </c>
      <c r="E19" s="62">
        <v>16</v>
      </c>
      <c r="F19" s="799">
        <f>Gen!T25</f>
        <v>3833</v>
      </c>
      <c r="G19" s="798">
        <f>Gen!S25</f>
        <v>1643.2600000000002</v>
      </c>
      <c r="H19" s="798">
        <f>Gen!AJ25</f>
        <v>155.97999999999999</v>
      </c>
      <c r="I19" s="71">
        <f t="shared" si="2"/>
        <v>1799.2400000000002</v>
      </c>
      <c r="J19" s="405">
        <f>Gen!C25</f>
        <v>36052.529999999984</v>
      </c>
      <c r="K19" s="263">
        <f>'Water-Meter'!E20</f>
        <v>83</v>
      </c>
      <c r="L19" s="593">
        <f>'Lpg (2)'!G24</f>
        <v>124.74000000002562</v>
      </c>
      <c r="M19" s="65" t="e">
        <f>SUM(#REF!-#REF!)</f>
        <v>#REF!</v>
      </c>
    </row>
    <row r="20" spans="1:13" x14ac:dyDescent="0.2">
      <c r="A20" s="600">
        <f>Gen!A26</f>
        <v>44393</v>
      </c>
      <c r="B20" s="592">
        <f>'Daily report Gen'!Z21</f>
        <v>41</v>
      </c>
      <c r="C20" s="73">
        <f>Gen!B26</f>
        <v>0.27</v>
      </c>
      <c r="D20" s="393">
        <f t="shared" si="0"/>
        <v>0</v>
      </c>
      <c r="E20" s="62"/>
      <c r="F20" s="799">
        <f>Gen!T26</f>
        <v>4080</v>
      </c>
      <c r="G20" s="798">
        <f>Gen!S26</f>
        <v>1732.74</v>
      </c>
      <c r="H20" s="798">
        <f>Gen!AJ26</f>
        <v>85.68</v>
      </c>
      <c r="I20" s="71">
        <f t="shared" si="2"/>
        <v>1818.42</v>
      </c>
      <c r="J20" s="405">
        <f>Gen!C26</f>
        <v>34253.289999999986</v>
      </c>
      <c r="K20" s="263">
        <f>'Water-Meter'!E21</f>
        <v>103</v>
      </c>
      <c r="L20" s="593">
        <f>'Lpg (2)'!G25</f>
        <v>119.06399999998976</v>
      </c>
      <c r="M20" s="65" t="e">
        <f>SUM(#REF!-#REF!)</f>
        <v>#REF!</v>
      </c>
    </row>
    <row r="21" spans="1:13" x14ac:dyDescent="0.2">
      <c r="A21" s="600">
        <f>Gen!A27</f>
        <v>44394</v>
      </c>
      <c r="B21" s="592">
        <f>'Daily report Gen'!Z22</f>
        <v>41</v>
      </c>
      <c r="C21" s="73">
        <f>Gen!B27</f>
        <v>0.26</v>
      </c>
      <c r="D21" s="393">
        <f t="shared" si="0"/>
        <v>0</v>
      </c>
      <c r="E21" s="62"/>
      <c r="F21" s="799">
        <f>Gen!T27</f>
        <v>4092</v>
      </c>
      <c r="G21" s="798">
        <f>Gen!S27</f>
        <v>1766.6399999999999</v>
      </c>
      <c r="H21" s="798">
        <f>Gen!AJ27</f>
        <v>496.38</v>
      </c>
      <c r="I21" s="71">
        <f t="shared" si="2"/>
        <v>2263.02</v>
      </c>
      <c r="J21" s="405">
        <f>Gen!C27</f>
        <v>32434.869999999988</v>
      </c>
      <c r="K21" s="263">
        <f>'Water-Meter'!E22</f>
        <v>107</v>
      </c>
      <c r="L21" s="593">
        <f>'Lpg (2)'!G26</f>
        <v>114.44399999997695</v>
      </c>
      <c r="M21" s="65" t="e">
        <f>SUM(#REF!-#REF!)</f>
        <v>#REF!</v>
      </c>
    </row>
    <row r="22" spans="1:13" x14ac:dyDescent="0.2">
      <c r="A22" s="600">
        <f>Gen!A28</f>
        <v>44395</v>
      </c>
      <c r="B22" s="592">
        <f>'Daily report Gen'!Z23</f>
        <v>41</v>
      </c>
      <c r="C22" s="73">
        <f>Gen!B28</f>
        <v>0.35</v>
      </c>
      <c r="D22" s="393">
        <f t="shared" si="0"/>
        <v>0</v>
      </c>
      <c r="E22" s="62"/>
      <c r="F22" s="799">
        <f>Gen!T28</f>
        <v>4450</v>
      </c>
      <c r="G22" s="798">
        <f>Gen!S28</f>
        <v>1787.9799999999998</v>
      </c>
      <c r="H22" s="798">
        <f>Gen!AJ28</f>
        <v>374.23</v>
      </c>
      <c r="I22" s="71">
        <f t="shared" si="2"/>
        <v>2162.21</v>
      </c>
      <c r="J22" s="405">
        <f>Gen!C28</f>
        <v>30171.849999999988</v>
      </c>
      <c r="K22" s="263">
        <f>'Water-Meter'!E23</f>
        <v>128</v>
      </c>
      <c r="L22" s="593">
        <f>'Lpg (2)'!G27</f>
        <v>104.32400000002818</v>
      </c>
      <c r="M22" s="65" t="e">
        <f>SUM(#REF!-#REF!)</f>
        <v>#REF!</v>
      </c>
    </row>
    <row r="23" spans="1:13" x14ac:dyDescent="0.2">
      <c r="A23" s="600">
        <f>Gen!A29</f>
        <v>44396</v>
      </c>
      <c r="B23" s="592">
        <f>'Daily report Gen'!Z24</f>
        <v>41</v>
      </c>
      <c r="C23" s="73">
        <f>Gen!B29</f>
        <v>0.39</v>
      </c>
      <c r="D23" s="393">
        <f t="shared" si="0"/>
        <v>0</v>
      </c>
      <c r="E23" s="62"/>
      <c r="F23" s="799">
        <f>Gen!T29</f>
        <v>4633</v>
      </c>
      <c r="G23" s="798">
        <f>Gen!S29</f>
        <v>1812.3899999999999</v>
      </c>
      <c r="H23" s="798">
        <f>Gen!AJ29</f>
        <v>224</v>
      </c>
      <c r="I23" s="71">
        <f t="shared" si="2"/>
        <v>2036.3899999999999</v>
      </c>
      <c r="J23" s="405">
        <f>Gen!C29</f>
        <v>28009.639999999989</v>
      </c>
      <c r="K23" s="263">
        <f>'Water-Meter'!E24</f>
        <v>115</v>
      </c>
      <c r="L23" s="593">
        <f>'Lpg (2)'!G28</f>
        <v>113.65200000000769</v>
      </c>
      <c r="M23" s="65" t="e">
        <f>SUM(#REF!-#REF!)</f>
        <v>#REF!</v>
      </c>
    </row>
    <row r="24" spans="1:13" x14ac:dyDescent="0.2">
      <c r="A24" s="600">
        <f>Gen!A30</f>
        <v>44397</v>
      </c>
      <c r="B24" s="592">
        <f>'Daily report Gen'!Z25</f>
        <v>41</v>
      </c>
      <c r="C24" s="73">
        <f>Gen!B30</f>
        <v>0.39</v>
      </c>
      <c r="D24" s="393">
        <f t="shared" si="0"/>
        <v>0</v>
      </c>
      <c r="E24" s="62"/>
      <c r="F24" s="799">
        <f>Gen!T30</f>
        <v>4722</v>
      </c>
      <c r="G24" s="798">
        <f>Gen!S30</f>
        <v>2007.64</v>
      </c>
      <c r="H24" s="798">
        <f>Gen!AJ30</f>
        <v>49.26</v>
      </c>
      <c r="I24" s="71">
        <f t="shared" si="2"/>
        <v>2056.9</v>
      </c>
      <c r="J24" s="405">
        <f>Gen!C30</f>
        <v>25973.249999999989</v>
      </c>
      <c r="K24" s="263">
        <f>'Water-Meter'!E25</f>
        <v>113</v>
      </c>
      <c r="L24" s="593">
        <f>'Lpg (2)'!G29</f>
        <v>111.89199999996927</v>
      </c>
      <c r="M24" s="65" t="e">
        <f>SUM(#REF!-#REF!)</f>
        <v>#REF!</v>
      </c>
    </row>
    <row r="25" spans="1:13" x14ac:dyDescent="0.2">
      <c r="A25" s="600">
        <f>Gen!A31</f>
        <v>44398</v>
      </c>
      <c r="B25" s="592">
        <f>'Daily report Gen'!Z26</f>
        <v>39</v>
      </c>
      <c r="C25" s="73">
        <f>Gen!B31</f>
        <v>0.55000000000000004</v>
      </c>
      <c r="D25" s="393">
        <f t="shared" si="0"/>
        <v>0</v>
      </c>
      <c r="E25" s="62"/>
      <c r="F25" s="799">
        <f>Gen!T31</f>
        <v>4911</v>
      </c>
      <c r="G25" s="798">
        <f>Gen!S31</f>
        <v>1992.78</v>
      </c>
      <c r="H25" s="798">
        <f>Gen!AJ31</f>
        <v>556.39</v>
      </c>
      <c r="I25" s="71">
        <f t="shared" si="2"/>
        <v>2549.17</v>
      </c>
      <c r="J25" s="405">
        <f>Gen!C31</f>
        <v>23916.349999999988</v>
      </c>
      <c r="K25" s="263">
        <f>'Water-Meter'!E26</f>
        <v>133</v>
      </c>
      <c r="L25" s="593">
        <f>'Lpg (2)'!G30</f>
        <v>336.11599999999748</v>
      </c>
      <c r="M25" s="65" t="e">
        <f>SUM(#REF!-#REF!)</f>
        <v>#REF!</v>
      </c>
    </row>
    <row r="26" spans="1:13" x14ac:dyDescent="0.2">
      <c r="A26" s="600">
        <f>Gen!A32</f>
        <v>44399</v>
      </c>
      <c r="B26" s="592">
        <f>'Daily report Gen'!Z27</f>
        <v>50</v>
      </c>
      <c r="C26" s="73">
        <f>Gen!B32</f>
        <v>0.54500000000000004</v>
      </c>
      <c r="D26" s="393">
        <f t="shared" si="0"/>
        <v>0</v>
      </c>
      <c r="E26" s="62"/>
      <c r="F26" s="799">
        <f>Gen!T32</f>
        <v>5226</v>
      </c>
      <c r="G26" s="798">
        <f>Gen!S32</f>
        <v>2232.89</v>
      </c>
      <c r="H26" s="798">
        <f>Gen!AJ32</f>
        <v>494.65</v>
      </c>
      <c r="I26" s="71">
        <f t="shared" si="2"/>
        <v>2727.54</v>
      </c>
      <c r="J26" s="405">
        <f>Gen!C32</f>
        <v>21367.179999999986</v>
      </c>
      <c r="K26" s="263">
        <f>'Water-Meter'!E27</f>
        <v>113</v>
      </c>
      <c r="L26" s="593">
        <f>'Lpg (2)'!G31</f>
        <v>-106.61199999998207</v>
      </c>
      <c r="M26" s="65" t="e">
        <f>SUM(#REF!-#REF!)</f>
        <v>#REF!</v>
      </c>
    </row>
    <row r="27" spans="1:13" x14ac:dyDescent="0.2">
      <c r="A27" s="600">
        <f>Gen!A33</f>
        <v>44400</v>
      </c>
      <c r="B27" s="592">
        <f>'Daily report Gen'!Z28</f>
        <v>41</v>
      </c>
      <c r="C27" s="73">
        <f>Gen!B33</f>
        <v>0.45500000000000002</v>
      </c>
      <c r="D27" s="393">
        <f t="shared" si="0"/>
        <v>0</v>
      </c>
      <c r="E27" s="62"/>
      <c r="F27" s="799">
        <f>Gen!T33</f>
        <v>4730</v>
      </c>
      <c r="G27" s="798">
        <f>Gen!S33</f>
        <v>2090.79</v>
      </c>
      <c r="H27" s="798">
        <f>Gen!AJ33</f>
        <v>228.3</v>
      </c>
      <c r="I27" s="71">
        <f t="shared" si="2"/>
        <v>2319.09</v>
      </c>
      <c r="J27" s="405">
        <f>Gen!C33</f>
        <v>18639.639999999985</v>
      </c>
      <c r="K27" s="263">
        <f>'Water-Meter'!E28</f>
        <v>108</v>
      </c>
      <c r="L27" s="593">
        <f>'Lpg (2)'!G32</f>
        <v>98.295999999984645</v>
      </c>
      <c r="M27" s="65" t="e">
        <f>SUM(#REF!-#REF!)</f>
        <v>#REF!</v>
      </c>
    </row>
    <row r="28" spans="1:13" x14ac:dyDescent="0.2">
      <c r="A28" s="600">
        <f>Gen!A34</f>
        <v>44401</v>
      </c>
      <c r="B28" s="592">
        <f>'Daily report Gen'!Z29</f>
        <v>43</v>
      </c>
      <c r="C28" s="73">
        <f>Gen!B34</f>
        <v>0.247</v>
      </c>
      <c r="D28" s="393">
        <f t="shared" si="0"/>
        <v>0</v>
      </c>
      <c r="E28" s="62"/>
      <c r="F28" s="799">
        <f>Gen!T34</f>
        <v>4879</v>
      </c>
      <c r="G28" s="798">
        <f>Gen!S34</f>
        <v>2014.73</v>
      </c>
      <c r="H28" s="798">
        <f>Gen!AJ34</f>
        <v>442.98</v>
      </c>
      <c r="I28" s="71">
        <f t="shared" si="2"/>
        <v>2457.71</v>
      </c>
      <c r="J28" s="405">
        <f>Gen!C34</f>
        <v>16320.549999999985</v>
      </c>
      <c r="K28" s="263">
        <f>'Water-Meter'!E29</f>
        <v>106</v>
      </c>
      <c r="L28" s="593">
        <f>'Lpg (2)'!G33</f>
        <v>98.868000000005125</v>
      </c>
      <c r="M28" s="65" t="e">
        <f>SUM(#REF!-#REF!)</f>
        <v>#REF!</v>
      </c>
    </row>
    <row r="29" spans="1:13" x14ac:dyDescent="0.2">
      <c r="A29" s="600">
        <f>Gen!A35</f>
        <v>44402</v>
      </c>
      <c r="B29" s="592">
        <f>'Daily report Gen'!Z30</f>
        <v>41</v>
      </c>
      <c r="C29" s="73">
        <f>Gen!B35</f>
        <v>0.20799999999999999</v>
      </c>
      <c r="D29" s="393">
        <f t="shared" si="0"/>
        <v>0</v>
      </c>
      <c r="E29" s="62"/>
      <c r="F29" s="799">
        <f>Gen!T35</f>
        <v>4599</v>
      </c>
      <c r="G29" s="798">
        <f>Gen!S35</f>
        <v>1869.09</v>
      </c>
      <c r="H29" s="798">
        <f>Gen!AJ35</f>
        <v>259.78999999999996</v>
      </c>
      <c r="I29" s="71">
        <f t="shared" si="2"/>
        <v>2128.88</v>
      </c>
      <c r="J29" s="405">
        <f>Gen!C35</f>
        <v>28862.839999999986</v>
      </c>
      <c r="K29" s="263">
        <f>'Water-Meter'!E30</f>
        <v>106</v>
      </c>
      <c r="L29" s="593">
        <f>'Lpg (2)'!G34</f>
        <v>106.39200000003331</v>
      </c>
      <c r="M29" s="65" t="e">
        <f>SUM(#REF!-#REF!)</f>
        <v>#REF!</v>
      </c>
    </row>
    <row r="30" spans="1:13" x14ac:dyDescent="0.2">
      <c r="A30" s="600">
        <f>Gen!A36</f>
        <v>44403</v>
      </c>
      <c r="B30" s="592">
        <f>'Daily report Gen'!Z31</f>
        <v>42</v>
      </c>
      <c r="C30" s="73">
        <f>Gen!B36</f>
        <v>0.156</v>
      </c>
      <c r="D30" s="393">
        <f t="shared" si="0"/>
        <v>0</v>
      </c>
      <c r="E30" s="62"/>
      <c r="F30" s="799">
        <f>Gen!T36</f>
        <v>4415</v>
      </c>
      <c r="G30" s="798">
        <f>Gen!S36</f>
        <v>1888.7999999999997</v>
      </c>
      <c r="H30" s="798">
        <f>Gen!AJ36</f>
        <v>70.92</v>
      </c>
      <c r="I30" s="71">
        <f t="shared" si="2"/>
        <v>1959.7199999999998</v>
      </c>
      <c r="J30" s="405">
        <f>Gen!C36</f>
        <v>26733.959999999985</v>
      </c>
      <c r="K30" s="263">
        <f>'Water-Meter'!E31</f>
        <v>96</v>
      </c>
      <c r="L30" s="593">
        <f>'Lpg (2)'!G35</f>
        <v>93.323999999964158</v>
      </c>
      <c r="M30" s="65" t="e">
        <f>SUM(#REF!-#REF!)</f>
        <v>#REF!</v>
      </c>
    </row>
    <row r="31" spans="1:13" x14ac:dyDescent="0.2">
      <c r="A31" s="600">
        <f>Gen!A37</f>
        <v>44404</v>
      </c>
      <c r="B31" s="592">
        <f>'Daily report Gen'!Z32</f>
        <v>40</v>
      </c>
      <c r="C31" s="73">
        <f>Gen!B37</f>
        <v>0.29899999999999999</v>
      </c>
      <c r="D31" s="393">
        <f t="shared" si="0"/>
        <v>0</v>
      </c>
      <c r="E31" s="62"/>
      <c r="F31" s="799">
        <f>Gen!T37</f>
        <v>4607</v>
      </c>
      <c r="G31" s="798">
        <f>Gen!S37</f>
        <v>1921.29</v>
      </c>
      <c r="H31" s="798">
        <f>Gen!AJ37</f>
        <v>491.89</v>
      </c>
      <c r="I31" s="71">
        <f t="shared" si="2"/>
        <v>2413.1799999999998</v>
      </c>
      <c r="J31" s="405">
        <f>Gen!C37</f>
        <v>24774.239999999983</v>
      </c>
      <c r="K31" s="263">
        <f>'Water-Meter'!E32</f>
        <v>103</v>
      </c>
      <c r="L31" s="593">
        <f>'Lpg (2)'!G36</f>
        <v>74.228000000043551</v>
      </c>
      <c r="M31" s="65" t="e">
        <f>SUM(#REF!-#REF!)</f>
        <v>#REF!</v>
      </c>
    </row>
    <row r="32" spans="1:13" x14ac:dyDescent="0.2">
      <c r="A32" s="600">
        <f>Gen!A38</f>
        <v>44405</v>
      </c>
      <c r="B32" s="592">
        <f>'Daily report Gen'!Z33</f>
        <v>41</v>
      </c>
      <c r="C32" s="73">
        <f>Gen!B38</f>
        <v>0.46800000000000003</v>
      </c>
      <c r="D32" s="393">
        <f t="shared" si="0"/>
        <v>0</v>
      </c>
      <c r="E32" s="62"/>
      <c r="F32" s="799">
        <f>Gen!T38</f>
        <v>4642</v>
      </c>
      <c r="G32" s="798">
        <f>Gen!S38</f>
        <v>1696.6200000000001</v>
      </c>
      <c r="H32" s="798">
        <f>Gen!AJ38</f>
        <v>147.47</v>
      </c>
      <c r="I32" s="71">
        <f t="shared" si="2"/>
        <v>1844.0900000000001</v>
      </c>
      <c r="J32" s="405">
        <f>Gen!C38</f>
        <v>37361.059999999983</v>
      </c>
      <c r="K32" s="263">
        <f>'Water-Meter'!E33</f>
        <v>115</v>
      </c>
      <c r="L32" s="593">
        <f>'Lpg (2)'!G37</f>
        <v>79.2</v>
      </c>
      <c r="M32" s="65" t="e">
        <f>SUM(#REF!-#REF!)</f>
        <v>#REF!</v>
      </c>
    </row>
    <row r="33" spans="1:13" x14ac:dyDescent="0.2">
      <c r="A33" s="600">
        <f>Gen!A39</f>
        <v>44406</v>
      </c>
      <c r="B33" s="592">
        <f>'Daily report Gen'!Z34</f>
        <v>40</v>
      </c>
      <c r="C33" s="73">
        <f>Gen!B39</f>
        <v>0.51</v>
      </c>
      <c r="D33" s="393">
        <f t="shared" si="0"/>
        <v>0</v>
      </c>
      <c r="E33" s="62"/>
      <c r="F33" s="799">
        <f>Gen!T39</f>
        <v>3985</v>
      </c>
      <c r="G33" s="798">
        <f>Gen!S39</f>
        <v>1992.06</v>
      </c>
      <c r="H33" s="798">
        <f>Gen!AJ39</f>
        <v>246.95</v>
      </c>
      <c r="I33" s="71">
        <f t="shared" si="2"/>
        <v>2239.0099999999998</v>
      </c>
      <c r="J33" s="405">
        <f>Gen!C39</f>
        <v>35516.969999999987</v>
      </c>
      <c r="K33" s="263">
        <f>'Water-Meter'!E34</f>
        <v>111</v>
      </c>
      <c r="L33" s="593">
        <f>'Lpg (2)'!G38</f>
        <v>175.64799999999232</v>
      </c>
      <c r="M33" s="65" t="e">
        <f>SUM(#REF!-#REF!)</f>
        <v>#REF!</v>
      </c>
    </row>
    <row r="34" spans="1:13" x14ac:dyDescent="0.2">
      <c r="A34" s="600">
        <f>Gen!A40</f>
        <v>44407</v>
      </c>
      <c r="B34" s="592">
        <f>'Daily report Gen'!Z35</f>
        <v>42</v>
      </c>
      <c r="C34" s="73">
        <f>Gen!B40</f>
        <v>0.38</v>
      </c>
      <c r="D34" s="393">
        <f t="shared" si="0"/>
        <v>0</v>
      </c>
      <c r="E34" s="62"/>
      <c r="F34" s="799">
        <f>Gen!T40</f>
        <v>4484</v>
      </c>
      <c r="G34" s="798">
        <f>Gen!S40</f>
        <v>1822.57</v>
      </c>
      <c r="H34" s="798">
        <f>Gen!AJ40</f>
        <v>369</v>
      </c>
      <c r="I34" s="71">
        <f t="shared" si="2"/>
        <v>2191.5699999999997</v>
      </c>
      <c r="J34" s="405">
        <f>Gen!C40</f>
        <v>33277.959999999985</v>
      </c>
      <c r="K34" s="263">
        <f>'Water-Meter'!E35</f>
        <v>105</v>
      </c>
      <c r="L34" s="593">
        <f>'Lpg (2)'!G39</f>
        <v>171.29199999996928</v>
      </c>
      <c r="M34" s="65" t="e">
        <f>SUM(#REF!-#REF!)</f>
        <v>#REF!</v>
      </c>
    </row>
    <row r="35" spans="1:13" x14ac:dyDescent="0.2">
      <c r="A35" s="600">
        <f>Gen!A41</f>
        <v>44408</v>
      </c>
      <c r="B35" s="592">
        <f>'Daily report Gen'!Z36</f>
        <v>40</v>
      </c>
      <c r="C35" s="73">
        <f>Gen!B41</f>
        <v>0.15</v>
      </c>
      <c r="D35" s="393">
        <f t="shared" si="0"/>
        <v>0</v>
      </c>
      <c r="E35" s="62"/>
      <c r="F35" s="799">
        <f>Gen!T41</f>
        <v>4015</v>
      </c>
      <c r="G35" s="798">
        <f>Gen!S41</f>
        <v>1680.02</v>
      </c>
      <c r="H35" s="798">
        <f>Gen!AJ41</f>
        <v>376.24</v>
      </c>
      <c r="I35" s="71">
        <f t="shared" si="2"/>
        <v>2056.2600000000002</v>
      </c>
      <c r="J35" s="405">
        <f>Gen!C41</f>
        <v>31086.389999999985</v>
      </c>
      <c r="K35" s="263">
        <f>'Water-Meter'!E36</f>
        <v>99</v>
      </c>
      <c r="L35" s="593">
        <f>'Lpg (2)'!G40</f>
        <v>111.23199999999488</v>
      </c>
      <c r="M35" s="65" t="e">
        <f>SUM(#REF!-#REF!)</f>
        <v>#REF!</v>
      </c>
    </row>
    <row r="36" spans="1:13" x14ac:dyDescent="0.2">
      <c r="A36" s="601">
        <f>Gen!A42</f>
        <v>0</v>
      </c>
      <c r="B36" s="592">
        <f>'Daily report Gen'!Z37</f>
        <v>-162399</v>
      </c>
      <c r="C36" s="594">
        <f>Gen!B42</f>
        <v>0</v>
      </c>
      <c r="D36" s="595">
        <f t="shared" si="0"/>
        <v>0</v>
      </c>
      <c r="E36" s="596"/>
      <c r="F36" s="799">
        <f>Gen!T42</f>
        <v>0</v>
      </c>
      <c r="G36" s="798">
        <f>Gen!S42</f>
        <v>0</v>
      </c>
      <c r="H36" s="798">
        <f>Gen!AJ42</f>
        <v>0</v>
      </c>
      <c r="I36" s="71">
        <f t="shared" si="2"/>
        <v>0</v>
      </c>
      <c r="J36" s="597">
        <f>Gen!C42</f>
        <v>29030.129999999983</v>
      </c>
      <c r="K36" s="598" t="str">
        <f>'Water-Meter'!E37</f>
        <v>0</v>
      </c>
      <c r="L36" s="593">
        <f>'Lpg (2)'!G41</f>
        <v>-344473.58</v>
      </c>
    </row>
    <row r="38" spans="1:13" x14ac:dyDescent="0.2">
      <c r="B38" s="69"/>
    </row>
    <row r="39" spans="1:13" x14ac:dyDescent="0.2">
      <c r="B39" s="69"/>
      <c r="C39" s="6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1" activePane="topRight" state="frozen"/>
      <selection pane="topRight" activeCell="AB37" sqref="AB37"/>
    </sheetView>
  </sheetViews>
  <sheetFormatPr defaultRowHeight="12.75" x14ac:dyDescent="0.2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 x14ac:dyDescent="0.2">
      <c r="A1" s="891">
        <f>A6</f>
        <v>44378</v>
      </c>
      <c r="B1" s="892"/>
      <c r="C1" s="892"/>
      <c r="D1" s="892"/>
      <c r="E1" s="892"/>
      <c r="F1" s="892"/>
      <c r="G1" s="892"/>
      <c r="H1" s="892"/>
      <c r="I1" s="892"/>
      <c r="J1" s="892"/>
      <c r="K1" s="892"/>
      <c r="L1" s="892"/>
      <c r="M1" s="892"/>
      <c r="N1" s="892"/>
      <c r="O1" s="892"/>
      <c r="P1" s="892"/>
      <c r="Q1" s="892"/>
      <c r="R1" s="892"/>
      <c r="S1" s="892"/>
      <c r="T1" s="892"/>
      <c r="U1" s="892"/>
      <c r="V1" s="892"/>
      <c r="W1" s="892"/>
      <c r="X1" s="892"/>
      <c r="Y1" s="892"/>
      <c r="Z1" s="892"/>
      <c r="AA1" s="892"/>
      <c r="AB1" s="892"/>
    </row>
    <row r="2" spans="1:29" ht="12" customHeight="1" thickBot="1" x14ac:dyDescent="0.25">
      <c r="A2" s="892"/>
      <c r="B2" s="892"/>
      <c r="C2" s="892"/>
      <c r="D2" s="892"/>
      <c r="E2" s="892"/>
      <c r="F2" s="892"/>
      <c r="G2" s="892"/>
      <c r="H2" s="892"/>
      <c r="I2" s="892"/>
      <c r="J2" s="892"/>
      <c r="K2" s="892"/>
      <c r="L2" s="892"/>
      <c r="M2" s="892"/>
      <c r="N2" s="892"/>
      <c r="O2" s="892"/>
      <c r="P2" s="892"/>
      <c r="Q2" s="892"/>
      <c r="R2" s="892"/>
      <c r="S2" s="892"/>
      <c r="T2" s="892"/>
      <c r="U2" s="892"/>
      <c r="V2" s="892"/>
      <c r="W2" s="892"/>
      <c r="X2" s="892"/>
      <c r="Y2" s="892"/>
      <c r="Z2" s="892"/>
      <c r="AA2" s="892"/>
      <c r="AB2" s="892"/>
    </row>
    <row r="3" spans="1:29" ht="27.75" customHeight="1" thickBot="1" x14ac:dyDescent="0.25">
      <c r="I3" s="28"/>
      <c r="K3" s="893" t="s">
        <v>136</v>
      </c>
      <c r="L3" s="894"/>
      <c r="M3" s="895"/>
      <c r="N3" s="893" t="s">
        <v>137</v>
      </c>
      <c r="O3" s="894"/>
      <c r="P3" s="895"/>
      <c r="Q3" s="893" t="s">
        <v>138</v>
      </c>
      <c r="R3" s="894"/>
      <c r="S3" s="895"/>
      <c r="T3" s="893" t="s">
        <v>139</v>
      </c>
      <c r="U3" s="894"/>
      <c r="V3" s="895"/>
      <c r="W3" s="893" t="s">
        <v>140</v>
      </c>
      <c r="X3" s="894"/>
      <c r="Y3" s="895"/>
      <c r="Z3" s="10"/>
    </row>
    <row r="4" spans="1:29" ht="35.25" customHeight="1" thickBot="1" x14ac:dyDescent="0.25">
      <c r="A4" s="232" t="s">
        <v>141</v>
      </c>
      <c r="B4" s="774" t="s">
        <v>142</v>
      </c>
      <c r="C4" s="774" t="s">
        <v>143</v>
      </c>
      <c r="D4" s="774" t="s">
        <v>144</v>
      </c>
      <c r="E4" s="774" t="s">
        <v>145</v>
      </c>
      <c r="F4" s="774" t="s">
        <v>146</v>
      </c>
      <c r="G4" s="777" t="s">
        <v>147</v>
      </c>
      <c r="H4" s="774" t="s">
        <v>148</v>
      </c>
      <c r="I4" s="777" t="s">
        <v>149</v>
      </c>
      <c r="J4" s="782" t="s">
        <v>150</v>
      </c>
      <c r="K4" s="300" t="s">
        <v>151</v>
      </c>
      <c r="L4" s="298" t="s">
        <v>152</v>
      </c>
      <c r="M4" s="298" t="s">
        <v>153</v>
      </c>
      <c r="N4" s="300" t="s">
        <v>151</v>
      </c>
      <c r="O4" s="298" t="s">
        <v>152</v>
      </c>
      <c r="P4" s="298" t="s">
        <v>153</v>
      </c>
      <c r="Q4" s="749" t="s">
        <v>151</v>
      </c>
      <c r="R4" s="303" t="s">
        <v>152</v>
      </c>
      <c r="S4" s="750" t="s">
        <v>153</v>
      </c>
      <c r="T4" s="300" t="s">
        <v>151</v>
      </c>
      <c r="U4" s="298" t="s">
        <v>152</v>
      </c>
      <c r="V4" s="298" t="s">
        <v>153</v>
      </c>
      <c r="W4" s="300" t="s">
        <v>151</v>
      </c>
      <c r="X4" s="298" t="s">
        <v>152</v>
      </c>
      <c r="Y4" s="299" t="s">
        <v>153</v>
      </c>
      <c r="Z4" s="301" t="s">
        <v>154</v>
      </c>
      <c r="AA4" s="297" t="s">
        <v>155</v>
      </c>
      <c r="AB4" s="302" t="s">
        <v>156</v>
      </c>
      <c r="AC4" s="303" t="s">
        <v>157</v>
      </c>
    </row>
    <row r="5" spans="1:29" ht="18.75" customHeight="1" x14ac:dyDescent="0.2">
      <c r="A5" s="778"/>
      <c r="B5" s="776"/>
      <c r="C5" s="612"/>
      <c r="D5" s="612"/>
      <c r="E5" s="776"/>
      <c r="F5" s="776"/>
      <c r="G5" s="776"/>
      <c r="H5" s="776"/>
      <c r="I5" s="271"/>
      <c r="J5" s="611"/>
      <c r="K5" s="780"/>
      <c r="L5" s="271">
        <v>36628</v>
      </c>
      <c r="M5" s="616"/>
      <c r="N5" s="50"/>
      <c r="O5" s="708">
        <v>31504</v>
      </c>
      <c r="P5" s="617"/>
      <c r="Q5" s="50"/>
      <c r="R5" s="271">
        <v>36782</v>
      </c>
      <c r="S5" s="617"/>
      <c r="T5" s="50"/>
      <c r="U5" s="271">
        <v>33996</v>
      </c>
      <c r="V5" s="617"/>
      <c r="W5" s="50"/>
      <c r="X5" s="50">
        <v>22248</v>
      </c>
      <c r="Y5" s="617"/>
      <c r="Z5" s="617"/>
      <c r="AA5" s="6">
        <v>365</v>
      </c>
      <c r="AB5" s="6">
        <v>135</v>
      </c>
      <c r="AC5" s="618"/>
    </row>
    <row r="6" spans="1:29" ht="20.100000000000001" customHeight="1" x14ac:dyDescent="0.2">
      <c r="A6" s="779">
        <f>Gen!A11</f>
        <v>44378</v>
      </c>
      <c r="B6" s="835">
        <f>Gen!B11</f>
        <v>0.3</v>
      </c>
      <c r="C6" s="836">
        <v>16439.27</v>
      </c>
      <c r="D6" s="271">
        <v>13501.87</v>
      </c>
      <c r="E6" s="476"/>
      <c r="I6" s="271">
        <v>32326.400000000001</v>
      </c>
      <c r="J6" s="611">
        <v>21546.1</v>
      </c>
      <c r="K6" s="781">
        <f>L5</f>
        <v>36628</v>
      </c>
      <c r="L6" s="271">
        <v>36643</v>
      </c>
      <c r="M6" s="270">
        <f>L6-K6</f>
        <v>15</v>
      </c>
      <c r="N6" s="272">
        <f>O5</f>
        <v>31504</v>
      </c>
      <c r="O6" s="708">
        <v>31504</v>
      </c>
      <c r="P6" s="270">
        <f>O6-N6</f>
        <v>0</v>
      </c>
      <c r="Q6" s="270">
        <f>R5</f>
        <v>36782</v>
      </c>
      <c r="R6" s="271">
        <v>36786</v>
      </c>
      <c r="S6" s="270">
        <f>R6-Q6</f>
        <v>4</v>
      </c>
      <c r="T6" s="270">
        <f>U5</f>
        <v>33996</v>
      </c>
      <c r="U6" s="708">
        <v>34001</v>
      </c>
      <c r="V6" s="270">
        <f>U6-T6</f>
        <v>5</v>
      </c>
      <c r="W6" s="272">
        <f>X5</f>
        <v>22248</v>
      </c>
      <c r="X6" s="50">
        <v>22258</v>
      </c>
      <c r="Y6" s="270">
        <f>X6-W6</f>
        <v>10</v>
      </c>
      <c r="Z6" s="273">
        <f>Y6+V6+S6+P6+M6</f>
        <v>34</v>
      </c>
      <c r="AA6" s="6">
        <v>370</v>
      </c>
      <c r="AB6" s="6">
        <v>150</v>
      </c>
      <c r="AC6" s="620">
        <f>Gen!AR11</f>
        <v>1799.58</v>
      </c>
    </row>
    <row r="7" spans="1:29" ht="20.100000000000001" customHeight="1" x14ac:dyDescent="0.2">
      <c r="A7" s="779">
        <f>Gen!A12</f>
        <v>44379</v>
      </c>
      <c r="B7" s="835">
        <f>Gen!B12</f>
        <v>0.35</v>
      </c>
      <c r="C7" s="836">
        <v>16439.27</v>
      </c>
      <c r="D7">
        <v>11699.29</v>
      </c>
      <c r="E7" s="476"/>
      <c r="G7">
        <v>324.81</v>
      </c>
      <c r="I7">
        <v>32333.5</v>
      </c>
      <c r="J7" s="16">
        <v>21550.799999999999</v>
      </c>
      <c r="K7" s="781">
        <f t="shared" ref="K7:K37" si="0">L6</f>
        <v>36643</v>
      </c>
      <c r="L7" s="271">
        <v>36653</v>
      </c>
      <c r="M7" s="270">
        <f t="shared" ref="M7:M37" si="1">L7-K7</f>
        <v>10</v>
      </c>
      <c r="N7" s="272">
        <f t="shared" ref="N7:N37" si="2">O6</f>
        <v>31504</v>
      </c>
      <c r="O7" s="708">
        <v>31504</v>
      </c>
      <c r="P7" s="270">
        <f t="shared" ref="P7:P37" si="3">O7-N7</f>
        <v>0</v>
      </c>
      <c r="Q7" s="270">
        <f t="shared" ref="Q7:Q37" si="4">R6</f>
        <v>36786</v>
      </c>
      <c r="R7" s="271">
        <v>36786</v>
      </c>
      <c r="S7" s="270">
        <f t="shared" ref="S7:S33" si="5">R7-Q7</f>
        <v>0</v>
      </c>
      <c r="T7" s="270">
        <f t="shared" ref="T7:T37" si="6">U6</f>
        <v>34001</v>
      </c>
      <c r="U7" s="708">
        <v>34016</v>
      </c>
      <c r="V7" s="270">
        <f t="shared" ref="V7:V37" si="7">U7-T7</f>
        <v>15</v>
      </c>
      <c r="W7" s="272">
        <f t="shared" ref="W7:W37" si="8">X6</f>
        <v>22258</v>
      </c>
      <c r="X7" s="50">
        <v>22268</v>
      </c>
      <c r="Y7" s="270">
        <f t="shared" ref="Y7:Y37" si="9">X7-W7</f>
        <v>10</v>
      </c>
      <c r="Z7" s="273">
        <f t="shared" ref="Z7:Z25" si="10">Y7+V7+S7+P7+M7</f>
        <v>35</v>
      </c>
      <c r="AA7" s="6">
        <v>385</v>
      </c>
      <c r="AB7" s="6">
        <v>165</v>
      </c>
      <c r="AC7" s="620">
        <f>Gen!AR12</f>
        <v>2016.7299999999998</v>
      </c>
    </row>
    <row r="8" spans="1:29" ht="20.100000000000001" customHeight="1" x14ac:dyDescent="0.2">
      <c r="A8" s="779">
        <f>Gen!A13</f>
        <v>44380</v>
      </c>
      <c r="B8" s="835">
        <f>Gen!B13</f>
        <v>0.26090000000000002</v>
      </c>
      <c r="C8" s="836">
        <v>20200.27</v>
      </c>
      <c r="D8">
        <v>23921.83</v>
      </c>
      <c r="E8" s="476"/>
      <c r="F8" s="775"/>
      <c r="I8">
        <v>32340.799999999999</v>
      </c>
      <c r="J8" s="773">
        <v>21555.8</v>
      </c>
      <c r="K8" s="781">
        <f t="shared" si="0"/>
        <v>36653</v>
      </c>
      <c r="L8" s="271">
        <v>36668</v>
      </c>
      <c r="M8" s="270">
        <f t="shared" si="1"/>
        <v>15</v>
      </c>
      <c r="N8" s="272">
        <f t="shared" si="2"/>
        <v>31504</v>
      </c>
      <c r="O8" s="708">
        <v>31505</v>
      </c>
      <c r="P8" s="270">
        <f t="shared" si="3"/>
        <v>1</v>
      </c>
      <c r="Q8" s="270">
        <f t="shared" si="4"/>
        <v>36786</v>
      </c>
      <c r="R8" s="271">
        <v>36786</v>
      </c>
      <c r="S8" s="270">
        <f t="shared" si="5"/>
        <v>0</v>
      </c>
      <c r="T8" s="270">
        <f t="shared" si="6"/>
        <v>34016</v>
      </c>
      <c r="U8" s="708">
        <v>34030</v>
      </c>
      <c r="V8" s="270">
        <f t="shared" si="7"/>
        <v>14</v>
      </c>
      <c r="W8" s="272">
        <f t="shared" si="8"/>
        <v>22268</v>
      </c>
      <c r="X8" s="50">
        <v>22278</v>
      </c>
      <c r="Y8" s="270">
        <f t="shared" si="9"/>
        <v>10</v>
      </c>
      <c r="Z8" s="273">
        <f t="shared" si="10"/>
        <v>40</v>
      </c>
      <c r="AA8" s="6">
        <v>365</v>
      </c>
      <c r="AB8" s="6">
        <v>140</v>
      </c>
      <c r="AC8" s="620">
        <f>Gen!AR13</f>
        <v>1810.5</v>
      </c>
    </row>
    <row r="9" spans="1:29" ht="20.100000000000001" customHeight="1" x14ac:dyDescent="0.2">
      <c r="A9" s="779">
        <f>Gen!A14</f>
        <v>44381</v>
      </c>
      <c r="B9" s="835">
        <f>Gen!B14</f>
        <v>0.18</v>
      </c>
      <c r="C9" s="836">
        <v>20200.27</v>
      </c>
      <c r="D9">
        <v>22111.06</v>
      </c>
      <c r="E9" s="476"/>
      <c r="G9">
        <v>233.22</v>
      </c>
      <c r="I9">
        <v>32348.400000000001</v>
      </c>
      <c r="J9" s="773">
        <v>21560.6</v>
      </c>
      <c r="K9" s="781">
        <f t="shared" si="0"/>
        <v>36668</v>
      </c>
      <c r="L9" s="271">
        <v>36674</v>
      </c>
      <c r="M9" s="270">
        <f t="shared" si="1"/>
        <v>6</v>
      </c>
      <c r="N9" s="272">
        <f t="shared" si="2"/>
        <v>31505</v>
      </c>
      <c r="O9" s="708">
        <v>31505</v>
      </c>
      <c r="P9" s="270">
        <f t="shared" si="3"/>
        <v>0</v>
      </c>
      <c r="Q9" s="270">
        <f t="shared" si="4"/>
        <v>36786</v>
      </c>
      <c r="R9" s="271">
        <v>36796</v>
      </c>
      <c r="S9" s="270">
        <f t="shared" si="5"/>
        <v>10</v>
      </c>
      <c r="T9" s="270">
        <f t="shared" si="6"/>
        <v>34030</v>
      </c>
      <c r="U9" s="708">
        <v>34041</v>
      </c>
      <c r="V9" s="270">
        <f t="shared" si="7"/>
        <v>11</v>
      </c>
      <c r="W9" s="272">
        <f t="shared" si="8"/>
        <v>22278</v>
      </c>
      <c r="X9" s="50">
        <v>22287</v>
      </c>
      <c r="Y9" s="270">
        <f t="shared" si="9"/>
        <v>9</v>
      </c>
      <c r="Z9" s="273">
        <f t="shared" si="10"/>
        <v>36</v>
      </c>
      <c r="AA9" s="6">
        <v>380</v>
      </c>
      <c r="AB9" s="6">
        <v>170</v>
      </c>
      <c r="AC9" s="620">
        <f>Gen!AR14</f>
        <v>1885.56</v>
      </c>
    </row>
    <row r="10" spans="1:29" ht="20.100000000000001" customHeight="1" x14ac:dyDescent="0.2">
      <c r="A10" s="779">
        <f>Gen!A15</f>
        <v>44382</v>
      </c>
      <c r="B10" s="835">
        <f>Gen!B15</f>
        <v>0.14000000000000001</v>
      </c>
      <c r="C10" s="836">
        <v>20200.27</v>
      </c>
      <c r="D10">
        <v>20225.5</v>
      </c>
      <c r="E10" s="476"/>
      <c r="G10">
        <v>148.61000000000001</v>
      </c>
      <c r="I10">
        <v>32355.4</v>
      </c>
      <c r="J10" s="773">
        <v>21564.9</v>
      </c>
      <c r="K10" s="781">
        <f t="shared" si="0"/>
        <v>36674</v>
      </c>
      <c r="L10" s="271">
        <v>36674</v>
      </c>
      <c r="M10" s="270">
        <f t="shared" si="1"/>
        <v>0</v>
      </c>
      <c r="N10" s="272">
        <f t="shared" si="2"/>
        <v>31505</v>
      </c>
      <c r="O10" s="6">
        <v>31514</v>
      </c>
      <c r="P10" s="270">
        <f t="shared" si="3"/>
        <v>9</v>
      </c>
      <c r="Q10" s="270">
        <f t="shared" si="4"/>
        <v>36796</v>
      </c>
      <c r="R10" s="271">
        <v>36811</v>
      </c>
      <c r="S10" s="270">
        <f t="shared" si="5"/>
        <v>15</v>
      </c>
      <c r="T10" s="270">
        <f t="shared" si="6"/>
        <v>34041</v>
      </c>
      <c r="U10" s="708">
        <v>34051</v>
      </c>
      <c r="V10" s="270">
        <f t="shared" si="7"/>
        <v>10</v>
      </c>
      <c r="W10" s="272">
        <f t="shared" si="8"/>
        <v>22287</v>
      </c>
      <c r="X10" s="50">
        <v>22287</v>
      </c>
      <c r="Y10" s="270">
        <f t="shared" si="9"/>
        <v>0</v>
      </c>
      <c r="Z10" s="273">
        <f t="shared" si="10"/>
        <v>34</v>
      </c>
      <c r="AA10" s="6">
        <v>360</v>
      </c>
      <c r="AB10" s="6">
        <v>150</v>
      </c>
      <c r="AC10" s="620">
        <f>Gen!AR15</f>
        <v>1792.9299999999998</v>
      </c>
    </row>
    <row r="11" spans="1:29" ht="20.100000000000001" customHeight="1" x14ac:dyDescent="0.2">
      <c r="A11" s="779">
        <f>Gen!A16</f>
        <v>44383</v>
      </c>
      <c r="B11" s="835">
        <f>Gen!B16</f>
        <v>0.16900000000000001</v>
      </c>
      <c r="C11" s="836">
        <v>20200.27</v>
      </c>
      <c r="D11">
        <v>18432.57</v>
      </c>
      <c r="E11" s="476"/>
      <c r="G11">
        <v>199.93</v>
      </c>
      <c r="I11">
        <v>32362.400000000001</v>
      </c>
      <c r="J11" s="773">
        <v>21569.200000000001</v>
      </c>
      <c r="K11" s="781">
        <f t="shared" si="0"/>
        <v>36674</v>
      </c>
      <c r="L11" s="271">
        <v>36689</v>
      </c>
      <c r="M11" s="270">
        <f t="shared" si="1"/>
        <v>15</v>
      </c>
      <c r="N11" s="272">
        <f t="shared" si="2"/>
        <v>31514</v>
      </c>
      <c r="O11" s="6">
        <v>31514</v>
      </c>
      <c r="P11" s="270">
        <f t="shared" si="3"/>
        <v>0</v>
      </c>
      <c r="Q11" s="270">
        <f t="shared" si="4"/>
        <v>36811</v>
      </c>
      <c r="R11" s="271">
        <v>36811</v>
      </c>
      <c r="S11" s="270">
        <f t="shared" si="5"/>
        <v>0</v>
      </c>
      <c r="T11" s="270">
        <f t="shared" si="6"/>
        <v>34051</v>
      </c>
      <c r="U11" s="708">
        <v>34060</v>
      </c>
      <c r="V11" s="270">
        <f t="shared" si="7"/>
        <v>9</v>
      </c>
      <c r="W11" s="272">
        <f t="shared" si="8"/>
        <v>22287</v>
      </c>
      <c r="X11" s="50">
        <v>22298</v>
      </c>
      <c r="Y11" s="270">
        <f t="shared" si="9"/>
        <v>11</v>
      </c>
      <c r="Z11" s="273">
        <f t="shared" si="10"/>
        <v>35</v>
      </c>
      <c r="AA11" s="6">
        <v>370</v>
      </c>
      <c r="AB11" s="6">
        <v>160</v>
      </c>
      <c r="AC11" s="620">
        <f>Gen!AR16</f>
        <v>1869.16</v>
      </c>
    </row>
    <row r="12" spans="1:29" ht="20.100000000000001" customHeight="1" x14ac:dyDescent="0.2">
      <c r="A12" s="779">
        <f>Gen!A17</f>
        <v>44384</v>
      </c>
      <c r="B12" s="835">
        <f>Gen!B17</f>
        <v>0.36399999999999999</v>
      </c>
      <c r="C12" s="836">
        <v>20200.27</v>
      </c>
      <c r="D12">
        <v>16664.14</v>
      </c>
      <c r="E12" s="476"/>
      <c r="G12">
        <v>168.95</v>
      </c>
      <c r="I12">
        <v>32369.7</v>
      </c>
      <c r="J12" s="773">
        <v>21573.5</v>
      </c>
      <c r="K12" s="781">
        <f t="shared" si="0"/>
        <v>36689</v>
      </c>
      <c r="L12" s="271">
        <v>36699</v>
      </c>
      <c r="M12" s="270">
        <f t="shared" si="1"/>
        <v>10</v>
      </c>
      <c r="N12" s="272">
        <f t="shared" si="2"/>
        <v>31514</v>
      </c>
      <c r="O12" s="6">
        <v>31516</v>
      </c>
      <c r="P12" s="270">
        <f t="shared" si="3"/>
        <v>2</v>
      </c>
      <c r="Q12" s="270">
        <f t="shared" si="4"/>
        <v>36811</v>
      </c>
      <c r="R12" s="271">
        <v>36817</v>
      </c>
      <c r="S12" s="270">
        <f t="shared" si="5"/>
        <v>6</v>
      </c>
      <c r="T12" s="270">
        <f t="shared" si="6"/>
        <v>34060</v>
      </c>
      <c r="U12" s="6">
        <v>34069</v>
      </c>
      <c r="V12" s="270">
        <f t="shared" si="7"/>
        <v>9</v>
      </c>
      <c r="W12" s="272">
        <f t="shared" si="8"/>
        <v>22298</v>
      </c>
      <c r="X12" s="50">
        <v>22312</v>
      </c>
      <c r="Y12" s="270">
        <f t="shared" si="9"/>
        <v>14</v>
      </c>
      <c r="Z12" s="273">
        <f t="shared" si="10"/>
        <v>41</v>
      </c>
      <c r="AA12" s="6">
        <v>382</v>
      </c>
      <c r="AB12" s="6">
        <v>168</v>
      </c>
      <c r="AC12" s="620">
        <f>Gen!AR17</f>
        <v>2067.86</v>
      </c>
    </row>
    <row r="13" spans="1:29" ht="20.100000000000001" customHeight="1" x14ac:dyDescent="0.2">
      <c r="A13" s="779">
        <f>Gen!A18</f>
        <v>44385</v>
      </c>
      <c r="B13" s="835">
        <f>Gen!B18</f>
        <v>0.45500000000000002</v>
      </c>
      <c r="C13" s="836">
        <v>20200.27</v>
      </c>
      <c r="D13">
        <v>14596.28</v>
      </c>
      <c r="E13" s="476"/>
      <c r="G13">
        <v>47</v>
      </c>
      <c r="I13">
        <v>32377.3</v>
      </c>
      <c r="J13" s="773">
        <v>21578.7</v>
      </c>
      <c r="K13" s="781">
        <f t="shared" si="0"/>
        <v>36699</v>
      </c>
      <c r="L13" s="271">
        <v>36715</v>
      </c>
      <c r="M13" s="270">
        <f t="shared" si="1"/>
        <v>16</v>
      </c>
      <c r="N13" s="272">
        <f>O12</f>
        <v>31516</v>
      </c>
      <c r="O13" s="6">
        <v>31527</v>
      </c>
      <c r="P13" s="270">
        <f t="shared" si="3"/>
        <v>11</v>
      </c>
      <c r="Q13" s="270">
        <f t="shared" si="4"/>
        <v>36817</v>
      </c>
      <c r="R13" s="6">
        <v>36817</v>
      </c>
      <c r="S13" s="270">
        <f t="shared" si="5"/>
        <v>0</v>
      </c>
      <c r="T13" s="270">
        <f t="shared" si="6"/>
        <v>34069</v>
      </c>
      <c r="U13" s="6">
        <v>34069</v>
      </c>
      <c r="V13" s="270">
        <f t="shared" si="7"/>
        <v>0</v>
      </c>
      <c r="W13" s="272">
        <f t="shared" si="8"/>
        <v>22312</v>
      </c>
      <c r="X13" s="50">
        <v>22322</v>
      </c>
      <c r="Y13" s="270">
        <f t="shared" si="9"/>
        <v>10</v>
      </c>
      <c r="Z13" s="273">
        <f>Y13+V13+S13+P13+M13</f>
        <v>37</v>
      </c>
      <c r="AA13" s="6">
        <v>370</v>
      </c>
      <c r="AB13" s="6">
        <v>180</v>
      </c>
      <c r="AC13" s="620">
        <f>Gen!AR18</f>
        <v>1912.79</v>
      </c>
    </row>
    <row r="14" spans="1:29" ht="20.100000000000001" customHeight="1" x14ac:dyDescent="0.2">
      <c r="A14" s="779">
        <f>Gen!A19</f>
        <v>44386</v>
      </c>
      <c r="B14" s="835">
        <f>Gen!B19</f>
        <v>0.46800000000000003</v>
      </c>
      <c r="C14" s="836">
        <v>20200.27</v>
      </c>
      <c r="D14">
        <v>12683.49</v>
      </c>
      <c r="E14" s="476"/>
      <c r="I14">
        <v>32385.8</v>
      </c>
      <c r="J14" s="773">
        <v>21583.4</v>
      </c>
      <c r="K14" s="781">
        <f t="shared" si="0"/>
        <v>36715</v>
      </c>
      <c r="L14" s="271">
        <v>36723</v>
      </c>
      <c r="M14" s="270">
        <f t="shared" si="1"/>
        <v>8</v>
      </c>
      <c r="N14" s="272">
        <f>O14</f>
        <v>31539</v>
      </c>
      <c r="O14" s="6">
        <v>31539</v>
      </c>
      <c r="P14" s="270">
        <f t="shared" si="3"/>
        <v>0</v>
      </c>
      <c r="Q14" s="270">
        <f t="shared" si="4"/>
        <v>36817</v>
      </c>
      <c r="R14" s="6">
        <v>36821</v>
      </c>
      <c r="S14" s="270">
        <f t="shared" si="5"/>
        <v>4</v>
      </c>
      <c r="T14" s="270">
        <f t="shared" si="6"/>
        <v>34069</v>
      </c>
      <c r="U14" s="6">
        <v>34074</v>
      </c>
      <c r="V14" s="270">
        <f t="shared" si="7"/>
        <v>5</v>
      </c>
      <c r="W14" s="272">
        <f t="shared" si="8"/>
        <v>22322</v>
      </c>
      <c r="X14" s="50">
        <v>22334</v>
      </c>
      <c r="Y14" s="270">
        <f t="shared" si="9"/>
        <v>12</v>
      </c>
      <c r="Z14" s="273">
        <f>Y14+V14+S14+P14+M14</f>
        <v>29</v>
      </c>
      <c r="AA14" s="6">
        <v>380</v>
      </c>
      <c r="AB14" s="6">
        <v>200</v>
      </c>
      <c r="AC14" s="620">
        <f>Gen!AR19</f>
        <v>2263.2200000000003</v>
      </c>
    </row>
    <row r="15" spans="1:29" ht="20.100000000000001" customHeight="1" x14ac:dyDescent="0.2">
      <c r="A15" s="779">
        <f>Gen!A20</f>
        <v>44387</v>
      </c>
      <c r="B15" s="835">
        <f>Gen!B20</f>
        <v>0.39</v>
      </c>
      <c r="C15" s="836">
        <v>20200.27</v>
      </c>
      <c r="D15">
        <v>10419.27</v>
      </c>
      <c r="E15" s="476"/>
      <c r="G15" s="380">
        <v>644.97</v>
      </c>
      <c r="I15">
        <v>32393.7</v>
      </c>
      <c r="J15" s="773">
        <v>21587.9</v>
      </c>
      <c r="K15" s="781">
        <f t="shared" si="0"/>
        <v>36723</v>
      </c>
      <c r="L15" s="271">
        <v>36732</v>
      </c>
      <c r="M15" s="270">
        <f t="shared" si="1"/>
        <v>9</v>
      </c>
      <c r="N15" s="272">
        <f>O15</f>
        <v>31554</v>
      </c>
      <c r="O15" s="6">
        <v>31554</v>
      </c>
      <c r="P15" s="270">
        <f t="shared" ref="P15" si="11">O16-N15</f>
        <v>17</v>
      </c>
      <c r="Q15" s="270">
        <f t="shared" si="4"/>
        <v>36821</v>
      </c>
      <c r="R15" s="6">
        <v>36821</v>
      </c>
      <c r="S15" s="270">
        <f t="shared" si="5"/>
        <v>0</v>
      </c>
      <c r="T15" s="270">
        <f t="shared" si="6"/>
        <v>34074</v>
      </c>
      <c r="U15" s="6">
        <v>34075</v>
      </c>
      <c r="V15" s="270">
        <f t="shared" si="7"/>
        <v>1</v>
      </c>
      <c r="W15" s="272">
        <f t="shared" si="8"/>
        <v>22334</v>
      </c>
      <c r="X15" s="50">
        <v>22350</v>
      </c>
      <c r="Y15" s="270">
        <f t="shared" si="9"/>
        <v>16</v>
      </c>
      <c r="Z15" s="273">
        <f t="shared" si="10"/>
        <v>43</v>
      </c>
      <c r="AA15" s="6">
        <v>385</v>
      </c>
      <c r="AB15" s="6">
        <v>210</v>
      </c>
      <c r="AC15" s="620">
        <f>Gen!AR20</f>
        <v>2532.85</v>
      </c>
    </row>
    <row r="16" spans="1:29" ht="20.100000000000001" customHeight="1" x14ac:dyDescent="0.2">
      <c r="A16" s="779">
        <f>Gen!A21</f>
        <v>44388</v>
      </c>
      <c r="B16" s="835">
        <f>Gen!B21</f>
        <v>0.40300000000000002</v>
      </c>
      <c r="C16" s="836">
        <v>23886.34</v>
      </c>
      <c r="D16">
        <v>22200.34</v>
      </c>
      <c r="E16" s="476"/>
      <c r="G16">
        <v>608.62</v>
      </c>
      <c r="I16">
        <v>32401.7</v>
      </c>
      <c r="J16" s="773">
        <v>21592.799999999999</v>
      </c>
      <c r="K16" s="781">
        <f t="shared" si="0"/>
        <v>36732</v>
      </c>
      <c r="L16" s="271">
        <v>36732</v>
      </c>
      <c r="M16" s="270">
        <f>L16-K16</f>
        <v>0</v>
      </c>
      <c r="N16" s="272">
        <f t="shared" si="2"/>
        <v>31554</v>
      </c>
      <c r="O16" s="6">
        <v>31571</v>
      </c>
      <c r="P16" s="270">
        <f t="shared" si="3"/>
        <v>17</v>
      </c>
      <c r="Q16" s="270">
        <f t="shared" si="4"/>
        <v>36821</v>
      </c>
      <c r="R16" s="6">
        <v>36822</v>
      </c>
      <c r="S16" s="270">
        <f t="shared" si="5"/>
        <v>1</v>
      </c>
      <c r="T16" s="270">
        <f>U14</f>
        <v>34074</v>
      </c>
      <c r="U16" s="6">
        <v>34091</v>
      </c>
      <c r="V16" s="270">
        <f t="shared" si="7"/>
        <v>17</v>
      </c>
      <c r="W16" s="272">
        <f t="shared" si="8"/>
        <v>22350</v>
      </c>
      <c r="X16" s="50">
        <v>22358</v>
      </c>
      <c r="Y16" s="270">
        <f t="shared" si="9"/>
        <v>8</v>
      </c>
      <c r="Z16" s="273">
        <f t="shared" si="10"/>
        <v>43</v>
      </c>
      <c r="AA16" s="6">
        <v>380</v>
      </c>
      <c r="AB16" s="6">
        <v>200</v>
      </c>
      <c r="AC16" s="620">
        <f>Gen!AR21</f>
        <v>2461.2199999999998</v>
      </c>
    </row>
    <row r="17" spans="1:29" ht="20.100000000000001" customHeight="1" x14ac:dyDescent="0.2">
      <c r="A17" s="779">
        <f>Gen!A22</f>
        <v>44389</v>
      </c>
      <c r="B17" s="835">
        <f>Gen!B22</f>
        <v>0.39</v>
      </c>
      <c r="C17" s="836">
        <v>23886.34</v>
      </c>
      <c r="D17">
        <v>19739.13</v>
      </c>
      <c r="E17" s="476"/>
      <c r="G17">
        <v>677.99</v>
      </c>
      <c r="I17">
        <v>32409.8</v>
      </c>
      <c r="J17" s="773">
        <v>21597.7</v>
      </c>
      <c r="K17" s="781">
        <f>L16</f>
        <v>36732</v>
      </c>
      <c r="L17" s="271">
        <v>36749</v>
      </c>
      <c r="M17" s="270">
        <f>L17-K17</f>
        <v>17</v>
      </c>
      <c r="N17" s="272">
        <f t="shared" si="2"/>
        <v>31571</v>
      </c>
      <c r="O17" s="6">
        <v>31571</v>
      </c>
      <c r="P17" s="270">
        <f t="shared" si="3"/>
        <v>0</v>
      </c>
      <c r="Q17" s="270">
        <f t="shared" si="4"/>
        <v>36822</v>
      </c>
      <c r="R17" s="6">
        <v>36822</v>
      </c>
      <c r="S17" s="270">
        <f t="shared" si="5"/>
        <v>0</v>
      </c>
      <c r="T17" s="270">
        <f t="shared" si="6"/>
        <v>34091</v>
      </c>
      <c r="U17" s="6">
        <v>34107</v>
      </c>
      <c r="V17" s="270">
        <f t="shared" si="7"/>
        <v>16</v>
      </c>
      <c r="W17" s="272">
        <f t="shared" si="8"/>
        <v>22358</v>
      </c>
      <c r="X17" s="50">
        <v>22367</v>
      </c>
      <c r="Y17" s="270">
        <f t="shared" si="9"/>
        <v>9</v>
      </c>
      <c r="Z17" s="273">
        <f t="shared" si="10"/>
        <v>42</v>
      </c>
      <c r="AA17" s="6">
        <v>365</v>
      </c>
      <c r="AB17" s="6">
        <v>190</v>
      </c>
      <c r="AC17" s="620">
        <f>Gen!AR22</f>
        <v>2340.16</v>
      </c>
    </row>
    <row r="18" spans="1:29" ht="20.100000000000001" customHeight="1" x14ac:dyDescent="0.2">
      <c r="A18" s="779">
        <f>Gen!A23</f>
        <v>44390</v>
      </c>
      <c r="B18" s="835">
        <f>Gen!B23</f>
        <v>0.221</v>
      </c>
      <c r="C18" s="836">
        <v>23886.34</v>
      </c>
      <c r="D18">
        <v>17398.97</v>
      </c>
      <c r="I18">
        <v>32417.599999999999</v>
      </c>
      <c r="J18" s="773">
        <v>21602.6</v>
      </c>
      <c r="K18" s="781">
        <f>L17</f>
        <v>36749</v>
      </c>
      <c r="L18" s="271">
        <v>36765</v>
      </c>
      <c r="M18" s="270">
        <f t="shared" si="1"/>
        <v>16</v>
      </c>
      <c r="N18" s="272">
        <f t="shared" si="2"/>
        <v>31571</v>
      </c>
      <c r="O18" s="6">
        <v>31571</v>
      </c>
      <c r="P18" s="270">
        <f t="shared" si="3"/>
        <v>0</v>
      </c>
      <c r="Q18" s="270">
        <f t="shared" si="4"/>
        <v>36822</v>
      </c>
      <c r="R18" s="6">
        <v>36822</v>
      </c>
      <c r="S18" s="270">
        <f t="shared" si="5"/>
        <v>0</v>
      </c>
      <c r="T18" s="270">
        <f t="shared" si="6"/>
        <v>34107</v>
      </c>
      <c r="U18" s="6">
        <v>34120</v>
      </c>
      <c r="V18" s="270">
        <f t="shared" si="7"/>
        <v>13</v>
      </c>
      <c r="W18" s="272">
        <f t="shared" si="8"/>
        <v>22367</v>
      </c>
      <c r="X18" s="50">
        <v>22377</v>
      </c>
      <c r="Y18" s="270">
        <f t="shared" si="9"/>
        <v>10</v>
      </c>
      <c r="Z18" s="273">
        <f t="shared" si="10"/>
        <v>39</v>
      </c>
      <c r="AA18" s="6">
        <v>370</v>
      </c>
      <c r="AB18" s="6">
        <v>260</v>
      </c>
      <c r="AC18" s="620">
        <f>Gen!AR23</f>
        <v>2049.04</v>
      </c>
    </row>
    <row r="19" spans="1:29" ht="20.100000000000001" customHeight="1" x14ac:dyDescent="0.2">
      <c r="A19" s="779">
        <f>Gen!A24</f>
        <v>44391</v>
      </c>
      <c r="B19" s="835">
        <f>Gen!B24</f>
        <v>0.19500000000000001</v>
      </c>
      <c r="C19" s="775">
        <v>21837.3</v>
      </c>
      <c r="D19">
        <v>17398.97</v>
      </c>
      <c r="I19">
        <v>34424.5</v>
      </c>
      <c r="J19" s="773">
        <v>21607.1</v>
      </c>
      <c r="K19" s="781">
        <f t="shared" si="0"/>
        <v>36765</v>
      </c>
      <c r="L19" s="271">
        <v>36781</v>
      </c>
      <c r="M19" s="270">
        <f t="shared" si="1"/>
        <v>16</v>
      </c>
      <c r="N19" s="272">
        <f t="shared" si="2"/>
        <v>31571</v>
      </c>
      <c r="O19" s="6">
        <v>31586</v>
      </c>
      <c r="P19" s="270">
        <f t="shared" si="3"/>
        <v>15</v>
      </c>
      <c r="Q19" s="270">
        <f t="shared" si="4"/>
        <v>36822</v>
      </c>
      <c r="R19" s="6">
        <v>36822</v>
      </c>
      <c r="S19" s="270">
        <f t="shared" si="5"/>
        <v>0</v>
      </c>
      <c r="T19" s="270">
        <f t="shared" si="6"/>
        <v>34120</v>
      </c>
      <c r="U19" s="271">
        <v>34129</v>
      </c>
      <c r="V19" s="270">
        <f t="shared" si="7"/>
        <v>9</v>
      </c>
      <c r="W19" s="272">
        <f t="shared" si="8"/>
        <v>22377</v>
      </c>
      <c r="X19" s="50">
        <v>22378</v>
      </c>
      <c r="Y19" s="270">
        <f t="shared" si="9"/>
        <v>1</v>
      </c>
      <c r="Z19" s="273">
        <f t="shared" si="10"/>
        <v>41</v>
      </c>
      <c r="AA19" s="6">
        <v>375</v>
      </c>
      <c r="AB19" s="6">
        <v>265</v>
      </c>
      <c r="AC19" s="620">
        <f>Gen!AR24</f>
        <v>3085.01</v>
      </c>
    </row>
    <row r="20" spans="1:29" ht="20.100000000000001" customHeight="1" x14ac:dyDescent="0.2">
      <c r="A20" s="779">
        <f>Gen!A25</f>
        <v>44392</v>
      </c>
      <c r="B20" s="835">
        <f>Gen!B25</f>
        <v>0.20799999999999999</v>
      </c>
      <c r="C20" s="775">
        <v>19752.29</v>
      </c>
      <c r="D20">
        <v>17398.97</v>
      </c>
      <c r="I20">
        <v>32431.9</v>
      </c>
      <c r="J20" s="773">
        <v>21611.3</v>
      </c>
      <c r="K20" s="781">
        <f t="shared" si="0"/>
        <v>36781</v>
      </c>
      <c r="L20" s="271">
        <v>36791</v>
      </c>
      <c r="M20" s="270">
        <f t="shared" si="1"/>
        <v>10</v>
      </c>
      <c r="N20" s="272">
        <f t="shared" si="2"/>
        <v>31586</v>
      </c>
      <c r="O20" s="6">
        <v>31601</v>
      </c>
      <c r="P20" s="270">
        <f t="shared" si="3"/>
        <v>15</v>
      </c>
      <c r="Q20" s="270">
        <f t="shared" si="4"/>
        <v>36822</v>
      </c>
      <c r="R20" s="6">
        <v>36822</v>
      </c>
      <c r="S20" s="270">
        <f t="shared" si="5"/>
        <v>0</v>
      </c>
      <c r="T20" s="270">
        <f t="shared" si="6"/>
        <v>34129</v>
      </c>
      <c r="U20" s="271">
        <v>34129</v>
      </c>
      <c r="V20" s="270">
        <f t="shared" si="7"/>
        <v>0</v>
      </c>
      <c r="W20" s="272">
        <f t="shared" si="8"/>
        <v>22378</v>
      </c>
      <c r="X20" s="50">
        <v>22392</v>
      </c>
      <c r="Y20" s="270">
        <f t="shared" si="9"/>
        <v>14</v>
      </c>
      <c r="Z20" s="273">
        <f t="shared" si="10"/>
        <v>39</v>
      </c>
      <c r="AA20" s="6">
        <v>370</v>
      </c>
      <c r="AB20" s="6">
        <v>255</v>
      </c>
      <c r="AC20" s="620">
        <f>Gen!AR25</f>
        <v>1799.2400000000002</v>
      </c>
    </row>
    <row r="21" spans="1:29" ht="20.100000000000001" customHeight="1" x14ac:dyDescent="0.2">
      <c r="A21" s="779">
        <f>Gen!A26</f>
        <v>44393</v>
      </c>
      <c r="B21" s="835">
        <f>Gen!B26</f>
        <v>0.27</v>
      </c>
      <c r="C21" s="775">
        <v>16953.05</v>
      </c>
      <c r="D21">
        <v>17398.97</v>
      </c>
      <c r="I21">
        <v>32438.9</v>
      </c>
      <c r="J21" s="773">
        <v>21615.200000000001</v>
      </c>
      <c r="K21" s="781">
        <f t="shared" si="0"/>
        <v>36791</v>
      </c>
      <c r="L21" s="271">
        <v>36791</v>
      </c>
      <c r="M21" s="270">
        <f t="shared" si="1"/>
        <v>0</v>
      </c>
      <c r="N21" s="272">
        <f t="shared" si="2"/>
        <v>31601</v>
      </c>
      <c r="O21" s="6">
        <v>31617</v>
      </c>
      <c r="P21" s="270">
        <f t="shared" si="3"/>
        <v>16</v>
      </c>
      <c r="Q21" s="270">
        <f t="shared" si="4"/>
        <v>36822</v>
      </c>
      <c r="R21" s="6">
        <v>36822</v>
      </c>
      <c r="S21" s="270">
        <f t="shared" si="5"/>
        <v>0</v>
      </c>
      <c r="T21" s="270">
        <f t="shared" si="6"/>
        <v>34129</v>
      </c>
      <c r="U21" s="271">
        <v>34138</v>
      </c>
      <c r="V21" s="270">
        <f t="shared" si="7"/>
        <v>9</v>
      </c>
      <c r="W21" s="272">
        <f t="shared" si="8"/>
        <v>22392</v>
      </c>
      <c r="X21" s="50">
        <v>22408</v>
      </c>
      <c r="Y21" s="270">
        <f t="shared" si="9"/>
        <v>16</v>
      </c>
      <c r="Z21" s="273">
        <f t="shared" si="10"/>
        <v>41</v>
      </c>
      <c r="AA21" s="6">
        <v>365</v>
      </c>
      <c r="AB21" s="6">
        <v>260</v>
      </c>
      <c r="AC21" s="620">
        <f>Gen!AR26</f>
        <v>1818.42</v>
      </c>
    </row>
    <row r="22" spans="1:29" ht="18.75" customHeight="1" x14ac:dyDescent="0.2">
      <c r="A22" s="779">
        <f>Gen!A27</f>
        <v>44394</v>
      </c>
      <c r="B22" s="835">
        <f>Gen!B27</f>
        <v>0.26</v>
      </c>
      <c r="C22" s="775">
        <v>1513405</v>
      </c>
      <c r="D22">
        <v>17398.97</v>
      </c>
      <c r="I22">
        <v>32446.400000000001</v>
      </c>
      <c r="J22" s="773">
        <v>21619.5</v>
      </c>
      <c r="K22" s="781">
        <f t="shared" si="0"/>
        <v>36791</v>
      </c>
      <c r="L22" s="271">
        <v>36807</v>
      </c>
      <c r="M22" s="270">
        <f t="shared" si="1"/>
        <v>16</v>
      </c>
      <c r="N22" s="272">
        <f t="shared" si="2"/>
        <v>31617</v>
      </c>
      <c r="O22" s="6">
        <v>31617</v>
      </c>
      <c r="P22" s="270">
        <f t="shared" si="3"/>
        <v>0</v>
      </c>
      <c r="Q22" s="270">
        <f t="shared" si="4"/>
        <v>36822</v>
      </c>
      <c r="R22" s="6">
        <v>36822</v>
      </c>
      <c r="S22" s="270">
        <f t="shared" si="5"/>
        <v>0</v>
      </c>
      <c r="T22" s="270">
        <f t="shared" si="6"/>
        <v>34138</v>
      </c>
      <c r="U22" s="271">
        <v>34147</v>
      </c>
      <c r="V22" s="270">
        <f t="shared" si="7"/>
        <v>9</v>
      </c>
      <c r="W22" s="272">
        <f t="shared" si="8"/>
        <v>22408</v>
      </c>
      <c r="X22" s="271">
        <v>22424</v>
      </c>
      <c r="Y22" s="270">
        <f t="shared" si="9"/>
        <v>16</v>
      </c>
      <c r="Z22" s="273">
        <f t="shared" si="10"/>
        <v>41</v>
      </c>
      <c r="AA22" s="6">
        <v>370</v>
      </c>
      <c r="AB22" s="6">
        <v>265</v>
      </c>
      <c r="AC22" s="620">
        <f>Gen!AR27</f>
        <v>2263.02</v>
      </c>
    </row>
    <row r="23" spans="1:29" ht="20.100000000000001" customHeight="1" x14ac:dyDescent="0.2">
      <c r="A23" s="779">
        <f>Gen!A28</f>
        <v>44395</v>
      </c>
      <c r="B23" s="835">
        <f>Gen!B28</f>
        <v>0.35</v>
      </c>
      <c r="C23" s="775">
        <v>12871.61</v>
      </c>
      <c r="D23">
        <v>17398.97</v>
      </c>
      <c r="E23" s="476"/>
      <c r="I23">
        <v>32453.7</v>
      </c>
      <c r="J23" s="773">
        <v>21624.1</v>
      </c>
      <c r="K23" s="781">
        <f t="shared" si="0"/>
        <v>36807</v>
      </c>
      <c r="L23" s="271">
        <v>36820</v>
      </c>
      <c r="M23" s="270">
        <f t="shared" si="1"/>
        <v>13</v>
      </c>
      <c r="N23" s="272">
        <f t="shared" si="2"/>
        <v>31617</v>
      </c>
      <c r="O23" s="6">
        <v>31629</v>
      </c>
      <c r="P23" s="270">
        <f t="shared" si="3"/>
        <v>12</v>
      </c>
      <c r="Q23" s="270">
        <f t="shared" si="4"/>
        <v>36822</v>
      </c>
      <c r="R23" s="6">
        <v>36822</v>
      </c>
      <c r="S23" s="270">
        <f t="shared" si="5"/>
        <v>0</v>
      </c>
      <c r="T23" s="270">
        <f t="shared" si="6"/>
        <v>34147</v>
      </c>
      <c r="U23" s="271">
        <v>34147</v>
      </c>
      <c r="V23" s="270">
        <f t="shared" si="7"/>
        <v>0</v>
      </c>
      <c r="W23" s="272">
        <f t="shared" si="8"/>
        <v>22424</v>
      </c>
      <c r="X23" s="271">
        <v>22440</v>
      </c>
      <c r="Y23" s="270">
        <f t="shared" si="9"/>
        <v>16</v>
      </c>
      <c r="Z23" s="273">
        <f t="shared" si="10"/>
        <v>41</v>
      </c>
      <c r="AA23" s="6">
        <v>370</v>
      </c>
      <c r="AB23" s="6">
        <v>265</v>
      </c>
      <c r="AC23" s="620">
        <f>Gen!AR28</f>
        <v>2162.21</v>
      </c>
    </row>
    <row r="24" spans="1:29" ht="20.100000000000001" customHeight="1" x14ac:dyDescent="0.2">
      <c r="A24" s="779">
        <f>Gen!A29</f>
        <v>44396</v>
      </c>
      <c r="B24" s="835">
        <f>Gen!B29</f>
        <v>0.39</v>
      </c>
      <c r="C24">
        <v>17398.97</v>
      </c>
      <c r="D24">
        <v>17398.97</v>
      </c>
      <c r="I24">
        <v>32461.3</v>
      </c>
      <c r="J24" s="773">
        <v>21629.1</v>
      </c>
      <c r="K24" s="781">
        <f t="shared" si="0"/>
        <v>36820</v>
      </c>
      <c r="L24" s="271">
        <v>36820</v>
      </c>
      <c r="M24" s="270">
        <f t="shared" si="1"/>
        <v>0</v>
      </c>
      <c r="N24" s="272">
        <f t="shared" si="2"/>
        <v>31629</v>
      </c>
      <c r="O24" s="6">
        <v>31646</v>
      </c>
      <c r="P24" s="270">
        <f t="shared" si="3"/>
        <v>17</v>
      </c>
      <c r="Q24" s="270">
        <f t="shared" si="4"/>
        <v>36822</v>
      </c>
      <c r="R24" s="6">
        <v>36822</v>
      </c>
      <c r="S24" s="270">
        <f t="shared" si="5"/>
        <v>0</v>
      </c>
      <c r="T24" s="270">
        <f t="shared" si="6"/>
        <v>34147</v>
      </c>
      <c r="U24" s="271">
        <v>34164</v>
      </c>
      <c r="V24" s="270">
        <f t="shared" si="7"/>
        <v>17</v>
      </c>
      <c r="W24" s="272">
        <f t="shared" si="8"/>
        <v>22440</v>
      </c>
      <c r="X24" s="271">
        <v>22447</v>
      </c>
      <c r="Y24" s="270">
        <f t="shared" si="9"/>
        <v>7</v>
      </c>
      <c r="Z24" s="273">
        <f t="shared" si="10"/>
        <v>41</v>
      </c>
      <c r="AA24" s="6">
        <v>365</v>
      </c>
      <c r="AB24" s="6">
        <v>240</v>
      </c>
      <c r="AC24" s="620">
        <f>Gen!AR29</f>
        <v>2036.3899999999999</v>
      </c>
    </row>
    <row r="25" spans="1:29" ht="18.75" customHeight="1" x14ac:dyDescent="0.2">
      <c r="A25" s="779">
        <f>Gen!A30</f>
        <v>44397</v>
      </c>
      <c r="B25" s="835">
        <f>Gen!B30</f>
        <v>0.39</v>
      </c>
      <c r="C25" s="775">
        <v>8673.01</v>
      </c>
      <c r="D25" s="775">
        <v>8673.01</v>
      </c>
      <c r="I25">
        <v>32469.1</v>
      </c>
      <c r="J25" s="773">
        <v>21634.5</v>
      </c>
      <c r="K25" s="781">
        <f t="shared" si="0"/>
        <v>36820</v>
      </c>
      <c r="L25" s="271">
        <v>36836</v>
      </c>
      <c r="M25" s="270">
        <f>L25-K25</f>
        <v>16</v>
      </c>
      <c r="N25" s="272">
        <f t="shared" si="2"/>
        <v>31646</v>
      </c>
      <c r="O25" s="6">
        <v>31646</v>
      </c>
      <c r="P25" s="270">
        <f t="shared" si="3"/>
        <v>0</v>
      </c>
      <c r="Q25" s="270">
        <f t="shared" si="4"/>
        <v>36822</v>
      </c>
      <c r="R25" s="6">
        <v>36822</v>
      </c>
      <c r="S25" s="270">
        <f t="shared" si="5"/>
        <v>0</v>
      </c>
      <c r="T25" s="270">
        <f t="shared" si="6"/>
        <v>34164</v>
      </c>
      <c r="U25" s="271">
        <v>34180</v>
      </c>
      <c r="V25" s="270">
        <f t="shared" si="7"/>
        <v>16</v>
      </c>
      <c r="W25" s="272">
        <f t="shared" si="8"/>
        <v>22447</v>
      </c>
      <c r="X25" s="271">
        <v>22456</v>
      </c>
      <c r="Y25" s="270">
        <f t="shared" si="9"/>
        <v>9</v>
      </c>
      <c r="Z25" s="273">
        <f t="shared" si="10"/>
        <v>41</v>
      </c>
      <c r="AA25" s="6">
        <v>370</v>
      </c>
      <c r="AB25" s="6">
        <v>270</v>
      </c>
      <c r="AC25" s="620">
        <f>Gen!AR30</f>
        <v>2056.9</v>
      </c>
    </row>
    <row r="26" spans="1:29" ht="20.100000000000001" customHeight="1" x14ac:dyDescent="0.2">
      <c r="A26" s="779">
        <f>Gen!A31</f>
        <v>44398</v>
      </c>
      <c r="B26" s="835">
        <f>Gen!B31</f>
        <v>0.55000000000000004</v>
      </c>
      <c r="C26" s="775">
        <v>6616.11</v>
      </c>
      <c r="D26" s="775">
        <v>6616.11</v>
      </c>
      <c r="I26">
        <v>32476.799999999999</v>
      </c>
      <c r="J26" s="773">
        <v>21640.1</v>
      </c>
      <c r="K26" s="781">
        <f t="shared" si="0"/>
        <v>36836</v>
      </c>
      <c r="L26" s="271">
        <v>36851</v>
      </c>
      <c r="M26" s="270">
        <f t="shared" si="1"/>
        <v>15</v>
      </c>
      <c r="N26" s="272">
        <f t="shared" si="2"/>
        <v>31646</v>
      </c>
      <c r="O26" s="6">
        <v>31646</v>
      </c>
      <c r="P26" s="270">
        <f t="shared" si="3"/>
        <v>0</v>
      </c>
      <c r="Q26" s="270">
        <f t="shared" si="4"/>
        <v>36822</v>
      </c>
      <c r="R26" s="6">
        <v>36822</v>
      </c>
      <c r="S26" s="270">
        <f t="shared" si="5"/>
        <v>0</v>
      </c>
      <c r="T26" s="270">
        <f t="shared" si="6"/>
        <v>34180</v>
      </c>
      <c r="U26" s="271">
        <v>34191</v>
      </c>
      <c r="V26" s="270">
        <f t="shared" si="7"/>
        <v>11</v>
      </c>
      <c r="W26" s="272">
        <f t="shared" si="8"/>
        <v>22456</v>
      </c>
      <c r="X26" s="271">
        <v>22469</v>
      </c>
      <c r="Y26" s="270">
        <f t="shared" si="9"/>
        <v>13</v>
      </c>
      <c r="Z26" s="273">
        <f t="shared" ref="Z26:Z37" si="12">Y26+V26+S26+P26+M26</f>
        <v>39</v>
      </c>
      <c r="AA26" s="6">
        <v>380</v>
      </c>
      <c r="AB26" s="6">
        <v>275</v>
      </c>
      <c r="AC26" s="620">
        <f>Gen!AR31</f>
        <v>2549.17</v>
      </c>
    </row>
    <row r="27" spans="1:29" ht="20.100000000000001" customHeight="1" x14ac:dyDescent="0.2">
      <c r="A27" s="779">
        <f>Gen!A32</f>
        <v>44399</v>
      </c>
      <c r="B27" s="835">
        <f>Gen!B32</f>
        <v>0.54500000000000004</v>
      </c>
      <c r="C27" s="775">
        <v>4066.22</v>
      </c>
      <c r="D27" s="775">
        <v>4066.22</v>
      </c>
      <c r="I27">
        <v>32485.1</v>
      </c>
      <c r="J27" s="773">
        <v>21646.400000000001</v>
      </c>
      <c r="K27" s="781">
        <f t="shared" si="0"/>
        <v>36851</v>
      </c>
      <c r="L27" s="271">
        <v>36876</v>
      </c>
      <c r="M27" s="270">
        <f t="shared" si="1"/>
        <v>25</v>
      </c>
      <c r="N27" s="272">
        <f t="shared" si="2"/>
        <v>31646</v>
      </c>
      <c r="O27" s="6">
        <v>31646</v>
      </c>
      <c r="P27" s="270">
        <f t="shared" si="3"/>
        <v>0</v>
      </c>
      <c r="Q27" s="270">
        <f t="shared" si="4"/>
        <v>36822</v>
      </c>
      <c r="R27" s="6">
        <v>36822</v>
      </c>
      <c r="S27" s="270">
        <f t="shared" si="5"/>
        <v>0</v>
      </c>
      <c r="T27" s="270">
        <f t="shared" si="6"/>
        <v>34191</v>
      </c>
      <c r="U27" s="271">
        <v>34200</v>
      </c>
      <c r="V27" s="270">
        <f t="shared" si="7"/>
        <v>9</v>
      </c>
      <c r="W27" s="272">
        <f t="shared" si="8"/>
        <v>22469</v>
      </c>
      <c r="X27" s="271">
        <v>22485</v>
      </c>
      <c r="Y27" s="270">
        <f t="shared" si="9"/>
        <v>16</v>
      </c>
      <c r="Z27" s="273">
        <f t="shared" si="12"/>
        <v>50</v>
      </c>
      <c r="AA27" s="6">
        <v>380</v>
      </c>
      <c r="AB27" s="6">
        <v>270</v>
      </c>
      <c r="AC27" s="620">
        <f>Gen!AR32</f>
        <v>2727.54</v>
      </c>
    </row>
    <row r="28" spans="1:29" ht="20.100000000000001" customHeight="1" x14ac:dyDescent="0.2">
      <c r="A28" s="779">
        <f>Gen!A33</f>
        <v>44400</v>
      </c>
      <c r="B28" s="835">
        <f>Gen!B33</f>
        <v>0.45500000000000002</v>
      </c>
      <c r="C28" s="721">
        <v>1339.4</v>
      </c>
      <c r="D28" s="721">
        <v>979.69</v>
      </c>
      <c r="E28" s="271"/>
      <c r="F28" s="271"/>
      <c r="G28" s="271"/>
      <c r="H28" s="271"/>
      <c r="I28" s="271">
        <v>32493.4</v>
      </c>
      <c r="J28" s="271">
        <v>21652.799999999999</v>
      </c>
      <c r="K28" s="781">
        <f t="shared" si="0"/>
        <v>36876</v>
      </c>
      <c r="L28" s="271">
        <v>36876</v>
      </c>
      <c r="M28" s="270">
        <f t="shared" si="1"/>
        <v>0</v>
      </c>
      <c r="N28" s="272">
        <f t="shared" si="2"/>
        <v>31646</v>
      </c>
      <c r="O28" s="271">
        <v>31664</v>
      </c>
      <c r="P28" s="270">
        <f t="shared" si="3"/>
        <v>18</v>
      </c>
      <c r="Q28" s="270">
        <f t="shared" si="4"/>
        <v>36822</v>
      </c>
      <c r="R28" s="6">
        <v>36822</v>
      </c>
      <c r="S28" s="270">
        <f t="shared" si="5"/>
        <v>0</v>
      </c>
      <c r="T28" s="270">
        <f t="shared" si="6"/>
        <v>34200</v>
      </c>
      <c r="U28" s="271">
        <v>34215</v>
      </c>
      <c r="V28" s="270">
        <f t="shared" si="7"/>
        <v>15</v>
      </c>
      <c r="W28" s="272">
        <f t="shared" si="8"/>
        <v>22485</v>
      </c>
      <c r="X28" s="271">
        <v>22493</v>
      </c>
      <c r="Y28" s="270">
        <f t="shared" si="9"/>
        <v>8</v>
      </c>
      <c r="Z28" s="273">
        <f t="shared" si="12"/>
        <v>41</v>
      </c>
      <c r="AA28" s="6">
        <v>370</v>
      </c>
      <c r="AB28" s="6">
        <v>265</v>
      </c>
      <c r="AC28" s="620">
        <f>Gen!AR33</f>
        <v>2319.09</v>
      </c>
    </row>
    <row r="29" spans="1:29" ht="20.100000000000001" customHeight="1" x14ac:dyDescent="0.2">
      <c r="A29" s="614">
        <f>Gen!A34</f>
        <v>44401</v>
      </c>
      <c r="B29" s="835">
        <f>Gen!B34</f>
        <v>0.247</v>
      </c>
      <c r="C29" s="721">
        <v>16419.28</v>
      </c>
      <c r="D29" s="721">
        <v>979.69</v>
      </c>
      <c r="E29" s="271"/>
      <c r="F29" s="271"/>
      <c r="G29" s="271"/>
      <c r="H29" s="271"/>
      <c r="I29" s="271">
        <v>32501.3</v>
      </c>
      <c r="J29" s="611">
        <v>21658.6</v>
      </c>
      <c r="K29" s="619">
        <f t="shared" si="0"/>
        <v>36876</v>
      </c>
      <c r="L29" s="271">
        <v>36894</v>
      </c>
      <c r="M29" s="270">
        <f t="shared" si="1"/>
        <v>18</v>
      </c>
      <c r="N29" s="272">
        <f t="shared" si="2"/>
        <v>31664</v>
      </c>
      <c r="O29" s="271">
        <v>31664</v>
      </c>
      <c r="P29" s="270">
        <f t="shared" si="3"/>
        <v>0</v>
      </c>
      <c r="Q29" s="270">
        <f t="shared" si="4"/>
        <v>36822</v>
      </c>
      <c r="R29" s="6">
        <v>36822</v>
      </c>
      <c r="S29" s="270">
        <f t="shared" si="5"/>
        <v>0</v>
      </c>
      <c r="T29" s="270">
        <f t="shared" si="6"/>
        <v>34215</v>
      </c>
      <c r="U29" s="271">
        <v>34232</v>
      </c>
      <c r="V29" s="270">
        <f>U29-T29</f>
        <v>17</v>
      </c>
      <c r="W29" s="272">
        <f t="shared" si="8"/>
        <v>22493</v>
      </c>
      <c r="X29" s="271">
        <v>22501</v>
      </c>
      <c r="Y29" s="270">
        <f t="shared" si="9"/>
        <v>8</v>
      </c>
      <c r="Z29" s="273">
        <f t="shared" si="12"/>
        <v>43</v>
      </c>
      <c r="AA29" s="6">
        <v>375</v>
      </c>
      <c r="AB29" s="6">
        <v>270</v>
      </c>
      <c r="AC29" s="620">
        <f>Gen!AR34</f>
        <v>2457.71</v>
      </c>
    </row>
    <row r="30" spans="1:29" ht="20.100000000000001" customHeight="1" x14ac:dyDescent="0.2">
      <c r="A30" s="614">
        <f>Gen!A35</f>
        <v>44402</v>
      </c>
      <c r="B30" s="835">
        <f>Gen!B35</f>
        <v>0.20799999999999999</v>
      </c>
      <c r="C30" s="721">
        <v>13960.57</v>
      </c>
      <c r="D30" s="721">
        <v>979.69</v>
      </c>
      <c r="E30" s="271"/>
      <c r="F30" s="271"/>
      <c r="G30" s="271"/>
      <c r="H30" s="271"/>
      <c r="I30" s="271">
        <v>32509.3</v>
      </c>
      <c r="J30" s="611">
        <v>21664.400000000001</v>
      </c>
      <c r="K30" s="619">
        <f t="shared" si="0"/>
        <v>36894</v>
      </c>
      <c r="L30" s="271">
        <v>36910</v>
      </c>
      <c r="M30" s="270">
        <f t="shared" si="1"/>
        <v>16</v>
      </c>
      <c r="N30" s="272">
        <f t="shared" si="2"/>
        <v>31664</v>
      </c>
      <c r="O30" s="271">
        <v>31681</v>
      </c>
      <c r="P30" s="270">
        <f t="shared" si="3"/>
        <v>17</v>
      </c>
      <c r="Q30" s="270">
        <f t="shared" si="4"/>
        <v>36822</v>
      </c>
      <c r="R30" s="6">
        <v>36822</v>
      </c>
      <c r="S30" s="270">
        <f t="shared" si="5"/>
        <v>0</v>
      </c>
      <c r="T30" s="270">
        <f t="shared" si="6"/>
        <v>34232</v>
      </c>
      <c r="U30" s="271">
        <v>34240</v>
      </c>
      <c r="V30" s="270">
        <f t="shared" si="7"/>
        <v>8</v>
      </c>
      <c r="W30" s="272">
        <f t="shared" si="8"/>
        <v>22501</v>
      </c>
      <c r="X30" s="271">
        <v>22501</v>
      </c>
      <c r="Y30" s="270">
        <f t="shared" si="9"/>
        <v>0</v>
      </c>
      <c r="Z30" s="273">
        <f t="shared" si="12"/>
        <v>41</v>
      </c>
      <c r="AA30" s="6">
        <v>375</v>
      </c>
      <c r="AB30" s="6">
        <v>265</v>
      </c>
      <c r="AC30" s="620">
        <f>Gen!AR35</f>
        <v>2128.88</v>
      </c>
    </row>
    <row r="31" spans="1:29" ht="20.100000000000001" customHeight="1" x14ac:dyDescent="0.2">
      <c r="A31" s="614">
        <f>Gen!A36</f>
        <v>44403</v>
      </c>
      <c r="B31" s="835">
        <f>Gen!B36</f>
        <v>0.156</v>
      </c>
      <c r="C31" s="721">
        <v>26031.69</v>
      </c>
      <c r="D31" s="721">
        <v>979.69</v>
      </c>
      <c r="E31" s="271"/>
      <c r="F31" s="271"/>
      <c r="G31" s="271"/>
      <c r="H31" s="271"/>
      <c r="I31" s="271">
        <v>32517.9</v>
      </c>
      <c r="J31" s="611">
        <v>2166.8000000000002</v>
      </c>
      <c r="K31" s="619">
        <f t="shared" si="0"/>
        <v>36910</v>
      </c>
      <c r="L31" s="271">
        <v>36927</v>
      </c>
      <c r="M31" s="270">
        <f t="shared" si="1"/>
        <v>17</v>
      </c>
      <c r="N31" s="272">
        <f t="shared" si="2"/>
        <v>31681</v>
      </c>
      <c r="O31" s="271">
        <v>31681</v>
      </c>
      <c r="P31" s="270">
        <f t="shared" si="3"/>
        <v>0</v>
      </c>
      <c r="Q31" s="270">
        <f t="shared" si="4"/>
        <v>36822</v>
      </c>
      <c r="R31" s="6">
        <v>36822</v>
      </c>
      <c r="S31" s="270">
        <f t="shared" si="5"/>
        <v>0</v>
      </c>
      <c r="T31" s="270">
        <f t="shared" si="6"/>
        <v>34240</v>
      </c>
      <c r="U31" s="271">
        <v>34248</v>
      </c>
      <c r="V31" s="270">
        <f t="shared" si="7"/>
        <v>8</v>
      </c>
      <c r="W31" s="272">
        <f t="shared" si="8"/>
        <v>22501</v>
      </c>
      <c r="X31" s="271">
        <v>22518</v>
      </c>
      <c r="Y31" s="270">
        <f t="shared" si="9"/>
        <v>17</v>
      </c>
      <c r="Z31" s="273">
        <f t="shared" si="12"/>
        <v>42</v>
      </c>
      <c r="AA31" s="6">
        <v>380</v>
      </c>
      <c r="AB31" s="6">
        <v>270</v>
      </c>
      <c r="AC31" s="620">
        <f>Gen!AR36</f>
        <v>1959.7199999999998</v>
      </c>
    </row>
    <row r="32" spans="1:29" ht="20.100000000000001" customHeight="1" x14ac:dyDescent="0.2">
      <c r="A32" s="614">
        <f>Gen!A37</f>
        <v>44404</v>
      </c>
      <c r="B32" s="835">
        <f>Gen!B37</f>
        <v>0.29899999999999999</v>
      </c>
      <c r="C32" s="721">
        <v>23892.28</v>
      </c>
      <c r="D32" s="721">
        <v>979.69</v>
      </c>
      <c r="E32" s="271"/>
      <c r="F32" s="271"/>
      <c r="G32" s="271"/>
      <c r="H32" s="271"/>
      <c r="I32" s="271">
        <v>32524.3</v>
      </c>
      <c r="J32" s="611">
        <v>21674.9</v>
      </c>
      <c r="K32" s="619">
        <f t="shared" si="0"/>
        <v>36927</v>
      </c>
      <c r="L32" s="271">
        <v>36927</v>
      </c>
      <c r="M32" s="270">
        <f t="shared" si="1"/>
        <v>0</v>
      </c>
      <c r="N32" s="272">
        <f t="shared" si="2"/>
        <v>31681</v>
      </c>
      <c r="O32" s="271">
        <v>31697</v>
      </c>
      <c r="P32" s="270">
        <f t="shared" si="3"/>
        <v>16</v>
      </c>
      <c r="Q32" s="270">
        <f t="shared" si="4"/>
        <v>36822</v>
      </c>
      <c r="R32" s="6">
        <v>36822</v>
      </c>
      <c r="S32" s="270">
        <f t="shared" si="5"/>
        <v>0</v>
      </c>
      <c r="T32" s="270">
        <f t="shared" si="6"/>
        <v>34248</v>
      </c>
      <c r="U32" s="271">
        <v>34256</v>
      </c>
      <c r="V32" s="270">
        <f t="shared" si="7"/>
        <v>8</v>
      </c>
      <c r="W32" s="272">
        <f t="shared" si="8"/>
        <v>22518</v>
      </c>
      <c r="X32" s="271">
        <v>22534</v>
      </c>
      <c r="Y32" s="270">
        <f t="shared" si="9"/>
        <v>16</v>
      </c>
      <c r="Z32" s="273">
        <f t="shared" si="12"/>
        <v>40</v>
      </c>
      <c r="AA32" s="6">
        <v>380</v>
      </c>
      <c r="AB32" s="6">
        <v>270</v>
      </c>
      <c r="AC32" s="620">
        <f>Gen!AR37</f>
        <v>2413.1799999999998</v>
      </c>
    </row>
    <row r="33" spans="1:29" ht="20.100000000000001" customHeight="1" x14ac:dyDescent="0.2">
      <c r="A33" s="614">
        <f>Gen!A38</f>
        <v>44405</v>
      </c>
      <c r="B33" s="835">
        <f>Gen!B38</f>
        <v>0.46800000000000003</v>
      </c>
      <c r="C33" s="721">
        <v>21479.1</v>
      </c>
      <c r="D33" s="721">
        <v>979.69</v>
      </c>
      <c r="E33" s="271"/>
      <c r="F33" s="271"/>
      <c r="G33" s="271">
        <v>147.47</v>
      </c>
      <c r="H33" s="271"/>
      <c r="I33" s="271">
        <v>32531.5</v>
      </c>
      <c r="J33" s="611">
        <v>21680.7</v>
      </c>
      <c r="K33" s="619">
        <f t="shared" si="0"/>
        <v>36927</v>
      </c>
      <c r="L33" s="271">
        <v>36944</v>
      </c>
      <c r="M33" s="270">
        <f t="shared" si="1"/>
        <v>17</v>
      </c>
      <c r="N33" s="272">
        <f t="shared" si="2"/>
        <v>31697</v>
      </c>
      <c r="O33" s="271">
        <v>31697</v>
      </c>
      <c r="P33" s="270">
        <f t="shared" si="3"/>
        <v>0</v>
      </c>
      <c r="Q33" s="270">
        <f t="shared" si="4"/>
        <v>36822</v>
      </c>
      <c r="R33" s="271">
        <v>36822</v>
      </c>
      <c r="S33" s="270">
        <f t="shared" si="5"/>
        <v>0</v>
      </c>
      <c r="T33" s="270">
        <f t="shared" si="6"/>
        <v>34256</v>
      </c>
      <c r="U33" s="271">
        <v>34264</v>
      </c>
      <c r="V33" s="270">
        <f t="shared" si="7"/>
        <v>8</v>
      </c>
      <c r="W33" s="272">
        <f t="shared" si="8"/>
        <v>22534</v>
      </c>
      <c r="X33" s="271">
        <v>22550</v>
      </c>
      <c r="Y33" s="270">
        <f t="shared" si="9"/>
        <v>16</v>
      </c>
      <c r="Z33" s="273">
        <f t="shared" si="12"/>
        <v>41</v>
      </c>
      <c r="AA33" s="6">
        <v>370</v>
      </c>
      <c r="AB33" s="6">
        <v>210</v>
      </c>
      <c r="AC33" s="620">
        <f>Gen!AR38</f>
        <v>1844.0900000000001</v>
      </c>
    </row>
    <row r="34" spans="1:29" ht="20.100000000000001" customHeight="1" x14ac:dyDescent="0.2">
      <c r="A34" s="614">
        <f>Gen!A39</f>
        <v>44406</v>
      </c>
      <c r="B34" s="835">
        <f>Gen!B39</f>
        <v>0.51</v>
      </c>
      <c r="C34" s="721">
        <v>21479.1</v>
      </c>
      <c r="D34" s="271">
        <v>14135.6</v>
      </c>
      <c r="E34" s="271"/>
      <c r="F34" s="271"/>
      <c r="G34" s="271">
        <v>246.95</v>
      </c>
      <c r="H34" s="271"/>
      <c r="I34" s="271">
        <v>32539.1</v>
      </c>
      <c r="J34" s="611">
        <v>21686.3</v>
      </c>
      <c r="K34" s="619">
        <f t="shared" si="0"/>
        <v>36944</v>
      </c>
      <c r="L34" s="271">
        <v>36949</v>
      </c>
      <c r="M34" s="270">
        <f t="shared" si="1"/>
        <v>5</v>
      </c>
      <c r="N34" s="272">
        <f t="shared" si="2"/>
        <v>31697</v>
      </c>
      <c r="O34" s="271">
        <v>31708</v>
      </c>
      <c r="P34" s="270">
        <f t="shared" si="3"/>
        <v>11</v>
      </c>
      <c r="Q34" s="270">
        <f>R34</f>
        <v>36822</v>
      </c>
      <c r="R34" s="271">
        <v>36822</v>
      </c>
      <c r="S34" s="270">
        <f>R34-Q34</f>
        <v>0</v>
      </c>
      <c r="T34" s="270">
        <f t="shared" si="6"/>
        <v>34264</v>
      </c>
      <c r="U34" s="271">
        <v>34272</v>
      </c>
      <c r="V34" s="270">
        <f t="shared" si="7"/>
        <v>8</v>
      </c>
      <c r="W34" s="272">
        <f t="shared" si="8"/>
        <v>22550</v>
      </c>
      <c r="X34" s="271">
        <v>22566</v>
      </c>
      <c r="Y34" s="270">
        <f t="shared" si="9"/>
        <v>16</v>
      </c>
      <c r="Z34" s="273">
        <f t="shared" si="12"/>
        <v>40</v>
      </c>
      <c r="AA34" s="6">
        <v>390</v>
      </c>
      <c r="AB34" s="6">
        <v>220</v>
      </c>
      <c r="AC34" s="620">
        <f>Gen!AR39</f>
        <v>2239.0099999999998</v>
      </c>
    </row>
    <row r="35" spans="1:29" ht="20.100000000000001" customHeight="1" x14ac:dyDescent="0.2">
      <c r="A35" s="614">
        <f>Gen!A40</f>
        <v>44407</v>
      </c>
      <c r="B35" s="835">
        <f>Gen!B40</f>
        <v>0.38</v>
      </c>
      <c r="C35" s="721">
        <v>19240.09</v>
      </c>
      <c r="D35" s="271">
        <v>14135.6</v>
      </c>
      <c r="E35" s="271"/>
      <c r="F35" s="271"/>
      <c r="G35" s="271">
        <v>369</v>
      </c>
      <c r="H35" s="271"/>
      <c r="I35" s="271">
        <v>32546.3</v>
      </c>
      <c r="J35" s="611">
        <v>21692.1</v>
      </c>
      <c r="K35" s="619">
        <f t="shared" si="0"/>
        <v>36949</v>
      </c>
      <c r="L35" s="271">
        <v>36966</v>
      </c>
      <c r="M35" s="270">
        <f t="shared" si="1"/>
        <v>17</v>
      </c>
      <c r="N35" s="272">
        <f t="shared" si="2"/>
        <v>31708</v>
      </c>
      <c r="O35" s="271">
        <v>31708</v>
      </c>
      <c r="P35" s="270">
        <f t="shared" si="3"/>
        <v>0</v>
      </c>
      <c r="Q35" s="270">
        <f>R35</f>
        <v>36822</v>
      </c>
      <c r="R35" s="271">
        <v>36822</v>
      </c>
      <c r="S35" s="270">
        <f>R35-Q35</f>
        <v>0</v>
      </c>
      <c r="T35" s="270">
        <f t="shared" si="6"/>
        <v>34272</v>
      </c>
      <c r="U35" s="271">
        <v>34281</v>
      </c>
      <c r="V35" s="270">
        <f t="shared" si="7"/>
        <v>9</v>
      </c>
      <c r="W35" s="272">
        <f t="shared" si="8"/>
        <v>22566</v>
      </c>
      <c r="X35" s="271">
        <v>22582</v>
      </c>
      <c r="Y35" s="270">
        <f t="shared" si="9"/>
        <v>16</v>
      </c>
      <c r="Z35" s="273">
        <f t="shared" si="12"/>
        <v>42</v>
      </c>
      <c r="AA35" s="6">
        <v>380</v>
      </c>
      <c r="AB35" s="6">
        <v>210</v>
      </c>
      <c r="AC35" s="620">
        <f>Gen!AR40</f>
        <v>2191.5699999999997</v>
      </c>
    </row>
    <row r="36" spans="1:29" ht="20.100000000000001" customHeight="1" x14ac:dyDescent="0.2">
      <c r="A36" s="615">
        <f>Gen!A41</f>
        <v>44408</v>
      </c>
      <c r="B36" s="835">
        <f>Gen!B41</f>
        <v>0.15</v>
      </c>
      <c r="C36" s="721">
        <v>17048.52</v>
      </c>
      <c r="D36" s="271">
        <v>14135.6</v>
      </c>
      <c r="E36" s="271"/>
      <c r="F36" s="271"/>
      <c r="G36" s="271">
        <v>376.24</v>
      </c>
      <c r="H36" s="271"/>
      <c r="I36" s="271">
        <v>32553.7</v>
      </c>
      <c r="J36" s="611">
        <v>21697.4</v>
      </c>
      <c r="K36" s="619">
        <f t="shared" si="0"/>
        <v>36966</v>
      </c>
      <c r="L36" s="271">
        <v>36979</v>
      </c>
      <c r="M36" s="270">
        <f t="shared" si="1"/>
        <v>13</v>
      </c>
      <c r="N36" s="272">
        <f t="shared" si="2"/>
        <v>31708</v>
      </c>
      <c r="O36" s="271">
        <v>31711</v>
      </c>
      <c r="P36" s="270">
        <f t="shared" si="3"/>
        <v>3</v>
      </c>
      <c r="Q36" s="270">
        <f t="shared" si="4"/>
        <v>36822</v>
      </c>
      <c r="R36" s="271">
        <v>36822</v>
      </c>
      <c r="S36" s="270">
        <f>R36-Q36</f>
        <v>0</v>
      </c>
      <c r="T36" s="270">
        <f t="shared" si="6"/>
        <v>34281</v>
      </c>
      <c r="U36" s="271">
        <v>34290</v>
      </c>
      <c r="V36" s="270">
        <f t="shared" si="7"/>
        <v>9</v>
      </c>
      <c r="W36" s="272">
        <f t="shared" si="8"/>
        <v>22582</v>
      </c>
      <c r="X36" s="271">
        <v>22597</v>
      </c>
      <c r="Y36" s="270">
        <f t="shared" si="9"/>
        <v>15</v>
      </c>
      <c r="Z36" s="273">
        <f t="shared" si="12"/>
        <v>40</v>
      </c>
      <c r="AA36" s="6">
        <v>375</v>
      </c>
      <c r="AB36" s="6">
        <v>195</v>
      </c>
      <c r="AC36" s="620">
        <f>Gen!AR41</f>
        <v>2056.2600000000002</v>
      </c>
    </row>
    <row r="37" spans="1:29" ht="21" customHeight="1" x14ac:dyDescent="0.2">
      <c r="A37" s="615">
        <f>Gen!A42</f>
        <v>0</v>
      </c>
      <c r="B37" s="610">
        <f>Gen!B42</f>
        <v>0</v>
      </c>
      <c r="C37" s="612">
        <v>14992.26</v>
      </c>
      <c r="D37" s="271">
        <v>14135.6</v>
      </c>
      <c r="E37" s="612"/>
      <c r="F37" s="612"/>
      <c r="G37" s="612"/>
      <c r="H37" s="612"/>
      <c r="I37" s="612">
        <v>32560.6</v>
      </c>
      <c r="J37" s="613">
        <v>21702.6</v>
      </c>
      <c r="K37" s="621">
        <f t="shared" si="0"/>
        <v>36979</v>
      </c>
      <c r="L37" s="612"/>
      <c r="M37" s="622">
        <f t="shared" si="1"/>
        <v>-36979</v>
      </c>
      <c r="N37" s="623">
        <f t="shared" si="2"/>
        <v>31711</v>
      </c>
      <c r="O37" s="612"/>
      <c r="P37" s="622">
        <f t="shared" si="3"/>
        <v>-31711</v>
      </c>
      <c r="Q37" s="622">
        <f t="shared" si="4"/>
        <v>36822</v>
      </c>
      <c r="R37" s="612"/>
      <c r="S37" s="270">
        <f>R37-Q37</f>
        <v>-36822</v>
      </c>
      <c r="T37" s="622">
        <f t="shared" si="6"/>
        <v>34290</v>
      </c>
      <c r="U37" s="612"/>
      <c r="V37" s="622">
        <f t="shared" si="7"/>
        <v>-34290</v>
      </c>
      <c r="W37" s="623">
        <f t="shared" si="8"/>
        <v>22597</v>
      </c>
      <c r="X37" s="271"/>
      <c r="Y37" s="622">
        <f t="shared" si="9"/>
        <v>-22597</v>
      </c>
      <c r="Z37" s="624">
        <f t="shared" si="12"/>
        <v>-162399</v>
      </c>
      <c r="AA37" s="7"/>
      <c r="AB37" s="7"/>
      <c r="AC37" s="620">
        <f>Gen!AR42</f>
        <v>0</v>
      </c>
    </row>
    <row r="38" spans="1:29" x14ac:dyDescent="0.2">
      <c r="A38" s="231"/>
      <c r="B38" s="231"/>
      <c r="C38" s="231"/>
      <c r="D38" s="23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B1" activePane="topRight" state="frozen"/>
      <selection pane="topRight" activeCell="B39" sqref="B39"/>
    </sheetView>
  </sheetViews>
  <sheetFormatPr defaultColWidth="9.140625" defaultRowHeight="11.25" x14ac:dyDescent="0.2"/>
  <cols>
    <col min="1" max="1" width="8.5703125" style="163" bestFit="1" customWidth="1"/>
    <col min="2" max="2" width="8.7109375" style="163" bestFit="1" customWidth="1"/>
    <col min="3" max="3" width="9" style="163" bestFit="1" customWidth="1"/>
    <col min="4" max="4" width="9.140625" style="163" customWidth="1"/>
    <col min="5" max="5" width="10.140625" style="163" customWidth="1"/>
    <col min="6" max="6" width="10.7109375" style="163" customWidth="1"/>
    <col min="7" max="7" width="11.28515625" style="163" customWidth="1"/>
    <col min="8" max="8" width="9.7109375" style="163" customWidth="1"/>
    <col min="9" max="9" width="8" style="163" customWidth="1"/>
    <col min="10" max="10" width="8.7109375" style="163" customWidth="1"/>
    <col min="11" max="11" width="8.85546875" style="163" bestFit="1" customWidth="1"/>
    <col min="12" max="12" width="10.140625" style="163" customWidth="1"/>
    <col min="13" max="13" width="10.85546875" style="163" customWidth="1"/>
    <col min="14" max="14" width="11.42578125" style="163" customWidth="1"/>
    <col min="15" max="15" width="10.140625" style="163" customWidth="1"/>
    <col min="16" max="16" width="11.140625" style="163" customWidth="1"/>
    <col min="17" max="17" width="10.7109375" style="163" customWidth="1"/>
    <col min="18" max="18" width="13.140625" style="163" customWidth="1"/>
    <col min="19" max="19" width="11.7109375" style="163" customWidth="1"/>
    <col min="20" max="20" width="13" style="163" customWidth="1"/>
    <col min="21" max="21" width="13.140625" style="163" customWidth="1"/>
    <col min="22" max="22" width="13.5703125" style="163" bestFit="1" customWidth="1"/>
    <col min="23" max="23" width="13" style="163" customWidth="1"/>
    <col min="24" max="24" width="15.7109375" style="163" customWidth="1"/>
    <col min="25" max="25" width="13.7109375" style="163" customWidth="1"/>
    <col min="26" max="26" width="12" style="163" bestFit="1" customWidth="1"/>
    <col min="27" max="27" width="9.5703125" style="163" bestFit="1" customWidth="1"/>
    <col min="28" max="28" width="8.28515625" style="163" bestFit="1" customWidth="1"/>
    <col min="29" max="29" width="9.42578125" style="163" bestFit="1" customWidth="1"/>
    <col min="30" max="30" width="8.140625" style="163" bestFit="1" customWidth="1"/>
    <col min="31" max="31" width="8" style="163" bestFit="1" customWidth="1"/>
    <col min="32" max="32" width="9.28515625" style="163" bestFit="1" customWidth="1"/>
    <col min="33" max="33" width="11.42578125" style="163" customWidth="1"/>
    <col min="34" max="34" width="9.85546875" style="163" bestFit="1" customWidth="1"/>
    <col min="35" max="35" width="9.5703125" style="163" bestFit="1" customWidth="1"/>
    <col min="36" max="36" width="12" style="163" bestFit="1" customWidth="1"/>
    <col min="37" max="42" width="9.140625" style="163" hidden="1" customWidth="1"/>
    <col min="43" max="43" width="5.42578125" style="163" customWidth="1"/>
    <col min="44" max="44" width="15" style="163" bestFit="1" customWidth="1"/>
    <col min="45" max="45" width="10.7109375" style="163" bestFit="1" customWidth="1"/>
    <col min="46" max="46" width="9.7109375" style="163" bestFit="1" customWidth="1"/>
    <col min="47" max="47" width="8" style="161" bestFit="1" customWidth="1"/>
    <col min="48" max="16384" width="9.140625" style="161"/>
  </cols>
  <sheetData>
    <row r="1" spans="1:46" x14ac:dyDescent="0.2">
      <c r="A1" s="905"/>
      <c r="B1" s="905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862"/>
      <c r="AD1" s="862"/>
      <c r="AE1" s="862"/>
      <c r="AF1" s="862"/>
      <c r="AG1" s="862"/>
      <c r="AH1" s="862"/>
      <c r="AI1" s="862"/>
      <c r="AJ1" s="862"/>
      <c r="AK1" s="862"/>
      <c r="AL1" s="862"/>
      <c r="AM1" s="862"/>
      <c r="AN1" s="862"/>
      <c r="AO1" s="862"/>
      <c r="AP1" s="862"/>
      <c r="AQ1" s="862"/>
      <c r="AR1" s="862"/>
      <c r="AS1" s="862"/>
      <c r="AT1" s="862"/>
    </row>
    <row r="2" spans="1:46" ht="26.25" x14ac:dyDescent="0.4">
      <c r="A2" s="905"/>
      <c r="B2" s="905"/>
      <c r="C2" s="862"/>
      <c r="D2" s="906">
        <f>A11</f>
        <v>44378</v>
      </c>
      <c r="E2" s="906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907"/>
      <c r="Q2" s="907"/>
      <c r="R2" s="907"/>
      <c r="S2" s="907"/>
      <c r="T2" s="907"/>
      <c r="U2" s="907"/>
      <c r="V2" s="907"/>
      <c r="W2" s="907"/>
      <c r="X2" s="907"/>
      <c r="Y2" s="907"/>
      <c r="Z2" s="907"/>
      <c r="AA2" s="907"/>
      <c r="AB2" s="907"/>
      <c r="AC2" s="907"/>
      <c r="AD2" s="907"/>
      <c r="AE2" s="907"/>
      <c r="AF2" s="907"/>
      <c r="AG2" s="907"/>
      <c r="AH2" s="907"/>
      <c r="AI2" s="907"/>
      <c r="AJ2" s="907"/>
      <c r="AK2" s="907"/>
      <c r="AL2" s="907"/>
      <c r="AM2" s="907"/>
      <c r="AN2" s="907"/>
      <c r="AO2" s="907"/>
      <c r="AP2" s="907"/>
      <c r="AQ2" s="907"/>
      <c r="AR2" s="907"/>
      <c r="AS2" s="907"/>
      <c r="AT2" s="907"/>
    </row>
    <row r="3" spans="1:46" ht="12.75" customHeight="1" x14ac:dyDescent="0.2">
      <c r="A3" s="905"/>
      <c r="B3" s="905"/>
      <c r="C3" s="862"/>
      <c r="D3" s="862"/>
      <c r="E3" s="862"/>
      <c r="F3" s="862"/>
      <c r="G3" s="862"/>
      <c r="H3" s="908"/>
      <c r="I3" s="908"/>
      <c r="J3" s="908"/>
      <c r="K3" s="162"/>
      <c r="L3" s="862"/>
      <c r="M3" s="862"/>
      <c r="N3" s="862"/>
      <c r="O3" s="862"/>
      <c r="P3" s="862"/>
      <c r="Q3" s="162"/>
      <c r="R3" s="862"/>
      <c r="S3" s="862"/>
      <c r="T3" s="862"/>
      <c r="U3" s="862"/>
      <c r="V3" s="862"/>
      <c r="W3" s="862"/>
      <c r="X3" s="862"/>
      <c r="Y3" s="862"/>
      <c r="Z3" s="862"/>
      <c r="AA3" s="862"/>
      <c r="AB3" s="862"/>
      <c r="AC3" s="862"/>
      <c r="AD3" s="862"/>
      <c r="AE3" s="862"/>
      <c r="AF3" s="862"/>
      <c r="AG3" s="862"/>
      <c r="AH3" s="862"/>
      <c r="AI3" s="862"/>
      <c r="AJ3" s="862"/>
      <c r="AK3" s="862"/>
      <c r="AL3" s="862"/>
      <c r="AM3" s="862"/>
      <c r="AN3" s="862"/>
      <c r="AO3" s="862"/>
      <c r="AP3" s="862"/>
      <c r="AQ3" s="862"/>
      <c r="AR3" s="862"/>
      <c r="AS3" s="862"/>
      <c r="AT3" s="862"/>
    </row>
    <row r="4" spans="1:46" ht="11.25" customHeight="1" x14ac:dyDescent="0.2">
      <c r="A4" s="905"/>
      <c r="B4" s="905"/>
      <c r="C4" s="862"/>
      <c r="D4" s="862"/>
      <c r="E4" s="862"/>
      <c r="F4" s="862"/>
      <c r="G4" s="862"/>
      <c r="H4" s="908"/>
      <c r="I4" s="908"/>
      <c r="J4" s="908"/>
      <c r="K4" s="162"/>
      <c r="L4" s="862"/>
      <c r="M4" s="862"/>
      <c r="N4" s="862"/>
      <c r="O4" s="862"/>
      <c r="P4" s="862"/>
      <c r="Q4" s="162"/>
      <c r="R4" s="862"/>
      <c r="S4" s="862"/>
      <c r="T4" s="862"/>
      <c r="U4" s="862"/>
      <c r="V4" s="862"/>
      <c r="W4" s="862"/>
      <c r="X4" s="862"/>
      <c r="Y4" s="862"/>
      <c r="Z4" s="862"/>
      <c r="AA4" s="862"/>
      <c r="AB4" s="862"/>
      <c r="AC4" s="862"/>
      <c r="AD4" s="862"/>
      <c r="AE4" s="862"/>
      <c r="AF4" s="862"/>
      <c r="AG4" s="862"/>
      <c r="AH4" s="862"/>
      <c r="AI4" s="862"/>
      <c r="AJ4" s="862"/>
      <c r="AK4" s="862"/>
      <c r="AL4" s="862"/>
      <c r="AM4" s="862"/>
      <c r="AN4" s="862"/>
      <c r="AO4" s="862"/>
      <c r="AP4" s="862"/>
      <c r="AQ4" s="862"/>
      <c r="AR4" s="862"/>
      <c r="AS4" s="862"/>
      <c r="AT4" s="862"/>
    </row>
    <row r="5" spans="1:46" ht="12" thickBot="1" x14ac:dyDescent="0.25">
      <c r="A5" s="905"/>
      <c r="B5" s="905"/>
      <c r="C5" s="862"/>
      <c r="D5" s="862"/>
      <c r="E5" s="862"/>
      <c r="F5" s="862"/>
      <c r="G5" s="862"/>
      <c r="H5" s="862"/>
      <c r="I5" s="862"/>
      <c r="J5" s="862"/>
      <c r="K5" s="862"/>
      <c r="L5" s="862"/>
      <c r="M5" s="862"/>
      <c r="N5" s="862"/>
      <c r="O5" s="862"/>
      <c r="P5" s="862"/>
      <c r="Q5" s="862"/>
      <c r="R5" s="862"/>
      <c r="S5" s="862"/>
      <c r="T5" s="862"/>
      <c r="U5" s="862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K5" s="164"/>
      <c r="AL5" s="164"/>
      <c r="AM5" s="164"/>
      <c r="AN5" s="164"/>
      <c r="AO5" s="164"/>
      <c r="AP5" s="164"/>
      <c r="AQ5" s="164"/>
      <c r="AR5" s="164"/>
      <c r="AS5" s="164"/>
      <c r="AT5" s="164"/>
    </row>
    <row r="6" spans="1:46" ht="21" thickBot="1" x14ac:dyDescent="0.35">
      <c r="A6" s="905"/>
      <c r="B6" s="905"/>
      <c r="C6" s="165"/>
      <c r="D6" s="862"/>
      <c r="E6" s="862"/>
      <c r="F6" s="909" t="s">
        <v>158</v>
      </c>
      <c r="G6" s="910"/>
      <c r="H6" s="910"/>
      <c r="I6" s="910"/>
      <c r="J6" s="910"/>
      <c r="K6" s="910"/>
      <c r="L6" s="911"/>
      <c r="M6" s="862"/>
      <c r="N6" s="862"/>
      <c r="O6" s="862"/>
      <c r="P6" s="862"/>
      <c r="Q6" s="862"/>
      <c r="R6" s="862"/>
      <c r="S6" s="862"/>
      <c r="T6" s="862"/>
      <c r="U6" s="862"/>
      <c r="V6" s="166">
        <v>1</v>
      </c>
      <c r="W6" s="166">
        <v>2</v>
      </c>
      <c r="X6" s="166">
        <v>3</v>
      </c>
      <c r="Y6" s="166">
        <v>4</v>
      </c>
      <c r="Z6" s="166">
        <v>5</v>
      </c>
      <c r="AA6" s="166">
        <v>6</v>
      </c>
      <c r="AB6" s="166">
        <v>7</v>
      </c>
      <c r="AC6" s="166">
        <v>8</v>
      </c>
      <c r="AD6" s="166">
        <v>9</v>
      </c>
      <c r="AE6" s="166">
        <v>10</v>
      </c>
      <c r="AF6" s="166">
        <v>11</v>
      </c>
      <c r="AG6" s="166"/>
      <c r="AH6" s="166"/>
      <c r="AI6" s="166"/>
      <c r="AJ6" s="862"/>
      <c r="AK6" s="862"/>
      <c r="AL6" s="862"/>
      <c r="AM6" s="862"/>
      <c r="AN6" s="862"/>
      <c r="AO6" s="862"/>
      <c r="AP6" s="862"/>
      <c r="AQ6" s="862"/>
      <c r="AR6" s="166"/>
      <c r="AS6" s="765"/>
      <c r="AT6" s="766"/>
    </row>
    <row r="7" spans="1:46" ht="21" thickBot="1" x14ac:dyDescent="0.35">
      <c r="A7" s="862"/>
      <c r="B7" s="862"/>
      <c r="C7" s="167"/>
      <c r="D7" s="167"/>
      <c r="E7" s="167"/>
      <c r="F7" s="912" t="s">
        <v>159</v>
      </c>
      <c r="G7" s="913"/>
      <c r="H7" s="913"/>
      <c r="I7" s="913"/>
      <c r="J7" s="913"/>
      <c r="K7" s="913"/>
      <c r="L7" s="914"/>
      <c r="M7" s="915" t="s">
        <v>160</v>
      </c>
      <c r="N7" s="916"/>
      <c r="O7" s="916"/>
      <c r="P7" s="916"/>
      <c r="Q7" s="916"/>
      <c r="R7" s="917"/>
      <c r="S7" s="313"/>
      <c r="T7" s="314"/>
      <c r="U7" s="315"/>
      <c r="V7" s="316" t="s">
        <v>161</v>
      </c>
      <c r="W7" s="317" t="s">
        <v>161</v>
      </c>
      <c r="X7" s="317" t="s">
        <v>162</v>
      </c>
      <c r="Y7" s="317" t="s">
        <v>163</v>
      </c>
      <c r="Z7" s="317" t="s">
        <v>164</v>
      </c>
      <c r="AA7" s="317" t="s">
        <v>165</v>
      </c>
      <c r="AB7" s="317" t="s">
        <v>165</v>
      </c>
      <c r="AC7" s="318" t="s">
        <v>166</v>
      </c>
      <c r="AD7" s="317" t="s">
        <v>167</v>
      </c>
      <c r="AE7" s="317" t="s">
        <v>168</v>
      </c>
      <c r="AF7" s="319" t="s">
        <v>169</v>
      </c>
      <c r="AG7" s="320" t="s">
        <v>170</v>
      </c>
      <c r="AH7" s="317" t="s">
        <v>171</v>
      </c>
      <c r="AI7" s="321" t="s">
        <v>172</v>
      </c>
      <c r="AJ7" s="332" t="s">
        <v>173</v>
      </c>
      <c r="AK7" s="167"/>
      <c r="AL7" s="167"/>
      <c r="AM7" s="167"/>
      <c r="AN7" s="167"/>
      <c r="AO7" s="167"/>
      <c r="AP7" s="167"/>
      <c r="AQ7" s="167"/>
      <c r="AR7" s="168"/>
      <c r="AS7" s="767"/>
      <c r="AT7" s="768"/>
    </row>
    <row r="8" spans="1:46" s="170" customFormat="1" ht="30" customHeight="1" x14ac:dyDescent="0.3">
      <c r="A8" s="344" t="s">
        <v>32</v>
      </c>
      <c r="B8" s="345" t="s">
        <v>174</v>
      </c>
      <c r="C8" s="722" t="s">
        <v>175</v>
      </c>
      <c r="D8" s="723" t="s">
        <v>176</v>
      </c>
      <c r="E8" s="723" t="s">
        <v>177</v>
      </c>
      <c r="F8" s="724" t="s">
        <v>178</v>
      </c>
      <c r="G8" s="448">
        <v>1</v>
      </c>
      <c r="H8" s="338">
        <v>2</v>
      </c>
      <c r="I8" s="338">
        <v>3</v>
      </c>
      <c r="J8" s="338">
        <v>4</v>
      </c>
      <c r="K8" s="338">
        <v>5</v>
      </c>
      <c r="L8" s="339">
        <v>6</v>
      </c>
      <c r="M8" s="340">
        <v>1</v>
      </c>
      <c r="N8" s="341">
        <v>2</v>
      </c>
      <c r="O8" s="341">
        <v>3</v>
      </c>
      <c r="P8" s="341">
        <v>4</v>
      </c>
      <c r="Q8" s="341">
        <v>5</v>
      </c>
      <c r="R8" s="341">
        <v>6</v>
      </c>
      <c r="S8" s="342" t="s">
        <v>179</v>
      </c>
      <c r="T8" s="342" t="s">
        <v>180</v>
      </c>
      <c r="U8" s="343" t="s">
        <v>181</v>
      </c>
      <c r="V8" s="323" t="s">
        <v>182</v>
      </c>
      <c r="W8" s="324" t="s">
        <v>183</v>
      </c>
      <c r="X8" s="324" t="s">
        <v>184</v>
      </c>
      <c r="Y8" s="325" t="s">
        <v>185</v>
      </c>
      <c r="Z8" s="325" t="s">
        <v>186</v>
      </c>
      <c r="AA8" s="325" t="s">
        <v>187</v>
      </c>
      <c r="AB8" s="324" t="s">
        <v>188</v>
      </c>
      <c r="AC8" s="326" t="s">
        <v>189</v>
      </c>
      <c r="AD8" s="324" t="s">
        <v>190</v>
      </c>
      <c r="AE8" s="324" t="s">
        <v>191</v>
      </c>
      <c r="AF8" s="324" t="s">
        <v>192</v>
      </c>
      <c r="AG8" s="327" t="s">
        <v>193</v>
      </c>
      <c r="AH8" s="328" t="s">
        <v>194</v>
      </c>
      <c r="AI8" s="329" t="s">
        <v>194</v>
      </c>
      <c r="AJ8" s="331"/>
      <c r="AK8" s="242"/>
      <c r="AL8" s="41"/>
      <c r="AM8" s="41"/>
      <c r="AN8" s="41"/>
      <c r="AO8" s="41"/>
      <c r="AP8" s="169"/>
      <c r="AQ8" s="334"/>
      <c r="AR8" s="335" t="s">
        <v>195</v>
      </c>
      <c r="AS8" s="335" t="s">
        <v>196</v>
      </c>
      <c r="AT8" s="334" t="s">
        <v>197</v>
      </c>
    </row>
    <row r="9" spans="1:46" ht="14.25" x14ac:dyDescent="0.3">
      <c r="A9" s="449"/>
      <c r="B9" s="171"/>
      <c r="C9" s="751">
        <f>[2]Gen!$C$43</f>
        <v>29939.139999999992</v>
      </c>
      <c r="D9" s="725"/>
      <c r="E9" s="726"/>
      <c r="F9" s="727"/>
      <c r="G9" s="728"/>
      <c r="H9" s="501"/>
      <c r="I9" s="502"/>
      <c r="J9" s="503"/>
      <c r="K9" s="504"/>
      <c r="L9" s="505"/>
      <c r="M9" s="336"/>
      <c r="N9" s="337"/>
      <c r="O9" s="337"/>
      <c r="P9" s="337"/>
      <c r="Q9" s="337"/>
      <c r="R9" s="508"/>
      <c r="S9" s="513">
        <f t="shared" ref="S9:S44" si="0">SUM(F9:L9)</f>
        <v>0</v>
      </c>
      <c r="T9" s="514"/>
      <c r="U9" s="515"/>
      <c r="V9" s="511"/>
      <c r="W9" s="175"/>
      <c r="X9" s="322"/>
      <c r="Y9" s="322"/>
      <c r="Z9" s="322"/>
      <c r="AA9" s="175"/>
      <c r="AB9" s="173"/>
      <c r="AC9" s="175"/>
      <c r="AD9" s="176"/>
      <c r="AE9" s="176"/>
      <c r="AF9" s="177"/>
      <c r="AG9" s="173"/>
      <c r="AH9" s="175"/>
      <c r="AI9" s="350"/>
      <c r="AJ9" s="330"/>
      <c r="AK9" s="178"/>
      <c r="AL9" s="178"/>
      <c r="AM9" s="178"/>
      <c r="AN9" s="178"/>
      <c r="AO9" s="178"/>
      <c r="AP9" s="178"/>
      <c r="AQ9" s="178"/>
      <c r="AR9" s="333">
        <f t="shared" ref="AR9:AR10" si="1">SUM(AJ9+S9)</f>
        <v>0</v>
      </c>
      <c r="AS9" s="179"/>
      <c r="AT9" s="180">
        <v>38784.699999999997</v>
      </c>
    </row>
    <row r="10" spans="1:46" ht="13.5" customHeight="1" x14ac:dyDescent="0.3">
      <c r="A10" s="450"/>
      <c r="B10" s="518"/>
      <c r="C10" s="729"/>
      <c r="D10" s="730"/>
      <c r="E10" s="731"/>
      <c r="F10" s="266"/>
      <c r="G10" s="732"/>
      <c r="H10" s="181"/>
      <c r="I10" s="182"/>
      <c r="J10" s="181"/>
      <c r="K10" s="181"/>
      <c r="L10" s="266"/>
      <c r="M10" s="265"/>
      <c r="N10" s="184"/>
      <c r="O10" s="183"/>
      <c r="P10" s="183"/>
      <c r="Q10" s="183"/>
      <c r="R10" s="509"/>
      <c r="S10" s="516">
        <f t="shared" si="0"/>
        <v>0</v>
      </c>
      <c r="T10" s="195">
        <f t="shared" ref="T10:T44" si="2">SUM(M10:R10)</f>
        <v>0</v>
      </c>
      <c r="U10" s="832"/>
      <c r="V10" s="188"/>
      <c r="W10" s="196"/>
      <c r="X10" s="174"/>
      <c r="Y10" s="186"/>
      <c r="Z10" s="181"/>
      <c r="AA10" s="186"/>
      <c r="AB10" s="187"/>
      <c r="AC10" s="186"/>
      <c r="AD10" s="188"/>
      <c r="AE10" s="188"/>
      <c r="AF10" s="186"/>
      <c r="AG10" s="189"/>
      <c r="AH10" s="196"/>
      <c r="AI10" s="350"/>
      <c r="AJ10" s="241">
        <f t="shared" ref="AJ10:AJ44" si="3">SUM(V10:AI10)</f>
        <v>0</v>
      </c>
      <c r="AK10" s="190"/>
      <c r="AL10" s="190"/>
      <c r="AM10" s="190"/>
      <c r="AN10" s="190"/>
      <c r="AO10" s="190"/>
      <c r="AP10" s="190"/>
      <c r="AQ10" s="191"/>
      <c r="AR10" s="192">
        <f t="shared" si="1"/>
        <v>0</v>
      </c>
      <c r="AS10" s="193"/>
      <c r="AT10" s="252"/>
    </row>
    <row r="11" spans="1:46" ht="13.5" customHeight="1" x14ac:dyDescent="0.3">
      <c r="A11" s="520">
        <v>44378</v>
      </c>
      <c r="B11" s="752">
        <v>0.3</v>
      </c>
      <c r="C11" s="733">
        <f>SUM(C9+D11)</f>
        <v>29939.139999999992</v>
      </c>
      <c r="D11" s="734"/>
      <c r="E11" s="731"/>
      <c r="F11" s="266"/>
      <c r="G11" s="838">
        <v>816.6</v>
      </c>
      <c r="H11" s="174"/>
      <c r="I11" s="784"/>
      <c r="J11" s="174">
        <v>239.84</v>
      </c>
      <c r="K11" s="174">
        <v>200.76</v>
      </c>
      <c r="L11" s="785">
        <v>542.38</v>
      </c>
      <c r="M11" s="786">
        <v>2015</v>
      </c>
      <c r="N11" s="787"/>
      <c r="O11" s="787"/>
      <c r="P11" s="787">
        <v>377</v>
      </c>
      <c r="Q11" s="787">
        <v>487</v>
      </c>
      <c r="R11" s="788">
        <v>1385</v>
      </c>
      <c r="S11" s="516">
        <f>SUM(F11:L11)</f>
        <v>1799.58</v>
      </c>
      <c r="T11" s="195">
        <f t="shared" si="2"/>
        <v>4264</v>
      </c>
      <c r="U11" s="833">
        <f>S11/T11</f>
        <v>0.42204033771106941</v>
      </c>
      <c r="V11" s="188"/>
      <c r="W11" s="196"/>
      <c r="X11" s="174"/>
      <c r="Y11" s="196"/>
      <c r="Z11" s="181"/>
      <c r="AA11" s="235"/>
      <c r="AB11" s="196"/>
      <c r="AC11" s="196"/>
      <c r="AD11" s="196"/>
      <c r="AE11" s="196"/>
      <c r="AF11" s="196"/>
      <c r="AG11" s="196"/>
      <c r="AH11" s="196"/>
      <c r="AI11" s="350"/>
      <c r="AJ11" s="241">
        <f t="shared" si="3"/>
        <v>0</v>
      </c>
      <c r="AK11" s="197"/>
      <c r="AL11" s="197"/>
      <c r="AM11" s="197"/>
      <c r="AN11" s="197"/>
      <c r="AO11" s="197"/>
      <c r="AP11" s="197"/>
      <c r="AQ11" s="197"/>
      <c r="AR11" s="192">
        <f>SUM(AJ11+S11)</f>
        <v>1799.58</v>
      </c>
      <c r="AS11" s="198">
        <f>AR11*AU11</f>
        <v>0</v>
      </c>
      <c r="AT11" s="252">
        <f t="shared" ref="AT11:AT43" si="4">C11</f>
        <v>29939.139999999992</v>
      </c>
    </row>
    <row r="12" spans="1:46" ht="13.5" customHeight="1" x14ac:dyDescent="0.3">
      <c r="A12" s="520">
        <v>44379</v>
      </c>
      <c r="B12" s="753">
        <v>0.35</v>
      </c>
      <c r="C12" s="733">
        <f t="shared" ref="C12:C42" si="5">SUM(C11-AR11+D12)</f>
        <v>28139.55999999999</v>
      </c>
      <c r="D12" s="734"/>
      <c r="E12" s="731"/>
      <c r="F12" s="862"/>
      <c r="G12" s="838">
        <v>388.86</v>
      </c>
      <c r="H12" s="174"/>
      <c r="I12" s="784"/>
      <c r="J12" s="174"/>
      <c r="K12" s="174">
        <v>781.3</v>
      </c>
      <c r="L12" s="785">
        <v>521.76</v>
      </c>
      <c r="M12" s="786">
        <v>1002</v>
      </c>
      <c r="N12" s="787"/>
      <c r="O12" s="787"/>
      <c r="P12" s="787"/>
      <c r="Q12" s="789">
        <v>1935</v>
      </c>
      <c r="R12" s="788">
        <v>1337</v>
      </c>
      <c r="S12" s="516">
        <f>SUM(F12:L12)</f>
        <v>1691.9199999999998</v>
      </c>
      <c r="T12" s="195">
        <f t="shared" si="2"/>
        <v>4274</v>
      </c>
      <c r="U12" s="833">
        <f t="shared" ref="U12:U41" si="6">S12/T12</f>
        <v>0.39586335985025733</v>
      </c>
      <c r="V12" s="188">
        <v>108.94</v>
      </c>
      <c r="W12" s="196"/>
      <c r="X12" s="174"/>
      <c r="Y12" s="196"/>
      <c r="Z12" s="181">
        <v>88.83</v>
      </c>
      <c r="AA12" s="235"/>
      <c r="AB12" s="196"/>
      <c r="AC12" s="196"/>
      <c r="AD12" s="196"/>
      <c r="AE12" s="196"/>
      <c r="AF12" s="196"/>
      <c r="AG12" s="196"/>
      <c r="AH12" s="196">
        <v>87.04</v>
      </c>
      <c r="AI12" s="350">
        <v>40</v>
      </c>
      <c r="AJ12" s="241">
        <f>SUM(V12:AI12)</f>
        <v>324.81</v>
      </c>
      <c r="AK12" s="190"/>
      <c r="AL12" s="190"/>
      <c r="AM12" s="190"/>
      <c r="AN12" s="190"/>
      <c r="AO12" s="190"/>
      <c r="AP12" s="190"/>
      <c r="AQ12" s="190"/>
      <c r="AR12" s="192">
        <f t="shared" ref="AR12:AR45" si="7">SUM(AJ12+S12)</f>
        <v>2016.7299999999998</v>
      </c>
      <c r="AS12" s="198">
        <f t="shared" ref="AS12:AS44" si="8">AR12*AU12</f>
        <v>0</v>
      </c>
      <c r="AT12" s="252">
        <f t="shared" si="4"/>
        <v>28139.55999999999</v>
      </c>
    </row>
    <row r="13" spans="1:46" ht="13.5" customHeight="1" x14ac:dyDescent="0.3">
      <c r="A13" s="520">
        <v>44380</v>
      </c>
      <c r="B13" s="754">
        <v>0.26090000000000002</v>
      </c>
      <c r="C13" s="733">
        <f t="shared" si="5"/>
        <v>44122.829999999987</v>
      </c>
      <c r="D13" s="734">
        <v>18000</v>
      </c>
      <c r="E13" s="731">
        <v>18000</v>
      </c>
      <c r="F13" s="772" t="s">
        <v>198</v>
      </c>
      <c r="G13" s="732">
        <v>649.14</v>
      </c>
      <c r="H13" s="181"/>
      <c r="I13" s="199"/>
      <c r="J13" s="181"/>
      <c r="K13" s="181">
        <v>606.64</v>
      </c>
      <c r="L13" s="266">
        <v>554.72</v>
      </c>
      <c r="M13" s="265">
        <v>1649</v>
      </c>
      <c r="N13" s="183"/>
      <c r="O13" s="183"/>
      <c r="P13" s="183"/>
      <c r="Q13" s="183">
        <v>1389</v>
      </c>
      <c r="R13" s="509">
        <v>1429</v>
      </c>
      <c r="S13" s="516">
        <f>SUM(F13:L13)</f>
        <v>1810.5</v>
      </c>
      <c r="T13" s="195">
        <f t="shared" si="2"/>
        <v>4467</v>
      </c>
      <c r="U13" s="833">
        <f t="shared" si="6"/>
        <v>0.40530557421087976</v>
      </c>
      <c r="V13" s="188"/>
      <c r="W13" s="196"/>
      <c r="X13" s="174"/>
      <c r="Y13" s="196"/>
      <c r="Z13" s="181"/>
      <c r="AA13" s="235"/>
      <c r="AB13" s="196"/>
      <c r="AC13" s="196"/>
      <c r="AD13" s="196"/>
      <c r="AE13" s="196"/>
      <c r="AF13" s="196"/>
      <c r="AG13" s="196"/>
      <c r="AH13" s="196"/>
      <c r="AI13" s="350"/>
      <c r="AJ13" s="241">
        <f t="shared" si="3"/>
        <v>0</v>
      </c>
      <c r="AK13" s="200"/>
      <c r="AL13" s="200"/>
      <c r="AM13" s="200"/>
      <c r="AN13" s="200"/>
      <c r="AO13" s="200"/>
      <c r="AP13" s="200"/>
      <c r="AQ13" s="200"/>
      <c r="AR13" s="192">
        <f t="shared" si="7"/>
        <v>1810.5</v>
      </c>
      <c r="AS13" s="198">
        <f t="shared" si="8"/>
        <v>0</v>
      </c>
      <c r="AT13" s="252">
        <f t="shared" si="4"/>
        <v>44122.829999999987</v>
      </c>
    </row>
    <row r="14" spans="1:46" ht="13.5" customHeight="1" x14ac:dyDescent="0.3">
      <c r="A14" s="520">
        <v>44381</v>
      </c>
      <c r="B14" s="754">
        <v>0.18</v>
      </c>
      <c r="C14" s="733">
        <f t="shared" si="5"/>
        <v>42312.329999999987</v>
      </c>
      <c r="D14" s="734"/>
      <c r="E14" s="731"/>
      <c r="F14" s="735"/>
      <c r="G14" s="732">
        <v>335.4</v>
      </c>
      <c r="H14" s="181"/>
      <c r="I14" s="199"/>
      <c r="J14" s="181">
        <v>545.32000000000005</v>
      </c>
      <c r="K14" s="181">
        <v>324.83999999999997</v>
      </c>
      <c r="L14" s="266">
        <v>446.78</v>
      </c>
      <c r="M14" s="265">
        <v>497</v>
      </c>
      <c r="N14" s="183"/>
      <c r="O14" s="183"/>
      <c r="P14" s="183">
        <v>1335</v>
      </c>
      <c r="Q14" s="183">
        <v>944</v>
      </c>
      <c r="R14" s="509">
        <v>1330</v>
      </c>
      <c r="S14" s="516">
        <f t="shared" si="0"/>
        <v>1652.34</v>
      </c>
      <c r="T14" s="195">
        <f t="shared" si="2"/>
        <v>4106</v>
      </c>
      <c r="U14" s="833">
        <f t="shared" si="6"/>
        <v>0.40242084754018509</v>
      </c>
      <c r="V14" s="188"/>
      <c r="W14" s="196"/>
      <c r="X14" s="174"/>
      <c r="Y14" s="196"/>
      <c r="Z14" s="181">
        <v>36.1</v>
      </c>
      <c r="AA14" s="235">
        <v>57.52</v>
      </c>
      <c r="AB14" s="196"/>
      <c r="AC14" s="196"/>
      <c r="AD14" s="196"/>
      <c r="AE14" s="196"/>
      <c r="AF14" s="196"/>
      <c r="AG14" s="196"/>
      <c r="AH14" s="196"/>
      <c r="AI14" s="350">
        <v>139.6</v>
      </c>
      <c r="AJ14" s="241">
        <f t="shared" si="3"/>
        <v>233.22</v>
      </c>
      <c r="AK14" s="197"/>
      <c r="AL14" s="197"/>
      <c r="AM14" s="197"/>
      <c r="AN14" s="197"/>
      <c r="AO14" s="197"/>
      <c r="AP14" s="197"/>
      <c r="AQ14" s="197"/>
      <c r="AR14" s="192">
        <f t="shared" si="7"/>
        <v>1885.56</v>
      </c>
      <c r="AS14" s="198">
        <f t="shared" si="8"/>
        <v>0</v>
      </c>
      <c r="AT14" s="252">
        <f t="shared" si="4"/>
        <v>42312.329999999987</v>
      </c>
    </row>
    <row r="15" spans="1:46" ht="13.5" customHeight="1" x14ac:dyDescent="0.3">
      <c r="A15" s="520">
        <v>44382</v>
      </c>
      <c r="B15" s="754">
        <v>0.14000000000000001</v>
      </c>
      <c r="C15" s="733">
        <f t="shared" si="5"/>
        <v>40426.76999999999</v>
      </c>
      <c r="D15" s="734"/>
      <c r="E15" s="731"/>
      <c r="F15" s="735"/>
      <c r="G15" s="732"/>
      <c r="H15" s="181">
        <v>362.94</v>
      </c>
      <c r="I15" s="199"/>
      <c r="J15" s="181">
        <v>791.43</v>
      </c>
      <c r="K15" s="181">
        <v>489.95</v>
      </c>
      <c r="L15" s="266"/>
      <c r="M15" s="265"/>
      <c r="N15" s="183">
        <v>798</v>
      </c>
      <c r="O15" s="183"/>
      <c r="P15" s="183">
        <v>1932</v>
      </c>
      <c r="Q15" s="183">
        <v>1296</v>
      </c>
      <c r="R15" s="509"/>
      <c r="S15" s="516">
        <f t="shared" si="0"/>
        <v>1644.32</v>
      </c>
      <c r="T15" s="195">
        <f t="shared" si="2"/>
        <v>4026</v>
      </c>
      <c r="U15" s="833">
        <f t="shared" si="6"/>
        <v>0.40842523596621955</v>
      </c>
      <c r="V15" s="188"/>
      <c r="W15" s="196"/>
      <c r="X15" s="174"/>
      <c r="Y15" s="196"/>
      <c r="Z15" s="181"/>
      <c r="AA15" s="235"/>
      <c r="AB15" s="196"/>
      <c r="AC15" s="196"/>
      <c r="AD15" s="196"/>
      <c r="AE15" s="196">
        <v>15.61</v>
      </c>
      <c r="AF15" s="196"/>
      <c r="AG15" s="196"/>
      <c r="AH15" s="196">
        <v>133</v>
      </c>
      <c r="AI15" s="350"/>
      <c r="AJ15" s="241">
        <f t="shared" si="3"/>
        <v>148.61000000000001</v>
      </c>
      <c r="AK15" s="197"/>
      <c r="AL15" s="197"/>
      <c r="AM15" s="197"/>
      <c r="AN15" s="197"/>
      <c r="AO15" s="197"/>
      <c r="AP15" s="197"/>
      <c r="AQ15" s="197"/>
      <c r="AR15" s="192">
        <f t="shared" si="7"/>
        <v>1792.9299999999998</v>
      </c>
      <c r="AS15" s="198">
        <f t="shared" si="8"/>
        <v>0</v>
      </c>
      <c r="AT15" s="252">
        <f t="shared" si="4"/>
        <v>40426.76999999999</v>
      </c>
    </row>
    <row r="16" spans="1:46" ht="13.5" customHeight="1" x14ac:dyDescent="0.3">
      <c r="A16" s="520">
        <v>44383</v>
      </c>
      <c r="B16" s="754">
        <v>0.16900000000000001</v>
      </c>
      <c r="C16" s="733">
        <f t="shared" si="5"/>
        <v>38633.839999999989</v>
      </c>
      <c r="D16" s="734"/>
      <c r="E16" s="731"/>
      <c r="F16" s="735"/>
      <c r="G16" s="732">
        <v>754.35</v>
      </c>
      <c r="H16" s="181"/>
      <c r="I16" s="199"/>
      <c r="J16" s="181"/>
      <c r="K16" s="181">
        <v>475.77</v>
      </c>
      <c r="L16" s="266">
        <v>439.11</v>
      </c>
      <c r="M16" s="265">
        <v>1871</v>
      </c>
      <c r="N16" s="183"/>
      <c r="O16" s="183"/>
      <c r="P16" s="183"/>
      <c r="Q16" s="183">
        <v>1230</v>
      </c>
      <c r="R16" s="509">
        <v>1044</v>
      </c>
      <c r="S16" s="516">
        <f t="shared" si="0"/>
        <v>1669.23</v>
      </c>
      <c r="T16" s="195">
        <f t="shared" si="2"/>
        <v>4145</v>
      </c>
      <c r="U16" s="833">
        <f>S16/T16</f>
        <v>0.40270928829915559</v>
      </c>
      <c r="V16" s="188">
        <v>15.89</v>
      </c>
      <c r="W16" s="196">
        <v>26.82</v>
      </c>
      <c r="X16" s="174"/>
      <c r="Y16" s="196"/>
      <c r="Z16" s="181">
        <v>84.64</v>
      </c>
      <c r="AA16" s="235"/>
      <c r="AB16" s="196"/>
      <c r="AC16" s="196"/>
      <c r="AD16" s="196"/>
      <c r="AE16" s="196"/>
      <c r="AF16" s="196"/>
      <c r="AG16" s="196"/>
      <c r="AH16" s="196"/>
      <c r="AI16" s="350">
        <v>72.58</v>
      </c>
      <c r="AJ16" s="241">
        <f t="shared" si="3"/>
        <v>199.93</v>
      </c>
      <c r="AK16" s="197"/>
      <c r="AL16" s="197"/>
      <c r="AM16" s="197"/>
      <c r="AN16" s="197"/>
      <c r="AO16" s="197"/>
      <c r="AP16" s="197"/>
      <c r="AQ16" s="197"/>
      <c r="AR16" s="192">
        <f t="shared" si="7"/>
        <v>1869.16</v>
      </c>
      <c r="AS16" s="198">
        <f t="shared" si="8"/>
        <v>0</v>
      </c>
      <c r="AT16" s="252">
        <f t="shared" si="4"/>
        <v>38633.839999999989</v>
      </c>
    </row>
    <row r="17" spans="1:46" ht="13.5" customHeight="1" x14ac:dyDescent="0.3">
      <c r="A17" s="520">
        <v>44384</v>
      </c>
      <c r="B17" s="754">
        <v>0.36399999999999999</v>
      </c>
      <c r="C17" s="733">
        <f t="shared" si="5"/>
        <v>36764.679999999986</v>
      </c>
      <c r="D17" s="734"/>
      <c r="E17" s="731"/>
      <c r="F17" s="735"/>
      <c r="G17" s="732">
        <v>407.2</v>
      </c>
      <c r="H17" s="181">
        <v>170.79</v>
      </c>
      <c r="I17" s="199"/>
      <c r="J17" s="181">
        <v>232.8</v>
      </c>
      <c r="K17" s="181">
        <v>454.88</v>
      </c>
      <c r="L17" s="266">
        <v>633.24</v>
      </c>
      <c r="M17" s="265">
        <v>1089</v>
      </c>
      <c r="N17" s="183">
        <v>239</v>
      </c>
      <c r="O17" s="183"/>
      <c r="P17" s="183">
        <v>535</v>
      </c>
      <c r="Q17" s="183">
        <v>1214</v>
      </c>
      <c r="R17" s="509">
        <v>1598</v>
      </c>
      <c r="S17" s="516">
        <f t="shared" si="0"/>
        <v>1898.91</v>
      </c>
      <c r="T17" s="195">
        <f t="shared" si="2"/>
        <v>4675</v>
      </c>
      <c r="U17" s="833">
        <f t="shared" si="6"/>
        <v>0.40618395721925138</v>
      </c>
      <c r="V17" s="188"/>
      <c r="W17" s="196">
        <v>73.95</v>
      </c>
      <c r="X17" s="174"/>
      <c r="Y17" s="196"/>
      <c r="Z17" s="181"/>
      <c r="AA17" s="235"/>
      <c r="AB17" s="196"/>
      <c r="AC17" s="196"/>
      <c r="AD17" s="196"/>
      <c r="AE17" s="196"/>
      <c r="AF17" s="196"/>
      <c r="AG17" s="196"/>
      <c r="AH17" s="196"/>
      <c r="AI17" s="350">
        <v>95</v>
      </c>
      <c r="AJ17" s="241">
        <f t="shared" si="3"/>
        <v>168.95</v>
      </c>
      <c r="AK17" s="197"/>
      <c r="AL17" s="197"/>
      <c r="AM17" s="197"/>
      <c r="AN17" s="197"/>
      <c r="AO17" s="197"/>
      <c r="AP17" s="197"/>
      <c r="AQ17" s="197"/>
      <c r="AR17" s="192">
        <f t="shared" si="7"/>
        <v>2067.86</v>
      </c>
      <c r="AS17" s="198">
        <f t="shared" si="8"/>
        <v>0</v>
      </c>
      <c r="AT17" s="252">
        <f t="shared" si="4"/>
        <v>36764.679999999986</v>
      </c>
    </row>
    <row r="18" spans="1:46" ht="13.5" customHeight="1" x14ac:dyDescent="0.3">
      <c r="A18" s="520">
        <v>44385</v>
      </c>
      <c r="B18" s="754">
        <v>0.45500000000000002</v>
      </c>
      <c r="C18" s="733">
        <f t="shared" si="5"/>
        <v>34696.819999999985</v>
      </c>
      <c r="D18" s="734"/>
      <c r="E18" s="731"/>
      <c r="F18" s="735"/>
      <c r="G18" s="732">
        <v>786.04</v>
      </c>
      <c r="H18" s="181">
        <v>548.84</v>
      </c>
      <c r="I18" s="199"/>
      <c r="J18" s="181"/>
      <c r="K18" s="862"/>
      <c r="L18" s="266">
        <v>530.91</v>
      </c>
      <c r="M18" s="265">
        <v>1946</v>
      </c>
      <c r="N18" s="183">
        <v>1332</v>
      </c>
      <c r="O18" s="183"/>
      <c r="P18" s="183"/>
      <c r="Q18" s="183"/>
      <c r="R18" s="509">
        <v>1272</v>
      </c>
      <c r="S18" s="516">
        <f t="shared" si="0"/>
        <v>1865.79</v>
      </c>
      <c r="T18" s="195">
        <f t="shared" si="2"/>
        <v>4550</v>
      </c>
      <c r="U18" s="833">
        <f>S18/T18</f>
        <v>0.41006373626373627</v>
      </c>
      <c r="V18" s="188"/>
      <c r="W18" s="196"/>
      <c r="X18" s="174"/>
      <c r="Y18" s="196"/>
      <c r="Z18" s="181"/>
      <c r="AA18" s="235"/>
      <c r="AB18" s="196"/>
      <c r="AC18" s="196"/>
      <c r="AD18" s="196"/>
      <c r="AE18" s="196"/>
      <c r="AF18" s="196"/>
      <c r="AG18" s="196"/>
      <c r="AH18" s="196"/>
      <c r="AI18" s="350">
        <v>47</v>
      </c>
      <c r="AJ18" s="241">
        <f t="shared" si="3"/>
        <v>47</v>
      </c>
      <c r="AK18" s="197"/>
      <c r="AL18" s="197"/>
      <c r="AM18" s="197"/>
      <c r="AN18" s="197"/>
      <c r="AO18" s="197"/>
      <c r="AP18" s="197"/>
      <c r="AQ18" s="197"/>
      <c r="AR18" s="192">
        <f t="shared" si="7"/>
        <v>1912.79</v>
      </c>
      <c r="AS18" s="198">
        <f t="shared" si="8"/>
        <v>0</v>
      </c>
      <c r="AT18" s="252">
        <f t="shared" si="4"/>
        <v>34696.819999999985</v>
      </c>
    </row>
    <row r="19" spans="1:46" ht="13.5" customHeight="1" x14ac:dyDescent="0.3">
      <c r="A19" s="520">
        <v>44386</v>
      </c>
      <c r="B19" s="754">
        <v>0.46800000000000003</v>
      </c>
      <c r="C19" s="733">
        <f t="shared" si="5"/>
        <v>32784.029999999984</v>
      </c>
      <c r="D19" s="734"/>
      <c r="E19" s="731"/>
      <c r="F19" s="735"/>
      <c r="G19" s="732">
        <v>408.97</v>
      </c>
      <c r="H19" s="181">
        <v>462.84</v>
      </c>
      <c r="I19" s="199"/>
      <c r="J19" s="181">
        <v>198.72</v>
      </c>
      <c r="K19" s="181">
        <v>224.12</v>
      </c>
      <c r="L19" s="266">
        <v>512.57000000000005</v>
      </c>
      <c r="M19" s="265">
        <v>954</v>
      </c>
      <c r="N19" s="183">
        <v>1201</v>
      </c>
      <c r="O19" s="183"/>
      <c r="P19" s="183">
        <v>462</v>
      </c>
      <c r="Q19" s="183">
        <v>430</v>
      </c>
      <c r="R19" s="509">
        <v>1216</v>
      </c>
      <c r="S19" s="516">
        <f t="shared" si="0"/>
        <v>1807.2200000000003</v>
      </c>
      <c r="T19" s="195">
        <f t="shared" si="2"/>
        <v>4263</v>
      </c>
      <c r="U19" s="833">
        <f t="shared" si="6"/>
        <v>0.42393150363593718</v>
      </c>
      <c r="V19" s="188"/>
      <c r="W19" s="196"/>
      <c r="X19" s="174"/>
      <c r="Y19" s="196"/>
      <c r="Z19" s="181"/>
      <c r="AA19" s="235"/>
      <c r="AB19" s="196"/>
      <c r="AC19" s="196"/>
      <c r="AD19" s="196"/>
      <c r="AE19" s="196"/>
      <c r="AF19" s="196"/>
      <c r="AG19" s="196"/>
      <c r="AH19" s="196">
        <v>456</v>
      </c>
      <c r="AI19" s="350"/>
      <c r="AJ19" s="241">
        <f>SUM(V19:AI19)</f>
        <v>456</v>
      </c>
      <c r="AK19" s="197"/>
      <c r="AL19" s="191"/>
      <c r="AM19" s="197"/>
      <c r="AN19" s="201"/>
      <c r="AO19" s="201"/>
      <c r="AP19" s="201"/>
      <c r="AQ19" s="202"/>
      <c r="AR19" s="192">
        <f t="shared" si="7"/>
        <v>2263.2200000000003</v>
      </c>
      <c r="AS19" s="198">
        <f t="shared" si="8"/>
        <v>0</v>
      </c>
      <c r="AT19" s="252">
        <f t="shared" si="4"/>
        <v>32784.029999999984</v>
      </c>
    </row>
    <row r="20" spans="1:46" ht="15.75" x14ac:dyDescent="0.3">
      <c r="A20" s="520">
        <v>44387</v>
      </c>
      <c r="B20" s="754">
        <v>0.39</v>
      </c>
      <c r="C20" s="733">
        <f t="shared" si="5"/>
        <v>30520.809999999983</v>
      </c>
      <c r="D20" s="734"/>
      <c r="E20" s="731"/>
      <c r="F20" s="735"/>
      <c r="G20" s="732">
        <v>482.3</v>
      </c>
      <c r="H20" s="196">
        <v>700.31</v>
      </c>
      <c r="I20" s="199"/>
      <c r="J20" s="181"/>
      <c r="K20" s="181"/>
      <c r="L20" s="481">
        <v>705.27</v>
      </c>
      <c r="M20" s="265">
        <v>1250</v>
      </c>
      <c r="N20" s="183">
        <v>1617</v>
      </c>
      <c r="O20" s="183"/>
      <c r="P20" s="183"/>
      <c r="Q20" s="183"/>
      <c r="R20" s="509">
        <v>1639</v>
      </c>
      <c r="S20" s="516">
        <f t="shared" si="0"/>
        <v>1887.8799999999999</v>
      </c>
      <c r="T20" s="195">
        <f t="shared" si="2"/>
        <v>4506</v>
      </c>
      <c r="U20" s="833">
        <f t="shared" si="6"/>
        <v>0.41897026187305814</v>
      </c>
      <c r="V20" s="188">
        <v>53.69</v>
      </c>
      <c r="W20" s="196">
        <v>48.64</v>
      </c>
      <c r="X20" s="174"/>
      <c r="Y20" s="196"/>
      <c r="Z20" s="181"/>
      <c r="AA20" s="235"/>
      <c r="AB20" s="196"/>
      <c r="AC20" s="196"/>
      <c r="AD20" s="196"/>
      <c r="AE20" s="196"/>
      <c r="AF20" s="196">
        <v>149.63999999999999</v>
      </c>
      <c r="AG20" s="196"/>
      <c r="AH20" s="196"/>
      <c r="AI20" s="350">
        <v>393</v>
      </c>
      <c r="AJ20" s="241">
        <f t="shared" si="3"/>
        <v>644.97</v>
      </c>
      <c r="AK20" s="197"/>
      <c r="AL20" s="191"/>
      <c r="AM20" s="197"/>
      <c r="AN20" s="201"/>
      <c r="AO20" s="201"/>
      <c r="AP20" s="201"/>
      <c r="AQ20" s="202"/>
      <c r="AR20" s="192">
        <f t="shared" si="7"/>
        <v>2532.85</v>
      </c>
      <c r="AS20" s="198">
        <f t="shared" si="8"/>
        <v>0</v>
      </c>
      <c r="AT20" s="252">
        <f t="shared" si="4"/>
        <v>30520.809999999983</v>
      </c>
    </row>
    <row r="21" spans="1:46" ht="15.75" x14ac:dyDescent="0.3">
      <c r="A21" s="520">
        <v>44388</v>
      </c>
      <c r="B21" s="754">
        <v>0.40300000000000002</v>
      </c>
      <c r="C21" s="733">
        <f t="shared" si="5"/>
        <v>45987.959999999985</v>
      </c>
      <c r="D21" s="734">
        <v>18000</v>
      </c>
      <c r="E21" s="731"/>
      <c r="F21" s="735"/>
      <c r="G21" s="732"/>
      <c r="H21" s="196">
        <v>749.94</v>
      </c>
      <c r="I21" s="199"/>
      <c r="J21" s="181"/>
      <c r="K21" s="181">
        <v>704.16</v>
      </c>
      <c r="L21" s="451">
        <v>398.5</v>
      </c>
      <c r="M21" s="265"/>
      <c r="N21" s="265">
        <v>1772</v>
      </c>
      <c r="O21" s="183"/>
      <c r="P21" s="183"/>
      <c r="Q21" s="183">
        <v>1686</v>
      </c>
      <c r="R21" s="509">
        <v>1001</v>
      </c>
      <c r="S21" s="516">
        <f t="shared" si="0"/>
        <v>1852.6</v>
      </c>
      <c r="T21" s="195">
        <f t="shared" si="2"/>
        <v>4459</v>
      </c>
      <c r="U21" s="833">
        <f t="shared" si="6"/>
        <v>0.41547432159677056</v>
      </c>
      <c r="V21" s="188"/>
      <c r="W21" s="196"/>
      <c r="X21" s="174"/>
      <c r="Y21" s="196">
        <v>76.48</v>
      </c>
      <c r="Z21" s="181"/>
      <c r="AA21" s="235">
        <v>64.22</v>
      </c>
      <c r="AB21" s="196"/>
      <c r="AC21" s="196">
        <v>45.92</v>
      </c>
      <c r="AD21" s="196"/>
      <c r="AE21" s="196"/>
      <c r="AF21" s="196"/>
      <c r="AG21" s="196"/>
      <c r="AH21" s="196">
        <v>261</v>
      </c>
      <c r="AI21" s="350">
        <v>161</v>
      </c>
      <c r="AJ21" s="241">
        <f t="shared" si="3"/>
        <v>608.62</v>
      </c>
      <c r="AK21" s="190"/>
      <c r="AL21" s="191"/>
      <c r="AM21" s="197"/>
      <c r="AN21" s="201"/>
      <c r="AO21" s="201"/>
      <c r="AP21" s="201"/>
      <c r="AQ21" s="202"/>
      <c r="AR21" s="192">
        <f t="shared" si="7"/>
        <v>2461.2199999999998</v>
      </c>
      <c r="AS21" s="198">
        <f t="shared" si="8"/>
        <v>0</v>
      </c>
      <c r="AT21" s="252">
        <f t="shared" si="4"/>
        <v>45987.959999999985</v>
      </c>
    </row>
    <row r="22" spans="1:46" ht="15.75" x14ac:dyDescent="0.3">
      <c r="A22" s="520">
        <v>44389</v>
      </c>
      <c r="B22" s="754">
        <v>0.39</v>
      </c>
      <c r="C22" s="733">
        <f t="shared" si="5"/>
        <v>43526.739999999983</v>
      </c>
      <c r="D22" s="734"/>
      <c r="E22" s="731"/>
      <c r="F22" s="736"/>
      <c r="G22" s="732">
        <v>736.75</v>
      </c>
      <c r="H22" s="181"/>
      <c r="I22" s="199"/>
      <c r="J22" s="181"/>
      <c r="K22" s="181">
        <v>492.54</v>
      </c>
      <c r="L22" s="481">
        <v>432.88</v>
      </c>
      <c r="M22" s="265">
        <v>1787</v>
      </c>
      <c r="N22" s="265"/>
      <c r="O22" s="183"/>
      <c r="P22" s="183"/>
      <c r="Q22" s="183">
        <v>1567</v>
      </c>
      <c r="R22" s="509">
        <v>1084</v>
      </c>
      <c r="S22" s="516">
        <f t="shared" si="0"/>
        <v>1662.17</v>
      </c>
      <c r="T22" s="195">
        <f t="shared" si="2"/>
        <v>4438</v>
      </c>
      <c r="U22" s="833">
        <f t="shared" si="6"/>
        <v>0.37453132041460119</v>
      </c>
      <c r="V22" s="188"/>
      <c r="W22" s="196"/>
      <c r="X22" s="174"/>
      <c r="Y22" s="196"/>
      <c r="Z22" s="181"/>
      <c r="AA22" s="235"/>
      <c r="AB22" s="196"/>
      <c r="AC22" s="196"/>
      <c r="AD22" s="196"/>
      <c r="AE22" s="196"/>
      <c r="AF22" s="196"/>
      <c r="AG22" s="196">
        <v>220.99</v>
      </c>
      <c r="AH22" s="196">
        <v>345</v>
      </c>
      <c r="AI22" s="350">
        <v>112</v>
      </c>
      <c r="AJ22" s="241">
        <f t="shared" si="3"/>
        <v>677.99</v>
      </c>
      <c r="AK22" s="190"/>
      <c r="AL22" s="191"/>
      <c r="AM22" s="197"/>
      <c r="AN22" s="201"/>
      <c r="AO22" s="201"/>
      <c r="AP22" s="201"/>
      <c r="AQ22" s="202"/>
      <c r="AR22" s="192">
        <f t="shared" si="7"/>
        <v>2340.16</v>
      </c>
      <c r="AS22" s="198">
        <f t="shared" si="8"/>
        <v>0</v>
      </c>
      <c r="AT22" s="252">
        <f t="shared" si="4"/>
        <v>43526.739999999983</v>
      </c>
    </row>
    <row r="23" spans="1:46" ht="13.5" customHeight="1" x14ac:dyDescent="0.3">
      <c r="A23" s="520">
        <v>44390</v>
      </c>
      <c r="B23" s="754">
        <v>0.221</v>
      </c>
      <c r="C23" s="733">
        <f t="shared" si="5"/>
        <v>41186.579999999987</v>
      </c>
      <c r="D23" s="734"/>
      <c r="E23" s="731"/>
      <c r="F23" s="736"/>
      <c r="G23" s="732">
        <v>509.86</v>
      </c>
      <c r="H23" s="196"/>
      <c r="I23" s="199"/>
      <c r="J23" s="181"/>
      <c r="K23" s="181">
        <v>661.38</v>
      </c>
      <c r="L23" s="481">
        <v>673.67</v>
      </c>
      <c r="M23" s="265">
        <v>1787</v>
      </c>
      <c r="N23" s="183"/>
      <c r="O23" s="183"/>
      <c r="P23" s="183"/>
      <c r="Q23" s="183">
        <v>1267</v>
      </c>
      <c r="R23" s="509">
        <v>1246</v>
      </c>
      <c r="S23" s="516">
        <f t="shared" si="0"/>
        <v>1844.9099999999999</v>
      </c>
      <c r="T23" s="195">
        <f t="shared" si="2"/>
        <v>4300</v>
      </c>
      <c r="U23" s="833">
        <f t="shared" si="6"/>
        <v>0.42904883720930231</v>
      </c>
      <c r="V23" s="188"/>
      <c r="W23" s="196">
        <v>44.11</v>
      </c>
      <c r="X23" s="174"/>
      <c r="Y23" s="196"/>
      <c r="Z23" s="181"/>
      <c r="AA23" s="235">
        <v>27.02</v>
      </c>
      <c r="AB23" s="196"/>
      <c r="AC23" s="196"/>
      <c r="AD23" s="196"/>
      <c r="AE23" s="196"/>
      <c r="AF23" s="196"/>
      <c r="AG23" s="196"/>
      <c r="AH23" s="196">
        <v>133</v>
      </c>
      <c r="AI23" s="350"/>
      <c r="AJ23" s="241">
        <f t="shared" si="3"/>
        <v>204.13</v>
      </c>
      <c r="AK23" s="190"/>
      <c r="AL23" s="190"/>
      <c r="AM23" s="190"/>
      <c r="AN23" s="190"/>
      <c r="AO23" s="190"/>
      <c r="AP23" s="190"/>
      <c r="AQ23" s="190"/>
      <c r="AR23" s="192">
        <f t="shared" si="7"/>
        <v>2049.04</v>
      </c>
      <c r="AS23" s="198">
        <f t="shared" si="8"/>
        <v>0</v>
      </c>
      <c r="AT23" s="252">
        <f t="shared" si="4"/>
        <v>41186.579999999987</v>
      </c>
    </row>
    <row r="24" spans="1:46" ht="15.75" x14ac:dyDescent="0.3">
      <c r="A24" s="520">
        <v>44391</v>
      </c>
      <c r="B24" s="754">
        <v>0.19500000000000001</v>
      </c>
      <c r="C24" s="733">
        <f t="shared" si="5"/>
        <v>39137.539999999986</v>
      </c>
      <c r="D24" s="737"/>
      <c r="E24" s="731">
        <v>18000</v>
      </c>
      <c r="F24" s="772" t="s">
        <v>198</v>
      </c>
      <c r="G24" s="732">
        <v>653.44000000000005</v>
      </c>
      <c r="H24" s="181">
        <v>597.33000000000004</v>
      </c>
      <c r="I24" s="199"/>
      <c r="J24" s="181"/>
      <c r="K24" s="181">
        <v>399.4</v>
      </c>
      <c r="L24" s="481"/>
      <c r="M24" s="265">
        <v>1481</v>
      </c>
      <c r="N24" s="265">
        <v>1415</v>
      </c>
      <c r="O24" s="183"/>
      <c r="P24" s="183"/>
      <c r="Q24" s="183">
        <v>1006</v>
      </c>
      <c r="R24" s="509"/>
      <c r="S24" s="516">
        <f>SUM(F24:L24)</f>
        <v>1650.17</v>
      </c>
      <c r="T24" s="195">
        <f t="shared" si="2"/>
        <v>3902</v>
      </c>
      <c r="U24" s="833">
        <f t="shared" si="6"/>
        <v>0.42290363915940543</v>
      </c>
      <c r="V24" s="188"/>
      <c r="W24" s="196"/>
      <c r="X24" s="174"/>
      <c r="Y24" s="196"/>
      <c r="Z24" s="181"/>
      <c r="AA24" s="235">
        <v>56.84</v>
      </c>
      <c r="AB24" s="196"/>
      <c r="AC24" s="196"/>
      <c r="AD24" s="196"/>
      <c r="AE24" s="196"/>
      <c r="AF24" s="196"/>
      <c r="AG24" s="196">
        <v>1000</v>
      </c>
      <c r="AH24" s="196">
        <v>201</v>
      </c>
      <c r="AI24" s="350">
        <v>177</v>
      </c>
      <c r="AJ24" s="241">
        <f t="shared" si="3"/>
        <v>1434.84</v>
      </c>
      <c r="AK24" s="190"/>
      <c r="AL24" s="190"/>
      <c r="AM24" s="190"/>
      <c r="AN24" s="190"/>
      <c r="AO24" s="190"/>
      <c r="AP24" s="190"/>
      <c r="AQ24" s="190"/>
      <c r="AR24" s="192">
        <f t="shared" si="7"/>
        <v>3085.01</v>
      </c>
      <c r="AS24" s="198">
        <f t="shared" si="8"/>
        <v>0</v>
      </c>
      <c r="AT24" s="252">
        <f t="shared" si="4"/>
        <v>39137.539999999986</v>
      </c>
    </row>
    <row r="25" spans="1:46" ht="15.75" x14ac:dyDescent="0.3">
      <c r="A25" s="520">
        <v>44392</v>
      </c>
      <c r="B25" s="754">
        <v>0.20799999999999999</v>
      </c>
      <c r="C25" s="733">
        <f t="shared" si="5"/>
        <v>36052.529999999984</v>
      </c>
      <c r="D25" s="734"/>
      <c r="E25" s="731"/>
      <c r="F25" s="736"/>
      <c r="G25" s="732">
        <v>470.18</v>
      </c>
      <c r="H25" s="196">
        <v>586.49</v>
      </c>
      <c r="I25" s="199"/>
      <c r="J25" s="181"/>
      <c r="K25" s="181"/>
      <c r="L25" s="481">
        <v>586.59</v>
      </c>
      <c r="M25" s="265">
        <v>1145</v>
      </c>
      <c r="N25" s="183">
        <v>1366</v>
      </c>
      <c r="O25" s="183"/>
      <c r="P25" s="183"/>
      <c r="Q25" s="183">
        <v>1322</v>
      </c>
      <c r="R25" s="509"/>
      <c r="S25" s="516">
        <f t="shared" si="0"/>
        <v>1643.2600000000002</v>
      </c>
      <c r="T25" s="195">
        <f>SUM(M25:R25)</f>
        <v>3833</v>
      </c>
      <c r="U25" s="833">
        <f t="shared" si="6"/>
        <v>0.42871380120010444</v>
      </c>
      <c r="V25" s="188"/>
      <c r="W25" s="196"/>
      <c r="X25" s="174"/>
      <c r="Y25" s="196"/>
      <c r="Z25" s="181"/>
      <c r="AA25" s="235">
        <v>17.98</v>
      </c>
      <c r="AB25" s="196"/>
      <c r="AC25" s="196"/>
      <c r="AD25" s="196"/>
      <c r="AE25" s="196"/>
      <c r="AF25" s="196"/>
      <c r="AG25" s="196"/>
      <c r="AH25" s="196">
        <v>138</v>
      </c>
      <c r="AI25" s="350"/>
      <c r="AJ25" s="241">
        <f t="shared" si="3"/>
        <v>155.97999999999999</v>
      </c>
      <c r="AK25" s="190"/>
      <c r="AL25" s="190"/>
      <c r="AM25" s="190"/>
      <c r="AN25" s="190"/>
      <c r="AO25" s="190"/>
      <c r="AP25" s="190"/>
      <c r="AQ25" s="190"/>
      <c r="AR25" s="192">
        <f t="shared" si="7"/>
        <v>1799.2400000000002</v>
      </c>
      <c r="AS25" s="198">
        <f t="shared" si="8"/>
        <v>0</v>
      </c>
      <c r="AT25" s="252">
        <f t="shared" si="4"/>
        <v>36052.529999999984</v>
      </c>
    </row>
    <row r="26" spans="1:46" ht="15.75" x14ac:dyDescent="0.3">
      <c r="A26" s="520">
        <v>44393</v>
      </c>
      <c r="B26" s="754">
        <v>0.27</v>
      </c>
      <c r="C26" s="733">
        <f t="shared" si="5"/>
        <v>34253.289999999986</v>
      </c>
      <c r="D26" s="734"/>
      <c r="E26" s="731"/>
      <c r="F26" s="736"/>
      <c r="G26" s="732"/>
      <c r="H26" s="196">
        <v>650.17999999999995</v>
      </c>
      <c r="I26" s="182"/>
      <c r="J26" s="181"/>
      <c r="K26" s="181">
        <v>432.57</v>
      </c>
      <c r="L26" s="481">
        <v>649.99</v>
      </c>
      <c r="M26" s="265"/>
      <c r="N26" s="183">
        <v>1534</v>
      </c>
      <c r="O26" s="183"/>
      <c r="P26" s="183"/>
      <c r="Q26" s="183">
        <v>1052</v>
      </c>
      <c r="R26" s="509">
        <v>1494</v>
      </c>
      <c r="S26" s="516">
        <f t="shared" si="0"/>
        <v>1732.74</v>
      </c>
      <c r="T26" s="195">
        <f>SUM(M26:R26)</f>
        <v>4080</v>
      </c>
      <c r="U26" s="833">
        <f t="shared" si="6"/>
        <v>0.42469117647058824</v>
      </c>
      <c r="V26" s="188"/>
      <c r="W26" s="196">
        <v>85.68</v>
      </c>
      <c r="X26" s="174"/>
      <c r="Y26" s="196"/>
      <c r="Z26" s="196"/>
      <c r="AA26" s="235"/>
      <c r="AB26" s="196"/>
      <c r="AC26" s="196"/>
      <c r="AD26" s="196"/>
      <c r="AE26" s="196"/>
      <c r="AF26" s="196"/>
      <c r="AG26" s="196"/>
      <c r="AH26" s="196"/>
      <c r="AI26" s="350"/>
      <c r="AJ26" s="241">
        <f t="shared" si="3"/>
        <v>85.68</v>
      </c>
      <c r="AK26" s="190"/>
      <c r="AL26" s="190"/>
      <c r="AM26" s="190"/>
      <c r="AN26" s="190"/>
      <c r="AO26" s="190"/>
      <c r="AP26" s="190"/>
      <c r="AQ26" s="190"/>
      <c r="AR26" s="192">
        <f t="shared" si="7"/>
        <v>1818.42</v>
      </c>
      <c r="AS26" s="198">
        <f t="shared" si="8"/>
        <v>0</v>
      </c>
      <c r="AT26" s="252">
        <f t="shared" si="4"/>
        <v>34253.289999999986</v>
      </c>
    </row>
    <row r="27" spans="1:46" ht="15.75" x14ac:dyDescent="0.3">
      <c r="A27" s="520">
        <v>44394</v>
      </c>
      <c r="B27" s="754">
        <v>0.26</v>
      </c>
      <c r="C27" s="733">
        <f t="shared" si="5"/>
        <v>32434.869999999988</v>
      </c>
      <c r="D27" s="734"/>
      <c r="E27" s="731"/>
      <c r="F27" s="735"/>
      <c r="G27" s="732">
        <v>708.73</v>
      </c>
      <c r="H27" s="196"/>
      <c r="I27" s="182"/>
      <c r="J27" s="181"/>
      <c r="K27" s="181">
        <v>420.6</v>
      </c>
      <c r="L27" s="481">
        <v>637.30999999999995</v>
      </c>
      <c r="M27" s="265">
        <v>1568</v>
      </c>
      <c r="N27" s="183"/>
      <c r="O27" s="183"/>
      <c r="P27" s="183"/>
      <c r="Q27" s="183">
        <v>1043</v>
      </c>
      <c r="R27" s="509">
        <v>1481</v>
      </c>
      <c r="S27" s="516">
        <f t="shared" si="0"/>
        <v>1766.6399999999999</v>
      </c>
      <c r="T27" s="195">
        <f t="shared" si="2"/>
        <v>4092</v>
      </c>
      <c r="U27" s="833">
        <f t="shared" si="6"/>
        <v>0.43173020527859235</v>
      </c>
      <c r="V27" s="188">
        <v>55.38</v>
      </c>
      <c r="W27" s="196"/>
      <c r="X27" s="174"/>
      <c r="Y27" s="196"/>
      <c r="Z27" s="181"/>
      <c r="AA27" s="235"/>
      <c r="AB27" s="196"/>
      <c r="AC27" s="196"/>
      <c r="AD27" s="196"/>
      <c r="AE27" s="196"/>
      <c r="AF27" s="196"/>
      <c r="AG27" s="196"/>
      <c r="AH27" s="196"/>
      <c r="AI27" s="350">
        <v>441</v>
      </c>
      <c r="AJ27" s="241">
        <f t="shared" si="3"/>
        <v>496.38</v>
      </c>
      <c r="AK27" s="190"/>
      <c r="AL27" s="190"/>
      <c r="AM27" s="190"/>
      <c r="AN27" s="190"/>
      <c r="AO27" s="190"/>
      <c r="AP27" s="190"/>
      <c r="AQ27" s="190"/>
      <c r="AR27" s="192">
        <f t="shared" si="7"/>
        <v>2263.02</v>
      </c>
      <c r="AS27" s="198">
        <f t="shared" si="8"/>
        <v>0</v>
      </c>
      <c r="AT27" s="252">
        <f>C27</f>
        <v>32434.869999999988</v>
      </c>
    </row>
    <row r="28" spans="1:46" ht="15.75" x14ac:dyDescent="0.3">
      <c r="A28" s="520">
        <v>44395</v>
      </c>
      <c r="B28" s="754">
        <v>0.35</v>
      </c>
      <c r="C28" s="733">
        <f t="shared" si="5"/>
        <v>30171.849999999988</v>
      </c>
      <c r="D28" s="734"/>
      <c r="E28" s="731"/>
      <c r="F28" s="735"/>
      <c r="G28" s="732">
        <v>638.41999999999996</v>
      </c>
      <c r="H28" s="196">
        <v>447.01</v>
      </c>
      <c r="I28" s="182"/>
      <c r="J28" s="181"/>
      <c r="K28" s="181"/>
      <c r="L28" s="481">
        <v>702.55</v>
      </c>
      <c r="M28" s="265">
        <v>1618</v>
      </c>
      <c r="N28" s="183">
        <v>1177</v>
      </c>
      <c r="O28" s="183"/>
      <c r="P28" s="183"/>
      <c r="Q28" s="183"/>
      <c r="R28" s="509">
        <v>1655</v>
      </c>
      <c r="S28" s="516">
        <f t="shared" si="0"/>
        <v>1787.9799999999998</v>
      </c>
      <c r="T28" s="195">
        <f t="shared" si="2"/>
        <v>4450</v>
      </c>
      <c r="U28" s="833">
        <f t="shared" si="6"/>
        <v>0.40179325842696623</v>
      </c>
      <c r="V28" s="188"/>
      <c r="W28" s="196"/>
      <c r="X28" s="174"/>
      <c r="Y28" s="196"/>
      <c r="Z28" s="181"/>
      <c r="AA28" s="235"/>
      <c r="AB28" s="196">
        <v>28.07</v>
      </c>
      <c r="AC28" s="196"/>
      <c r="AD28" s="196"/>
      <c r="AE28" s="196">
        <v>251.16</v>
      </c>
      <c r="AF28" s="196"/>
      <c r="AG28" s="196"/>
      <c r="AH28" s="196">
        <v>95</v>
      </c>
      <c r="AI28" s="350"/>
      <c r="AJ28" s="241">
        <f>SUM(V28:AI28)</f>
        <v>374.23</v>
      </c>
      <c r="AK28" s="190"/>
      <c r="AL28" s="190"/>
      <c r="AM28" s="190"/>
      <c r="AN28" s="190"/>
      <c r="AO28" s="190"/>
      <c r="AP28" s="190"/>
      <c r="AQ28" s="190"/>
      <c r="AR28" s="192">
        <f t="shared" si="7"/>
        <v>2162.21</v>
      </c>
      <c r="AS28" s="198">
        <f t="shared" si="8"/>
        <v>0</v>
      </c>
      <c r="AT28" s="252">
        <f>C28</f>
        <v>30171.849999999988</v>
      </c>
    </row>
    <row r="29" spans="1:46" ht="15.75" x14ac:dyDescent="0.3">
      <c r="A29" s="520">
        <v>44396</v>
      </c>
      <c r="B29" s="754">
        <v>0.39</v>
      </c>
      <c r="C29" s="733">
        <f t="shared" si="5"/>
        <v>28009.639999999989</v>
      </c>
      <c r="D29" s="734"/>
      <c r="E29" s="731"/>
      <c r="F29" s="735"/>
      <c r="G29" s="732"/>
      <c r="H29" s="196">
        <v>722.84</v>
      </c>
      <c r="I29" s="182"/>
      <c r="J29" s="181"/>
      <c r="K29" s="181">
        <v>715.97</v>
      </c>
      <c r="L29" s="481">
        <v>373.58</v>
      </c>
      <c r="M29" s="265"/>
      <c r="N29" s="183">
        <v>1875</v>
      </c>
      <c r="O29" s="183"/>
      <c r="P29" s="183"/>
      <c r="Q29" s="183">
        <v>1788</v>
      </c>
      <c r="R29" s="509">
        <v>970</v>
      </c>
      <c r="S29" s="516">
        <f t="shared" si="0"/>
        <v>1812.3899999999999</v>
      </c>
      <c r="T29" s="195">
        <f t="shared" si="2"/>
        <v>4633</v>
      </c>
      <c r="U29" s="833">
        <f t="shared" si="6"/>
        <v>0.39119145262249078</v>
      </c>
      <c r="V29" s="188"/>
      <c r="W29" s="196"/>
      <c r="X29" s="174"/>
      <c r="Y29" s="196"/>
      <c r="Z29" s="181"/>
      <c r="AA29" s="235"/>
      <c r="AB29" s="196"/>
      <c r="AC29" s="196"/>
      <c r="AD29" s="196"/>
      <c r="AE29" s="196"/>
      <c r="AF29" s="196"/>
      <c r="AG29" s="196"/>
      <c r="AH29" s="196">
        <v>99</v>
      </c>
      <c r="AI29" s="350">
        <v>125</v>
      </c>
      <c r="AJ29" s="241">
        <f>SUM(V29:AI29)</f>
        <v>224</v>
      </c>
      <c r="AK29" s="190"/>
      <c r="AL29" s="190"/>
      <c r="AM29" s="190"/>
      <c r="AN29" s="190"/>
      <c r="AO29" s="190"/>
      <c r="AP29" s="190"/>
      <c r="AQ29" s="190"/>
      <c r="AR29" s="192">
        <f t="shared" si="7"/>
        <v>2036.3899999999999</v>
      </c>
      <c r="AS29" s="198">
        <f t="shared" si="8"/>
        <v>0</v>
      </c>
      <c r="AT29" s="252">
        <f t="shared" si="4"/>
        <v>28009.639999999989</v>
      </c>
    </row>
    <row r="30" spans="1:46" ht="15.75" x14ac:dyDescent="0.3">
      <c r="A30" s="520">
        <v>44397</v>
      </c>
      <c r="B30" s="754">
        <v>0.39</v>
      </c>
      <c r="C30" s="733">
        <f t="shared" si="5"/>
        <v>25973.249999999989</v>
      </c>
      <c r="D30" s="734"/>
      <c r="E30" s="731"/>
      <c r="F30" s="735"/>
      <c r="G30" s="732">
        <v>728.6</v>
      </c>
      <c r="H30" s="196"/>
      <c r="I30" s="182"/>
      <c r="J30" s="181"/>
      <c r="K30" s="181">
        <v>792.32</v>
      </c>
      <c r="L30" s="481">
        <v>486.72</v>
      </c>
      <c r="M30" s="265">
        <v>1817</v>
      </c>
      <c r="N30" s="183"/>
      <c r="O30" s="183"/>
      <c r="P30" s="183"/>
      <c r="Q30" s="183">
        <v>1646</v>
      </c>
      <c r="R30" s="509">
        <v>1259</v>
      </c>
      <c r="S30" s="516">
        <f t="shared" si="0"/>
        <v>2007.64</v>
      </c>
      <c r="T30" s="195">
        <f t="shared" si="2"/>
        <v>4722</v>
      </c>
      <c r="U30" s="833">
        <f t="shared" si="6"/>
        <v>0.42516730199068192</v>
      </c>
      <c r="V30" s="188"/>
      <c r="W30" s="196"/>
      <c r="X30" s="174"/>
      <c r="Y30" s="196"/>
      <c r="Z30" s="181"/>
      <c r="AA30" s="235"/>
      <c r="AB30" s="196"/>
      <c r="AC30" s="196">
        <v>49.26</v>
      </c>
      <c r="AD30" s="196"/>
      <c r="AE30" s="196"/>
      <c r="AF30" s="196"/>
      <c r="AG30" s="196"/>
      <c r="AH30" s="196"/>
      <c r="AI30" s="350"/>
      <c r="AJ30" s="241">
        <f t="shared" si="3"/>
        <v>49.26</v>
      </c>
      <c r="AK30" s="190"/>
      <c r="AL30" s="190"/>
      <c r="AM30" s="190"/>
      <c r="AN30" s="190"/>
      <c r="AO30" s="190"/>
      <c r="AP30" s="190"/>
      <c r="AQ30" s="190"/>
      <c r="AR30" s="192">
        <f t="shared" si="7"/>
        <v>2056.9</v>
      </c>
      <c r="AS30" s="198">
        <f t="shared" si="8"/>
        <v>0</v>
      </c>
      <c r="AT30" s="252">
        <f t="shared" si="4"/>
        <v>25973.249999999989</v>
      </c>
    </row>
    <row r="31" spans="1:46" ht="15.75" x14ac:dyDescent="0.3">
      <c r="A31" s="520">
        <v>44398</v>
      </c>
      <c r="B31" s="754">
        <v>0.55000000000000004</v>
      </c>
      <c r="C31" s="733">
        <f t="shared" si="5"/>
        <v>23916.349999999988</v>
      </c>
      <c r="D31" s="734"/>
      <c r="E31" s="731"/>
      <c r="F31" s="735"/>
      <c r="G31" s="732">
        <v>831.04</v>
      </c>
      <c r="H31" s="196"/>
      <c r="I31" s="182"/>
      <c r="J31" s="181"/>
      <c r="K31" s="181">
        <v>611.04</v>
      </c>
      <c r="L31" s="481">
        <v>550.70000000000005</v>
      </c>
      <c r="M31" s="265">
        <v>1817</v>
      </c>
      <c r="N31" s="183"/>
      <c r="O31" s="183"/>
      <c r="P31" s="183"/>
      <c r="Q31" s="183">
        <v>1519</v>
      </c>
      <c r="R31" s="509">
        <v>1575</v>
      </c>
      <c r="S31" s="516">
        <f t="shared" si="0"/>
        <v>1992.78</v>
      </c>
      <c r="T31" s="195">
        <f t="shared" si="2"/>
        <v>4911</v>
      </c>
      <c r="U31" s="833">
        <f t="shared" si="6"/>
        <v>0.40577886377519851</v>
      </c>
      <c r="V31" s="188">
        <v>128.38999999999999</v>
      </c>
      <c r="W31" s="196">
        <v>33</v>
      </c>
      <c r="X31" s="174"/>
      <c r="Y31" s="196"/>
      <c r="Z31" s="181"/>
      <c r="AA31" s="235"/>
      <c r="AB31" s="196"/>
      <c r="AC31" s="196"/>
      <c r="AD31" s="196"/>
      <c r="AE31" s="196"/>
      <c r="AF31" s="196"/>
      <c r="AG31" s="196"/>
      <c r="AH31" s="196">
        <v>205</v>
      </c>
      <c r="AI31" s="350">
        <v>190</v>
      </c>
      <c r="AJ31" s="241">
        <f t="shared" si="3"/>
        <v>556.39</v>
      </c>
      <c r="AK31" s="190"/>
      <c r="AL31" s="190"/>
      <c r="AM31" s="190"/>
      <c r="AN31" s="190"/>
      <c r="AO31" s="190"/>
      <c r="AP31" s="190"/>
      <c r="AQ31" s="190"/>
      <c r="AR31" s="192">
        <f t="shared" si="7"/>
        <v>2549.17</v>
      </c>
      <c r="AS31" s="198">
        <f t="shared" si="8"/>
        <v>0</v>
      </c>
      <c r="AT31" s="252">
        <f t="shared" si="4"/>
        <v>23916.349999999988</v>
      </c>
    </row>
    <row r="32" spans="1:46" ht="15.75" x14ac:dyDescent="0.3">
      <c r="A32" s="520">
        <v>44399</v>
      </c>
      <c r="B32" s="754">
        <v>0.54500000000000004</v>
      </c>
      <c r="C32" s="733">
        <f t="shared" si="5"/>
        <v>21367.179999999986</v>
      </c>
      <c r="D32" s="734"/>
      <c r="E32" s="731"/>
      <c r="F32" s="735"/>
      <c r="G32" s="732">
        <v>1044.18</v>
      </c>
      <c r="H32" s="181"/>
      <c r="I32" s="181"/>
      <c r="J32" s="181"/>
      <c r="K32" s="181">
        <v>277.8</v>
      </c>
      <c r="L32" s="481">
        <v>910.91</v>
      </c>
      <c r="M32" s="265">
        <v>2672</v>
      </c>
      <c r="N32" s="183"/>
      <c r="O32" s="183"/>
      <c r="P32" s="183"/>
      <c r="Q32" s="183">
        <v>640</v>
      </c>
      <c r="R32" s="509">
        <v>1914</v>
      </c>
      <c r="S32" s="516">
        <f t="shared" si="0"/>
        <v>2232.89</v>
      </c>
      <c r="T32" s="195">
        <f t="shared" si="2"/>
        <v>5226</v>
      </c>
      <c r="U32" s="833">
        <f t="shared" si="6"/>
        <v>0.42726559510141598</v>
      </c>
      <c r="V32" s="188"/>
      <c r="W32" s="196">
        <v>49.65</v>
      </c>
      <c r="X32" s="174"/>
      <c r="Y32" s="196"/>
      <c r="Z32" s="181"/>
      <c r="AA32" s="235">
        <v>33.04</v>
      </c>
      <c r="AB32" s="196"/>
      <c r="AC32" s="196"/>
      <c r="AD32" s="196">
        <v>206.96</v>
      </c>
      <c r="AE32" s="196"/>
      <c r="AF32" s="196"/>
      <c r="AG32" s="196"/>
      <c r="AH32" s="196"/>
      <c r="AI32" s="350">
        <v>205</v>
      </c>
      <c r="AJ32" s="241">
        <f t="shared" si="3"/>
        <v>494.65</v>
      </c>
      <c r="AK32" s="190"/>
      <c r="AL32" s="190"/>
      <c r="AM32" s="190"/>
      <c r="AN32" s="190"/>
      <c r="AO32" s="190"/>
      <c r="AP32" s="190"/>
      <c r="AQ32" s="190"/>
      <c r="AR32" s="192">
        <f t="shared" si="7"/>
        <v>2727.54</v>
      </c>
      <c r="AS32" s="198">
        <f t="shared" si="8"/>
        <v>0</v>
      </c>
      <c r="AT32" s="252">
        <f t="shared" si="4"/>
        <v>21367.179999999986</v>
      </c>
    </row>
    <row r="33" spans="1:46" ht="15.75" x14ac:dyDescent="0.3">
      <c r="A33" s="520">
        <v>44400</v>
      </c>
      <c r="B33" s="754">
        <v>0.45500000000000002</v>
      </c>
      <c r="C33" s="733">
        <f t="shared" si="5"/>
        <v>18639.639999999985</v>
      </c>
      <c r="D33" s="734"/>
      <c r="E33" s="731"/>
      <c r="F33" s="735"/>
      <c r="G33" s="732"/>
      <c r="H33" s="181">
        <v>868.66</v>
      </c>
      <c r="I33" s="181"/>
      <c r="J33" s="181"/>
      <c r="K33" s="181">
        <v>721.5</v>
      </c>
      <c r="L33" s="481">
        <v>500.63</v>
      </c>
      <c r="M33" s="265"/>
      <c r="N33" s="183">
        <v>1793</v>
      </c>
      <c r="O33" s="183"/>
      <c r="P33" s="183"/>
      <c r="Q33" s="183">
        <v>1709</v>
      </c>
      <c r="R33" s="509">
        <v>1228</v>
      </c>
      <c r="S33" s="516">
        <f t="shared" si="0"/>
        <v>2090.79</v>
      </c>
      <c r="T33" s="195">
        <f t="shared" si="2"/>
        <v>4730</v>
      </c>
      <c r="U33" s="833">
        <f t="shared" si="6"/>
        <v>0.44202748414376319</v>
      </c>
      <c r="V33" s="188"/>
      <c r="W33" s="196"/>
      <c r="X33" s="174"/>
      <c r="Y33" s="196"/>
      <c r="Z33" s="181"/>
      <c r="AA33" s="235"/>
      <c r="AB33" s="196"/>
      <c r="AC33" s="196"/>
      <c r="AD33" s="196"/>
      <c r="AE33" s="196">
        <v>228.3</v>
      </c>
      <c r="AF33" s="196"/>
      <c r="AG33" s="196"/>
      <c r="AH33" s="196"/>
      <c r="AI33" s="350"/>
      <c r="AJ33" s="241">
        <f t="shared" si="3"/>
        <v>228.3</v>
      </c>
      <c r="AK33" s="190"/>
      <c r="AL33" s="190"/>
      <c r="AM33" s="190"/>
      <c r="AN33" s="190"/>
      <c r="AO33" s="190"/>
      <c r="AP33" s="190"/>
      <c r="AQ33" s="190"/>
      <c r="AR33" s="192">
        <f t="shared" si="7"/>
        <v>2319.09</v>
      </c>
      <c r="AS33" s="198">
        <f t="shared" si="8"/>
        <v>0</v>
      </c>
      <c r="AT33" s="252">
        <f t="shared" si="4"/>
        <v>18639.639999999985</v>
      </c>
    </row>
    <row r="34" spans="1:46" ht="15.75" x14ac:dyDescent="0.3">
      <c r="A34" s="520">
        <v>44401</v>
      </c>
      <c r="B34" s="754">
        <v>0.247</v>
      </c>
      <c r="C34" s="733">
        <f t="shared" si="5"/>
        <v>16320.549999999985</v>
      </c>
      <c r="D34" s="734"/>
      <c r="E34" s="731">
        <v>15000</v>
      </c>
      <c r="F34" s="772" t="s">
        <v>198</v>
      </c>
      <c r="G34" s="732">
        <v>845.13</v>
      </c>
      <c r="H34" s="196"/>
      <c r="I34" s="182"/>
      <c r="J34" s="181"/>
      <c r="K34" s="181">
        <v>724.39</v>
      </c>
      <c r="L34" s="481">
        <v>445.21</v>
      </c>
      <c r="M34" s="265">
        <v>1925</v>
      </c>
      <c r="N34" s="183"/>
      <c r="O34" s="183"/>
      <c r="P34" s="183"/>
      <c r="Q34" s="183">
        <v>1792</v>
      </c>
      <c r="R34" s="509">
        <v>1162</v>
      </c>
      <c r="S34" s="516">
        <f>SUM(F34:L34)</f>
        <v>2014.73</v>
      </c>
      <c r="T34" s="195">
        <f t="shared" si="2"/>
        <v>4879</v>
      </c>
      <c r="U34" s="833">
        <f t="shared" si="6"/>
        <v>0.4129391268702603</v>
      </c>
      <c r="V34" s="188">
        <v>55.53</v>
      </c>
      <c r="W34" s="196">
        <v>29.45</v>
      </c>
      <c r="X34" s="174"/>
      <c r="Y34" s="196"/>
      <c r="Z34" s="181"/>
      <c r="AA34" s="235"/>
      <c r="AB34" s="196"/>
      <c r="AC34" s="196"/>
      <c r="AD34" s="196"/>
      <c r="AE34" s="196"/>
      <c r="AF34" s="196"/>
      <c r="AG34" s="196"/>
      <c r="AH34" s="196">
        <v>227</v>
      </c>
      <c r="AI34" s="350">
        <v>131</v>
      </c>
      <c r="AJ34" s="241">
        <f t="shared" si="3"/>
        <v>442.98</v>
      </c>
      <c r="AK34" s="190"/>
      <c r="AL34" s="190"/>
      <c r="AM34" s="190"/>
      <c r="AN34" s="190"/>
      <c r="AO34" s="190"/>
      <c r="AP34" s="190"/>
      <c r="AQ34" s="190"/>
      <c r="AR34" s="192">
        <f t="shared" si="7"/>
        <v>2457.71</v>
      </c>
      <c r="AS34" s="198">
        <f t="shared" si="8"/>
        <v>0</v>
      </c>
      <c r="AT34" s="252">
        <f t="shared" si="4"/>
        <v>16320.549999999985</v>
      </c>
    </row>
    <row r="35" spans="1:46" ht="15.75" x14ac:dyDescent="0.3">
      <c r="A35" s="520">
        <v>44402</v>
      </c>
      <c r="B35" s="754">
        <v>0.20799999999999999</v>
      </c>
      <c r="C35" s="733">
        <f t="shared" si="5"/>
        <v>28862.839999999986</v>
      </c>
      <c r="D35" s="734">
        <v>15000</v>
      </c>
      <c r="E35" s="731"/>
      <c r="F35" s="735"/>
      <c r="G35" s="732">
        <v>692.84</v>
      </c>
      <c r="H35" s="196">
        <v>706.76</v>
      </c>
      <c r="I35" s="182"/>
      <c r="J35" s="181"/>
      <c r="K35" s="181">
        <v>469.49</v>
      </c>
      <c r="L35" s="481"/>
      <c r="M35" s="265">
        <v>1785</v>
      </c>
      <c r="N35" s="183">
        <v>1718</v>
      </c>
      <c r="O35" s="183"/>
      <c r="P35" s="183"/>
      <c r="Q35" s="183">
        <v>1096</v>
      </c>
      <c r="R35" s="509"/>
      <c r="S35" s="516">
        <f t="shared" si="0"/>
        <v>1869.09</v>
      </c>
      <c r="T35" s="195">
        <f t="shared" si="2"/>
        <v>4599</v>
      </c>
      <c r="U35" s="833">
        <f t="shared" si="6"/>
        <v>0.40641226353555121</v>
      </c>
      <c r="V35" s="188"/>
      <c r="W35" s="196">
        <v>26.79</v>
      </c>
      <c r="X35" s="174"/>
      <c r="Y35" s="196"/>
      <c r="Z35" s="181"/>
      <c r="AA35" s="235"/>
      <c r="AB35" s="196"/>
      <c r="AC35" s="196"/>
      <c r="AD35" s="196"/>
      <c r="AE35" s="196"/>
      <c r="AF35" s="196"/>
      <c r="AG35" s="196"/>
      <c r="AH35" s="196">
        <v>142</v>
      </c>
      <c r="AI35" s="350">
        <v>91</v>
      </c>
      <c r="AJ35" s="241">
        <f t="shared" si="3"/>
        <v>259.78999999999996</v>
      </c>
      <c r="AK35" s="190"/>
      <c r="AL35" s="190"/>
      <c r="AM35" s="190"/>
      <c r="AN35" s="190"/>
      <c r="AO35" s="190"/>
      <c r="AP35" s="190"/>
      <c r="AQ35" s="190"/>
      <c r="AR35" s="192">
        <f t="shared" si="7"/>
        <v>2128.88</v>
      </c>
      <c r="AS35" s="198">
        <f t="shared" si="8"/>
        <v>0</v>
      </c>
      <c r="AT35" s="252">
        <f t="shared" si="4"/>
        <v>28862.839999999986</v>
      </c>
    </row>
    <row r="36" spans="1:46" ht="15.75" x14ac:dyDescent="0.3">
      <c r="A36" s="520">
        <v>44403</v>
      </c>
      <c r="B36" s="754">
        <v>0.156</v>
      </c>
      <c r="C36" s="733">
        <f t="shared" si="5"/>
        <v>26733.959999999985</v>
      </c>
      <c r="D36" s="734"/>
      <c r="E36" s="731"/>
      <c r="F36" s="862"/>
      <c r="G36" s="732">
        <v>831.64</v>
      </c>
      <c r="H36" s="196"/>
      <c r="I36" s="182"/>
      <c r="J36" s="181"/>
      <c r="K36" s="181">
        <v>400.73</v>
      </c>
      <c r="L36" s="481">
        <v>656.43</v>
      </c>
      <c r="M36" s="265">
        <v>1710</v>
      </c>
      <c r="N36" s="183"/>
      <c r="O36" s="183"/>
      <c r="P36" s="183"/>
      <c r="Q36" s="183">
        <v>1038</v>
      </c>
      <c r="R36" s="509">
        <v>1667</v>
      </c>
      <c r="S36" s="516">
        <f t="shared" si="0"/>
        <v>1888.7999999999997</v>
      </c>
      <c r="T36" s="195">
        <f t="shared" si="2"/>
        <v>4415</v>
      </c>
      <c r="U36" s="833">
        <f t="shared" si="6"/>
        <v>0.42781426953567375</v>
      </c>
      <c r="V36" s="188"/>
      <c r="W36" s="196"/>
      <c r="X36" s="174"/>
      <c r="Y36" s="196"/>
      <c r="Z36" s="181"/>
      <c r="AA36" s="235">
        <v>12.76</v>
      </c>
      <c r="AB36" s="196">
        <v>58.16</v>
      </c>
      <c r="AC36" s="196"/>
      <c r="AD36" s="196"/>
      <c r="AE36" s="196"/>
      <c r="AF36" s="196"/>
      <c r="AG36" s="196"/>
      <c r="AH36" s="196"/>
      <c r="AI36" s="350"/>
      <c r="AJ36" s="241">
        <f t="shared" si="3"/>
        <v>70.92</v>
      </c>
      <c r="AK36" s="190"/>
      <c r="AL36" s="190"/>
      <c r="AM36" s="190"/>
      <c r="AN36" s="190"/>
      <c r="AO36" s="190"/>
      <c r="AP36" s="190"/>
      <c r="AQ36" s="190"/>
      <c r="AR36" s="192">
        <f t="shared" si="7"/>
        <v>1959.7199999999998</v>
      </c>
      <c r="AS36" s="198">
        <f t="shared" si="8"/>
        <v>0</v>
      </c>
      <c r="AT36" s="252">
        <f t="shared" si="4"/>
        <v>26733.959999999985</v>
      </c>
    </row>
    <row r="37" spans="1:46" ht="15.75" x14ac:dyDescent="0.3">
      <c r="A37" s="520">
        <v>44404</v>
      </c>
      <c r="B37" s="754">
        <v>0.29899999999999999</v>
      </c>
      <c r="C37" s="733">
        <f t="shared" si="5"/>
        <v>24774.239999999983</v>
      </c>
      <c r="D37" s="734"/>
      <c r="E37" s="731">
        <v>18000</v>
      </c>
      <c r="F37" s="840" t="s">
        <v>198</v>
      </c>
      <c r="G37" s="732"/>
      <c r="H37" s="196">
        <v>698.88</v>
      </c>
      <c r="I37" s="182"/>
      <c r="J37" s="181"/>
      <c r="K37" s="181">
        <v>448.66</v>
      </c>
      <c r="L37" s="481">
        <v>773.75</v>
      </c>
      <c r="M37" s="265"/>
      <c r="N37" s="183">
        <v>1728</v>
      </c>
      <c r="O37" s="183"/>
      <c r="P37" s="183"/>
      <c r="Q37" s="183">
        <v>1139</v>
      </c>
      <c r="R37" s="183">
        <v>1740</v>
      </c>
      <c r="S37" s="516">
        <f t="shared" si="0"/>
        <v>1921.29</v>
      </c>
      <c r="T37" s="195">
        <f t="shared" si="2"/>
        <v>4607</v>
      </c>
      <c r="U37" s="833">
        <f t="shared" si="6"/>
        <v>0.41703711742999783</v>
      </c>
      <c r="V37" s="188">
        <v>62.69</v>
      </c>
      <c r="W37" s="196">
        <v>16.190000000000001</v>
      </c>
      <c r="X37" s="174"/>
      <c r="Y37" s="196">
        <v>71.61</v>
      </c>
      <c r="Z37" s="181"/>
      <c r="AA37" s="235">
        <v>54.4</v>
      </c>
      <c r="AB37" s="196"/>
      <c r="AC37" s="196"/>
      <c r="AD37" s="196"/>
      <c r="AE37" s="196"/>
      <c r="AF37" s="196"/>
      <c r="AG37" s="400"/>
      <c r="AH37" s="196">
        <v>247</v>
      </c>
      <c r="AI37" s="350">
        <v>40</v>
      </c>
      <c r="AJ37" s="241">
        <f>SUM(V37:AI37)</f>
        <v>491.89</v>
      </c>
      <c r="AK37" s="190"/>
      <c r="AL37" s="190"/>
      <c r="AM37" s="190"/>
      <c r="AN37" s="190"/>
      <c r="AO37" s="190"/>
      <c r="AP37" s="190"/>
      <c r="AQ37" s="190"/>
      <c r="AR37" s="192">
        <f t="shared" si="7"/>
        <v>2413.1799999999998</v>
      </c>
      <c r="AS37" s="198">
        <f t="shared" si="8"/>
        <v>0</v>
      </c>
      <c r="AT37" s="252">
        <f t="shared" si="4"/>
        <v>24774.239999999983</v>
      </c>
    </row>
    <row r="38" spans="1:46" ht="15.75" x14ac:dyDescent="0.3">
      <c r="A38" s="520">
        <v>44405</v>
      </c>
      <c r="B38" s="754">
        <v>0.46800000000000003</v>
      </c>
      <c r="C38" s="733">
        <f>SUM(C37-AR37+D38)</f>
        <v>37361.059999999983</v>
      </c>
      <c r="D38" s="734">
        <v>15000</v>
      </c>
      <c r="E38" s="731"/>
      <c r="F38" s="735"/>
      <c r="G38" s="732">
        <v>682.69</v>
      </c>
      <c r="H38" s="196"/>
      <c r="I38" s="182"/>
      <c r="J38" s="181"/>
      <c r="K38" s="181">
        <v>490.45</v>
      </c>
      <c r="L38" s="481">
        <v>523.48</v>
      </c>
      <c r="M38" s="265">
        <v>1715</v>
      </c>
      <c r="N38" s="183"/>
      <c r="O38" s="183"/>
      <c r="P38" s="183"/>
      <c r="Q38" s="183">
        <v>1267</v>
      </c>
      <c r="R38" s="183">
        <v>1660</v>
      </c>
      <c r="S38" s="516">
        <f t="shared" si="0"/>
        <v>1696.6200000000001</v>
      </c>
      <c r="T38" s="195">
        <f t="shared" si="2"/>
        <v>4642</v>
      </c>
      <c r="U38" s="833">
        <f>S38/T38</f>
        <v>0.36549332184403277</v>
      </c>
      <c r="V38" s="188"/>
      <c r="W38" s="196">
        <v>72.92</v>
      </c>
      <c r="X38" s="174">
        <v>74.55</v>
      </c>
      <c r="Y38" s="196"/>
      <c r="Z38" s="181"/>
      <c r="AA38" s="235"/>
      <c r="AB38" s="196"/>
      <c r="AC38" s="196"/>
      <c r="AD38" s="196"/>
      <c r="AE38" s="196"/>
      <c r="AF38" s="196"/>
      <c r="AG38" s="862"/>
      <c r="AH38" s="196"/>
      <c r="AI38" s="350"/>
      <c r="AJ38" s="241">
        <f t="shared" si="3"/>
        <v>147.47</v>
      </c>
      <c r="AK38" s="190"/>
      <c r="AL38" s="190"/>
      <c r="AM38" s="190"/>
      <c r="AN38" s="190"/>
      <c r="AO38" s="190"/>
      <c r="AP38" s="190"/>
      <c r="AQ38" s="190"/>
      <c r="AR38" s="192">
        <f t="shared" si="7"/>
        <v>1844.0900000000001</v>
      </c>
      <c r="AS38" s="198">
        <f t="shared" si="8"/>
        <v>0</v>
      </c>
      <c r="AT38" s="252">
        <f t="shared" si="4"/>
        <v>37361.059999999983</v>
      </c>
    </row>
    <row r="39" spans="1:46" ht="15.75" x14ac:dyDescent="0.3">
      <c r="A39" s="520">
        <v>44406</v>
      </c>
      <c r="B39" s="754">
        <v>0.51</v>
      </c>
      <c r="C39" s="733">
        <f t="shared" si="5"/>
        <v>35516.969999999987</v>
      </c>
      <c r="D39" s="734"/>
      <c r="E39" s="731"/>
      <c r="F39" s="735"/>
      <c r="G39" s="732">
        <v>721.85</v>
      </c>
      <c r="H39" s="196"/>
      <c r="I39" s="203"/>
      <c r="J39" s="181"/>
      <c r="K39" s="181">
        <v>476.87</v>
      </c>
      <c r="L39" s="481">
        <v>793.34</v>
      </c>
      <c r="M39" s="265">
        <v>1104</v>
      </c>
      <c r="N39" s="183"/>
      <c r="O39" s="204"/>
      <c r="P39" s="183"/>
      <c r="Q39" s="183">
        <v>1209</v>
      </c>
      <c r="R39" s="509">
        <v>1672</v>
      </c>
      <c r="S39" s="516">
        <f t="shared" si="0"/>
        <v>1992.06</v>
      </c>
      <c r="T39" s="195">
        <f t="shared" si="2"/>
        <v>3985</v>
      </c>
      <c r="U39" s="833">
        <f t="shared" si="6"/>
        <v>0.49988958594730237</v>
      </c>
      <c r="V39" s="188"/>
      <c r="W39" s="196"/>
      <c r="X39" s="174">
        <v>10.33</v>
      </c>
      <c r="Y39" s="196"/>
      <c r="Z39" s="181">
        <v>69.62</v>
      </c>
      <c r="AA39" s="235"/>
      <c r="AB39" s="196"/>
      <c r="AC39" s="196"/>
      <c r="AD39" s="196"/>
      <c r="AE39" s="196"/>
      <c r="AF39" s="400"/>
      <c r="AG39" s="400"/>
      <c r="AH39" s="196">
        <v>97</v>
      </c>
      <c r="AI39" s="350">
        <v>70</v>
      </c>
      <c r="AJ39" s="241">
        <f t="shared" si="3"/>
        <v>246.95</v>
      </c>
      <c r="AK39" s="190"/>
      <c r="AL39" s="190"/>
      <c r="AM39" s="190"/>
      <c r="AN39" s="190"/>
      <c r="AO39" s="190"/>
      <c r="AP39" s="190"/>
      <c r="AQ39" s="190"/>
      <c r="AR39" s="192">
        <f t="shared" si="7"/>
        <v>2239.0099999999998</v>
      </c>
      <c r="AS39" s="198">
        <f t="shared" si="8"/>
        <v>0</v>
      </c>
      <c r="AT39" s="252">
        <f t="shared" si="4"/>
        <v>35516.969999999987</v>
      </c>
    </row>
    <row r="40" spans="1:46" ht="15.75" x14ac:dyDescent="0.3">
      <c r="A40" s="520">
        <v>44407</v>
      </c>
      <c r="B40" s="754">
        <v>0.38</v>
      </c>
      <c r="C40" s="733">
        <f t="shared" si="5"/>
        <v>33277.959999999985</v>
      </c>
      <c r="D40" s="734"/>
      <c r="E40" s="731"/>
      <c r="F40" s="735"/>
      <c r="G40" s="732">
        <v>698.52</v>
      </c>
      <c r="H40" s="196"/>
      <c r="I40" s="182"/>
      <c r="J40" s="181"/>
      <c r="K40" s="181">
        <v>420.79</v>
      </c>
      <c r="L40" s="481">
        <v>703.26</v>
      </c>
      <c r="M40" s="265">
        <v>1753</v>
      </c>
      <c r="N40" s="183"/>
      <c r="O40" s="183"/>
      <c r="P40" s="183"/>
      <c r="Q40" s="183">
        <v>1068</v>
      </c>
      <c r="R40" s="509">
        <v>1663</v>
      </c>
      <c r="S40" s="516">
        <f t="shared" si="0"/>
        <v>1822.57</v>
      </c>
      <c r="T40" s="195">
        <f t="shared" si="2"/>
        <v>4484</v>
      </c>
      <c r="U40" s="833">
        <f t="shared" si="6"/>
        <v>0.4064607493309545</v>
      </c>
      <c r="V40" s="188"/>
      <c r="W40" s="196"/>
      <c r="X40" s="174"/>
      <c r="Y40" s="196"/>
      <c r="Z40" s="181"/>
      <c r="AA40" s="235"/>
      <c r="AB40" s="196"/>
      <c r="AC40" s="196"/>
      <c r="AD40" s="196"/>
      <c r="AE40" s="196"/>
      <c r="AF40" s="196"/>
      <c r="AG40" s="400"/>
      <c r="AH40" s="196">
        <v>369</v>
      </c>
      <c r="AI40" s="350"/>
      <c r="AJ40" s="241">
        <f t="shared" si="3"/>
        <v>369</v>
      </c>
      <c r="AK40" s="190"/>
      <c r="AL40" s="190"/>
      <c r="AM40" s="190"/>
      <c r="AN40" s="190"/>
      <c r="AO40" s="190"/>
      <c r="AP40" s="190"/>
      <c r="AQ40" s="190"/>
      <c r="AR40" s="192">
        <f t="shared" si="7"/>
        <v>2191.5699999999997</v>
      </c>
      <c r="AS40" s="198">
        <f t="shared" si="8"/>
        <v>0</v>
      </c>
      <c r="AT40" s="252">
        <f t="shared" si="4"/>
        <v>33277.959999999985</v>
      </c>
    </row>
    <row r="41" spans="1:46" ht="15.75" x14ac:dyDescent="0.3">
      <c r="A41" s="520">
        <v>44408</v>
      </c>
      <c r="B41" s="754">
        <v>0.15</v>
      </c>
      <c r="C41" s="733">
        <f t="shared" si="5"/>
        <v>31086.389999999985</v>
      </c>
      <c r="D41" s="734"/>
      <c r="E41" s="731"/>
      <c r="F41" s="735"/>
      <c r="G41" s="732">
        <v>572.96</v>
      </c>
      <c r="H41" s="181"/>
      <c r="I41" s="181"/>
      <c r="J41" s="181"/>
      <c r="K41" s="181">
        <v>497.34</v>
      </c>
      <c r="L41" s="481">
        <v>609.72</v>
      </c>
      <c r="M41" s="265">
        <v>1248</v>
      </c>
      <c r="N41" s="183"/>
      <c r="O41" s="183"/>
      <c r="P41" s="183"/>
      <c r="Q41" s="183">
        <v>1268</v>
      </c>
      <c r="R41" s="509">
        <v>1499</v>
      </c>
      <c r="S41" s="516">
        <f t="shared" si="0"/>
        <v>1680.02</v>
      </c>
      <c r="T41" s="195">
        <f t="shared" si="2"/>
        <v>4015</v>
      </c>
      <c r="U41" s="833">
        <f t="shared" si="6"/>
        <v>0.41843586550435863</v>
      </c>
      <c r="V41" s="188"/>
      <c r="W41" s="196"/>
      <c r="X41" s="174">
        <v>27.24</v>
      </c>
      <c r="Y41" s="196"/>
      <c r="Z41" s="181"/>
      <c r="AA41" s="235"/>
      <c r="AB41" s="196"/>
      <c r="AC41" s="196"/>
      <c r="AD41" s="196"/>
      <c r="AE41" s="196"/>
      <c r="AF41" s="196"/>
      <c r="AG41" s="400"/>
      <c r="AH41" s="196">
        <v>349</v>
      </c>
      <c r="AI41" s="350"/>
      <c r="AJ41" s="241">
        <f t="shared" si="3"/>
        <v>376.24</v>
      </c>
      <c r="AK41" s="190"/>
      <c r="AL41" s="190"/>
      <c r="AM41" s="190"/>
      <c r="AN41" s="190"/>
      <c r="AO41" s="190"/>
      <c r="AP41" s="190"/>
      <c r="AQ41" s="190"/>
      <c r="AR41" s="192">
        <f t="shared" si="7"/>
        <v>2056.2600000000002</v>
      </c>
      <c r="AS41" s="198">
        <f t="shared" si="8"/>
        <v>0</v>
      </c>
      <c r="AT41" s="252">
        <f t="shared" si="4"/>
        <v>31086.389999999985</v>
      </c>
    </row>
    <row r="42" spans="1:46" ht="14.25" x14ac:dyDescent="0.3">
      <c r="A42" s="520"/>
      <c r="B42" s="519"/>
      <c r="C42" s="733">
        <f t="shared" si="5"/>
        <v>29030.129999999983</v>
      </c>
      <c r="D42" s="738"/>
      <c r="E42" s="731"/>
      <c r="F42" s="266"/>
      <c r="G42" s="732"/>
      <c r="H42" s="181"/>
      <c r="I42" s="181"/>
      <c r="J42" s="181"/>
      <c r="K42" s="181"/>
      <c r="L42" s="481"/>
      <c r="M42" s="265"/>
      <c r="N42" s="183"/>
      <c r="O42" s="183"/>
      <c r="P42" s="183"/>
      <c r="Q42" s="183"/>
      <c r="R42" s="509"/>
      <c r="S42" s="516">
        <f t="shared" si="0"/>
        <v>0</v>
      </c>
      <c r="T42" s="195">
        <f t="shared" si="2"/>
        <v>0</v>
      </c>
      <c r="U42" s="833"/>
      <c r="V42" s="188"/>
      <c r="W42" s="196"/>
      <c r="X42" s="174"/>
      <c r="Y42" s="196"/>
      <c r="Z42" s="181"/>
      <c r="AA42" s="235"/>
      <c r="AB42" s="196"/>
      <c r="AC42" s="185"/>
      <c r="AD42" s="196"/>
      <c r="AE42" s="196"/>
      <c r="AF42" s="196"/>
      <c r="AG42" s="400"/>
      <c r="AH42" s="196"/>
      <c r="AI42" s="350"/>
      <c r="AJ42" s="241">
        <f t="shared" si="3"/>
        <v>0</v>
      </c>
      <c r="AK42" s="205"/>
      <c r="AL42" s="205"/>
      <c r="AM42" s="205"/>
      <c r="AN42" s="205"/>
      <c r="AO42" s="205"/>
      <c r="AP42" s="205"/>
      <c r="AQ42" s="205"/>
      <c r="AR42" s="192">
        <f t="shared" si="7"/>
        <v>0</v>
      </c>
      <c r="AS42" s="198">
        <f t="shared" si="8"/>
        <v>0</v>
      </c>
      <c r="AT42" s="252">
        <f t="shared" si="4"/>
        <v>29030.129999999983</v>
      </c>
    </row>
    <row r="43" spans="1:46" ht="14.25" x14ac:dyDescent="0.3">
      <c r="A43" s="452" t="s">
        <v>199</v>
      </c>
      <c r="B43" s="427">
        <f>AVERAGE(B11:B42)</f>
        <v>0.32651290322580645</v>
      </c>
      <c r="C43" s="729">
        <f>SUM(C42-AR42+D43)</f>
        <v>29030.129999999983</v>
      </c>
      <c r="D43" s="738"/>
      <c r="E43" s="731"/>
      <c r="F43" s="266"/>
      <c r="G43" s="469"/>
      <c r="H43" s="181"/>
      <c r="I43" s="181"/>
      <c r="J43" s="181"/>
      <c r="K43" s="181"/>
      <c r="L43" s="481"/>
      <c r="M43" s="265"/>
      <c r="N43" s="183"/>
      <c r="O43" s="183"/>
      <c r="P43" s="183"/>
      <c r="Q43" s="183"/>
      <c r="R43" s="509"/>
      <c r="S43" s="516">
        <f t="shared" si="0"/>
        <v>0</v>
      </c>
      <c r="T43" s="195">
        <f t="shared" si="2"/>
        <v>0</v>
      </c>
      <c r="U43" s="834"/>
      <c r="V43" s="188"/>
      <c r="W43" s="196"/>
      <c r="X43" s="181"/>
      <c r="Y43" s="185"/>
      <c r="Z43" s="185"/>
      <c r="AA43" s="235"/>
      <c r="AB43" s="185"/>
      <c r="AC43" s="207"/>
      <c r="AD43" s="207"/>
      <c r="AE43" s="196"/>
      <c r="AF43" s="196"/>
      <c r="AG43" s="400"/>
      <c r="AH43" s="185"/>
      <c r="AI43" s="350"/>
      <c r="AJ43" s="241">
        <f t="shared" si="3"/>
        <v>0</v>
      </c>
      <c r="AK43" s="206"/>
      <c r="AL43" s="206"/>
      <c r="AM43" s="206"/>
      <c r="AN43" s="206"/>
      <c r="AO43" s="206"/>
      <c r="AP43" s="206"/>
      <c r="AQ43" s="206"/>
      <c r="AR43" s="192">
        <f t="shared" si="7"/>
        <v>0</v>
      </c>
      <c r="AS43" s="198">
        <f t="shared" si="8"/>
        <v>0</v>
      </c>
      <c r="AT43" s="252">
        <f t="shared" si="4"/>
        <v>29030.129999999983</v>
      </c>
    </row>
    <row r="44" spans="1:46" ht="14.25" x14ac:dyDescent="0.3">
      <c r="A44" s="453"/>
      <c r="B44" s="454"/>
      <c r="C44" s="739"/>
      <c r="D44" s="740"/>
      <c r="E44" s="741"/>
      <c r="F44" s="742"/>
      <c r="G44" s="743"/>
      <c r="H44" s="506"/>
      <c r="I44" s="506"/>
      <c r="J44" s="506"/>
      <c r="K44" s="506"/>
      <c r="L44" s="507"/>
      <c r="M44" s="264"/>
      <c r="N44" s="172"/>
      <c r="O44" s="172"/>
      <c r="P44" s="172"/>
      <c r="Q44" s="172"/>
      <c r="R44" s="510"/>
      <c r="S44" s="516">
        <f t="shared" si="0"/>
        <v>0</v>
      </c>
      <c r="T44" s="195">
        <f t="shared" si="2"/>
        <v>0</v>
      </c>
      <c r="U44" s="517"/>
      <c r="V44" s="512"/>
      <c r="W44" s="166"/>
      <c r="X44" s="207"/>
      <c r="Y44" s="207"/>
      <c r="Z44" s="207"/>
      <c r="AA44" s="208"/>
      <c r="AB44" s="207"/>
      <c r="AC44" s="207"/>
      <c r="AD44" s="207"/>
      <c r="AE44" s="207"/>
      <c r="AF44" s="207"/>
      <c r="AG44" s="209"/>
      <c r="AH44" s="166"/>
      <c r="AI44" s="166"/>
      <c r="AJ44" s="494">
        <f t="shared" si="3"/>
        <v>0</v>
      </c>
      <c r="AK44" s="275"/>
      <c r="AL44" s="275"/>
      <c r="AM44" s="275"/>
      <c r="AN44" s="275"/>
      <c r="AO44" s="275"/>
      <c r="AP44" s="275"/>
      <c r="AQ44" s="275"/>
      <c r="AR44" s="192">
        <f t="shared" si="7"/>
        <v>0</v>
      </c>
      <c r="AS44" s="276">
        <f t="shared" si="8"/>
        <v>0</v>
      </c>
      <c r="AT44" s="277"/>
    </row>
    <row r="45" spans="1:46" s="211" customFormat="1" ht="12.75" x14ac:dyDescent="0.25">
      <c r="A45" s="500"/>
      <c r="B45" s="500"/>
      <c r="C45" s="210"/>
      <c r="D45" s="274">
        <f>SUM(D11:D44)</f>
        <v>66000</v>
      </c>
      <c r="E45" s="278">
        <f>SUM(E11:E42)</f>
        <v>69000</v>
      </c>
      <c r="F45" s="744">
        <f t="shared" ref="F45:O45" si="9">SUM(F11:F44)</f>
        <v>0</v>
      </c>
      <c r="G45" s="278">
        <f t="shared" si="9"/>
        <v>16395.690000000002</v>
      </c>
      <c r="H45" s="274">
        <f t="shared" si="9"/>
        <v>8273.8100000000013</v>
      </c>
      <c r="I45" s="278">
        <f t="shared" si="9"/>
        <v>0</v>
      </c>
      <c r="J45" s="274">
        <f t="shared" si="9"/>
        <v>2008.1100000000001</v>
      </c>
      <c r="K45" s="278">
        <f t="shared" si="9"/>
        <v>13716.26</v>
      </c>
      <c r="L45" s="274">
        <f t="shared" si="9"/>
        <v>16295.959999999997</v>
      </c>
      <c r="M45" s="278">
        <f t="shared" si="9"/>
        <v>39205</v>
      </c>
      <c r="N45" s="495">
        <f t="shared" si="9"/>
        <v>19565</v>
      </c>
      <c r="O45" s="278">
        <f t="shared" si="9"/>
        <v>0</v>
      </c>
      <c r="P45" s="274">
        <f>SUM(P11:P43)</f>
        <v>4641</v>
      </c>
      <c r="Q45" s="278">
        <f>SUM(Q11:Q44)</f>
        <v>35047</v>
      </c>
      <c r="R45" s="274">
        <f>SUM(R11:R44)</f>
        <v>38220</v>
      </c>
      <c r="S45" s="499">
        <f>SUM(G45:L45)</f>
        <v>56689.83</v>
      </c>
      <c r="T45" s="274">
        <f>SUM(M45:R45)</f>
        <v>136678</v>
      </c>
      <c r="U45" s="210">
        <f>SUM(U11:U42)</f>
        <v>12.87071365995776</v>
      </c>
      <c r="V45" s="495">
        <f t="shared" ref="V45:AB45" si="10">SUM(V9:V44)</f>
        <v>480.50999999999993</v>
      </c>
      <c r="W45" s="210">
        <f t="shared" si="10"/>
        <v>507.20000000000005</v>
      </c>
      <c r="X45" s="495">
        <f t="shared" si="10"/>
        <v>112.11999999999999</v>
      </c>
      <c r="Y45" s="210">
        <f t="shared" si="10"/>
        <v>148.09</v>
      </c>
      <c r="Z45" s="495">
        <f t="shared" si="10"/>
        <v>279.19</v>
      </c>
      <c r="AA45" s="210">
        <f t="shared" si="10"/>
        <v>323.77999999999997</v>
      </c>
      <c r="AB45" s="495">
        <f t="shared" si="10"/>
        <v>86.22999999999999</v>
      </c>
      <c r="AC45" s="210">
        <f>SUM(AC10:AC44)</f>
        <v>95.18</v>
      </c>
      <c r="AD45" s="495">
        <f>SUM(AD10:AD44)</f>
        <v>206.96</v>
      </c>
      <c r="AE45" s="210">
        <f>SUM(AE9:AE44)</f>
        <v>495.07</v>
      </c>
      <c r="AF45" s="495">
        <f>SUM(AF9:AF44)</f>
        <v>149.63999999999999</v>
      </c>
      <c r="AG45" s="210">
        <f>SUM(AG9:AG44)</f>
        <v>1220.99</v>
      </c>
      <c r="AH45" s="495">
        <f>SUM(AH9:AH43)</f>
        <v>3584.04</v>
      </c>
      <c r="AI45" s="210">
        <f>SUM(AI9:AI39)</f>
        <v>2530.1800000000003</v>
      </c>
      <c r="AJ45" s="495">
        <f>SUM(AJ9:AJ44)</f>
        <v>10219.179999999998</v>
      </c>
      <c r="AK45" s="210"/>
      <c r="AL45" s="210"/>
      <c r="AM45" s="210"/>
      <c r="AN45" s="210"/>
      <c r="AO45" s="210"/>
      <c r="AP45" s="210"/>
      <c r="AQ45" s="496"/>
      <c r="AR45" s="192">
        <f t="shared" si="7"/>
        <v>66909.009999999995</v>
      </c>
      <c r="AS45" s="497">
        <f>SUM(AS11:AS44)</f>
        <v>0</v>
      </c>
      <c r="AT45" s="498"/>
    </row>
    <row r="46" spans="1:46" ht="13.5" x14ac:dyDescent="0.3">
      <c r="A46" s="862" t="s">
        <v>200</v>
      </c>
      <c r="B46" s="862"/>
      <c r="C46" s="862"/>
      <c r="D46" s="862"/>
      <c r="E46" s="862"/>
      <c r="F46" s="862"/>
      <c r="G46" s="862"/>
      <c r="H46" s="862"/>
      <c r="I46" s="862"/>
      <c r="J46" s="862"/>
      <c r="K46" s="862"/>
      <c r="L46" s="862"/>
      <c r="M46" s="862"/>
      <c r="N46" s="862"/>
      <c r="O46" s="862"/>
      <c r="P46" s="862"/>
      <c r="Q46" s="862"/>
      <c r="R46" s="862"/>
      <c r="S46" s="546"/>
      <c r="T46" s="862"/>
      <c r="U46" s="862"/>
      <c r="V46" s="862"/>
      <c r="W46" s="167"/>
      <c r="X46" s="167"/>
      <c r="Y46" s="167"/>
      <c r="Z46" s="167"/>
      <c r="AA46" s="167"/>
      <c r="AB46" s="862"/>
      <c r="AC46" s="862"/>
      <c r="AD46" s="862"/>
      <c r="AE46" s="862"/>
      <c r="AF46" s="862"/>
      <c r="AG46" s="862"/>
      <c r="AH46" s="862"/>
      <c r="AI46" s="862"/>
      <c r="AJ46" s="862"/>
      <c r="AK46" s="862"/>
      <c r="AL46" s="862"/>
      <c r="AM46" s="862"/>
      <c r="AN46" s="862"/>
      <c r="AO46" s="862"/>
      <c r="AP46" s="862"/>
      <c r="AQ46" s="862"/>
      <c r="AR46" s="162"/>
      <c r="AS46" s="212"/>
      <c r="AT46" s="161"/>
    </row>
    <row r="47" spans="1:46" ht="14.25" thickBot="1" x14ac:dyDescent="0.3">
      <c r="A47" s="287"/>
      <c r="B47" s="862"/>
      <c r="C47" s="862"/>
      <c r="D47" s="862"/>
      <c r="E47" s="862"/>
      <c r="F47" s="165"/>
      <c r="G47" s="862"/>
      <c r="H47" s="862"/>
      <c r="I47" s="862"/>
      <c r="J47" s="862"/>
      <c r="K47" s="862"/>
      <c r="L47" s="862"/>
      <c r="M47" s="862"/>
      <c r="N47" s="862"/>
      <c r="O47" s="862"/>
      <c r="P47" s="862"/>
      <c r="Q47" s="862"/>
      <c r="R47" s="162"/>
      <c r="S47" s="745">
        <f>AVERAGE(S11:S41)</f>
        <v>1828.7041935483871</v>
      </c>
      <c r="T47" s="280">
        <f>S45*2315</f>
        <v>131236956.45</v>
      </c>
      <c r="U47" s="281" t="s">
        <v>201</v>
      </c>
      <c r="V47" s="862"/>
      <c r="W47" s="862"/>
      <c r="X47" s="862"/>
      <c r="Y47" s="862"/>
      <c r="Z47" s="862"/>
      <c r="AA47" s="862"/>
      <c r="AB47" s="862"/>
      <c r="AC47" s="862"/>
      <c r="AD47" s="862"/>
      <c r="AE47" s="862"/>
      <c r="AF47" s="862"/>
      <c r="AG47" s="862"/>
      <c r="AH47" s="862"/>
      <c r="AI47" s="862"/>
      <c r="AJ47" s="862"/>
      <c r="AK47" s="862"/>
      <c r="AL47" s="862"/>
      <c r="AM47" s="862"/>
      <c r="AN47" s="862"/>
      <c r="AO47" s="862"/>
      <c r="AP47" s="862"/>
      <c r="AQ47" s="862"/>
      <c r="AR47" s="478">
        <f>AR45*2143</f>
        <v>143386008.42999998</v>
      </c>
      <c r="AS47" s="477" t="s">
        <v>201</v>
      </c>
      <c r="AT47" s="161"/>
    </row>
    <row r="48" spans="1:46" ht="14.25" thickBot="1" x14ac:dyDescent="0.35">
      <c r="A48" s="288" t="s">
        <v>202</v>
      </c>
      <c r="B48" s="213"/>
      <c r="C48" s="862"/>
      <c r="D48" s="862"/>
      <c r="E48" s="862"/>
      <c r="F48" s="862" t="s">
        <v>13</v>
      </c>
      <c r="G48" s="862"/>
      <c r="H48" s="862"/>
      <c r="I48" s="862"/>
      <c r="J48" s="862"/>
      <c r="K48" s="862"/>
      <c r="L48" s="862"/>
      <c r="M48" s="862"/>
      <c r="N48" s="862"/>
      <c r="O48" s="862"/>
      <c r="P48" s="862"/>
      <c r="Q48" s="862"/>
      <c r="R48" s="862"/>
      <c r="S48" s="862"/>
      <c r="T48" s="280">
        <f>T47/2289</f>
        <v>57333.751179554391</v>
      </c>
      <c r="U48" s="281" t="s">
        <v>203</v>
      </c>
      <c r="V48" s="862"/>
      <c r="W48" s="167"/>
      <c r="X48" s="167"/>
      <c r="Y48" s="167"/>
      <c r="Z48" s="167"/>
      <c r="AA48" s="167"/>
      <c r="AB48" s="862"/>
      <c r="AC48" s="862"/>
      <c r="AD48" s="862"/>
      <c r="AE48" s="862"/>
      <c r="AF48" s="862"/>
      <c r="AG48" s="862"/>
      <c r="AH48" s="862"/>
      <c r="AI48" s="862"/>
      <c r="AJ48" s="862"/>
      <c r="AK48" s="862"/>
      <c r="AL48" s="862"/>
      <c r="AM48" s="862"/>
      <c r="AN48" s="862"/>
      <c r="AO48" s="862"/>
      <c r="AP48" s="862"/>
      <c r="AQ48" s="862"/>
      <c r="AR48" s="280">
        <f>AR47/2289</f>
        <v>62641.331773700294</v>
      </c>
      <c r="AS48" s="479" t="s">
        <v>203</v>
      </c>
      <c r="AT48" s="212"/>
    </row>
    <row r="49" spans="2:46" ht="14.25" thickBot="1" x14ac:dyDescent="0.35">
      <c r="B49" s="862"/>
      <c r="C49" s="862"/>
      <c r="D49" s="862"/>
      <c r="E49" s="862"/>
      <c r="F49" s="862"/>
      <c r="G49" s="862"/>
      <c r="H49" s="862"/>
      <c r="I49" s="862"/>
      <c r="J49" s="862"/>
      <c r="K49" s="862"/>
      <c r="L49" s="862"/>
      <c r="M49" s="862"/>
      <c r="N49" s="862"/>
      <c r="O49" s="862"/>
      <c r="P49" s="862"/>
      <c r="Q49" s="862"/>
      <c r="R49" s="862"/>
      <c r="S49" s="862"/>
      <c r="T49" s="862"/>
      <c r="U49" s="214"/>
      <c r="V49" s="862"/>
      <c r="W49" s="167"/>
      <c r="X49" s="167"/>
      <c r="Y49" s="167"/>
      <c r="Z49" s="167"/>
      <c r="AA49" s="167"/>
      <c r="AB49" s="862"/>
      <c r="AC49" s="862"/>
      <c r="AD49" s="862"/>
      <c r="AE49" s="862"/>
      <c r="AF49" s="862"/>
      <c r="AG49" s="862"/>
      <c r="AH49" s="862"/>
      <c r="AI49" s="862"/>
      <c r="AJ49" s="862"/>
      <c r="AK49" s="862"/>
      <c r="AL49" s="862"/>
      <c r="AM49" s="862"/>
      <c r="AN49" s="862"/>
      <c r="AO49" s="862"/>
      <c r="AP49" s="862"/>
      <c r="AQ49" s="862"/>
      <c r="AR49" s="214"/>
      <c r="AS49" s="862"/>
      <c r="AT49" s="212"/>
    </row>
    <row r="50" spans="2:46" ht="13.5" customHeight="1" thickBot="1" x14ac:dyDescent="0.25">
      <c r="B50" s="918" t="s">
        <v>204</v>
      </c>
      <c r="C50" s="919"/>
      <c r="D50" s="919"/>
      <c r="E50" s="919"/>
      <c r="F50" s="920"/>
      <c r="G50" s="862"/>
      <c r="H50" s="896" t="s">
        <v>205</v>
      </c>
      <c r="I50" s="897"/>
      <c r="J50" s="897"/>
      <c r="K50" s="897"/>
      <c r="L50" s="898"/>
      <c r="M50" s="862"/>
      <c r="N50" s="899" t="s">
        <v>206</v>
      </c>
      <c r="O50" s="900"/>
      <c r="P50" s="900"/>
      <c r="Q50" s="900"/>
      <c r="R50" s="901"/>
      <c r="S50" s="862"/>
      <c r="T50" s="902" t="s">
        <v>207</v>
      </c>
      <c r="U50" s="903"/>
      <c r="V50" s="903"/>
      <c r="W50" s="903"/>
      <c r="X50" s="903"/>
      <c r="Y50" s="904"/>
      <c r="Z50" s="862"/>
      <c r="AA50" s="862"/>
      <c r="AB50" s="862"/>
      <c r="AC50" s="862"/>
      <c r="AD50" s="862"/>
      <c r="AE50" s="862"/>
      <c r="AF50" s="862"/>
      <c r="AG50" s="862"/>
      <c r="AH50" s="862"/>
      <c r="AI50" s="862"/>
      <c r="AJ50" s="862"/>
      <c r="AK50" s="862"/>
      <c r="AL50" s="862"/>
      <c r="AM50" s="862"/>
      <c r="AN50" s="862"/>
      <c r="AO50" s="862"/>
      <c r="AP50" s="862"/>
      <c r="AQ50" s="862"/>
      <c r="AR50" s="862"/>
      <c r="AS50" s="862"/>
      <c r="AT50" s="862"/>
    </row>
    <row r="51" spans="2:46" ht="25.5" customHeight="1" thickBot="1" x14ac:dyDescent="0.25">
      <c r="B51" s="457" t="s">
        <v>62</v>
      </c>
      <c r="C51" s="381" t="s">
        <v>208</v>
      </c>
      <c r="D51" s="458" t="s">
        <v>209</v>
      </c>
      <c r="E51" s="458" t="s">
        <v>210</v>
      </c>
      <c r="F51" s="459" t="s">
        <v>211</v>
      </c>
      <c r="G51" s="862"/>
      <c r="H51" s="457" t="s">
        <v>62</v>
      </c>
      <c r="I51" s="381" t="s">
        <v>208</v>
      </c>
      <c r="J51" s="493" t="s">
        <v>209</v>
      </c>
      <c r="K51" s="461" t="s">
        <v>210</v>
      </c>
      <c r="L51" s="459" t="s">
        <v>211</v>
      </c>
      <c r="M51" s="862"/>
      <c r="N51" s="491" t="s">
        <v>62</v>
      </c>
      <c r="O51" s="487" t="s">
        <v>208</v>
      </c>
      <c r="P51" s="492" t="s">
        <v>209</v>
      </c>
      <c r="Q51" s="488" t="s">
        <v>210</v>
      </c>
      <c r="R51" s="489" t="s">
        <v>212</v>
      </c>
      <c r="S51" s="862"/>
      <c r="T51" s="309" t="s">
        <v>32</v>
      </c>
      <c r="U51" s="558" t="s">
        <v>208</v>
      </c>
      <c r="V51" s="560" t="s">
        <v>213</v>
      </c>
      <c r="W51" s="559" t="s">
        <v>210</v>
      </c>
      <c r="X51" s="310" t="s">
        <v>214</v>
      </c>
      <c r="Y51" s="311" t="s">
        <v>215</v>
      </c>
      <c r="Z51" s="862"/>
      <c r="AA51" s="862"/>
      <c r="AB51" s="862"/>
      <c r="AC51" s="862"/>
      <c r="AD51" s="862"/>
      <c r="AE51" s="862"/>
      <c r="AF51" s="862"/>
      <c r="AG51" s="862"/>
      <c r="AH51" s="862"/>
      <c r="AI51" s="862"/>
      <c r="AJ51" s="862"/>
      <c r="AK51" s="862"/>
      <c r="AL51" s="862"/>
      <c r="AM51" s="862"/>
      <c r="AN51" s="862"/>
      <c r="AO51" s="862"/>
      <c r="AP51" s="862"/>
      <c r="AQ51" s="862"/>
      <c r="AR51" s="862"/>
      <c r="AS51" s="862"/>
      <c r="AT51" s="862"/>
    </row>
    <row r="52" spans="2:46" ht="11.25" customHeight="1" x14ac:dyDescent="0.2">
      <c r="B52" s="455">
        <v>44234</v>
      </c>
      <c r="C52" s="790" t="s">
        <v>216</v>
      </c>
      <c r="D52" s="837">
        <v>60</v>
      </c>
      <c r="E52" s="177" t="s">
        <v>217</v>
      </c>
      <c r="F52" s="791" t="s">
        <v>218</v>
      </c>
      <c r="G52" s="862"/>
      <c r="H52" s="485"/>
      <c r="I52" s="462"/>
      <c r="J52" s="462"/>
      <c r="K52" s="462"/>
      <c r="L52" s="486"/>
      <c r="M52" s="862"/>
      <c r="N52" s="312">
        <v>44293</v>
      </c>
      <c r="O52" s="462" t="s">
        <v>219</v>
      </c>
      <c r="P52" s="480">
        <v>66</v>
      </c>
      <c r="Q52" s="480" t="s">
        <v>220</v>
      </c>
      <c r="R52" s="466" t="s">
        <v>218</v>
      </c>
      <c r="S52" s="862"/>
      <c r="T52" s="312">
        <v>44379</v>
      </c>
      <c r="U52" s="480" t="s">
        <v>221</v>
      </c>
      <c r="V52" s="177">
        <v>40</v>
      </c>
      <c r="W52" s="480" t="s">
        <v>222</v>
      </c>
      <c r="X52" s="480" t="s">
        <v>223</v>
      </c>
      <c r="Y52" s="466"/>
      <c r="Z52" s="862"/>
      <c r="AA52" s="862"/>
      <c r="AB52" s="862"/>
      <c r="AC52" s="862"/>
      <c r="AD52" s="862"/>
      <c r="AE52" s="862"/>
      <c r="AF52" s="862"/>
      <c r="AG52" s="862"/>
      <c r="AH52" s="862"/>
      <c r="AI52" s="862"/>
      <c r="AJ52" s="862"/>
      <c r="AK52" s="862"/>
      <c r="AL52" s="862"/>
      <c r="AM52" s="862"/>
      <c r="AN52" s="862"/>
      <c r="AO52" s="862"/>
      <c r="AP52" s="862"/>
      <c r="AQ52" s="862"/>
      <c r="AR52" s="862"/>
      <c r="AS52" s="862"/>
      <c r="AT52" s="862"/>
    </row>
    <row r="53" spans="2:46" ht="11.25" customHeight="1" x14ac:dyDescent="0.2">
      <c r="B53" s="455">
        <v>44234</v>
      </c>
      <c r="C53" s="790" t="s">
        <v>224</v>
      </c>
      <c r="D53" s="837">
        <v>27</v>
      </c>
      <c r="E53" s="177" t="s">
        <v>225</v>
      </c>
      <c r="F53" s="791" t="s">
        <v>218</v>
      </c>
      <c r="G53" s="862"/>
      <c r="H53" s="746"/>
      <c r="I53" s="747"/>
      <c r="J53" s="747"/>
      <c r="K53" s="747"/>
      <c r="L53" s="482"/>
      <c r="M53" s="862"/>
      <c r="N53" s="455">
        <v>44293</v>
      </c>
      <c r="O53" s="747" t="s">
        <v>226</v>
      </c>
      <c r="P53" s="177">
        <v>73</v>
      </c>
      <c r="Q53" s="177" t="s">
        <v>227</v>
      </c>
      <c r="R53" s="466" t="s">
        <v>218</v>
      </c>
      <c r="S53" s="862"/>
      <c r="T53" s="455">
        <v>44476</v>
      </c>
      <c r="U53" s="177" t="s">
        <v>228</v>
      </c>
      <c r="V53" s="556">
        <v>20</v>
      </c>
      <c r="W53" s="456" t="s">
        <v>229</v>
      </c>
      <c r="X53" s="456" t="s">
        <v>230</v>
      </c>
      <c r="Y53" s="748"/>
      <c r="Z53" s="862"/>
      <c r="AA53" s="862"/>
      <c r="AB53" s="862"/>
      <c r="AC53" s="862"/>
      <c r="AD53" s="862"/>
      <c r="AE53" s="862"/>
      <c r="AF53" s="862"/>
      <c r="AG53" s="862"/>
      <c r="AH53" s="862"/>
      <c r="AI53" s="862"/>
      <c r="AJ53" s="862"/>
      <c r="AK53" s="862"/>
      <c r="AL53" s="862"/>
      <c r="AM53" s="862"/>
      <c r="AN53" s="862"/>
      <c r="AO53" s="862"/>
      <c r="AP53" s="862"/>
      <c r="AQ53" s="862"/>
      <c r="AR53" s="862"/>
      <c r="AS53" s="862"/>
      <c r="AT53" s="862"/>
    </row>
    <row r="54" spans="2:46" ht="11.25" customHeight="1" x14ac:dyDescent="0.2">
      <c r="B54" s="455">
        <v>44323</v>
      </c>
      <c r="C54" s="790" t="s">
        <v>231</v>
      </c>
      <c r="D54" s="837">
        <v>133</v>
      </c>
      <c r="E54" s="177" t="s">
        <v>232</v>
      </c>
      <c r="F54" s="482" t="s">
        <v>218</v>
      </c>
      <c r="G54" s="862"/>
      <c r="H54" s="471"/>
      <c r="I54" s="235"/>
      <c r="J54" s="235"/>
      <c r="K54" s="235"/>
      <c r="L54" s="482"/>
      <c r="M54" s="862"/>
      <c r="N54" s="305">
        <v>44354</v>
      </c>
      <c r="O54" s="235" t="s">
        <v>233</v>
      </c>
      <c r="P54" s="350">
        <v>72.58</v>
      </c>
      <c r="Q54" s="350" t="s">
        <v>234</v>
      </c>
      <c r="R54" s="467" t="s">
        <v>218</v>
      </c>
      <c r="S54" s="862"/>
      <c r="T54" s="305" t="s">
        <v>235</v>
      </c>
      <c r="U54" s="350" t="s">
        <v>236</v>
      </c>
      <c r="V54" s="557">
        <v>40</v>
      </c>
      <c r="W54" s="269" t="s">
        <v>222</v>
      </c>
      <c r="X54" s="269" t="s">
        <v>237</v>
      </c>
      <c r="Y54" s="467"/>
      <c r="Z54" s="862"/>
      <c r="AA54" s="862"/>
      <c r="AB54" s="862"/>
      <c r="AC54" s="862"/>
      <c r="AD54" s="862"/>
      <c r="AE54" s="862"/>
      <c r="AF54" s="862"/>
      <c r="AG54" s="862"/>
      <c r="AH54" s="862"/>
      <c r="AI54" s="862"/>
      <c r="AJ54" s="862"/>
      <c r="AK54" s="862"/>
      <c r="AL54" s="862"/>
      <c r="AM54" s="862"/>
      <c r="AN54" s="862"/>
      <c r="AO54" s="862"/>
      <c r="AP54" s="862"/>
      <c r="AQ54" s="862"/>
      <c r="AR54" s="862"/>
      <c r="AS54" s="862"/>
      <c r="AT54" s="862"/>
    </row>
    <row r="55" spans="2:46" ht="11.25" customHeight="1" x14ac:dyDescent="0.2">
      <c r="B55" s="455" t="s">
        <v>238</v>
      </c>
      <c r="C55" s="790" t="s">
        <v>239</v>
      </c>
      <c r="D55" s="837">
        <v>136</v>
      </c>
      <c r="E55" s="177" t="s">
        <v>240</v>
      </c>
      <c r="F55" s="482" t="s">
        <v>218</v>
      </c>
      <c r="G55" s="862"/>
      <c r="H55" s="471"/>
      <c r="I55" s="235"/>
      <c r="J55" s="235"/>
      <c r="K55" s="235"/>
      <c r="L55" s="483"/>
      <c r="M55" s="862"/>
      <c r="N55" s="305">
        <v>44384</v>
      </c>
      <c r="O55" s="235" t="s">
        <v>219</v>
      </c>
      <c r="P55" s="350">
        <v>95</v>
      </c>
      <c r="Q55" s="350" t="s">
        <v>220</v>
      </c>
      <c r="R55" s="467" t="s">
        <v>218</v>
      </c>
      <c r="S55" s="862"/>
      <c r="T55" s="305"/>
      <c r="U55" s="350"/>
      <c r="V55" s="557"/>
      <c r="W55" s="269"/>
      <c r="X55" s="269"/>
      <c r="Y55" s="467"/>
      <c r="Z55" s="862"/>
      <c r="AA55" s="862"/>
      <c r="AB55" s="862"/>
      <c r="AC55" s="862"/>
      <c r="AD55" s="862"/>
      <c r="AE55" s="862"/>
      <c r="AF55" s="862"/>
      <c r="AG55" s="862"/>
      <c r="AH55" s="862"/>
      <c r="AI55" s="862"/>
      <c r="AJ55" s="862"/>
      <c r="AK55" s="862"/>
      <c r="AL55" s="862"/>
      <c r="AM55" s="862"/>
      <c r="AN55" s="862"/>
      <c r="AO55" s="862"/>
      <c r="AP55" s="862"/>
      <c r="AQ55" s="862"/>
      <c r="AR55" s="862"/>
      <c r="AS55" s="862"/>
      <c r="AT55" s="862"/>
    </row>
    <row r="56" spans="2:46" ht="11.25" customHeight="1" x14ac:dyDescent="0.2">
      <c r="B56" s="455">
        <v>44447</v>
      </c>
      <c r="C56" s="790" t="s">
        <v>241</v>
      </c>
      <c r="D56" s="837">
        <v>132</v>
      </c>
      <c r="E56" s="177" t="s">
        <v>242</v>
      </c>
      <c r="F56" s="482" t="s">
        <v>218</v>
      </c>
      <c r="G56" s="862"/>
      <c r="H56" s="463"/>
      <c r="I56" s="235"/>
      <c r="J56" s="235"/>
      <c r="K56" s="235"/>
      <c r="L56" s="483"/>
      <c r="M56" s="862"/>
      <c r="N56" s="305">
        <v>44415</v>
      </c>
      <c r="O56" s="235" t="s">
        <v>243</v>
      </c>
      <c r="P56" s="350">
        <v>47</v>
      </c>
      <c r="Q56" s="350" t="s">
        <v>227</v>
      </c>
      <c r="R56" s="467" t="s">
        <v>218</v>
      </c>
      <c r="S56" s="862"/>
      <c r="T56" s="305"/>
      <c r="U56" s="350"/>
      <c r="V56" s="557"/>
      <c r="W56" s="269"/>
      <c r="X56" s="269"/>
      <c r="Y56" s="467"/>
      <c r="Z56" s="862"/>
      <c r="AA56" s="862"/>
      <c r="AB56" s="862"/>
      <c r="AC56" s="862"/>
      <c r="AD56" s="862"/>
      <c r="AE56" s="862"/>
      <c r="AF56" s="862"/>
      <c r="AG56" s="862"/>
      <c r="AH56" s="862"/>
      <c r="AI56" s="862"/>
      <c r="AJ56" s="862"/>
      <c r="AK56" s="862"/>
      <c r="AL56" s="862"/>
      <c r="AM56" s="862"/>
      <c r="AN56" s="862"/>
      <c r="AO56" s="862"/>
      <c r="AP56" s="862"/>
      <c r="AQ56" s="862"/>
      <c r="AR56" s="862"/>
      <c r="AS56" s="862"/>
      <c r="AT56" s="862"/>
    </row>
    <row r="57" spans="2:46" ht="11.25" customHeight="1" x14ac:dyDescent="0.2">
      <c r="B57" s="455">
        <v>44447</v>
      </c>
      <c r="C57" s="790" t="s">
        <v>244</v>
      </c>
      <c r="D57" s="837">
        <v>122</v>
      </c>
      <c r="E57" s="177" t="s">
        <v>245</v>
      </c>
      <c r="F57" s="482" t="s">
        <v>218</v>
      </c>
      <c r="G57" s="862"/>
      <c r="H57" s="463"/>
      <c r="I57" s="235"/>
      <c r="J57" s="235"/>
      <c r="K57" s="235"/>
      <c r="L57" s="483"/>
      <c r="M57" s="862"/>
      <c r="N57" s="305">
        <v>44476</v>
      </c>
      <c r="O57" s="235" t="s">
        <v>246</v>
      </c>
      <c r="P57" s="350">
        <v>138</v>
      </c>
      <c r="Q57" s="350" t="s">
        <v>247</v>
      </c>
      <c r="R57" s="467" t="s">
        <v>218</v>
      </c>
      <c r="S57" s="862"/>
      <c r="T57" s="305"/>
      <c r="U57" s="350"/>
      <c r="V57" s="557"/>
      <c r="W57" s="269"/>
      <c r="X57" s="269"/>
      <c r="Y57" s="467"/>
      <c r="Z57" s="862"/>
      <c r="AA57" s="862"/>
      <c r="AB57" s="862"/>
      <c r="AC57" s="862"/>
      <c r="AD57" s="862"/>
      <c r="AE57" s="862"/>
      <c r="AF57" s="862"/>
      <c r="AG57" s="862"/>
      <c r="AH57" s="862"/>
      <c r="AI57" s="862"/>
      <c r="AJ57" s="862"/>
      <c r="AK57" s="862"/>
      <c r="AL57" s="862"/>
      <c r="AM57" s="862"/>
      <c r="AN57" s="862"/>
      <c r="AO57" s="862"/>
      <c r="AP57" s="862"/>
      <c r="AQ57" s="862"/>
      <c r="AR57" s="862"/>
      <c r="AS57" s="862"/>
      <c r="AT57" s="862"/>
    </row>
    <row r="58" spans="2:46" ht="11.25" customHeight="1" x14ac:dyDescent="0.2">
      <c r="B58" s="455">
        <v>44447</v>
      </c>
      <c r="C58" s="790" t="s">
        <v>248</v>
      </c>
      <c r="D58" s="837">
        <v>66</v>
      </c>
      <c r="E58" s="177" t="s">
        <v>249</v>
      </c>
      <c r="F58" s="482" t="s">
        <v>218</v>
      </c>
      <c r="G58" s="862"/>
      <c r="H58" s="463"/>
      <c r="I58" s="235"/>
      <c r="J58" s="235"/>
      <c r="K58" s="235"/>
      <c r="L58" s="483"/>
      <c r="M58" s="862"/>
      <c r="N58" s="305">
        <v>44476</v>
      </c>
      <c r="O58" s="235" t="s">
        <v>250</v>
      </c>
      <c r="P58" s="350">
        <v>155</v>
      </c>
      <c r="Q58" s="350" t="s">
        <v>251</v>
      </c>
      <c r="R58" s="467" t="s">
        <v>218</v>
      </c>
      <c r="S58" s="862"/>
      <c r="T58" s="305"/>
      <c r="U58" s="350"/>
      <c r="V58" s="557"/>
      <c r="W58" s="269"/>
      <c r="X58" s="269"/>
      <c r="Y58" s="467"/>
      <c r="Z58" s="862"/>
      <c r="AA58" s="862"/>
      <c r="AB58" s="862"/>
      <c r="AC58" s="862"/>
      <c r="AD58" s="862"/>
      <c r="AE58" s="862"/>
      <c r="AF58" s="862"/>
      <c r="AG58" s="862"/>
      <c r="AH58" s="862"/>
      <c r="AI58" s="862"/>
      <c r="AJ58" s="862"/>
      <c r="AK58" s="862"/>
      <c r="AL58" s="862"/>
      <c r="AM58" s="862"/>
      <c r="AN58" s="862"/>
      <c r="AO58" s="862"/>
      <c r="AP58" s="862"/>
      <c r="AQ58" s="862"/>
      <c r="AR58" s="862"/>
      <c r="AS58" s="862"/>
      <c r="AT58" s="862"/>
    </row>
    <row r="59" spans="2:46" ht="11.25" customHeight="1" x14ac:dyDescent="0.2">
      <c r="B59" s="455">
        <v>44508</v>
      </c>
      <c r="C59" s="790" t="s">
        <v>252</v>
      </c>
      <c r="D59" s="837">
        <v>56</v>
      </c>
      <c r="E59" s="177" t="s">
        <v>253</v>
      </c>
      <c r="F59" s="482" t="s">
        <v>218</v>
      </c>
      <c r="G59" s="862"/>
      <c r="H59" s="463"/>
      <c r="I59" s="235"/>
      <c r="J59" s="235"/>
      <c r="K59" s="235"/>
      <c r="L59" s="483"/>
      <c r="M59" s="862"/>
      <c r="N59" s="305">
        <v>44476</v>
      </c>
      <c r="O59" s="235" t="s">
        <v>219</v>
      </c>
      <c r="P59" s="350">
        <v>80</v>
      </c>
      <c r="Q59" s="350" t="s">
        <v>220</v>
      </c>
      <c r="R59" s="467" t="s">
        <v>218</v>
      </c>
      <c r="S59" s="862"/>
      <c r="T59" s="305"/>
      <c r="U59" s="350"/>
      <c r="V59" s="557"/>
      <c r="W59" s="269"/>
      <c r="X59" s="269"/>
      <c r="Y59" s="467"/>
      <c r="Z59" s="862"/>
      <c r="AA59" s="862"/>
      <c r="AB59" s="862"/>
      <c r="AC59" s="862"/>
      <c r="AD59" s="862"/>
      <c r="AE59" s="862"/>
      <c r="AF59" s="862"/>
      <c r="AG59" s="862"/>
      <c r="AH59" s="862"/>
      <c r="AI59" s="862"/>
      <c r="AJ59" s="862"/>
      <c r="AK59" s="862"/>
      <c r="AL59" s="862"/>
      <c r="AM59" s="862"/>
      <c r="AN59" s="862"/>
      <c r="AO59" s="862"/>
      <c r="AP59" s="862"/>
      <c r="AQ59" s="862"/>
      <c r="AR59" s="862"/>
      <c r="AS59" s="862"/>
      <c r="AT59" s="862"/>
    </row>
    <row r="60" spans="2:46" ht="11.25" customHeight="1" x14ac:dyDescent="0.2">
      <c r="B60" s="455">
        <v>44508</v>
      </c>
      <c r="C60" s="790" t="s">
        <v>254</v>
      </c>
      <c r="D60" s="837">
        <v>111</v>
      </c>
      <c r="E60" s="177" t="s">
        <v>255</v>
      </c>
      <c r="F60" s="482" t="s">
        <v>218</v>
      </c>
      <c r="G60" s="862"/>
      <c r="H60" s="463"/>
      <c r="I60" s="235"/>
      <c r="J60" s="235"/>
      <c r="K60" s="235"/>
      <c r="L60" s="483"/>
      <c r="M60" s="862"/>
      <c r="N60" s="305">
        <v>44507</v>
      </c>
      <c r="O60" s="235" t="s">
        <v>243</v>
      </c>
      <c r="P60" s="350">
        <v>90</v>
      </c>
      <c r="Q60" s="305" t="s">
        <v>227</v>
      </c>
      <c r="R60" s="467" t="s">
        <v>218</v>
      </c>
      <c r="S60" s="862"/>
      <c r="T60" s="305"/>
      <c r="U60" s="350"/>
      <c r="V60" s="557"/>
      <c r="W60" s="269"/>
      <c r="X60" s="269"/>
      <c r="Y60" s="467"/>
      <c r="Z60" s="862"/>
      <c r="AA60" s="862"/>
      <c r="AB60" s="862"/>
      <c r="AC60" s="862"/>
      <c r="AD60" s="862"/>
      <c r="AE60" s="862"/>
      <c r="AF60" s="862"/>
      <c r="AG60" s="862"/>
      <c r="AH60" s="862"/>
      <c r="AI60" s="862"/>
      <c r="AJ60" s="862"/>
      <c r="AK60" s="862"/>
      <c r="AL60" s="862"/>
      <c r="AM60" s="862"/>
      <c r="AN60" s="862"/>
      <c r="AO60" s="862"/>
      <c r="AP60" s="862"/>
      <c r="AQ60" s="862"/>
      <c r="AR60" s="862"/>
      <c r="AS60" s="862"/>
      <c r="AT60" s="862"/>
    </row>
    <row r="61" spans="2:46" ht="11.25" customHeight="1" x14ac:dyDescent="0.2">
      <c r="B61" s="455">
        <v>44508</v>
      </c>
      <c r="C61" s="790" t="s">
        <v>231</v>
      </c>
      <c r="D61" s="837">
        <v>94</v>
      </c>
      <c r="E61" s="177" t="s">
        <v>217</v>
      </c>
      <c r="F61" s="482" t="s">
        <v>218</v>
      </c>
      <c r="G61" s="862"/>
      <c r="H61" s="463"/>
      <c r="I61" s="235"/>
      <c r="J61" s="235"/>
      <c r="K61" s="235"/>
      <c r="L61" s="483"/>
      <c r="M61" s="862"/>
      <c r="N61" s="305">
        <v>44507</v>
      </c>
      <c r="O61" s="235" t="s">
        <v>233</v>
      </c>
      <c r="P61" s="350">
        <v>71</v>
      </c>
      <c r="Q61" s="305" t="s">
        <v>256</v>
      </c>
      <c r="R61" s="305" t="s">
        <v>218</v>
      </c>
      <c r="S61" s="862"/>
      <c r="T61" s="305"/>
      <c r="U61" s="350"/>
      <c r="V61" s="557"/>
      <c r="W61" s="269"/>
      <c r="X61" s="269"/>
      <c r="Y61" s="467"/>
      <c r="Z61" s="862"/>
      <c r="AA61" s="862"/>
      <c r="AB61" s="862"/>
      <c r="AC61" s="862"/>
      <c r="AD61" s="862"/>
      <c r="AE61" s="862"/>
      <c r="AF61" s="862"/>
      <c r="AG61" s="862"/>
      <c r="AH61" s="862"/>
      <c r="AI61" s="862"/>
      <c r="AJ61" s="862"/>
      <c r="AK61" s="862"/>
      <c r="AL61" s="862"/>
      <c r="AM61" s="862"/>
      <c r="AN61" s="862"/>
      <c r="AO61" s="862"/>
      <c r="AP61" s="862"/>
      <c r="AQ61" s="862"/>
      <c r="AR61" s="862"/>
      <c r="AS61" s="862"/>
      <c r="AT61" s="862"/>
    </row>
    <row r="62" spans="2:46" ht="11.25" customHeight="1" x14ac:dyDescent="0.2">
      <c r="B62" s="455">
        <v>44538</v>
      </c>
      <c r="C62" s="790" t="s">
        <v>224</v>
      </c>
      <c r="D62" s="837">
        <v>136</v>
      </c>
      <c r="E62" s="177" t="s">
        <v>257</v>
      </c>
      <c r="F62" s="482" t="s">
        <v>258</v>
      </c>
      <c r="G62" s="862"/>
      <c r="H62" s="463"/>
      <c r="I62" s="235"/>
      <c r="J62" s="235"/>
      <c r="K62" s="235"/>
      <c r="L62" s="483"/>
      <c r="M62" s="862"/>
      <c r="N62" s="305">
        <v>44537</v>
      </c>
      <c r="O62" s="235" t="s">
        <v>259</v>
      </c>
      <c r="P62" s="350">
        <v>112</v>
      </c>
      <c r="Q62" s="305" t="s">
        <v>260</v>
      </c>
      <c r="R62" s="305" t="s">
        <v>218</v>
      </c>
      <c r="S62" s="862"/>
      <c r="T62" s="305"/>
      <c r="U62" s="350"/>
      <c r="V62" s="557"/>
      <c r="W62" s="269"/>
      <c r="X62" s="269"/>
      <c r="Y62" s="467"/>
      <c r="Z62" s="862"/>
      <c r="AA62" s="862"/>
      <c r="AB62" s="862"/>
      <c r="AC62" s="862"/>
      <c r="AD62" s="862"/>
      <c r="AE62" s="862"/>
      <c r="AF62" s="862"/>
      <c r="AG62" s="862"/>
      <c r="AH62" s="862"/>
      <c r="AI62" s="862"/>
      <c r="AJ62" s="862"/>
      <c r="AK62" s="862"/>
      <c r="AL62" s="862"/>
      <c r="AM62" s="862"/>
      <c r="AN62" s="862"/>
      <c r="AO62" s="862"/>
      <c r="AP62" s="862"/>
      <c r="AQ62" s="862"/>
      <c r="AR62" s="862"/>
      <c r="AS62" s="862"/>
      <c r="AT62" s="862"/>
    </row>
    <row r="63" spans="2:46" ht="11.25" customHeight="1" x14ac:dyDescent="0.2">
      <c r="B63" s="455">
        <v>44538</v>
      </c>
      <c r="C63" s="790" t="s">
        <v>244</v>
      </c>
      <c r="D63" s="837">
        <v>144</v>
      </c>
      <c r="E63" s="177" t="s">
        <v>245</v>
      </c>
      <c r="F63" s="482" t="s">
        <v>218</v>
      </c>
      <c r="G63" s="862"/>
      <c r="H63" s="463"/>
      <c r="I63" s="235"/>
      <c r="J63" s="235"/>
      <c r="K63" s="235"/>
      <c r="L63" s="483"/>
      <c r="M63" s="862"/>
      <c r="N63" s="305" t="s">
        <v>261</v>
      </c>
      <c r="O63" s="235" t="s">
        <v>262</v>
      </c>
      <c r="P63" s="350">
        <v>103</v>
      </c>
      <c r="Q63" s="305" t="s">
        <v>263</v>
      </c>
      <c r="R63" s="305" t="s">
        <v>218</v>
      </c>
      <c r="S63" s="862"/>
      <c r="T63" s="305"/>
      <c r="U63" s="350"/>
      <c r="V63" s="557"/>
      <c r="W63" s="269"/>
      <c r="X63" s="269"/>
      <c r="Y63" s="467"/>
      <c r="Z63" s="862"/>
      <c r="AA63" s="862"/>
      <c r="AB63" s="862"/>
      <c r="AC63" s="862"/>
      <c r="AD63" s="862"/>
      <c r="AE63" s="862"/>
      <c r="AF63" s="862"/>
      <c r="AG63" s="862"/>
      <c r="AH63" s="862"/>
      <c r="AI63" s="862"/>
      <c r="AJ63" s="862"/>
      <c r="AK63" s="862"/>
      <c r="AL63" s="862"/>
      <c r="AM63" s="862"/>
      <c r="AN63" s="862"/>
      <c r="AO63" s="862"/>
      <c r="AP63" s="862"/>
      <c r="AQ63" s="862"/>
      <c r="AR63" s="862"/>
      <c r="AS63" s="862"/>
      <c r="AT63" s="862"/>
    </row>
    <row r="64" spans="2:46" ht="11.25" customHeight="1" x14ac:dyDescent="0.2">
      <c r="B64" s="455">
        <v>44538</v>
      </c>
      <c r="C64" s="790" t="s">
        <v>231</v>
      </c>
      <c r="D64" s="837">
        <v>65</v>
      </c>
      <c r="E64" s="177" t="s">
        <v>217</v>
      </c>
      <c r="F64" s="482" t="s">
        <v>218</v>
      </c>
      <c r="G64" s="862"/>
      <c r="H64" s="463"/>
      <c r="I64" s="235"/>
      <c r="J64" s="235"/>
      <c r="K64" s="235"/>
      <c r="L64" s="483"/>
      <c r="M64" s="862"/>
      <c r="N64" s="470" t="s">
        <v>261</v>
      </c>
      <c r="O64" s="460" t="s">
        <v>243</v>
      </c>
      <c r="P64" s="350">
        <v>74</v>
      </c>
      <c r="Q64" s="305" t="s">
        <v>264</v>
      </c>
      <c r="R64" s="305" t="s">
        <v>265</v>
      </c>
      <c r="S64" s="862"/>
      <c r="T64" s="305"/>
      <c r="U64" s="350"/>
      <c r="V64" s="557"/>
      <c r="W64" s="269"/>
      <c r="X64" s="269"/>
      <c r="Y64" s="467"/>
      <c r="Z64" s="862"/>
      <c r="AA64" s="862"/>
      <c r="AB64" s="862"/>
      <c r="AC64" s="862"/>
      <c r="AD64" s="862"/>
      <c r="AE64" s="862"/>
      <c r="AF64" s="862"/>
      <c r="AG64" s="862"/>
      <c r="AH64" s="862"/>
      <c r="AI64" s="862"/>
      <c r="AJ64" s="862"/>
      <c r="AK64" s="862"/>
      <c r="AL64" s="862"/>
      <c r="AM64" s="862"/>
      <c r="AN64" s="862"/>
      <c r="AO64" s="862"/>
      <c r="AP64" s="862"/>
      <c r="AQ64" s="862"/>
      <c r="AR64" s="862"/>
      <c r="AS64" s="862"/>
      <c r="AT64" s="862"/>
    </row>
    <row r="65" spans="2:25" ht="11.25" customHeight="1" x14ac:dyDescent="0.2">
      <c r="B65" s="455" t="s">
        <v>266</v>
      </c>
      <c r="C65" s="790" t="s">
        <v>224</v>
      </c>
      <c r="D65" s="837">
        <v>13</v>
      </c>
      <c r="E65" s="177" t="s">
        <v>257</v>
      </c>
      <c r="F65" s="482" t="s">
        <v>218</v>
      </c>
      <c r="G65" s="862"/>
      <c r="H65" s="463"/>
      <c r="I65" s="235"/>
      <c r="J65" s="235"/>
      <c r="K65" s="235"/>
      <c r="L65" s="483"/>
      <c r="M65" s="862"/>
      <c r="N65" s="470" t="s">
        <v>267</v>
      </c>
      <c r="O65" s="460" t="s">
        <v>259</v>
      </c>
      <c r="P65" s="350">
        <v>99</v>
      </c>
      <c r="Q65" s="305" t="s">
        <v>260</v>
      </c>
      <c r="R65" s="305" t="s">
        <v>265</v>
      </c>
      <c r="S65" s="862"/>
      <c r="T65" s="305"/>
      <c r="U65" s="350"/>
      <c r="V65" s="557"/>
      <c r="W65" s="269"/>
      <c r="X65" s="269"/>
      <c r="Y65" s="467"/>
    </row>
    <row r="66" spans="2:25" ht="11.25" customHeight="1" x14ac:dyDescent="0.2">
      <c r="B66" s="455" t="s">
        <v>266</v>
      </c>
      <c r="C66" s="790" t="s">
        <v>241</v>
      </c>
      <c r="D66" s="837">
        <v>120</v>
      </c>
      <c r="E66" s="177" t="s">
        <v>242</v>
      </c>
      <c r="F66" s="482" t="s">
        <v>218</v>
      </c>
      <c r="G66" s="862"/>
      <c r="H66" s="463"/>
      <c r="I66" s="235"/>
      <c r="J66" s="235"/>
      <c r="K66" s="235"/>
      <c r="L66" s="483"/>
      <c r="M66" s="862"/>
      <c r="N66" s="470" t="s">
        <v>267</v>
      </c>
      <c r="O66" s="460" t="s">
        <v>243</v>
      </c>
      <c r="P66" s="350">
        <v>92</v>
      </c>
      <c r="Q66" s="305" t="s">
        <v>264</v>
      </c>
      <c r="R66" s="305" t="s">
        <v>265</v>
      </c>
      <c r="S66" s="862"/>
      <c r="T66" s="305"/>
      <c r="U66" s="350"/>
      <c r="V66" s="557"/>
      <c r="W66" s="269"/>
      <c r="X66" s="269"/>
      <c r="Y66" s="467"/>
    </row>
    <row r="67" spans="2:25" ht="11.25" customHeight="1" x14ac:dyDescent="0.2">
      <c r="B67" s="305" t="s">
        <v>261</v>
      </c>
      <c r="C67" s="269" t="s">
        <v>252</v>
      </c>
      <c r="D67" s="346">
        <v>42</v>
      </c>
      <c r="E67" s="269" t="s">
        <v>268</v>
      </c>
      <c r="F67" s="482" t="s">
        <v>218</v>
      </c>
      <c r="G67" s="862"/>
      <c r="H67" s="463"/>
      <c r="I67" s="235"/>
      <c r="J67" s="235"/>
      <c r="K67" s="235"/>
      <c r="L67" s="483"/>
      <c r="M67" s="862"/>
      <c r="N67" s="470" t="s">
        <v>267</v>
      </c>
      <c r="O67" s="460" t="s">
        <v>250</v>
      </c>
      <c r="P67" s="350">
        <v>126</v>
      </c>
      <c r="Q67" s="305" t="s">
        <v>251</v>
      </c>
      <c r="R67" s="305" t="s">
        <v>265</v>
      </c>
      <c r="S67" s="862"/>
      <c r="T67" s="305"/>
      <c r="U67" s="350"/>
      <c r="V67" s="557"/>
      <c r="W67" s="269"/>
      <c r="X67" s="269"/>
      <c r="Y67" s="467"/>
    </row>
    <row r="68" spans="2:25" ht="11.25" customHeight="1" x14ac:dyDescent="0.2">
      <c r="B68" s="305" t="s">
        <v>261</v>
      </c>
      <c r="C68" s="269" t="s">
        <v>239</v>
      </c>
      <c r="D68" s="346">
        <v>159</v>
      </c>
      <c r="E68" s="269" t="s">
        <v>240</v>
      </c>
      <c r="F68" s="482" t="s">
        <v>218</v>
      </c>
      <c r="G68" s="862"/>
      <c r="H68" s="463"/>
      <c r="I68" s="235"/>
      <c r="J68" s="235"/>
      <c r="K68" s="235"/>
      <c r="L68" s="483"/>
      <c r="M68" s="862"/>
      <c r="N68" s="470" t="s">
        <v>267</v>
      </c>
      <c r="O68" s="460" t="s">
        <v>233</v>
      </c>
      <c r="P68" s="350">
        <v>80</v>
      </c>
      <c r="Q68" s="305" t="s">
        <v>256</v>
      </c>
      <c r="R68" s="305" t="s">
        <v>265</v>
      </c>
      <c r="S68" s="862"/>
      <c r="T68" s="305"/>
      <c r="U68" s="350"/>
      <c r="V68" s="557"/>
      <c r="W68" s="269"/>
      <c r="X68" s="269"/>
      <c r="Y68" s="467"/>
    </row>
    <row r="69" spans="2:25" ht="11.25" customHeight="1" x14ac:dyDescent="0.2">
      <c r="B69" s="305" t="s">
        <v>261</v>
      </c>
      <c r="C69" s="269" t="s">
        <v>248</v>
      </c>
      <c r="D69" s="346">
        <v>138</v>
      </c>
      <c r="E69" s="269" t="s">
        <v>249</v>
      </c>
      <c r="F69" s="482" t="s">
        <v>265</v>
      </c>
      <c r="G69" s="862"/>
      <c r="H69" s="463"/>
      <c r="I69" s="235"/>
      <c r="J69" s="235"/>
      <c r="K69" s="235"/>
      <c r="L69" s="483"/>
      <c r="M69" s="862"/>
      <c r="N69" s="470" t="s">
        <v>267</v>
      </c>
      <c r="O69" s="460" t="s">
        <v>219</v>
      </c>
      <c r="P69" s="350">
        <v>44</v>
      </c>
      <c r="Q69" s="305" t="s">
        <v>220</v>
      </c>
      <c r="R69" s="305" t="s">
        <v>265</v>
      </c>
      <c r="S69" s="862"/>
      <c r="T69" s="305"/>
      <c r="U69" s="350"/>
      <c r="V69" s="557"/>
      <c r="W69" s="269"/>
      <c r="X69" s="269"/>
      <c r="Y69" s="467"/>
    </row>
    <row r="70" spans="2:25" ht="11.25" customHeight="1" x14ac:dyDescent="0.2">
      <c r="B70" s="305" t="s">
        <v>269</v>
      </c>
      <c r="C70" s="455" t="s">
        <v>244</v>
      </c>
      <c r="D70" s="346">
        <v>95</v>
      </c>
      <c r="E70" s="269" t="s">
        <v>245</v>
      </c>
      <c r="F70" s="482" t="s">
        <v>265</v>
      </c>
      <c r="G70" s="862"/>
      <c r="H70" s="463"/>
      <c r="I70" s="235"/>
      <c r="J70" s="235"/>
      <c r="K70" s="235"/>
      <c r="L70" s="483"/>
      <c r="M70" s="862"/>
      <c r="N70" s="470" t="s">
        <v>270</v>
      </c>
      <c r="O70" s="460" t="s">
        <v>219</v>
      </c>
      <c r="P70" s="350">
        <v>125</v>
      </c>
      <c r="Q70" s="305" t="s">
        <v>220</v>
      </c>
      <c r="R70" s="305" t="s">
        <v>265</v>
      </c>
      <c r="S70" s="862"/>
      <c r="T70" s="305"/>
      <c r="U70" s="350"/>
      <c r="V70" s="557"/>
      <c r="W70" s="269"/>
      <c r="X70" s="269"/>
      <c r="Y70" s="467"/>
    </row>
    <row r="71" spans="2:25" ht="11.25" customHeight="1" x14ac:dyDescent="0.2">
      <c r="B71" s="305" t="s">
        <v>271</v>
      </c>
      <c r="C71" s="269" t="s">
        <v>241</v>
      </c>
      <c r="D71" s="346">
        <v>99</v>
      </c>
      <c r="E71" s="269" t="s">
        <v>242</v>
      </c>
      <c r="F71" s="482" t="s">
        <v>265</v>
      </c>
      <c r="G71" s="862"/>
      <c r="H71" s="463"/>
      <c r="I71" s="235"/>
      <c r="J71" s="235"/>
      <c r="K71" s="235"/>
      <c r="L71" s="483"/>
      <c r="M71" s="862"/>
      <c r="N71" s="470" t="s">
        <v>272</v>
      </c>
      <c r="O71" s="460" t="s">
        <v>243</v>
      </c>
      <c r="P71" s="350">
        <v>86</v>
      </c>
      <c r="Q71" s="305" t="s">
        <v>227</v>
      </c>
      <c r="R71" s="305" t="s">
        <v>265</v>
      </c>
      <c r="S71" s="862"/>
      <c r="T71" s="305"/>
      <c r="U71" s="350"/>
      <c r="V71" s="557"/>
      <c r="W71" s="269"/>
      <c r="X71" s="269"/>
      <c r="Y71" s="467"/>
    </row>
    <row r="72" spans="2:25" ht="11.25" customHeight="1" x14ac:dyDescent="0.2">
      <c r="B72" s="305" t="s">
        <v>272</v>
      </c>
      <c r="C72" s="269" t="s">
        <v>254</v>
      </c>
      <c r="D72" s="346">
        <v>141</v>
      </c>
      <c r="E72" s="269" t="s">
        <v>273</v>
      </c>
      <c r="F72" s="482" t="s">
        <v>265</v>
      </c>
      <c r="G72" s="862"/>
      <c r="H72" s="463"/>
      <c r="I72" s="235"/>
      <c r="J72" s="235"/>
      <c r="K72" s="235"/>
      <c r="L72" s="483"/>
      <c r="M72" s="862"/>
      <c r="N72" s="470" t="s">
        <v>274</v>
      </c>
      <c r="O72" s="460" t="s">
        <v>259</v>
      </c>
      <c r="P72" s="350">
        <v>104</v>
      </c>
      <c r="Q72" s="350" t="s">
        <v>260</v>
      </c>
      <c r="R72" s="305" t="s">
        <v>265</v>
      </c>
      <c r="S72" s="862"/>
      <c r="T72" s="305"/>
      <c r="U72" s="350"/>
      <c r="V72" s="557"/>
      <c r="W72" s="269"/>
      <c r="X72" s="269"/>
      <c r="Y72" s="467"/>
    </row>
    <row r="73" spans="2:25" ht="11.25" customHeight="1" x14ac:dyDescent="0.2">
      <c r="B73" s="305" t="s">
        <v>272</v>
      </c>
      <c r="C73" s="269" t="s">
        <v>244</v>
      </c>
      <c r="D73" s="346">
        <v>64</v>
      </c>
      <c r="E73" s="269" t="s">
        <v>245</v>
      </c>
      <c r="F73" s="482" t="s">
        <v>265</v>
      </c>
      <c r="G73" s="862"/>
      <c r="H73" s="464"/>
      <c r="I73" s="237"/>
      <c r="J73" s="237"/>
      <c r="K73" s="237"/>
      <c r="L73" s="483"/>
      <c r="M73" s="862"/>
      <c r="N73" s="470" t="s">
        <v>275</v>
      </c>
      <c r="O73" s="460" t="s">
        <v>233</v>
      </c>
      <c r="P73" s="350">
        <v>72</v>
      </c>
      <c r="Q73" s="350" t="s">
        <v>256</v>
      </c>
      <c r="R73" s="305" t="s">
        <v>265</v>
      </c>
      <c r="S73" s="862"/>
      <c r="T73" s="305"/>
      <c r="U73" s="350"/>
      <c r="V73" s="557"/>
      <c r="W73" s="269"/>
      <c r="X73" s="269"/>
      <c r="Y73" s="467"/>
    </row>
    <row r="74" spans="2:25" ht="11.25" customHeight="1" x14ac:dyDescent="0.2">
      <c r="B74" s="305" t="s">
        <v>276</v>
      </c>
      <c r="C74" s="269" t="s">
        <v>241</v>
      </c>
      <c r="D74" s="346">
        <v>119</v>
      </c>
      <c r="E74" s="269" t="s">
        <v>242</v>
      </c>
      <c r="F74" s="482" t="s">
        <v>265</v>
      </c>
      <c r="G74" s="862"/>
      <c r="H74" s="463"/>
      <c r="I74" s="235"/>
      <c r="J74" s="235"/>
      <c r="K74" s="235"/>
      <c r="L74" s="483"/>
      <c r="M74" s="862"/>
      <c r="N74" s="470" t="s">
        <v>277</v>
      </c>
      <c r="O74" s="460" t="s">
        <v>250</v>
      </c>
      <c r="P74" s="350">
        <v>133</v>
      </c>
      <c r="Q74" s="350" t="s">
        <v>251</v>
      </c>
      <c r="R74" s="305" t="s">
        <v>265</v>
      </c>
      <c r="S74" s="862"/>
      <c r="T74" s="305"/>
      <c r="U74" s="350"/>
      <c r="V74" s="557"/>
      <c r="W74" s="269"/>
      <c r="X74" s="269"/>
      <c r="Y74" s="467"/>
    </row>
    <row r="75" spans="2:25" ht="11.25" customHeight="1" x14ac:dyDescent="0.2">
      <c r="B75" s="305" t="s">
        <v>276</v>
      </c>
      <c r="C75" s="269" t="s">
        <v>239</v>
      </c>
      <c r="D75" s="346">
        <v>108</v>
      </c>
      <c r="E75" s="269" t="s">
        <v>240</v>
      </c>
      <c r="F75" s="482" t="s">
        <v>265</v>
      </c>
      <c r="G75" s="862"/>
      <c r="H75" s="463"/>
      <c r="I75" s="235"/>
      <c r="J75" s="235"/>
      <c r="K75" s="235"/>
      <c r="L75" s="483"/>
      <c r="M75" s="862"/>
      <c r="N75" s="470" t="s">
        <v>276</v>
      </c>
      <c r="O75" s="460" t="s">
        <v>243</v>
      </c>
      <c r="P75" s="350">
        <v>31</v>
      </c>
      <c r="Q75" s="350" t="s">
        <v>227</v>
      </c>
      <c r="R75" s="305" t="s">
        <v>265</v>
      </c>
      <c r="S75" s="862"/>
      <c r="T75" s="305"/>
      <c r="U75" s="350"/>
      <c r="V75" s="557"/>
      <c r="W75" s="269"/>
      <c r="X75" s="269"/>
      <c r="Y75" s="467"/>
    </row>
    <row r="76" spans="2:25" ht="9.75" customHeight="1" thickBot="1" x14ac:dyDescent="0.25">
      <c r="B76" s="305" t="s">
        <v>278</v>
      </c>
      <c r="C76" s="269" t="s">
        <v>244</v>
      </c>
      <c r="D76" s="346">
        <v>142</v>
      </c>
      <c r="E76" s="269" t="s">
        <v>245</v>
      </c>
      <c r="F76" s="482" t="s">
        <v>265</v>
      </c>
      <c r="G76" s="862"/>
      <c r="H76" s="463"/>
      <c r="I76" s="235"/>
      <c r="J76" s="235"/>
      <c r="K76" s="235"/>
      <c r="L76" s="483"/>
      <c r="M76" s="862"/>
      <c r="N76" s="470" t="s">
        <v>276</v>
      </c>
      <c r="O76" s="460" t="s">
        <v>246</v>
      </c>
      <c r="P76" s="350">
        <v>100</v>
      </c>
      <c r="Q76" s="350" t="s">
        <v>247</v>
      </c>
      <c r="R76" s="305" t="s">
        <v>265</v>
      </c>
      <c r="S76" s="862"/>
      <c r="T76" s="305"/>
      <c r="U76" s="350"/>
      <c r="V76" s="557"/>
      <c r="W76" s="269"/>
      <c r="X76" s="269"/>
      <c r="Y76" s="467"/>
    </row>
    <row r="77" spans="2:25" ht="11.25" hidden="1" customHeight="1" x14ac:dyDescent="0.2">
      <c r="B77" s="305"/>
      <c r="C77" s="269"/>
      <c r="D77" s="346"/>
      <c r="E77" s="269"/>
      <c r="F77" s="482" t="s">
        <v>265</v>
      </c>
      <c r="G77" s="862"/>
      <c r="H77" s="463"/>
      <c r="I77" s="235"/>
      <c r="J77" s="235"/>
      <c r="K77" s="235"/>
      <c r="L77" s="483"/>
      <c r="M77" s="862"/>
      <c r="N77" s="470"/>
      <c r="O77" s="460"/>
      <c r="P77" s="350"/>
      <c r="Q77" s="350"/>
      <c r="R77" s="305" t="s">
        <v>265</v>
      </c>
      <c r="S77" s="862"/>
      <c r="T77" s="305"/>
      <c r="U77" s="350"/>
      <c r="V77" s="556"/>
      <c r="W77" s="269"/>
      <c r="X77" s="269"/>
      <c r="Y77" s="467"/>
    </row>
    <row r="78" spans="2:25" ht="11.25" customHeight="1" thickBot="1" x14ac:dyDescent="0.25">
      <c r="B78" s="305" t="s">
        <v>235</v>
      </c>
      <c r="C78" s="269" t="s">
        <v>254</v>
      </c>
      <c r="D78" s="346">
        <v>135</v>
      </c>
      <c r="E78" s="269" t="s">
        <v>273</v>
      </c>
      <c r="F78" s="482" t="s">
        <v>265</v>
      </c>
      <c r="G78" s="862"/>
      <c r="H78" s="463"/>
      <c r="I78" s="350"/>
      <c r="J78" s="350"/>
      <c r="K78" s="235"/>
      <c r="L78" s="483"/>
      <c r="M78" s="862"/>
      <c r="N78" s="470" t="s">
        <v>278</v>
      </c>
      <c r="O78" s="460" t="s">
        <v>233</v>
      </c>
      <c r="P78" s="350">
        <v>91</v>
      </c>
      <c r="Q78" s="350" t="s">
        <v>234</v>
      </c>
      <c r="R78" s="305" t="s">
        <v>265</v>
      </c>
      <c r="S78" s="862"/>
      <c r="T78" s="305"/>
      <c r="U78" s="350"/>
      <c r="V78" s="269"/>
      <c r="W78" s="269"/>
      <c r="X78" s="269"/>
      <c r="Y78" s="467"/>
    </row>
    <row r="79" spans="2:25" ht="11.25" customHeight="1" thickBot="1" x14ac:dyDescent="0.25">
      <c r="B79" s="305" t="s">
        <v>235</v>
      </c>
      <c r="C79" s="269" t="s">
        <v>224</v>
      </c>
      <c r="D79" s="346">
        <v>112</v>
      </c>
      <c r="E79" s="269" t="s">
        <v>249</v>
      </c>
      <c r="F79" s="482" t="s">
        <v>265</v>
      </c>
      <c r="G79" s="862"/>
      <c r="H79" s="463"/>
      <c r="I79" s="235"/>
      <c r="J79" s="235"/>
      <c r="K79" s="235"/>
      <c r="L79" s="483"/>
      <c r="M79" s="862"/>
      <c r="N79" s="470" t="s">
        <v>279</v>
      </c>
      <c r="O79" s="460" t="s">
        <v>259</v>
      </c>
      <c r="P79" s="350">
        <v>70</v>
      </c>
      <c r="Q79" s="350" t="s">
        <v>280</v>
      </c>
      <c r="R79" s="305" t="s">
        <v>265</v>
      </c>
      <c r="S79" s="862"/>
      <c r="T79" s="305"/>
      <c r="U79" s="350"/>
      <c r="V79" s="269"/>
      <c r="W79" s="269"/>
      <c r="X79" s="269"/>
      <c r="Y79" s="467"/>
    </row>
    <row r="80" spans="2:25" ht="11.25" customHeight="1" x14ac:dyDescent="0.2">
      <c r="B80" s="305" t="s">
        <v>279</v>
      </c>
      <c r="C80" s="269" t="s">
        <v>239</v>
      </c>
      <c r="D80" s="346">
        <v>97</v>
      </c>
      <c r="E80" s="269" t="s">
        <v>240</v>
      </c>
      <c r="F80" s="482" t="s">
        <v>265</v>
      </c>
      <c r="G80" s="862"/>
      <c r="H80" s="463"/>
      <c r="I80" s="235"/>
      <c r="J80" s="235"/>
      <c r="K80" s="235"/>
      <c r="L80" s="483"/>
      <c r="M80" s="862"/>
      <c r="N80" s="470"/>
      <c r="O80" s="460"/>
      <c r="P80" s="350"/>
      <c r="Q80" s="350"/>
      <c r="R80" s="467"/>
      <c r="S80" s="862"/>
      <c r="T80" s="305"/>
      <c r="U80" s="350"/>
      <c r="V80" s="269"/>
      <c r="W80" s="269"/>
      <c r="X80" s="269"/>
      <c r="Y80" s="467"/>
    </row>
    <row r="81" spans="2:25" ht="11.25" customHeight="1" x14ac:dyDescent="0.2">
      <c r="B81" s="305" t="s">
        <v>281</v>
      </c>
      <c r="C81" s="269" t="s">
        <v>231</v>
      </c>
      <c r="D81" s="346">
        <v>46</v>
      </c>
      <c r="E81" s="269" t="s">
        <v>245</v>
      </c>
      <c r="F81" s="482" t="s">
        <v>265</v>
      </c>
      <c r="G81" s="862"/>
      <c r="H81" s="463"/>
      <c r="I81" s="235"/>
      <c r="J81" s="235"/>
      <c r="K81" s="235"/>
      <c r="L81" s="483"/>
      <c r="M81" s="862"/>
      <c r="N81" s="470"/>
      <c r="O81" s="460"/>
      <c r="P81" s="350"/>
      <c r="Q81" s="350"/>
      <c r="R81" s="467"/>
      <c r="S81" s="862"/>
      <c r="T81" s="305"/>
      <c r="U81" s="350"/>
      <c r="V81" s="269"/>
      <c r="W81" s="269"/>
      <c r="X81" s="269"/>
      <c r="Y81" s="467"/>
    </row>
    <row r="82" spans="2:25" ht="11.25" customHeight="1" x14ac:dyDescent="0.2">
      <c r="B82" s="305" t="s">
        <v>281</v>
      </c>
      <c r="C82" s="269" t="s">
        <v>248</v>
      </c>
      <c r="D82" s="346">
        <v>103</v>
      </c>
      <c r="E82" s="269" t="s">
        <v>249</v>
      </c>
      <c r="F82" s="482" t="s">
        <v>265</v>
      </c>
      <c r="G82" s="862"/>
      <c r="H82" s="463"/>
      <c r="I82" s="235"/>
      <c r="J82" s="235"/>
      <c r="K82" s="235"/>
      <c r="L82" s="483"/>
      <c r="M82" s="862"/>
      <c r="N82" s="470"/>
      <c r="O82" s="460"/>
      <c r="P82" s="350"/>
      <c r="Q82" s="350"/>
      <c r="R82" s="467"/>
      <c r="S82" s="862"/>
      <c r="T82" s="305"/>
      <c r="U82" s="350"/>
      <c r="V82" s="269"/>
      <c r="W82" s="269"/>
      <c r="X82" s="269"/>
      <c r="Y82" s="467"/>
    </row>
    <row r="83" spans="2:25" ht="11.25" customHeight="1" x14ac:dyDescent="0.2">
      <c r="B83" s="305" t="s">
        <v>281</v>
      </c>
      <c r="C83" s="269" t="s">
        <v>244</v>
      </c>
      <c r="D83" s="346">
        <v>117</v>
      </c>
      <c r="E83" s="269" t="s">
        <v>245</v>
      </c>
      <c r="F83" s="482" t="s">
        <v>265</v>
      </c>
      <c r="G83" s="862"/>
      <c r="H83" s="463"/>
      <c r="I83" s="235"/>
      <c r="J83" s="235"/>
      <c r="K83" s="235"/>
      <c r="L83" s="483"/>
      <c r="M83" s="862"/>
      <c r="N83" s="470"/>
      <c r="O83" s="460"/>
      <c r="P83" s="350"/>
      <c r="Q83" s="350"/>
      <c r="R83" s="467"/>
      <c r="S83" s="862"/>
      <c r="T83" s="305"/>
      <c r="U83" s="350"/>
      <c r="V83" s="269"/>
      <c r="W83" s="269"/>
      <c r="X83" s="269"/>
      <c r="Y83" s="467"/>
    </row>
    <row r="84" spans="2:25" ht="11.25" customHeight="1" x14ac:dyDescent="0.2">
      <c r="B84" s="305" t="s">
        <v>281</v>
      </c>
      <c r="C84" s="269" t="s">
        <v>241</v>
      </c>
      <c r="D84" s="346">
        <v>60</v>
      </c>
      <c r="E84" s="269" t="s">
        <v>242</v>
      </c>
      <c r="F84" s="482" t="s">
        <v>265</v>
      </c>
      <c r="G84" s="862"/>
      <c r="H84" s="463"/>
      <c r="I84" s="235"/>
      <c r="J84" s="235"/>
      <c r="K84" s="235"/>
      <c r="L84" s="483"/>
      <c r="M84" s="862"/>
      <c r="N84" s="470"/>
      <c r="O84" s="460"/>
      <c r="P84" s="235"/>
      <c r="Q84" s="350"/>
      <c r="R84" s="467"/>
      <c r="S84" s="862"/>
      <c r="T84" s="305"/>
      <c r="U84" s="350"/>
      <c r="V84" s="269"/>
      <c r="W84" s="269"/>
      <c r="X84" s="269"/>
      <c r="Y84" s="467"/>
    </row>
    <row r="85" spans="2:25" ht="11.25" customHeight="1" x14ac:dyDescent="0.2">
      <c r="B85" s="305" t="s">
        <v>281</v>
      </c>
      <c r="C85" s="269" t="s">
        <v>252</v>
      </c>
      <c r="D85" s="346">
        <v>43</v>
      </c>
      <c r="E85" s="269" t="s">
        <v>242</v>
      </c>
      <c r="F85" s="482" t="s">
        <v>265</v>
      </c>
      <c r="G85" s="862"/>
      <c r="H85" s="463"/>
      <c r="I85" s="235"/>
      <c r="J85" s="235"/>
      <c r="K85" s="235"/>
      <c r="L85" s="483"/>
      <c r="M85" s="862"/>
      <c r="N85" s="470"/>
      <c r="O85" s="460"/>
      <c r="P85" s="235"/>
      <c r="Q85" s="350"/>
      <c r="R85" s="467"/>
      <c r="S85" s="862"/>
      <c r="T85" s="305"/>
      <c r="U85" s="269"/>
      <c r="V85" s="269"/>
      <c r="W85" s="269"/>
      <c r="X85" s="269"/>
      <c r="Y85" s="467"/>
    </row>
    <row r="86" spans="2:25" ht="11.25" customHeight="1" x14ac:dyDescent="0.2">
      <c r="B86" s="305" t="s">
        <v>282</v>
      </c>
      <c r="C86" s="269" t="s">
        <v>283</v>
      </c>
      <c r="D86" s="346">
        <v>90</v>
      </c>
      <c r="E86" s="269" t="s">
        <v>273</v>
      </c>
      <c r="F86" s="482" t="s">
        <v>265</v>
      </c>
      <c r="G86" s="862"/>
      <c r="H86" s="463"/>
      <c r="I86" s="235"/>
      <c r="J86" s="235"/>
      <c r="K86" s="235"/>
      <c r="L86" s="483"/>
      <c r="M86" s="862"/>
      <c r="N86" s="470"/>
      <c r="O86" s="460"/>
      <c r="P86" s="235"/>
      <c r="Q86" s="350"/>
      <c r="R86" s="467"/>
      <c r="S86" s="862"/>
      <c r="T86" s="305"/>
      <c r="U86" s="269"/>
      <c r="V86" s="269"/>
      <c r="W86" s="269"/>
      <c r="X86" s="269"/>
      <c r="Y86" s="467"/>
    </row>
    <row r="87" spans="2:25" ht="11.25" customHeight="1" x14ac:dyDescent="0.2">
      <c r="B87" s="305" t="s">
        <v>282</v>
      </c>
      <c r="C87" s="269" t="s">
        <v>224</v>
      </c>
      <c r="D87" s="346">
        <v>62</v>
      </c>
      <c r="E87" s="269" t="s">
        <v>249</v>
      </c>
      <c r="F87" s="482" t="s">
        <v>265</v>
      </c>
      <c r="G87" s="862"/>
      <c r="H87" s="463"/>
      <c r="I87" s="235"/>
      <c r="J87" s="235"/>
      <c r="K87" s="235"/>
      <c r="L87" s="483"/>
      <c r="M87" s="862"/>
      <c r="N87" s="470"/>
      <c r="O87" s="460"/>
      <c r="P87" s="235"/>
      <c r="Q87" s="350"/>
      <c r="R87" s="467"/>
      <c r="S87" s="862"/>
      <c r="T87" s="305"/>
      <c r="U87" s="269"/>
      <c r="V87" s="269"/>
      <c r="W87" s="269"/>
      <c r="X87" s="269"/>
      <c r="Y87" s="467"/>
    </row>
    <row r="88" spans="2:25" ht="11.25" customHeight="1" x14ac:dyDescent="0.2">
      <c r="B88" s="305" t="s">
        <v>282</v>
      </c>
      <c r="C88" s="269" t="s">
        <v>239</v>
      </c>
      <c r="D88" s="346">
        <v>31</v>
      </c>
      <c r="E88" s="269" t="s">
        <v>284</v>
      </c>
      <c r="F88" s="482" t="s">
        <v>265</v>
      </c>
      <c r="G88" s="862"/>
      <c r="H88" s="463"/>
      <c r="I88" s="235"/>
      <c r="J88" s="235"/>
      <c r="K88" s="235"/>
      <c r="L88" s="483"/>
      <c r="M88" s="862"/>
      <c r="N88" s="470"/>
      <c r="O88" s="460"/>
      <c r="P88" s="235"/>
      <c r="Q88" s="350"/>
      <c r="R88" s="467"/>
      <c r="S88" s="862"/>
      <c r="T88" s="305"/>
      <c r="U88" s="269"/>
      <c r="V88" s="269"/>
      <c r="W88" s="269"/>
      <c r="X88" s="269"/>
      <c r="Y88" s="467"/>
    </row>
    <row r="89" spans="2:25" ht="11.25" customHeight="1" x14ac:dyDescent="0.2">
      <c r="B89" s="305" t="s">
        <v>282</v>
      </c>
      <c r="C89" s="269" t="s">
        <v>252</v>
      </c>
      <c r="D89" s="346">
        <v>11</v>
      </c>
      <c r="E89" s="269" t="s">
        <v>285</v>
      </c>
      <c r="F89" s="482" t="s">
        <v>265</v>
      </c>
      <c r="G89" s="862"/>
      <c r="H89" s="463"/>
      <c r="I89" s="235"/>
      <c r="J89" s="235"/>
      <c r="K89" s="235"/>
      <c r="L89" s="483"/>
      <c r="M89" s="862"/>
      <c r="N89" s="470"/>
      <c r="O89" s="460"/>
      <c r="P89" s="235"/>
      <c r="Q89" s="350"/>
      <c r="R89" s="467"/>
      <c r="S89" s="862"/>
      <c r="T89" s="305"/>
      <c r="U89" s="269"/>
      <c r="V89" s="269"/>
      <c r="W89" s="269"/>
      <c r="X89" s="269"/>
      <c r="Y89" s="467"/>
    </row>
    <row r="90" spans="2:25" ht="11.25" customHeight="1" x14ac:dyDescent="0.2">
      <c r="B90" s="305" t="s">
        <v>282</v>
      </c>
      <c r="C90" s="269" t="s">
        <v>231</v>
      </c>
      <c r="D90" s="346">
        <v>12</v>
      </c>
      <c r="E90" s="269" t="s">
        <v>286</v>
      </c>
      <c r="F90" s="482" t="s">
        <v>265</v>
      </c>
      <c r="G90" s="862"/>
      <c r="H90" s="463"/>
      <c r="I90" s="235"/>
      <c r="J90" s="235"/>
      <c r="K90" s="235"/>
      <c r="L90" s="483"/>
      <c r="M90" s="862"/>
      <c r="N90" s="470"/>
      <c r="O90" s="460"/>
      <c r="P90" s="235"/>
      <c r="Q90" s="350"/>
      <c r="R90" s="467"/>
      <c r="S90" s="862"/>
      <c r="T90" s="305"/>
      <c r="U90" s="269"/>
      <c r="V90" s="269"/>
      <c r="W90" s="269"/>
      <c r="X90" s="269"/>
      <c r="Y90" s="467"/>
    </row>
    <row r="91" spans="2:25" x14ac:dyDescent="0.2">
      <c r="B91" s="305" t="s">
        <v>282</v>
      </c>
      <c r="C91" s="269" t="s">
        <v>287</v>
      </c>
      <c r="D91" s="346">
        <v>143</v>
      </c>
      <c r="E91" s="269" t="s">
        <v>288</v>
      </c>
      <c r="F91" s="482" t="s">
        <v>265</v>
      </c>
      <c r="G91" s="862"/>
      <c r="H91" s="463"/>
      <c r="I91" s="235"/>
      <c r="J91" s="235"/>
      <c r="K91" s="235"/>
      <c r="L91" s="483"/>
      <c r="M91" s="862"/>
      <c r="N91" s="470"/>
      <c r="O91" s="460"/>
      <c r="P91" s="235"/>
      <c r="Q91" s="350"/>
      <c r="R91" s="467"/>
      <c r="S91" s="862"/>
      <c r="T91" s="305"/>
      <c r="U91" s="269"/>
      <c r="V91" s="269"/>
      <c r="W91" s="269"/>
      <c r="X91" s="269"/>
      <c r="Y91" s="467"/>
    </row>
    <row r="92" spans="2:25" x14ac:dyDescent="0.2">
      <c r="B92" s="305"/>
      <c r="C92" s="269"/>
      <c r="D92" s="346"/>
      <c r="E92" s="269"/>
      <c r="F92" s="483"/>
      <c r="G92" s="862"/>
      <c r="H92" s="463"/>
      <c r="I92" s="235"/>
      <c r="J92" s="235"/>
      <c r="K92" s="235"/>
      <c r="L92" s="483"/>
      <c r="M92" s="862"/>
      <c r="N92" s="470"/>
      <c r="O92" s="460"/>
      <c r="P92" s="235"/>
      <c r="Q92" s="350"/>
      <c r="R92" s="467"/>
      <c r="S92" s="862"/>
      <c r="T92" s="305"/>
      <c r="U92" s="269"/>
      <c r="V92" s="269"/>
      <c r="W92" s="269"/>
      <c r="X92" s="269"/>
      <c r="Y92" s="467"/>
    </row>
    <row r="93" spans="2:25" x14ac:dyDescent="0.2">
      <c r="B93" s="305"/>
      <c r="C93" s="269"/>
      <c r="D93" s="346"/>
      <c r="E93" s="269"/>
      <c r="F93" s="483"/>
      <c r="G93" s="862"/>
      <c r="H93" s="463"/>
      <c r="I93" s="235"/>
      <c r="J93" s="235"/>
      <c r="K93" s="235"/>
      <c r="L93" s="483"/>
      <c r="M93" s="862"/>
      <c r="N93" s="470"/>
      <c r="O93" s="460"/>
      <c r="P93" s="235"/>
      <c r="Q93" s="350"/>
      <c r="R93" s="467"/>
      <c r="S93" s="862"/>
      <c r="T93" s="305"/>
      <c r="U93" s="269"/>
      <c r="V93" s="269"/>
      <c r="W93" s="269"/>
      <c r="X93" s="269"/>
      <c r="Y93" s="467"/>
    </row>
    <row r="94" spans="2:25" x14ac:dyDescent="0.2">
      <c r="B94" s="305"/>
      <c r="C94" s="269"/>
      <c r="D94" s="346"/>
      <c r="E94" s="269"/>
      <c r="F94" s="483"/>
      <c r="G94" s="862"/>
      <c r="H94" s="463"/>
      <c r="I94" s="235"/>
      <c r="J94" s="235"/>
      <c r="K94" s="235"/>
      <c r="L94" s="483"/>
      <c r="M94" s="862"/>
      <c r="N94" s="470"/>
      <c r="O94" s="460"/>
      <c r="P94" s="235"/>
      <c r="Q94" s="350"/>
      <c r="R94" s="467"/>
      <c r="S94" s="862"/>
      <c r="T94" s="305"/>
      <c r="U94" s="269"/>
      <c r="V94" s="269"/>
      <c r="W94" s="269"/>
      <c r="X94" s="269"/>
      <c r="Y94" s="467"/>
    </row>
    <row r="95" spans="2:25" x14ac:dyDescent="0.2">
      <c r="B95" s="305"/>
      <c r="C95" s="269"/>
      <c r="D95" s="346"/>
      <c r="E95" s="269"/>
      <c r="F95" s="483"/>
      <c r="G95" s="862"/>
      <c r="H95" s="463"/>
      <c r="I95" s="235"/>
      <c r="J95" s="235"/>
      <c r="K95" s="235"/>
      <c r="L95" s="483"/>
      <c r="M95" s="862"/>
      <c r="N95" s="470"/>
      <c r="O95" s="460"/>
      <c r="P95" s="235"/>
      <c r="Q95" s="350"/>
      <c r="R95" s="467"/>
      <c r="S95" s="862"/>
      <c r="T95" s="305"/>
      <c r="U95" s="269"/>
      <c r="V95" s="269"/>
      <c r="W95" s="269"/>
      <c r="X95" s="269"/>
      <c r="Y95" s="467"/>
    </row>
    <row r="96" spans="2:25" x14ac:dyDescent="0.2">
      <c r="B96" s="305"/>
      <c r="C96" s="269"/>
      <c r="D96" s="346"/>
      <c r="E96" s="269"/>
      <c r="F96" s="483"/>
      <c r="G96" s="862"/>
      <c r="H96" s="463"/>
      <c r="I96" s="235"/>
      <c r="J96" s="235"/>
      <c r="K96" s="235"/>
      <c r="L96" s="483"/>
      <c r="M96" s="862"/>
      <c r="N96" s="470"/>
      <c r="O96" s="460"/>
      <c r="P96" s="235"/>
      <c r="Q96" s="350"/>
      <c r="R96" s="467"/>
      <c r="S96" s="862"/>
      <c r="T96" s="305"/>
      <c r="U96" s="269"/>
      <c r="V96" s="269"/>
      <c r="W96" s="269"/>
      <c r="X96" s="269"/>
      <c r="Y96" s="467"/>
    </row>
    <row r="97" spans="2:25" x14ac:dyDescent="0.2">
      <c r="B97" s="305"/>
      <c r="C97" s="269"/>
      <c r="D97" s="346"/>
      <c r="E97" s="269"/>
      <c r="F97" s="483"/>
      <c r="G97" s="862"/>
      <c r="H97" s="463"/>
      <c r="I97" s="235"/>
      <c r="J97" s="235"/>
      <c r="K97" s="235"/>
      <c r="L97" s="483"/>
      <c r="M97" s="862"/>
      <c r="N97" s="470"/>
      <c r="O97" s="460"/>
      <c r="P97" s="235"/>
      <c r="Q97" s="350"/>
      <c r="R97" s="467"/>
      <c r="S97" s="862"/>
      <c r="T97" s="305"/>
      <c r="U97" s="269"/>
      <c r="V97" s="269"/>
      <c r="W97" s="269"/>
      <c r="X97" s="269"/>
      <c r="Y97" s="467"/>
    </row>
    <row r="98" spans="2:25" x14ac:dyDescent="0.2">
      <c r="B98" s="306"/>
      <c r="C98" s="307"/>
      <c r="D98" s="308"/>
      <c r="E98" s="307"/>
      <c r="F98" s="484"/>
      <c r="G98" s="862"/>
      <c r="H98" s="465"/>
      <c r="I98" s="460"/>
      <c r="J98" s="460"/>
      <c r="K98" s="460"/>
      <c r="L98" s="484"/>
      <c r="M98" s="862"/>
      <c r="N98" s="470"/>
      <c r="O98" s="460"/>
      <c r="P98" s="460"/>
      <c r="Q98" s="490"/>
      <c r="R98" s="468"/>
      <c r="S98" s="862"/>
      <c r="T98" s="306"/>
      <c r="U98" s="307"/>
      <c r="V98" s="307"/>
      <c r="W98" s="307"/>
      <c r="X98" s="307"/>
      <c r="Y98" s="468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19" zoomScale="70" zoomScaleNormal="70" workbookViewId="0">
      <selection activeCell="H64" sqref="H64"/>
    </sheetView>
  </sheetViews>
  <sheetFormatPr defaultRowHeight="12.75" x14ac:dyDescent="0.2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77" customWidth="1"/>
  </cols>
  <sheetData>
    <row r="1" spans="1:15" ht="15" x14ac:dyDescent="0.2">
      <c r="A1" s="22"/>
      <c r="B1" s="25"/>
      <c r="C1" s="26"/>
      <c r="D1" s="25"/>
      <c r="E1" s="25"/>
      <c r="F1" s="27"/>
      <c r="G1" s="82"/>
      <c r="H1" s="25"/>
      <c r="I1" s="25"/>
      <c r="J1" s="98"/>
    </row>
    <row r="2" spans="1:15" ht="15" x14ac:dyDescent="0.2">
      <c r="A2" s="23"/>
      <c r="B2" s="28"/>
      <c r="C2" s="29"/>
      <c r="D2" s="28"/>
      <c r="E2" s="28"/>
      <c r="F2" s="30"/>
      <c r="G2" s="86"/>
      <c r="H2" s="28"/>
      <c r="I2" s="28"/>
      <c r="J2" s="99"/>
    </row>
    <row r="3" spans="1:15" ht="22.5" x14ac:dyDescent="0.3">
      <c r="A3" s="23"/>
      <c r="B3" s="28"/>
      <c r="C3" s="472" t="s">
        <v>289</v>
      </c>
      <c r="D3" s="473"/>
      <c r="E3" s="473"/>
      <c r="F3" s="474"/>
      <c r="G3" s="475"/>
      <c r="H3" s="31"/>
      <c r="I3" s="31"/>
      <c r="J3" s="100"/>
    </row>
    <row r="4" spans="1:15" ht="15" x14ac:dyDescent="0.2">
      <c r="A4" s="23"/>
      <c r="B4" s="28"/>
      <c r="C4" s="29"/>
      <c r="D4" s="28"/>
      <c r="E4" s="28"/>
      <c r="F4" s="39"/>
      <c r="G4" s="86"/>
      <c r="H4" s="28"/>
      <c r="I4" s="28"/>
      <c r="J4" s="99"/>
    </row>
    <row r="5" spans="1:15" ht="15" x14ac:dyDescent="0.2">
      <c r="A5" s="21"/>
      <c r="B5" s="32"/>
      <c r="C5" s="33"/>
      <c r="D5" s="32"/>
      <c r="E5" s="32"/>
      <c r="F5" s="34"/>
      <c r="G5" s="86"/>
      <c r="H5" s="28"/>
      <c r="I5" s="28"/>
      <c r="J5" s="101"/>
    </row>
    <row r="6" spans="1:15" ht="13.5" customHeight="1" x14ac:dyDescent="0.3">
      <c r="A6" s="5"/>
      <c r="B6" s="35"/>
      <c r="C6" s="924"/>
      <c r="D6" s="925"/>
      <c r="E6" s="926"/>
      <c r="F6" s="926"/>
      <c r="G6" s="38" t="s">
        <v>290</v>
      </c>
      <c r="H6" s="36" t="s">
        <v>291</v>
      </c>
      <c r="I6" s="31"/>
      <c r="J6" s="99"/>
    </row>
    <row r="7" spans="1:15" ht="18" customHeight="1" x14ac:dyDescent="0.3">
      <c r="A7" s="927" t="s">
        <v>292</v>
      </c>
      <c r="B7" s="84" t="s">
        <v>293</v>
      </c>
      <c r="C7" s="83" t="s">
        <v>294</v>
      </c>
      <c r="D7" s="84" t="s">
        <v>295</v>
      </c>
      <c r="E7" s="88"/>
      <c r="F7" s="89" t="s">
        <v>296</v>
      </c>
      <c r="G7" s="90" t="s">
        <v>61</v>
      </c>
      <c r="H7" s="137" t="s">
        <v>297</v>
      </c>
      <c r="I7" s="91" t="s">
        <v>298</v>
      </c>
      <c r="J7" s="37" t="s">
        <v>100</v>
      </c>
    </row>
    <row r="8" spans="1:15" ht="18" customHeight="1" x14ac:dyDescent="0.3">
      <c r="A8" s="928"/>
      <c r="B8" s="262" t="s">
        <v>299</v>
      </c>
      <c r="C8" s="84" t="s">
        <v>300</v>
      </c>
      <c r="D8" s="85" t="s">
        <v>301</v>
      </c>
      <c r="E8" s="93"/>
      <c r="F8" s="96" t="s">
        <v>302</v>
      </c>
      <c r="G8" s="94" t="s">
        <v>303</v>
      </c>
      <c r="H8" s="92" t="s">
        <v>33</v>
      </c>
      <c r="I8" s="95" t="s">
        <v>304</v>
      </c>
      <c r="J8" s="37" t="s">
        <v>305</v>
      </c>
    </row>
    <row r="9" spans="1:15" ht="18.75" x14ac:dyDescent="0.3">
      <c r="A9" s="218"/>
      <c r="B9" s="792">
        <v>85</v>
      </c>
      <c r="C9" s="792">
        <v>41</v>
      </c>
      <c r="D9" s="792">
        <v>85</v>
      </c>
      <c r="E9" s="792">
        <v>77500</v>
      </c>
      <c r="F9" s="792">
        <v>77500</v>
      </c>
      <c r="G9" s="238"/>
      <c r="H9" s="24"/>
      <c r="I9" s="19"/>
      <c r="J9" s="102"/>
      <c r="N9" s="138"/>
      <c r="O9" s="138"/>
    </row>
    <row r="10" spans="1:15" ht="18.75" x14ac:dyDescent="0.3">
      <c r="A10" s="80">
        <f>Gen!A11</f>
        <v>44378</v>
      </c>
      <c r="B10" s="792">
        <v>85</v>
      </c>
      <c r="C10" s="792">
        <v>37</v>
      </c>
      <c r="D10" s="792">
        <v>85</v>
      </c>
      <c r="E10" s="793">
        <v>77529.7</v>
      </c>
      <c r="F10" s="793">
        <v>77529.7</v>
      </c>
      <c r="G10" s="238">
        <f t="shared" ref="G10:G41" si="0">(F10-F9)*4.4</f>
        <v>130.67999999998722</v>
      </c>
      <c r="H10" s="97">
        <f>Gen!B11</f>
        <v>0.3</v>
      </c>
      <c r="I10" s="769">
        <f>SUM(F10/H10)</f>
        <v>258432.33333333334</v>
      </c>
      <c r="J10" s="770">
        <f>SUM(G10/I10)</f>
        <v>5.0566428091423238E-4</v>
      </c>
      <c r="N10" s="138"/>
      <c r="O10" s="138"/>
    </row>
    <row r="11" spans="1:15" ht="18.75" x14ac:dyDescent="0.3">
      <c r="A11" s="80">
        <f>Gen!A12</f>
        <v>44379</v>
      </c>
      <c r="B11" s="792">
        <v>85</v>
      </c>
      <c r="C11" s="792">
        <v>35</v>
      </c>
      <c r="D11" s="792">
        <v>85</v>
      </c>
      <c r="E11" s="793">
        <v>77529.7</v>
      </c>
      <c r="F11" s="793">
        <v>77558</v>
      </c>
      <c r="G11" s="238">
        <f t="shared" si="0"/>
        <v>124.52000000001281</v>
      </c>
      <c r="H11" s="97">
        <f>Gen!B12</f>
        <v>0.35</v>
      </c>
      <c r="I11" s="769">
        <f t="shared" ref="I11:I15" si="1">SUM(F11/H11)</f>
        <v>221594.28571428574</v>
      </c>
      <c r="J11" s="770">
        <f t="shared" ref="J11:J40" si="2">SUM(G11/I11)</f>
        <v>5.6192784754641016E-4</v>
      </c>
      <c r="M11" s="138"/>
      <c r="N11" s="138"/>
    </row>
    <row r="12" spans="1:15" ht="18.75" x14ac:dyDescent="0.3">
      <c r="A12" s="80">
        <f>Gen!A13</f>
        <v>44380</v>
      </c>
      <c r="B12" s="238">
        <v>85</v>
      </c>
      <c r="C12" s="238">
        <v>30</v>
      </c>
      <c r="D12" s="238">
        <v>85</v>
      </c>
      <c r="E12" s="238"/>
      <c r="F12" s="238">
        <v>77568</v>
      </c>
      <c r="G12" s="238">
        <f t="shared" si="0"/>
        <v>44</v>
      </c>
      <c r="H12" s="97">
        <f>Gen!B13</f>
        <v>0.26090000000000002</v>
      </c>
      <c r="I12" s="769">
        <f t="shared" si="1"/>
        <v>297309.31391337677</v>
      </c>
      <c r="J12" s="770">
        <f t="shared" si="2"/>
        <v>1.4799401815181518E-4</v>
      </c>
      <c r="M12" s="138"/>
      <c r="N12" s="138"/>
    </row>
    <row r="13" spans="1:15" ht="18.75" x14ac:dyDescent="0.3">
      <c r="A13" s="80">
        <f>Gen!A14</f>
        <v>44381</v>
      </c>
      <c r="B13" s="238">
        <v>85</v>
      </c>
      <c r="C13" s="238">
        <v>20</v>
      </c>
      <c r="D13" s="238">
        <v>85</v>
      </c>
      <c r="E13" s="238"/>
      <c r="F13" s="238">
        <v>77588.31</v>
      </c>
      <c r="G13" s="238">
        <f t="shared" ref="G13" si="3">(F13-F12)*4.4</f>
        <v>89.363999999989758</v>
      </c>
      <c r="H13" s="97">
        <f>Gen!B14</f>
        <v>0.18</v>
      </c>
      <c r="I13" s="769">
        <f t="shared" si="1"/>
        <v>431046.16666666669</v>
      </c>
      <c r="J13" s="770">
        <f t="shared" si="2"/>
        <v>2.0731886027673698E-4</v>
      </c>
      <c r="M13" s="138"/>
      <c r="N13" s="138"/>
    </row>
    <row r="14" spans="1:15" ht="18.75" x14ac:dyDescent="0.3">
      <c r="A14" s="80">
        <f>Gen!A15</f>
        <v>44382</v>
      </c>
      <c r="B14" s="238">
        <v>85</v>
      </c>
      <c r="C14" s="238">
        <v>15</v>
      </c>
      <c r="D14" s="238">
        <v>85</v>
      </c>
      <c r="E14" s="238"/>
      <c r="F14" s="238">
        <v>77613.86</v>
      </c>
      <c r="G14" s="238">
        <f t="shared" si="0"/>
        <v>112.42000000001282</v>
      </c>
      <c r="H14" s="97">
        <f>Gen!B15</f>
        <v>0.14000000000000001</v>
      </c>
      <c r="I14" s="769">
        <f t="shared" si="1"/>
        <v>554384.7142857142</v>
      </c>
      <c r="J14" s="770">
        <f t="shared" si="2"/>
        <v>2.0278336884677295E-4</v>
      </c>
      <c r="M14" s="138"/>
      <c r="N14" s="138"/>
    </row>
    <row r="15" spans="1:15" ht="18.75" x14ac:dyDescent="0.3">
      <c r="A15" s="80">
        <f>Gen!A16</f>
        <v>44383</v>
      </c>
      <c r="B15" s="238">
        <v>85</v>
      </c>
      <c r="C15" s="238">
        <v>10</v>
      </c>
      <c r="D15" s="238">
        <v>85</v>
      </c>
      <c r="E15" s="238"/>
      <c r="F15" s="238">
        <v>77640.399999999994</v>
      </c>
      <c r="G15" s="238">
        <f t="shared" si="0"/>
        <v>116.77599999997183</v>
      </c>
      <c r="H15" s="97">
        <f>Gen!B16</f>
        <v>0.16900000000000001</v>
      </c>
      <c r="I15" s="769">
        <f t="shared" si="1"/>
        <v>459410.65088757389</v>
      </c>
      <c r="J15" s="801">
        <f t="shared" si="2"/>
        <v>2.5418653175402552E-4</v>
      </c>
      <c r="M15" s="138"/>
      <c r="N15" s="138"/>
    </row>
    <row r="16" spans="1:15" ht="18.75" x14ac:dyDescent="0.3">
      <c r="A16" s="80">
        <f>Gen!A17</f>
        <v>44384</v>
      </c>
      <c r="B16" s="238">
        <v>85</v>
      </c>
      <c r="C16" s="238">
        <v>4</v>
      </c>
      <c r="D16" s="238">
        <v>85</v>
      </c>
      <c r="E16" s="238"/>
      <c r="F16" s="238">
        <v>77665.02</v>
      </c>
      <c r="G16" s="238">
        <f>(F16-F15)*4.4</f>
        <v>108.32800000004355</v>
      </c>
      <c r="H16" s="97">
        <f>Gen!B17</f>
        <v>0.36399999999999999</v>
      </c>
      <c r="I16" s="769">
        <f>SUM(F16/H16)</f>
        <v>213365.43956043958</v>
      </c>
      <c r="J16" s="770">
        <f t="shared" si="2"/>
        <v>5.0771109052718773E-4</v>
      </c>
      <c r="M16" s="138"/>
      <c r="N16" s="138"/>
    </row>
    <row r="17" spans="1:14" ht="18.75" x14ac:dyDescent="0.3">
      <c r="A17" s="80">
        <f>Gen!A18</f>
        <v>44385</v>
      </c>
      <c r="B17" s="238">
        <v>85</v>
      </c>
      <c r="C17" s="238">
        <v>3</v>
      </c>
      <c r="D17" s="238">
        <v>85</v>
      </c>
      <c r="E17" s="238"/>
      <c r="F17" s="238">
        <v>77690.559999999998</v>
      </c>
      <c r="G17" s="238">
        <f t="shared" si="0"/>
        <v>112.37599999997184</v>
      </c>
      <c r="H17" s="97">
        <f>Gen!B18</f>
        <v>0.45500000000000002</v>
      </c>
      <c r="I17" s="769">
        <f>SUM(F17/H17)</f>
        <v>170748.48351648351</v>
      </c>
      <c r="J17" s="770">
        <f t="shared" si="2"/>
        <v>6.5813761671929243E-4</v>
      </c>
      <c r="M17" s="138"/>
      <c r="N17" s="138"/>
    </row>
    <row r="18" spans="1:14" ht="18.75" x14ac:dyDescent="0.3">
      <c r="A18" s="80">
        <f>Gen!A19</f>
        <v>44386</v>
      </c>
      <c r="B18" s="238">
        <v>85</v>
      </c>
      <c r="C18" s="238">
        <v>2</v>
      </c>
      <c r="D18" s="238">
        <v>85</v>
      </c>
      <c r="E18" s="238"/>
      <c r="F18" s="238">
        <v>77714.06</v>
      </c>
      <c r="G18" s="238">
        <f t="shared" si="0"/>
        <v>103.4</v>
      </c>
      <c r="H18" s="97">
        <f>Gen!B19</f>
        <v>0.46800000000000003</v>
      </c>
      <c r="I18" s="769">
        <f t="shared" ref="I18:I42" si="4">SUM(F18/H18)</f>
        <v>166055.68376068375</v>
      </c>
      <c r="J18" s="770">
        <f t="shared" si="2"/>
        <v>6.226826908798743E-4</v>
      </c>
      <c r="M18" s="138"/>
      <c r="N18" s="138"/>
    </row>
    <row r="19" spans="1:14" ht="18.75" x14ac:dyDescent="0.3">
      <c r="A19" s="80">
        <f>Gen!A20</f>
        <v>44387</v>
      </c>
      <c r="B19" s="238">
        <v>85</v>
      </c>
      <c r="C19" s="238">
        <v>1</v>
      </c>
      <c r="D19" s="238">
        <v>85</v>
      </c>
      <c r="E19" s="238"/>
      <c r="F19" s="238">
        <v>77740.72</v>
      </c>
      <c r="G19" s="238">
        <f t="shared" si="0"/>
        <v>117.30400000001538</v>
      </c>
      <c r="H19" s="97">
        <f>Gen!B20</f>
        <v>0.39</v>
      </c>
      <c r="I19" s="769">
        <f t="shared" si="4"/>
        <v>199335.17948717947</v>
      </c>
      <c r="J19" s="770">
        <f t="shared" si="2"/>
        <v>5.8847615509614523E-4</v>
      </c>
      <c r="M19" s="138"/>
      <c r="N19" s="138"/>
    </row>
    <row r="20" spans="1:14" ht="18.75" x14ac:dyDescent="0.3">
      <c r="A20" s="80">
        <f>Gen!A21</f>
        <v>44388</v>
      </c>
      <c r="B20" s="238">
        <v>85</v>
      </c>
      <c r="C20" s="238">
        <v>0</v>
      </c>
      <c r="D20" s="238">
        <v>85</v>
      </c>
      <c r="E20" s="238"/>
      <c r="F20" s="238">
        <v>77767.009999999995</v>
      </c>
      <c r="G20" s="238">
        <f t="shared" si="0"/>
        <v>115.67599999997184</v>
      </c>
      <c r="H20" s="97">
        <f>Gen!B21</f>
        <v>0.40300000000000002</v>
      </c>
      <c r="I20" s="769">
        <f t="shared" si="4"/>
        <v>192970.2481389578</v>
      </c>
      <c r="J20" s="770">
        <f t="shared" si="2"/>
        <v>5.9944992098820123E-4</v>
      </c>
    </row>
    <row r="21" spans="1:14" ht="18.75" x14ac:dyDescent="0.3">
      <c r="A21" s="80">
        <f>Gen!A22</f>
        <v>44389</v>
      </c>
      <c r="B21" s="238">
        <v>85</v>
      </c>
      <c r="C21" s="238">
        <v>0</v>
      </c>
      <c r="D21" s="238">
        <v>80</v>
      </c>
      <c r="E21" s="238"/>
      <c r="F21" s="238">
        <v>77795.87</v>
      </c>
      <c r="G21" s="238">
        <f t="shared" si="0"/>
        <v>126.98400000000257</v>
      </c>
      <c r="H21" s="97">
        <f>Gen!B22</f>
        <v>0.39</v>
      </c>
      <c r="I21" s="769">
        <f t="shared" si="4"/>
        <v>199476.58974358972</v>
      </c>
      <c r="J21" s="770">
        <f t="shared" si="2"/>
        <v>6.365859781502669E-4</v>
      </c>
    </row>
    <row r="22" spans="1:14" ht="18.75" x14ac:dyDescent="0.3">
      <c r="A22" s="80">
        <f>Gen!A23</f>
        <v>44390</v>
      </c>
      <c r="B22" s="238">
        <v>85</v>
      </c>
      <c r="C22" s="238">
        <v>0</v>
      </c>
      <c r="D22" s="238">
        <v>76</v>
      </c>
      <c r="E22" s="238"/>
      <c r="F22" s="238">
        <v>77822.66</v>
      </c>
      <c r="G22" s="238">
        <f t="shared" si="0"/>
        <v>117.87600000003586</v>
      </c>
      <c r="H22" s="97">
        <f>Gen!B23</f>
        <v>0.221</v>
      </c>
      <c r="I22" s="769">
        <f t="shared" si="4"/>
        <v>352138.73303167423</v>
      </c>
      <c r="J22" s="770">
        <f t="shared" si="2"/>
        <v>3.3474306840716988E-4</v>
      </c>
    </row>
    <row r="23" spans="1:14" ht="18.75" x14ac:dyDescent="0.3">
      <c r="A23" s="80">
        <f>Gen!A24</f>
        <v>44391</v>
      </c>
      <c r="B23" s="238">
        <v>85</v>
      </c>
      <c r="C23" s="238">
        <v>0</v>
      </c>
      <c r="D23" s="238">
        <v>70</v>
      </c>
      <c r="E23" s="238"/>
      <c r="F23" s="238">
        <v>77851.7</v>
      </c>
      <c r="G23" s="238">
        <f>(F23-F22)*4.4</f>
        <v>127.77599999997184</v>
      </c>
      <c r="H23" s="97">
        <f>Gen!B24</f>
        <v>0.19500000000000001</v>
      </c>
      <c r="I23" s="769">
        <f t="shared" si="4"/>
        <v>399239.48717948713</v>
      </c>
      <c r="J23" s="770">
        <f t="shared" si="2"/>
        <v>3.2004850247322169E-4</v>
      </c>
    </row>
    <row r="24" spans="1:14" ht="18.75" x14ac:dyDescent="0.3">
      <c r="A24" s="80">
        <f>Gen!A25</f>
        <v>44392</v>
      </c>
      <c r="B24" s="238">
        <v>85</v>
      </c>
      <c r="C24" s="238">
        <v>0</v>
      </c>
      <c r="D24" s="238">
        <v>65</v>
      </c>
      <c r="E24" s="238"/>
      <c r="F24" s="238">
        <v>77880.05</v>
      </c>
      <c r="G24" s="238">
        <f t="shared" si="0"/>
        <v>124.74000000002562</v>
      </c>
      <c r="H24" s="97">
        <f>Gen!B25</f>
        <v>0.20799999999999999</v>
      </c>
      <c r="I24" s="769">
        <f t="shared" si="4"/>
        <v>374423.31730769231</v>
      </c>
      <c r="J24" s="770">
        <f t="shared" si="2"/>
        <v>3.3315232848470599E-4</v>
      </c>
    </row>
    <row r="25" spans="1:14" ht="18.75" x14ac:dyDescent="0.3">
      <c r="A25" s="80">
        <f>Gen!A26</f>
        <v>44393</v>
      </c>
      <c r="B25" s="238">
        <v>85</v>
      </c>
      <c r="C25" s="238">
        <v>0</v>
      </c>
      <c r="D25" s="238">
        <v>45</v>
      </c>
      <c r="E25" s="238"/>
      <c r="F25" s="238">
        <v>77907.11</v>
      </c>
      <c r="G25" s="238">
        <f t="shared" si="0"/>
        <v>119.06399999998976</v>
      </c>
      <c r="H25" s="97">
        <f>Gen!B26</f>
        <v>0.27</v>
      </c>
      <c r="I25" s="769">
        <f t="shared" si="4"/>
        <v>288544.85185185185</v>
      </c>
      <c r="J25" s="770">
        <f t="shared" si="2"/>
        <v>4.1263602256581247E-4</v>
      </c>
    </row>
    <row r="26" spans="1:14" ht="18.75" x14ac:dyDescent="0.3">
      <c r="A26" s="80">
        <f>Gen!A27</f>
        <v>44394</v>
      </c>
      <c r="B26" s="238">
        <v>85</v>
      </c>
      <c r="C26" s="238">
        <v>0</v>
      </c>
      <c r="D26" s="238">
        <v>38</v>
      </c>
      <c r="E26" s="238"/>
      <c r="F26" s="238">
        <v>77933.119999999995</v>
      </c>
      <c r="G26" s="238">
        <f t="shared" si="0"/>
        <v>114.44399999997695</v>
      </c>
      <c r="H26" s="97">
        <f>Gen!B27</f>
        <v>0.26</v>
      </c>
      <c r="I26" s="769">
        <f t="shared" si="4"/>
        <v>299742.76923076919</v>
      </c>
      <c r="J26" s="770">
        <f t="shared" si="2"/>
        <v>3.8180737534945362E-4</v>
      </c>
    </row>
    <row r="27" spans="1:14" ht="18.75" x14ac:dyDescent="0.3">
      <c r="A27" s="80">
        <f>Gen!A28</f>
        <v>44395</v>
      </c>
      <c r="B27" s="238">
        <v>85</v>
      </c>
      <c r="C27" s="238">
        <v>0</v>
      </c>
      <c r="D27" s="238">
        <v>30</v>
      </c>
      <c r="E27" s="238"/>
      <c r="F27" s="238">
        <v>77956.83</v>
      </c>
      <c r="G27" s="238">
        <f t="shared" si="0"/>
        <v>104.32400000002818</v>
      </c>
      <c r="H27" s="97">
        <f>Gen!B28</f>
        <v>0.35</v>
      </c>
      <c r="I27" s="769">
        <f t="shared" si="4"/>
        <v>222733.80000000002</v>
      </c>
      <c r="J27" s="770">
        <f t="shared" si="2"/>
        <v>4.6837974299378081E-4</v>
      </c>
    </row>
    <row r="28" spans="1:14" ht="18.75" x14ac:dyDescent="0.3">
      <c r="A28" s="80">
        <f>Gen!A29</f>
        <v>44396</v>
      </c>
      <c r="B28" s="238">
        <v>85</v>
      </c>
      <c r="C28" s="238">
        <v>0</v>
      </c>
      <c r="D28" s="238">
        <v>27</v>
      </c>
      <c r="E28" s="238"/>
      <c r="F28" s="238">
        <v>77982.66</v>
      </c>
      <c r="G28" s="238">
        <f t="shared" si="0"/>
        <v>113.65200000000769</v>
      </c>
      <c r="H28" s="97">
        <f>Gen!B29</f>
        <v>0.39</v>
      </c>
      <c r="I28" s="769">
        <f t="shared" si="4"/>
        <v>199955.53846153847</v>
      </c>
      <c r="J28" s="770">
        <f t="shared" si="2"/>
        <v>5.6838635665932657E-4</v>
      </c>
    </row>
    <row r="29" spans="1:14" ht="18.75" x14ac:dyDescent="0.3">
      <c r="A29" s="80">
        <f>Gen!A30</f>
        <v>44397</v>
      </c>
      <c r="B29" s="238">
        <v>85</v>
      </c>
      <c r="C29" s="238">
        <v>0</v>
      </c>
      <c r="D29" s="238">
        <v>20</v>
      </c>
      <c r="E29" s="238"/>
      <c r="F29" s="238">
        <v>78008.09</v>
      </c>
      <c r="G29" s="238">
        <f t="shared" si="0"/>
        <v>111.89199999996927</v>
      </c>
      <c r="H29" s="97">
        <f>Gen!B30</f>
        <v>0.39</v>
      </c>
      <c r="I29" s="769">
        <f t="shared" si="4"/>
        <v>200020.74358974356</v>
      </c>
      <c r="J29" s="770">
        <f t="shared" si="2"/>
        <v>5.5940197997397475E-4</v>
      </c>
    </row>
    <row r="30" spans="1:14" ht="18.75" x14ac:dyDescent="0.3">
      <c r="A30" s="80">
        <f>Gen!A31</f>
        <v>44398</v>
      </c>
      <c r="B30" s="238">
        <v>85</v>
      </c>
      <c r="C30" s="238">
        <v>0</v>
      </c>
      <c r="D30" s="238">
        <v>15</v>
      </c>
      <c r="E30" s="238"/>
      <c r="F30" s="238">
        <v>78084.479999999996</v>
      </c>
      <c r="G30" s="238">
        <f t="shared" si="0"/>
        <v>336.11599999999748</v>
      </c>
      <c r="H30" s="97">
        <f>Gen!B31</f>
        <v>0.55000000000000004</v>
      </c>
      <c r="I30" s="769">
        <f t="shared" si="4"/>
        <v>141971.7818181818</v>
      </c>
      <c r="J30" s="770">
        <f t="shared" si="2"/>
        <v>2.367484550066782E-3</v>
      </c>
    </row>
    <row r="31" spans="1:14" ht="18.75" x14ac:dyDescent="0.3">
      <c r="A31" s="80">
        <f>Gen!A32</f>
        <v>44399</v>
      </c>
      <c r="B31" s="238">
        <v>85</v>
      </c>
      <c r="C31" s="238">
        <v>0</v>
      </c>
      <c r="D31" s="238">
        <v>9</v>
      </c>
      <c r="E31" s="238"/>
      <c r="F31" s="238">
        <v>78060.25</v>
      </c>
      <c r="G31" s="238">
        <f t="shared" si="0"/>
        <v>-106.61199999998207</v>
      </c>
      <c r="H31" s="97">
        <f>Gen!B32</f>
        <v>0.54500000000000004</v>
      </c>
      <c r="I31" s="769">
        <f t="shared" si="4"/>
        <v>143229.81651376147</v>
      </c>
      <c r="J31" s="770">
        <f t="shared" si="2"/>
        <v>-7.4434222283415992E-4</v>
      </c>
    </row>
    <row r="32" spans="1:14" ht="18.75" x14ac:dyDescent="0.3">
      <c r="A32" s="80">
        <f>Gen!A33</f>
        <v>44400</v>
      </c>
      <c r="B32" s="238">
        <v>85</v>
      </c>
      <c r="C32" s="238">
        <v>0</v>
      </c>
      <c r="D32" s="238">
        <v>5</v>
      </c>
      <c r="E32" s="238"/>
      <c r="F32" s="238">
        <v>78082.59</v>
      </c>
      <c r="G32" s="238">
        <f t="shared" si="0"/>
        <v>98.295999999984645</v>
      </c>
      <c r="H32" s="97">
        <f>Gen!B33</f>
        <v>0.45500000000000002</v>
      </c>
      <c r="I32" s="769">
        <f t="shared" si="4"/>
        <v>171610.08791208791</v>
      </c>
      <c r="J32" s="770">
        <f t="shared" si="2"/>
        <v>5.7278684019053437E-4</v>
      </c>
    </row>
    <row r="33" spans="1:10" ht="18.75" x14ac:dyDescent="0.3">
      <c r="A33" s="80">
        <f>Gen!A34</f>
        <v>44401</v>
      </c>
      <c r="B33" s="238">
        <v>85</v>
      </c>
      <c r="C33" s="238">
        <v>0</v>
      </c>
      <c r="D33" s="238">
        <v>2</v>
      </c>
      <c r="E33" s="238"/>
      <c r="F33" s="238">
        <v>78105.06</v>
      </c>
      <c r="G33" s="238">
        <f t="shared" si="0"/>
        <v>98.868000000005125</v>
      </c>
      <c r="H33" s="97">
        <f>Gen!B34</f>
        <v>0.247</v>
      </c>
      <c r="I33" s="769">
        <f t="shared" si="4"/>
        <v>316214.8178137652</v>
      </c>
      <c r="J33" s="770">
        <f t="shared" si="2"/>
        <v>3.1266086985915208E-4</v>
      </c>
    </row>
    <row r="34" spans="1:10" ht="18.75" x14ac:dyDescent="0.3">
      <c r="A34" s="80">
        <f>Gen!A35</f>
        <v>44402</v>
      </c>
      <c r="B34" s="238">
        <v>85</v>
      </c>
      <c r="C34" s="238">
        <v>0</v>
      </c>
      <c r="D34" s="238">
        <v>1</v>
      </c>
      <c r="E34" s="238"/>
      <c r="F34" s="238">
        <v>78129.240000000005</v>
      </c>
      <c r="G34" s="238">
        <f t="shared" si="0"/>
        <v>106.39200000003331</v>
      </c>
      <c r="H34" s="97">
        <f>Gen!B35</f>
        <v>0.20799999999999999</v>
      </c>
      <c r="I34" s="769">
        <f t="shared" si="4"/>
        <v>375621.34615384619</v>
      </c>
      <c r="J34" s="770">
        <f t="shared" si="2"/>
        <v>2.8324268865289009E-4</v>
      </c>
    </row>
    <row r="35" spans="1:10" ht="18.75" x14ac:dyDescent="0.3">
      <c r="A35" s="80">
        <f>Gen!A36</f>
        <v>44403</v>
      </c>
      <c r="B35" s="238">
        <v>85</v>
      </c>
      <c r="C35" s="238">
        <v>0</v>
      </c>
      <c r="D35" s="238">
        <v>1</v>
      </c>
      <c r="E35" s="238"/>
      <c r="F35" s="238">
        <v>78150.45</v>
      </c>
      <c r="G35" s="238">
        <f t="shared" si="0"/>
        <v>93.323999999964158</v>
      </c>
      <c r="H35" s="97">
        <f>Gen!B36</f>
        <v>0.156</v>
      </c>
      <c r="I35" s="769">
        <f t="shared" si="4"/>
        <v>500964.42307692306</v>
      </c>
      <c r="J35" s="770">
        <f t="shared" si="2"/>
        <v>1.8628867780024822E-4</v>
      </c>
    </row>
    <row r="36" spans="1:10" ht="18.75" x14ac:dyDescent="0.3">
      <c r="A36" s="80">
        <f>Gen!A37</f>
        <v>44404</v>
      </c>
      <c r="B36" s="238">
        <v>85</v>
      </c>
      <c r="C36" s="238">
        <v>0</v>
      </c>
      <c r="D36" s="238">
        <v>0</v>
      </c>
      <c r="E36" s="238"/>
      <c r="F36" s="238">
        <v>78167.320000000007</v>
      </c>
      <c r="G36" s="238">
        <f t="shared" si="0"/>
        <v>74.228000000043551</v>
      </c>
      <c r="H36" s="97">
        <f>Gen!B37</f>
        <v>0.29899999999999999</v>
      </c>
      <c r="I36" s="769">
        <f t="shared" si="4"/>
        <v>261429.16387959869</v>
      </c>
      <c r="J36" s="770">
        <f t="shared" si="2"/>
        <v>2.8393159698980364E-4</v>
      </c>
    </row>
    <row r="37" spans="1:10" ht="18.75" x14ac:dyDescent="0.3">
      <c r="A37" s="80">
        <f>Gen!A38</f>
        <v>44405</v>
      </c>
      <c r="B37" s="238">
        <v>85</v>
      </c>
      <c r="C37" s="238">
        <v>0</v>
      </c>
      <c r="D37" s="238">
        <v>0</v>
      </c>
      <c r="E37" s="238"/>
      <c r="F37" s="238">
        <v>78185.320000000007</v>
      </c>
      <c r="G37" s="238">
        <f t="shared" si="0"/>
        <v>79.2</v>
      </c>
      <c r="H37" s="97">
        <f>Gen!B38</f>
        <v>0.46800000000000003</v>
      </c>
      <c r="I37" s="769">
        <f t="shared" si="4"/>
        <v>167062.64957264959</v>
      </c>
      <c r="J37" s="770">
        <f t="shared" si="2"/>
        <v>4.7407364963141413E-4</v>
      </c>
    </row>
    <row r="38" spans="1:10" ht="18.75" x14ac:dyDescent="0.3">
      <c r="A38" s="80">
        <f>Gen!A39</f>
        <v>44406</v>
      </c>
      <c r="B38" s="238">
        <v>84</v>
      </c>
      <c r="C38" s="238">
        <v>0</v>
      </c>
      <c r="D38" s="238">
        <v>0</v>
      </c>
      <c r="E38" s="238"/>
      <c r="F38" s="238">
        <v>78225.240000000005</v>
      </c>
      <c r="G38" s="238">
        <f t="shared" si="0"/>
        <v>175.64799999999232</v>
      </c>
      <c r="H38" s="97">
        <f>Gen!B39</f>
        <v>0.51</v>
      </c>
      <c r="I38" s="769">
        <f t="shared" si="4"/>
        <v>153382.82352941178</v>
      </c>
      <c r="J38" s="770">
        <f t="shared" si="2"/>
        <v>1.1451608202160336E-3</v>
      </c>
    </row>
    <row r="39" spans="1:10" ht="18.75" x14ac:dyDescent="0.3">
      <c r="A39" s="80">
        <f>Gen!A40</f>
        <v>44407</v>
      </c>
      <c r="B39" s="238">
        <v>80</v>
      </c>
      <c r="C39" s="238">
        <v>0</v>
      </c>
      <c r="D39" s="238">
        <v>0</v>
      </c>
      <c r="E39" s="238"/>
      <c r="F39" s="238">
        <v>78264.17</v>
      </c>
      <c r="G39" s="238">
        <f t="shared" si="0"/>
        <v>171.29199999996928</v>
      </c>
      <c r="H39" s="97">
        <f>Gen!B40</f>
        <v>0.38</v>
      </c>
      <c r="I39" s="769">
        <f t="shared" si="4"/>
        <v>205958.34210526315</v>
      </c>
      <c r="J39" s="770">
        <f t="shared" si="2"/>
        <v>8.3168274831239288E-4</v>
      </c>
    </row>
    <row r="40" spans="1:10" ht="18.75" x14ac:dyDescent="0.3">
      <c r="A40" s="80">
        <f>Gen!A41</f>
        <v>44408</v>
      </c>
      <c r="B40" s="238">
        <v>76</v>
      </c>
      <c r="C40" s="238">
        <v>0</v>
      </c>
      <c r="D40" s="238">
        <v>0</v>
      </c>
      <c r="E40" s="238"/>
      <c r="F40" s="238">
        <v>78289.45</v>
      </c>
      <c r="G40" s="238">
        <f t="shared" si="0"/>
        <v>111.23199999999488</v>
      </c>
      <c r="H40" s="97">
        <f>Gen!B41</f>
        <v>0.15</v>
      </c>
      <c r="I40" s="769">
        <f t="shared" si="4"/>
        <v>521929.66666666669</v>
      </c>
      <c r="J40" s="770">
        <f t="shared" si="2"/>
        <v>2.131168375815545E-4</v>
      </c>
    </row>
    <row r="41" spans="1:10" ht="18.75" x14ac:dyDescent="0.3">
      <c r="A41" s="80"/>
      <c r="B41" s="238"/>
      <c r="C41" s="238"/>
      <c r="D41" s="238"/>
      <c r="E41" s="238"/>
      <c r="F41" s="238"/>
      <c r="G41" s="238">
        <f t="shared" si="0"/>
        <v>-344473.58</v>
      </c>
      <c r="H41" s="97">
        <f>Gen!B42</f>
        <v>0</v>
      </c>
      <c r="I41" s="769" t="e">
        <f t="shared" si="4"/>
        <v>#DIV/0!</v>
      </c>
      <c r="J41" s="771"/>
    </row>
    <row r="42" spans="1:10" ht="17.25" x14ac:dyDescent="0.3">
      <c r="A42" s="80"/>
      <c r="B42" s="5"/>
      <c r="C42" s="923" t="s">
        <v>306</v>
      </c>
      <c r="D42" s="923"/>
      <c r="E42" s="2">
        <f t="shared" ref="E42" si="5">SUM(E10:E40)</f>
        <v>155059.4</v>
      </c>
      <c r="F42" s="2">
        <f>SUM(F10:F41)</f>
        <v>2414957.3000000007</v>
      </c>
      <c r="G42" s="87">
        <f>SUM(G10:G40)</f>
        <v>3473.5799999999881</v>
      </c>
      <c r="H42" s="97">
        <f>Gen!B43</f>
        <v>0.32651290322580645</v>
      </c>
      <c r="I42" s="769">
        <f t="shared" si="4"/>
        <v>7396207.8562325276</v>
      </c>
      <c r="J42" s="770"/>
    </row>
    <row r="44" spans="1:10" x14ac:dyDescent="0.2">
      <c r="B44" s="843"/>
      <c r="C44" s="849"/>
      <c r="D44" s="843"/>
      <c r="E44" s="849"/>
      <c r="F44" s="849"/>
      <c r="G44" s="843"/>
      <c r="H44" s="844"/>
    </row>
    <row r="45" spans="1:10" x14ac:dyDescent="0.2">
      <c r="B45" s="921"/>
      <c r="C45" s="929"/>
      <c r="D45" s="921"/>
      <c r="E45" s="929"/>
      <c r="F45" s="929"/>
      <c r="G45" s="921"/>
      <c r="H45" s="922"/>
      <c r="J45" s="764"/>
    </row>
    <row r="46" spans="1:10" x14ac:dyDescent="0.2">
      <c r="B46" s="921"/>
      <c r="C46" s="929"/>
      <c r="D46" s="921"/>
      <c r="E46" s="929"/>
      <c r="F46" s="929"/>
      <c r="G46" s="921"/>
      <c r="H46" s="922"/>
      <c r="J46" s="764"/>
    </row>
    <row r="47" spans="1:10" x14ac:dyDescent="0.2">
      <c r="B47" s="845"/>
      <c r="C47" s="842"/>
      <c r="D47" s="845"/>
      <c r="E47" s="842"/>
      <c r="F47" s="842"/>
      <c r="G47" s="845"/>
      <c r="H47" s="846"/>
      <c r="J47" s="764"/>
    </row>
    <row r="48" spans="1:10" x14ac:dyDescent="0.2">
      <c r="B48" s="845"/>
      <c r="C48" s="842"/>
      <c r="D48" s="845"/>
      <c r="E48" s="842"/>
      <c r="F48" s="842"/>
      <c r="G48" s="845"/>
      <c r="H48" s="846"/>
      <c r="J48" s="764"/>
    </row>
    <row r="49" spans="2:10" x14ac:dyDescent="0.2">
      <c r="B49" s="845"/>
      <c r="C49" s="842"/>
      <c r="D49" s="845"/>
      <c r="E49" s="842"/>
      <c r="F49" s="842"/>
      <c r="G49" s="845"/>
      <c r="H49" s="846"/>
      <c r="J49" s="764"/>
    </row>
    <row r="50" spans="2:10" x14ac:dyDescent="0.2">
      <c r="B50" s="845"/>
      <c r="C50" s="842"/>
      <c r="D50" s="845"/>
      <c r="E50" s="842"/>
      <c r="F50" s="842"/>
      <c r="G50" s="845"/>
      <c r="H50" s="846"/>
      <c r="J50" s="764"/>
    </row>
    <row r="51" spans="2:10" x14ac:dyDescent="0.2">
      <c r="B51" s="845"/>
      <c r="C51" s="842"/>
      <c r="D51" s="845"/>
      <c r="E51" s="842"/>
      <c r="F51" s="842"/>
      <c r="G51" s="845"/>
      <c r="H51" s="846"/>
      <c r="J51" s="764"/>
    </row>
    <row r="52" spans="2:10" x14ac:dyDescent="0.2">
      <c r="B52" s="845"/>
      <c r="C52" s="842"/>
      <c r="D52" s="845"/>
      <c r="E52" s="842"/>
      <c r="F52" s="842"/>
      <c r="G52" s="845"/>
      <c r="H52" s="846"/>
      <c r="J52" s="764"/>
    </row>
    <row r="53" spans="2:10" x14ac:dyDescent="0.2">
      <c r="B53" s="845"/>
      <c r="C53" s="842"/>
      <c r="D53" s="845"/>
      <c r="E53" s="842"/>
      <c r="F53" s="842"/>
      <c r="G53" s="845"/>
      <c r="H53" s="846"/>
      <c r="J53" s="764"/>
    </row>
    <row r="54" spans="2:10" x14ac:dyDescent="0.2">
      <c r="B54" s="847"/>
      <c r="C54" s="850"/>
      <c r="D54" s="847"/>
      <c r="E54" s="850"/>
      <c r="F54" s="850"/>
      <c r="G54" s="847"/>
      <c r="H54" s="848"/>
      <c r="J54" s="764"/>
    </row>
    <row r="55" spans="2:10" x14ac:dyDescent="0.2">
      <c r="G55"/>
    </row>
    <row r="56" spans="2:10" x14ac:dyDescent="0.2">
      <c r="B56" s="851" t="s">
        <v>307</v>
      </c>
      <c r="C56" s="853"/>
      <c r="D56" s="851" t="s">
        <v>308</v>
      </c>
      <c r="E56" s="853"/>
      <c r="F56" s="853"/>
      <c r="G56" s="851" t="s">
        <v>309</v>
      </c>
      <c r="H56" s="852"/>
    </row>
    <row r="57" spans="2:10" x14ac:dyDescent="0.2">
      <c r="G57"/>
    </row>
    <row r="58" spans="2:10" x14ac:dyDescent="0.2">
      <c r="G58"/>
    </row>
    <row r="59" spans="2:10" x14ac:dyDescent="0.2">
      <c r="G59"/>
    </row>
    <row r="60" spans="2:10" x14ac:dyDescent="0.2">
      <c r="G60"/>
    </row>
    <row r="61" spans="2:10" x14ac:dyDescent="0.2">
      <c r="G61"/>
    </row>
    <row r="62" spans="2:10" x14ac:dyDescent="0.2">
      <c r="G62"/>
    </row>
    <row r="63" spans="2:10" x14ac:dyDescent="0.2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C9" sqref="C9"/>
    </sheetView>
  </sheetViews>
  <sheetFormatPr defaultRowHeight="12.75" x14ac:dyDescent="0.2"/>
  <cols>
    <col min="1" max="1" width="9.7109375" bestFit="1" customWidth="1"/>
    <col min="2" max="2" width="10.28515625" style="11" bestFit="1" customWidth="1"/>
  </cols>
  <sheetData>
    <row r="1" spans="1:3" s="15" customFormat="1" x14ac:dyDescent="0.2">
      <c r="A1" s="13" t="s">
        <v>32</v>
      </c>
      <c r="B1" s="13" t="s">
        <v>310</v>
      </c>
      <c r="C1" s="13" t="s">
        <v>107</v>
      </c>
    </row>
    <row r="2" spans="1:3" x14ac:dyDescent="0.2">
      <c r="A2" s="79">
        <f>Gen!A11</f>
        <v>44378</v>
      </c>
      <c r="B2" s="12">
        <f>'Lpg (2)'!G10</f>
        <v>130.67999999998722</v>
      </c>
      <c r="C2" s="78">
        <f>Gen!B11</f>
        <v>0.3</v>
      </c>
    </row>
    <row r="3" spans="1:3" x14ac:dyDescent="0.2">
      <c r="A3" s="79">
        <f>Gen!A12</f>
        <v>44379</v>
      </c>
      <c r="B3" s="12">
        <f>'Lpg (2)'!G11</f>
        <v>124.52000000001281</v>
      </c>
      <c r="C3" s="78">
        <f>Gen!B12</f>
        <v>0.35</v>
      </c>
    </row>
    <row r="4" spans="1:3" x14ac:dyDescent="0.2">
      <c r="A4" s="79">
        <f>Gen!A13</f>
        <v>44380</v>
      </c>
      <c r="B4" s="12">
        <f>'Lpg (2)'!G12</f>
        <v>44</v>
      </c>
      <c r="C4" s="78">
        <f>Gen!B13</f>
        <v>0.26090000000000002</v>
      </c>
    </row>
    <row r="5" spans="1:3" x14ac:dyDescent="0.2">
      <c r="A5" s="79">
        <f>Gen!A14</f>
        <v>44381</v>
      </c>
      <c r="B5" s="12">
        <f>'Lpg (2)'!G13</f>
        <v>89.363999999989758</v>
      </c>
      <c r="C5" s="78">
        <f>Gen!B14</f>
        <v>0.18</v>
      </c>
    </row>
    <row r="6" spans="1:3" x14ac:dyDescent="0.2">
      <c r="A6" s="79">
        <f>Gen!A15</f>
        <v>44382</v>
      </c>
      <c r="B6" s="12">
        <f>'Lpg (2)'!G14</f>
        <v>112.42000000001282</v>
      </c>
      <c r="C6" s="78">
        <f>Gen!B15</f>
        <v>0.14000000000000001</v>
      </c>
    </row>
    <row r="7" spans="1:3" x14ac:dyDescent="0.2">
      <c r="A7" s="79">
        <f>Gen!A16</f>
        <v>44383</v>
      </c>
      <c r="B7" s="12">
        <f>'Lpg (2)'!G15</f>
        <v>116.77599999997183</v>
      </c>
      <c r="C7" s="78">
        <f>Gen!B16</f>
        <v>0.16900000000000001</v>
      </c>
    </row>
    <row r="8" spans="1:3" x14ac:dyDescent="0.2">
      <c r="A8" s="79">
        <f>Gen!A17</f>
        <v>44384</v>
      </c>
      <c r="B8" s="12">
        <f>'Lpg (2)'!G16</f>
        <v>108.32800000004355</v>
      </c>
      <c r="C8" s="78">
        <f>Gen!B17</f>
        <v>0.36399999999999999</v>
      </c>
    </row>
    <row r="9" spans="1:3" x14ac:dyDescent="0.2">
      <c r="A9" s="79">
        <f>Gen!A18</f>
        <v>44385</v>
      </c>
      <c r="B9" s="12">
        <f>'Lpg (2)'!G17</f>
        <v>112.37599999997184</v>
      </c>
      <c r="C9" s="78">
        <f>Gen!B18</f>
        <v>0.45500000000000002</v>
      </c>
    </row>
    <row r="10" spans="1:3" x14ac:dyDescent="0.2">
      <c r="A10" s="79">
        <f>Gen!A19</f>
        <v>44386</v>
      </c>
      <c r="B10" s="12">
        <f>'Lpg (2)'!G18</f>
        <v>103.4</v>
      </c>
      <c r="C10" s="78">
        <f>Gen!B19</f>
        <v>0.46800000000000003</v>
      </c>
    </row>
    <row r="11" spans="1:3" x14ac:dyDescent="0.2">
      <c r="A11" s="79">
        <f>Gen!A20</f>
        <v>44387</v>
      </c>
      <c r="B11" s="12">
        <f>'Lpg (2)'!G19</f>
        <v>117.30400000001538</v>
      </c>
      <c r="C11" s="78">
        <f>Gen!B20</f>
        <v>0.39</v>
      </c>
    </row>
    <row r="12" spans="1:3" x14ac:dyDescent="0.2">
      <c r="A12" s="79">
        <f>Gen!A21</f>
        <v>44388</v>
      </c>
      <c r="B12" s="12">
        <f>'Lpg (2)'!G20</f>
        <v>115.67599999997184</v>
      </c>
      <c r="C12" s="78">
        <f>Gen!B21</f>
        <v>0.40300000000000002</v>
      </c>
    </row>
    <row r="13" spans="1:3" x14ac:dyDescent="0.2">
      <c r="A13" s="79">
        <f>Gen!A22</f>
        <v>44389</v>
      </c>
      <c r="B13" s="12">
        <f>'Lpg (2)'!G21</f>
        <v>126.98400000000257</v>
      </c>
      <c r="C13" s="78">
        <f>Gen!B22</f>
        <v>0.39</v>
      </c>
    </row>
    <row r="14" spans="1:3" x14ac:dyDescent="0.2">
      <c r="A14" s="79">
        <f>Gen!A23</f>
        <v>44390</v>
      </c>
      <c r="B14" s="12">
        <f>'Lpg (2)'!G22</f>
        <v>117.87600000003586</v>
      </c>
      <c r="C14" s="78">
        <f>Gen!B23</f>
        <v>0.221</v>
      </c>
    </row>
    <row r="15" spans="1:3" x14ac:dyDescent="0.2">
      <c r="A15" s="79">
        <f>Gen!A24</f>
        <v>44391</v>
      </c>
      <c r="B15" s="12">
        <f>'Lpg (2)'!G23</f>
        <v>127.77599999997184</v>
      </c>
      <c r="C15" s="78">
        <f>Gen!B24</f>
        <v>0.19500000000000001</v>
      </c>
    </row>
    <row r="16" spans="1:3" x14ac:dyDescent="0.2">
      <c r="A16" s="79">
        <f>Gen!A25</f>
        <v>44392</v>
      </c>
      <c r="B16" s="12">
        <f>'Lpg (2)'!G24</f>
        <v>124.74000000002562</v>
      </c>
      <c r="C16" s="78">
        <f>Gen!B25</f>
        <v>0.20799999999999999</v>
      </c>
    </row>
    <row r="17" spans="1:3" x14ac:dyDescent="0.2">
      <c r="A17" s="79">
        <f>Gen!A26</f>
        <v>44393</v>
      </c>
      <c r="B17" s="12">
        <f>'Lpg (2)'!G25</f>
        <v>119.06399999998976</v>
      </c>
      <c r="C17" s="78">
        <f>Gen!B26</f>
        <v>0.27</v>
      </c>
    </row>
    <row r="18" spans="1:3" x14ac:dyDescent="0.2">
      <c r="A18" s="79">
        <f>Gen!A27</f>
        <v>44394</v>
      </c>
      <c r="B18" s="12">
        <f>'Lpg (2)'!G26</f>
        <v>114.44399999997695</v>
      </c>
      <c r="C18" s="78">
        <f>Gen!B27</f>
        <v>0.26</v>
      </c>
    </row>
    <row r="19" spans="1:3" x14ac:dyDescent="0.2">
      <c r="A19" s="79">
        <f>Gen!A28</f>
        <v>44395</v>
      </c>
      <c r="B19" s="12">
        <f>'Lpg (2)'!G27</f>
        <v>104.32400000002818</v>
      </c>
      <c r="C19" s="78">
        <f>Gen!B28</f>
        <v>0.35</v>
      </c>
    </row>
    <row r="20" spans="1:3" x14ac:dyDescent="0.2">
      <c r="A20" s="79">
        <f>Gen!A29</f>
        <v>44396</v>
      </c>
      <c r="B20" s="12">
        <f>'Lpg (2)'!G28</f>
        <v>113.65200000000769</v>
      </c>
      <c r="C20" s="78">
        <f>Gen!B29</f>
        <v>0.39</v>
      </c>
    </row>
    <row r="21" spans="1:3" x14ac:dyDescent="0.2">
      <c r="A21" s="79">
        <f>Gen!A30</f>
        <v>44397</v>
      </c>
      <c r="B21" s="12">
        <f>'Lpg (2)'!G29</f>
        <v>111.89199999996927</v>
      </c>
      <c r="C21" s="78">
        <f>Gen!B30</f>
        <v>0.39</v>
      </c>
    </row>
    <row r="22" spans="1:3" x14ac:dyDescent="0.2">
      <c r="A22" s="79">
        <f>Gen!A31</f>
        <v>44398</v>
      </c>
      <c r="B22" s="12">
        <f>'Lpg (2)'!G30</f>
        <v>336.11599999999748</v>
      </c>
      <c r="C22" s="78">
        <f>Gen!B31</f>
        <v>0.55000000000000004</v>
      </c>
    </row>
    <row r="23" spans="1:3" x14ac:dyDescent="0.2">
      <c r="A23" s="79">
        <f>Gen!A32</f>
        <v>44399</v>
      </c>
      <c r="B23" s="12">
        <f>'Lpg (2)'!G31</f>
        <v>-106.61199999998207</v>
      </c>
      <c r="C23" s="78">
        <f>Gen!B32</f>
        <v>0.54500000000000004</v>
      </c>
    </row>
    <row r="24" spans="1:3" x14ac:dyDescent="0.2">
      <c r="A24" s="79">
        <f>Gen!A33</f>
        <v>44400</v>
      </c>
      <c r="B24" s="12">
        <f>'Lpg (2)'!G32</f>
        <v>98.295999999984645</v>
      </c>
      <c r="C24" s="78">
        <f>Gen!B33</f>
        <v>0.45500000000000002</v>
      </c>
    </row>
    <row r="25" spans="1:3" x14ac:dyDescent="0.2">
      <c r="A25" s="79">
        <f>Gen!A34</f>
        <v>44401</v>
      </c>
      <c r="B25" s="12">
        <f>'Lpg (2)'!G33</f>
        <v>98.868000000005125</v>
      </c>
      <c r="C25" s="78">
        <f>Gen!B34</f>
        <v>0.247</v>
      </c>
    </row>
    <row r="26" spans="1:3" x14ac:dyDescent="0.2">
      <c r="A26" s="79">
        <f>Gen!A35</f>
        <v>44402</v>
      </c>
      <c r="B26" s="12">
        <f>'Lpg (2)'!G34</f>
        <v>106.39200000003331</v>
      </c>
      <c r="C26" s="78">
        <f>Gen!B35</f>
        <v>0.20799999999999999</v>
      </c>
    </row>
    <row r="27" spans="1:3" x14ac:dyDescent="0.2">
      <c r="A27" s="79">
        <f>Gen!A36</f>
        <v>44403</v>
      </c>
      <c r="B27" s="12">
        <f>'Lpg (2)'!G35</f>
        <v>93.323999999964158</v>
      </c>
      <c r="C27" s="78">
        <f>Gen!B36</f>
        <v>0.156</v>
      </c>
    </row>
    <row r="28" spans="1:3" x14ac:dyDescent="0.2">
      <c r="A28" s="79">
        <f>Gen!A37</f>
        <v>44404</v>
      </c>
      <c r="B28" s="12">
        <f>'Lpg (2)'!G36</f>
        <v>74.228000000043551</v>
      </c>
      <c r="C28" s="78">
        <f>Gen!B37</f>
        <v>0.29899999999999999</v>
      </c>
    </row>
    <row r="29" spans="1:3" x14ac:dyDescent="0.2">
      <c r="A29" s="79">
        <f>Gen!A38</f>
        <v>44405</v>
      </c>
      <c r="B29" s="12">
        <f>'Lpg (2)'!G37</f>
        <v>79.2</v>
      </c>
      <c r="C29" s="78">
        <f>Gen!B38</f>
        <v>0.46800000000000003</v>
      </c>
    </row>
    <row r="30" spans="1:3" x14ac:dyDescent="0.2">
      <c r="A30" s="79">
        <f>Gen!A39</f>
        <v>44406</v>
      </c>
      <c r="B30" s="12">
        <f>'Lpg (2)'!G38</f>
        <v>175.64799999999232</v>
      </c>
      <c r="C30" s="78">
        <f>Gen!B39</f>
        <v>0.51</v>
      </c>
    </row>
    <row r="31" spans="1:3" x14ac:dyDescent="0.2">
      <c r="A31" s="79">
        <f>Gen!A40</f>
        <v>44407</v>
      </c>
      <c r="B31" s="12">
        <f>'Lpg (2)'!G39</f>
        <v>171.29199999996928</v>
      </c>
      <c r="C31" s="78">
        <f>Gen!B40</f>
        <v>0.38</v>
      </c>
    </row>
    <row r="32" spans="1:3" x14ac:dyDescent="0.2">
      <c r="A32" s="79">
        <f>Gen!A41</f>
        <v>44408</v>
      </c>
      <c r="B32" s="12">
        <f>'Lpg (2)'!G40</f>
        <v>111.23199999999488</v>
      </c>
      <c r="C32" s="78">
        <f>Gen!B41</f>
        <v>0.15</v>
      </c>
    </row>
    <row r="33" spans="1:2" x14ac:dyDescent="0.2">
      <c r="A33" s="9"/>
      <c r="B33" s="12"/>
    </row>
    <row r="34" spans="1:2" x14ac:dyDescent="0.2">
      <c r="A34" s="9"/>
      <c r="B34" s="12"/>
    </row>
    <row r="35" spans="1:2" x14ac:dyDescent="0.2">
      <c r="A35" s="9"/>
      <c r="B35" s="863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zoomScale="94" zoomScaleNormal="94" workbookViewId="0">
      <pane xSplit="1" topLeftCell="AG1" activePane="topRight" state="frozen"/>
      <selection pane="topRight" activeCell="AG35" sqref="AG35"/>
    </sheetView>
  </sheetViews>
  <sheetFormatPr defaultRowHeight="12.75" x14ac:dyDescent="0.2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5.140625" style="805" customWidth="1"/>
  </cols>
  <sheetData>
    <row r="1" spans="1:40" ht="23.25" thickBot="1" x14ac:dyDescent="0.35">
      <c r="A1" s="934" t="s">
        <v>311</v>
      </c>
      <c r="B1" s="935"/>
      <c r="C1" s="935"/>
      <c r="D1" s="935"/>
      <c r="E1" s="935"/>
      <c r="F1" s="935"/>
      <c r="G1" s="935"/>
      <c r="H1" s="935"/>
      <c r="I1" s="935"/>
      <c r="J1" s="935"/>
      <c r="K1" s="935"/>
      <c r="L1" s="935"/>
      <c r="M1" s="935"/>
      <c r="N1" s="935"/>
      <c r="O1" s="935"/>
      <c r="P1" s="935"/>
      <c r="Q1" s="935"/>
      <c r="R1" s="935"/>
      <c r="S1" s="935"/>
      <c r="T1" s="935"/>
      <c r="U1" s="935"/>
      <c r="V1" s="935"/>
      <c r="W1" s="935"/>
      <c r="X1" s="935"/>
      <c r="Y1" s="935"/>
      <c r="Z1" s="935"/>
      <c r="AA1" s="935"/>
      <c r="AB1" s="935"/>
      <c r="AC1" s="935"/>
      <c r="AD1" s="935"/>
      <c r="AE1" s="935"/>
      <c r="AF1" s="935"/>
      <c r="AG1" s="935"/>
      <c r="AH1" s="935"/>
      <c r="AI1" s="935"/>
      <c r="AJ1" s="935"/>
      <c r="AK1" s="935"/>
      <c r="AL1" s="935"/>
      <c r="AM1" s="935"/>
      <c r="AN1" s="935"/>
    </row>
    <row r="2" spans="1:40" ht="13.5" customHeight="1" thickTop="1" x14ac:dyDescent="0.25">
      <c r="A2" s="20"/>
      <c r="B2" s="20"/>
      <c r="C2" s="931" t="s">
        <v>312</v>
      </c>
      <c r="D2" s="931"/>
      <c r="E2" s="931"/>
      <c r="F2" s="931" t="s">
        <v>313</v>
      </c>
      <c r="G2" s="931"/>
      <c r="H2" s="931"/>
      <c r="I2" s="931" t="s">
        <v>314</v>
      </c>
      <c r="J2" s="931"/>
      <c r="K2" s="931"/>
      <c r="L2" s="931" t="s">
        <v>315</v>
      </c>
      <c r="M2" s="931"/>
      <c r="N2" s="931"/>
      <c r="O2" s="931" t="s">
        <v>316</v>
      </c>
      <c r="P2" s="931"/>
      <c r="Q2" s="931"/>
      <c r="R2" s="224"/>
      <c r="S2" s="942" t="s">
        <v>317</v>
      </c>
      <c r="T2" s="943"/>
      <c r="U2" s="944"/>
      <c r="V2" s="942" t="s">
        <v>318</v>
      </c>
      <c r="W2" s="943"/>
      <c r="X2" s="944"/>
      <c r="Y2" s="942" t="s">
        <v>319</v>
      </c>
      <c r="Z2" s="943"/>
      <c r="AA2" s="944"/>
      <c r="AB2" s="942" t="s">
        <v>320</v>
      </c>
      <c r="AC2" s="943"/>
      <c r="AD2" s="944"/>
      <c r="AE2" s="936" t="s">
        <v>321</v>
      </c>
      <c r="AF2" s="937"/>
      <c r="AG2" s="948"/>
      <c r="AH2" s="936" t="s">
        <v>322</v>
      </c>
      <c r="AI2" s="937"/>
      <c r="AJ2" s="948"/>
      <c r="AK2" s="936" t="s">
        <v>323</v>
      </c>
      <c r="AL2" s="937"/>
      <c r="AM2" s="937"/>
      <c r="AN2" s="940" t="s">
        <v>324</v>
      </c>
    </row>
    <row r="3" spans="1:40" ht="21.75" customHeight="1" thickBot="1" x14ac:dyDescent="0.3">
      <c r="A3" s="932" t="s">
        <v>292</v>
      </c>
      <c r="B3" s="20"/>
      <c r="C3" s="931" t="s">
        <v>325</v>
      </c>
      <c r="D3" s="931" t="s">
        <v>326</v>
      </c>
      <c r="E3" s="931" t="s">
        <v>302</v>
      </c>
      <c r="F3" s="931" t="s">
        <v>325</v>
      </c>
      <c r="G3" s="931" t="s">
        <v>326</v>
      </c>
      <c r="H3" s="931" t="s">
        <v>302</v>
      </c>
      <c r="I3" s="931" t="s">
        <v>325</v>
      </c>
      <c r="J3" s="931" t="s">
        <v>326</v>
      </c>
      <c r="K3" s="931" t="s">
        <v>302</v>
      </c>
      <c r="L3" s="931" t="s">
        <v>325</v>
      </c>
      <c r="M3" s="931" t="s">
        <v>326</v>
      </c>
      <c r="N3" s="931" t="s">
        <v>302</v>
      </c>
      <c r="O3" s="931" t="s">
        <v>325</v>
      </c>
      <c r="P3" s="931" t="s">
        <v>326</v>
      </c>
      <c r="Q3" s="931" t="s">
        <v>302</v>
      </c>
      <c r="R3" s="950" t="s">
        <v>327</v>
      </c>
      <c r="S3" s="945"/>
      <c r="T3" s="946"/>
      <c r="U3" s="947"/>
      <c r="V3" s="945"/>
      <c r="W3" s="946"/>
      <c r="X3" s="947"/>
      <c r="Y3" s="945"/>
      <c r="Z3" s="946"/>
      <c r="AA3" s="947"/>
      <c r="AB3" s="945"/>
      <c r="AC3" s="946"/>
      <c r="AD3" s="947"/>
      <c r="AE3" s="938"/>
      <c r="AF3" s="939"/>
      <c r="AG3" s="949"/>
      <c r="AH3" s="938"/>
      <c r="AI3" s="939"/>
      <c r="AJ3" s="949"/>
      <c r="AK3" s="938"/>
      <c r="AL3" s="939"/>
      <c r="AM3" s="939"/>
      <c r="AN3" s="941"/>
    </row>
    <row r="4" spans="1:40" ht="15.75" thickTop="1" x14ac:dyDescent="0.25">
      <c r="A4" s="933"/>
      <c r="B4" s="219"/>
      <c r="C4" s="931"/>
      <c r="D4" s="931"/>
      <c r="E4" s="931"/>
      <c r="F4" s="931"/>
      <c r="G4" s="931"/>
      <c r="H4" s="931"/>
      <c r="I4" s="931"/>
      <c r="J4" s="931"/>
      <c r="K4" s="931"/>
      <c r="L4" s="931"/>
      <c r="M4" s="931"/>
      <c r="N4" s="931"/>
      <c r="O4" s="931"/>
      <c r="P4" s="931"/>
      <c r="Q4" s="931"/>
      <c r="R4" s="950"/>
      <c r="S4" s="228" t="s">
        <v>328</v>
      </c>
      <c r="T4" s="229" t="s">
        <v>329</v>
      </c>
      <c r="U4" s="227" t="s">
        <v>330</v>
      </c>
      <c r="V4" s="225" t="s">
        <v>328</v>
      </c>
      <c r="W4" s="226" t="s">
        <v>329</v>
      </c>
      <c r="X4" s="227" t="s">
        <v>330</v>
      </c>
      <c r="Y4" s="225" t="s">
        <v>328</v>
      </c>
      <c r="Z4" s="226" t="s">
        <v>329</v>
      </c>
      <c r="AA4" s="227" t="s">
        <v>330</v>
      </c>
      <c r="AB4" s="547" t="s">
        <v>328</v>
      </c>
      <c r="AC4" s="548" t="s">
        <v>329</v>
      </c>
      <c r="AD4" s="549" t="s">
        <v>99</v>
      </c>
      <c r="AE4" s="225" t="s">
        <v>328</v>
      </c>
      <c r="AF4" s="226" t="s">
        <v>329</v>
      </c>
      <c r="AG4" s="260" t="s">
        <v>99</v>
      </c>
      <c r="AH4" s="225" t="s">
        <v>328</v>
      </c>
      <c r="AI4" s="226" t="s">
        <v>329</v>
      </c>
      <c r="AJ4" s="260" t="s">
        <v>99</v>
      </c>
      <c r="AK4" s="225" t="s">
        <v>328</v>
      </c>
      <c r="AL4" s="226" t="s">
        <v>329</v>
      </c>
      <c r="AM4" s="260" t="s">
        <v>99</v>
      </c>
      <c r="AN4" s="803"/>
    </row>
    <row r="5" spans="1:40" ht="20.25" x14ac:dyDescent="0.3">
      <c r="A5" s="4"/>
      <c r="B5" s="4"/>
      <c r="C5" s="81">
        <f t="shared" ref="C5:C24" si="0">D4</f>
        <v>0</v>
      </c>
      <c r="D5" s="1">
        <v>259247</v>
      </c>
      <c r="E5" s="48">
        <f t="shared" ref="E5:E15" si="1">IF((D5-D4)&lt;0,"0",(D5-D4))</f>
        <v>259247</v>
      </c>
      <c r="F5" s="81">
        <f t="shared" ref="F5:F37" si="2">G4</f>
        <v>0</v>
      </c>
      <c r="G5" s="351"/>
      <c r="H5" s="432">
        <v>0</v>
      </c>
      <c r="I5" s="81">
        <f t="shared" ref="I5:I24" si="3">J4</f>
        <v>0</v>
      </c>
      <c r="J5" s="1">
        <v>8522</v>
      </c>
      <c r="K5" s="432">
        <f t="shared" ref="K5:K6" si="4">J5-J4</f>
        <v>8522</v>
      </c>
      <c r="L5" s="81">
        <f t="shared" ref="L5:L24" si="5">M4</f>
        <v>0</v>
      </c>
      <c r="M5" s="1"/>
      <c r="N5" s="432">
        <v>0</v>
      </c>
      <c r="O5" s="81">
        <f t="shared" ref="O5:O25" si="6">P4</f>
        <v>0</v>
      </c>
      <c r="P5" s="347">
        <v>21541</v>
      </c>
      <c r="Q5" s="432">
        <f t="shared" ref="Q5:Q27" si="7">IF((P5-P4)&lt;0,"0",(P5-P4))</f>
        <v>21541</v>
      </c>
      <c r="R5" s="221"/>
      <c r="S5" s="220"/>
      <c r="T5" s="348">
        <v>71758</v>
      </c>
      <c r="U5" s="220"/>
      <c r="V5" s="220" t="str">
        <f t="shared" ref="V5:V20" si="8">W4</f>
        <v>FINAL</v>
      </c>
      <c r="W5" s="348">
        <v>73031</v>
      </c>
      <c r="X5" s="221">
        <v>0</v>
      </c>
      <c r="Y5" s="220" t="str">
        <f t="shared" ref="Y5:Y36" si="9">Z4</f>
        <v>FINAL</v>
      </c>
      <c r="Z5" s="348">
        <v>91012</v>
      </c>
      <c r="AA5" s="221">
        <v>0</v>
      </c>
      <c r="AB5" s="550" t="str">
        <f>AC4</f>
        <v>FINAL</v>
      </c>
      <c r="AC5" s="221">
        <v>20259</v>
      </c>
      <c r="AD5" s="552"/>
      <c r="AE5" s="220" t="str">
        <f t="shared" ref="AE5:AE37" si="10">AF4</f>
        <v>FINAL</v>
      </c>
      <c r="AF5" s="349">
        <v>8305</v>
      </c>
      <c r="AG5" s="230">
        <v>0</v>
      </c>
      <c r="AH5" s="220" t="str">
        <f t="shared" ref="AH5:AH36" si="11">AI4</f>
        <v>FINAL</v>
      </c>
      <c r="AI5" s="349">
        <v>33029</v>
      </c>
      <c r="AJ5" s="230"/>
      <c r="AK5" s="220" t="str">
        <f t="shared" ref="AK5:AK36" si="12">AL4</f>
        <v>FINAL</v>
      </c>
      <c r="AL5" s="348"/>
      <c r="AM5" s="230"/>
      <c r="AN5" s="804"/>
    </row>
    <row r="6" spans="1:40" ht="23.1" customHeight="1" x14ac:dyDescent="0.3">
      <c r="A6" s="47">
        <f>Gen!A11</f>
        <v>44378</v>
      </c>
      <c r="B6" s="4"/>
      <c r="C6" s="81">
        <f t="shared" si="0"/>
        <v>259247</v>
      </c>
      <c r="D6" s="1">
        <v>259356</v>
      </c>
      <c r="E6" s="48">
        <f>IF((D6-D5)&lt;0,"0",(D6-D5))</f>
        <v>109</v>
      </c>
      <c r="F6" s="81">
        <f t="shared" si="2"/>
        <v>0</v>
      </c>
      <c r="G6" s="351"/>
      <c r="H6" s="432">
        <f t="shared" ref="H6:H24" si="13">IF((G6-G5)&lt;0,"0",(G6-G5))</f>
        <v>0</v>
      </c>
      <c r="I6" s="81">
        <f t="shared" si="3"/>
        <v>8522</v>
      </c>
      <c r="J6" s="1">
        <v>8524</v>
      </c>
      <c r="K6" s="432">
        <f t="shared" si="4"/>
        <v>2</v>
      </c>
      <c r="L6" s="81">
        <f t="shared" si="5"/>
        <v>0</v>
      </c>
      <c r="M6" s="1"/>
      <c r="N6" s="432">
        <f t="shared" ref="N6:N24" si="14">IF((M6-M5)&lt;0,"0",(M6-M5))</f>
        <v>0</v>
      </c>
      <c r="O6" s="81">
        <f t="shared" si="6"/>
        <v>21541</v>
      </c>
      <c r="P6" s="347">
        <v>21544</v>
      </c>
      <c r="Q6" s="432">
        <f t="shared" si="7"/>
        <v>3</v>
      </c>
      <c r="R6" s="222">
        <f>Q6+N6+K6+H6</f>
        <v>5</v>
      </c>
      <c r="S6" s="220">
        <f t="shared" ref="S6:S24" si="15">T5</f>
        <v>71758</v>
      </c>
      <c r="T6" s="348">
        <v>71806</v>
      </c>
      <c r="U6" s="433">
        <f t="shared" ref="U6:U24" si="16">IF((T6-T5)&lt;0,"0",(T6-T5))</f>
        <v>48</v>
      </c>
      <c r="V6" s="220">
        <f t="shared" si="8"/>
        <v>73031</v>
      </c>
      <c r="W6" s="348">
        <v>73031</v>
      </c>
      <c r="X6" s="433">
        <f t="shared" ref="X6:X34" si="17">IF((W6-W5)&lt;0,"0",(W6-W5))</f>
        <v>0</v>
      </c>
      <c r="Y6" s="220">
        <f t="shared" si="9"/>
        <v>91012</v>
      </c>
      <c r="Z6" s="348">
        <v>91047</v>
      </c>
      <c r="AA6" s="433">
        <f t="shared" ref="AA6:AA37" si="18">IF((Z6-Z5)&lt;0,"0",(Z6-Z5))</f>
        <v>35</v>
      </c>
      <c r="AB6" s="550">
        <f>AC5</f>
        <v>20259</v>
      </c>
      <c r="AC6" s="561">
        <v>20275</v>
      </c>
      <c r="AD6" s="553">
        <f>IF((AC6-AC5)&lt;0,"0",(AC6-AC5))</f>
        <v>16</v>
      </c>
      <c r="AE6" s="220">
        <f t="shared" si="10"/>
        <v>8305</v>
      </c>
      <c r="AF6" s="349">
        <v>8305</v>
      </c>
      <c r="AG6" s="433">
        <f t="shared" ref="AG6:AG36" si="19">IF((AF6-AF5)&lt;0,"0",(AF6-AF5))</f>
        <v>0</v>
      </c>
      <c r="AH6" s="220">
        <f t="shared" si="11"/>
        <v>33029</v>
      </c>
      <c r="AI6" s="349">
        <v>33061</v>
      </c>
      <c r="AJ6" s="433">
        <f t="shared" ref="AJ6:AJ36" si="20">IF((AI6-AI5)&lt;0,"0",(AI6-AI5))</f>
        <v>32</v>
      </c>
      <c r="AK6" s="220">
        <f t="shared" si="12"/>
        <v>0</v>
      </c>
      <c r="AL6" s="348"/>
      <c r="AM6" s="433">
        <f t="shared" ref="AM6:AM36" si="21">IF((AL6-AL5)&lt;0,"0",(AL6-AL5))</f>
        <v>0</v>
      </c>
      <c r="AN6" s="806">
        <f>U6+X6+AA6+AD6+AG6+AJ6+AM6</f>
        <v>131</v>
      </c>
    </row>
    <row r="7" spans="1:40" ht="23.1" customHeight="1" x14ac:dyDescent="0.3">
      <c r="A7" s="47">
        <f>Gen!A12</f>
        <v>44379</v>
      </c>
      <c r="B7" s="4"/>
      <c r="C7" s="81">
        <f t="shared" si="0"/>
        <v>259356</v>
      </c>
      <c r="D7" s="1">
        <v>259457</v>
      </c>
      <c r="E7" s="48">
        <f t="shared" si="1"/>
        <v>101</v>
      </c>
      <c r="F7" s="81">
        <f t="shared" si="2"/>
        <v>0</v>
      </c>
      <c r="G7" s="351"/>
      <c r="H7" s="432">
        <f t="shared" si="13"/>
        <v>0</v>
      </c>
      <c r="I7" s="81">
        <f t="shared" si="3"/>
        <v>8524</v>
      </c>
      <c r="J7" s="1">
        <v>8526</v>
      </c>
      <c r="K7" s="432">
        <f>J7-J6</f>
        <v>2</v>
      </c>
      <c r="L7" s="81">
        <f t="shared" si="5"/>
        <v>0</v>
      </c>
      <c r="M7" s="1"/>
      <c r="N7" s="432">
        <f t="shared" si="14"/>
        <v>0</v>
      </c>
      <c r="O7" s="81">
        <f t="shared" si="6"/>
        <v>21544</v>
      </c>
      <c r="P7" s="347">
        <v>21551</v>
      </c>
      <c r="Q7" s="432">
        <f t="shared" si="7"/>
        <v>7</v>
      </c>
      <c r="R7" s="222"/>
      <c r="S7" s="220">
        <f t="shared" si="15"/>
        <v>71806</v>
      </c>
      <c r="T7" s="348">
        <v>71885</v>
      </c>
      <c r="U7" s="433">
        <f t="shared" si="16"/>
        <v>79</v>
      </c>
      <c r="V7" s="220">
        <f t="shared" si="8"/>
        <v>73031</v>
      </c>
      <c r="W7" s="348">
        <v>73031</v>
      </c>
      <c r="X7" s="433">
        <f t="shared" si="17"/>
        <v>0</v>
      </c>
      <c r="Y7" s="220">
        <f t="shared" si="9"/>
        <v>91047</v>
      </c>
      <c r="Z7" s="348">
        <v>91080</v>
      </c>
      <c r="AA7" s="433">
        <f t="shared" si="18"/>
        <v>33</v>
      </c>
      <c r="AB7" s="550">
        <f t="shared" ref="AB7:AB37" si="22">AC6</f>
        <v>20275</v>
      </c>
      <c r="AC7" s="551">
        <v>20290</v>
      </c>
      <c r="AD7" s="553">
        <f t="shared" ref="AD7:AD37" si="23">IF((AC7-AC6)&lt;0,"0",(AC7-AC6))</f>
        <v>15</v>
      </c>
      <c r="AE7" s="220">
        <f t="shared" si="10"/>
        <v>8305</v>
      </c>
      <c r="AF7" s="349">
        <v>8305</v>
      </c>
      <c r="AG7" s="433">
        <f t="shared" si="19"/>
        <v>0</v>
      </c>
      <c r="AH7" s="220">
        <f t="shared" si="11"/>
        <v>33061</v>
      </c>
      <c r="AI7" s="349">
        <v>33090</v>
      </c>
      <c r="AJ7" s="433">
        <f t="shared" si="20"/>
        <v>29</v>
      </c>
      <c r="AK7" s="220">
        <f t="shared" si="12"/>
        <v>0</v>
      </c>
      <c r="AL7" s="348"/>
      <c r="AM7" s="433">
        <f t="shared" si="21"/>
        <v>0</v>
      </c>
      <c r="AN7" s="806">
        <f t="shared" ref="AN7:AN10" si="24">U7+X7+AA7+AD7+AG7+AJ7+AM7</f>
        <v>156</v>
      </c>
    </row>
    <row r="8" spans="1:40" ht="23.1" customHeight="1" x14ac:dyDescent="0.3">
      <c r="A8" s="47">
        <f>Gen!A13</f>
        <v>44380</v>
      </c>
      <c r="B8" s="4"/>
      <c r="C8" s="81">
        <f t="shared" si="0"/>
        <v>259457</v>
      </c>
      <c r="D8" s="1">
        <v>259551</v>
      </c>
      <c r="E8" s="48">
        <f t="shared" si="1"/>
        <v>94</v>
      </c>
      <c r="F8" s="81">
        <f t="shared" si="2"/>
        <v>0</v>
      </c>
      <c r="G8" s="351"/>
      <c r="H8" s="432">
        <f t="shared" si="13"/>
        <v>0</v>
      </c>
      <c r="I8" s="81">
        <f t="shared" si="3"/>
        <v>8526</v>
      </c>
      <c r="J8" s="1">
        <v>8529</v>
      </c>
      <c r="K8" s="432">
        <f>J8-J7</f>
        <v>3</v>
      </c>
      <c r="L8" s="81">
        <f t="shared" si="5"/>
        <v>0</v>
      </c>
      <c r="M8" s="1"/>
      <c r="N8" s="432">
        <f t="shared" si="14"/>
        <v>0</v>
      </c>
      <c r="O8" s="81">
        <f t="shared" si="6"/>
        <v>21551</v>
      </c>
      <c r="P8" s="347">
        <v>21559</v>
      </c>
      <c r="Q8" s="432">
        <f t="shared" si="7"/>
        <v>8</v>
      </c>
      <c r="R8" s="222"/>
      <c r="S8" s="220">
        <f t="shared" si="15"/>
        <v>71885</v>
      </c>
      <c r="T8" s="348">
        <v>71974</v>
      </c>
      <c r="U8" s="433">
        <f t="shared" si="16"/>
        <v>89</v>
      </c>
      <c r="V8" s="220">
        <f t="shared" si="8"/>
        <v>73031</v>
      </c>
      <c r="W8" s="348">
        <v>73031</v>
      </c>
      <c r="X8" s="433">
        <f t="shared" si="17"/>
        <v>0</v>
      </c>
      <c r="Y8" s="220">
        <f t="shared" si="9"/>
        <v>91080</v>
      </c>
      <c r="Z8" s="348">
        <v>91117</v>
      </c>
      <c r="AA8" s="433">
        <f t="shared" si="18"/>
        <v>37</v>
      </c>
      <c r="AB8" s="550">
        <f t="shared" si="22"/>
        <v>20290</v>
      </c>
      <c r="AC8" s="551">
        <v>20307</v>
      </c>
      <c r="AD8" s="553">
        <f t="shared" si="23"/>
        <v>17</v>
      </c>
      <c r="AE8" s="220">
        <f t="shared" si="10"/>
        <v>8305</v>
      </c>
      <c r="AF8" s="349">
        <v>8305</v>
      </c>
      <c r="AG8" s="433">
        <f t="shared" si="19"/>
        <v>0</v>
      </c>
      <c r="AH8" s="220">
        <f t="shared" si="11"/>
        <v>33090</v>
      </c>
      <c r="AI8" s="349">
        <v>33122</v>
      </c>
      <c r="AJ8" s="433">
        <f t="shared" si="20"/>
        <v>32</v>
      </c>
      <c r="AK8" s="220">
        <f t="shared" si="12"/>
        <v>0</v>
      </c>
      <c r="AL8" s="348"/>
      <c r="AM8" s="433">
        <f t="shared" si="21"/>
        <v>0</v>
      </c>
      <c r="AN8" s="806">
        <f t="shared" si="24"/>
        <v>175</v>
      </c>
    </row>
    <row r="9" spans="1:40" ht="23.1" customHeight="1" x14ac:dyDescent="0.3">
      <c r="A9" s="47">
        <f>Gen!A14</f>
        <v>44381</v>
      </c>
      <c r="B9" s="4"/>
      <c r="C9" s="81">
        <f t="shared" si="0"/>
        <v>259551</v>
      </c>
      <c r="D9" s="1">
        <v>259649</v>
      </c>
      <c r="E9" s="48">
        <f t="shared" si="1"/>
        <v>98</v>
      </c>
      <c r="F9" s="81">
        <f t="shared" si="2"/>
        <v>0</v>
      </c>
      <c r="G9" s="351"/>
      <c r="H9" s="432">
        <f t="shared" si="13"/>
        <v>0</v>
      </c>
      <c r="I9" s="81">
        <f t="shared" si="3"/>
        <v>8529</v>
      </c>
      <c r="J9" s="1">
        <v>8531</v>
      </c>
      <c r="K9" s="432">
        <f>J9-J8</f>
        <v>2</v>
      </c>
      <c r="L9" s="81">
        <f t="shared" si="5"/>
        <v>0</v>
      </c>
      <c r="M9" s="1"/>
      <c r="N9" s="432">
        <f t="shared" si="14"/>
        <v>0</v>
      </c>
      <c r="O9" s="81">
        <f t="shared" si="6"/>
        <v>21559</v>
      </c>
      <c r="P9" s="347">
        <v>21569</v>
      </c>
      <c r="Q9" s="432">
        <f t="shared" si="7"/>
        <v>10</v>
      </c>
      <c r="R9" s="222"/>
      <c r="S9" s="220">
        <f t="shared" si="15"/>
        <v>71974</v>
      </c>
      <c r="T9" s="348">
        <v>72054</v>
      </c>
      <c r="U9" s="433">
        <f t="shared" si="16"/>
        <v>80</v>
      </c>
      <c r="V9" s="220">
        <f t="shared" si="8"/>
        <v>73031</v>
      </c>
      <c r="W9" s="348">
        <v>73031</v>
      </c>
      <c r="X9" s="433">
        <f t="shared" si="17"/>
        <v>0</v>
      </c>
      <c r="Y9" s="220">
        <f t="shared" si="9"/>
        <v>91117</v>
      </c>
      <c r="Z9" s="348">
        <v>91150</v>
      </c>
      <c r="AA9" s="433">
        <f t="shared" si="18"/>
        <v>33</v>
      </c>
      <c r="AB9" s="550">
        <f t="shared" si="22"/>
        <v>20307</v>
      </c>
      <c r="AC9" s="551">
        <v>20322</v>
      </c>
      <c r="AD9" s="553">
        <f t="shared" si="23"/>
        <v>15</v>
      </c>
      <c r="AE9" s="220">
        <f t="shared" si="10"/>
        <v>8305</v>
      </c>
      <c r="AF9" s="349">
        <v>8305</v>
      </c>
      <c r="AG9" s="433">
        <f t="shared" si="19"/>
        <v>0</v>
      </c>
      <c r="AH9" s="220">
        <f t="shared" ref="AH9" si="25">AI9</f>
        <v>33152</v>
      </c>
      <c r="AI9" s="349">
        <v>33152</v>
      </c>
      <c r="AJ9" s="433">
        <f t="shared" si="20"/>
        <v>30</v>
      </c>
      <c r="AK9" s="220">
        <f t="shared" si="12"/>
        <v>0</v>
      </c>
      <c r="AL9" s="348"/>
      <c r="AM9" s="433">
        <f t="shared" si="21"/>
        <v>0</v>
      </c>
      <c r="AN9" s="806">
        <f t="shared" si="24"/>
        <v>158</v>
      </c>
    </row>
    <row r="10" spans="1:40" ht="23.1" customHeight="1" x14ac:dyDescent="0.3">
      <c r="A10" s="47">
        <f>Gen!A15</f>
        <v>44382</v>
      </c>
      <c r="B10" s="4"/>
      <c r="C10" s="81">
        <f t="shared" si="0"/>
        <v>259649</v>
      </c>
      <c r="D10" s="1">
        <v>259784</v>
      </c>
      <c r="E10" s="48">
        <f t="shared" si="1"/>
        <v>135</v>
      </c>
      <c r="F10" s="81">
        <f t="shared" si="2"/>
        <v>0</v>
      </c>
      <c r="G10" s="351"/>
      <c r="H10" s="432">
        <f t="shared" si="13"/>
        <v>0</v>
      </c>
      <c r="I10" s="81">
        <f t="shared" si="3"/>
        <v>8531</v>
      </c>
      <c r="J10" s="1">
        <v>8532</v>
      </c>
      <c r="K10" s="432">
        <f t="shared" ref="K10:K13" si="26">J10-J9</f>
        <v>1</v>
      </c>
      <c r="L10" s="81">
        <f t="shared" si="5"/>
        <v>0</v>
      </c>
      <c r="M10" s="1"/>
      <c r="N10" s="432">
        <f t="shared" si="14"/>
        <v>0</v>
      </c>
      <c r="O10" s="81">
        <f t="shared" si="6"/>
        <v>21569</v>
      </c>
      <c r="P10" s="347">
        <v>21576</v>
      </c>
      <c r="Q10" s="432">
        <f t="shared" si="7"/>
        <v>7</v>
      </c>
      <c r="R10" s="222"/>
      <c r="S10" s="220">
        <f t="shared" si="15"/>
        <v>72054</v>
      </c>
      <c r="T10" s="348">
        <v>72103</v>
      </c>
      <c r="U10" s="433">
        <f t="shared" si="16"/>
        <v>49</v>
      </c>
      <c r="V10" s="220">
        <f t="shared" si="8"/>
        <v>73031</v>
      </c>
      <c r="W10" s="348">
        <v>73031</v>
      </c>
      <c r="X10" s="433">
        <f t="shared" si="17"/>
        <v>0</v>
      </c>
      <c r="Y10" s="220">
        <f t="shared" si="9"/>
        <v>91150</v>
      </c>
      <c r="Z10" s="348">
        <v>91184</v>
      </c>
      <c r="AA10" s="433">
        <f t="shared" si="18"/>
        <v>34</v>
      </c>
      <c r="AB10" s="550">
        <f t="shared" si="22"/>
        <v>20322</v>
      </c>
      <c r="AC10" s="551">
        <v>20339</v>
      </c>
      <c r="AD10" s="553">
        <f t="shared" si="23"/>
        <v>17</v>
      </c>
      <c r="AE10" s="220">
        <f t="shared" si="10"/>
        <v>8305</v>
      </c>
      <c r="AF10" s="349">
        <v>8305</v>
      </c>
      <c r="AG10" s="433">
        <f t="shared" si="19"/>
        <v>0</v>
      </c>
      <c r="AH10" s="220">
        <f t="shared" si="11"/>
        <v>33152</v>
      </c>
      <c r="AI10" s="349">
        <v>33183</v>
      </c>
      <c r="AJ10" s="433">
        <f t="shared" si="20"/>
        <v>31</v>
      </c>
      <c r="AK10" s="220">
        <f t="shared" si="12"/>
        <v>0</v>
      </c>
      <c r="AL10" s="348"/>
      <c r="AM10" s="433">
        <f t="shared" si="21"/>
        <v>0</v>
      </c>
      <c r="AN10" s="806">
        <f t="shared" si="24"/>
        <v>131</v>
      </c>
    </row>
    <row r="11" spans="1:40" ht="23.1" customHeight="1" x14ac:dyDescent="0.3">
      <c r="A11" s="47">
        <f>Gen!A16</f>
        <v>44383</v>
      </c>
      <c r="B11" s="4"/>
      <c r="C11" s="81">
        <f t="shared" si="0"/>
        <v>259784</v>
      </c>
      <c r="D11" s="1">
        <v>259908</v>
      </c>
      <c r="E11" s="48">
        <f t="shared" si="1"/>
        <v>124</v>
      </c>
      <c r="F11" s="81">
        <f t="shared" si="2"/>
        <v>0</v>
      </c>
      <c r="G11" s="351"/>
      <c r="H11" s="432">
        <f t="shared" si="13"/>
        <v>0</v>
      </c>
      <c r="I11" s="81">
        <f t="shared" si="3"/>
        <v>8532</v>
      </c>
      <c r="J11" s="1">
        <v>8534</v>
      </c>
      <c r="K11" s="432">
        <f t="shared" si="26"/>
        <v>2</v>
      </c>
      <c r="L11" s="81">
        <f t="shared" si="5"/>
        <v>0</v>
      </c>
      <c r="M11" s="1"/>
      <c r="N11" s="432">
        <f t="shared" si="14"/>
        <v>0</v>
      </c>
      <c r="O11" s="81">
        <f t="shared" si="6"/>
        <v>21576</v>
      </c>
      <c r="P11" s="347">
        <v>21586</v>
      </c>
      <c r="Q11" s="432">
        <f t="shared" si="7"/>
        <v>10</v>
      </c>
      <c r="R11" s="222"/>
      <c r="S11" s="220">
        <f t="shared" si="15"/>
        <v>72103</v>
      </c>
      <c r="T11" s="348">
        <v>72103</v>
      </c>
      <c r="U11" s="433">
        <f t="shared" si="16"/>
        <v>0</v>
      </c>
      <c r="V11" s="220">
        <f t="shared" si="8"/>
        <v>73031</v>
      </c>
      <c r="W11" s="348">
        <v>73031</v>
      </c>
      <c r="X11" s="433">
        <f>IF((W12-W10)&lt;0,"0",(W12-W10))</f>
        <v>0</v>
      </c>
      <c r="Y11" s="220">
        <f t="shared" si="9"/>
        <v>91184</v>
      </c>
      <c r="Z11" s="348">
        <v>91219</v>
      </c>
      <c r="AA11" s="433">
        <f t="shared" si="18"/>
        <v>35</v>
      </c>
      <c r="AB11" s="550">
        <f t="shared" si="22"/>
        <v>20339</v>
      </c>
      <c r="AC11" s="551">
        <v>20355</v>
      </c>
      <c r="AD11" s="553">
        <f t="shared" si="23"/>
        <v>16</v>
      </c>
      <c r="AE11" s="220">
        <f>AF11</f>
        <v>8305</v>
      </c>
      <c r="AF11" s="349">
        <v>8305</v>
      </c>
      <c r="AG11" s="433">
        <f>IF((AF11-AF10)&lt;0,"0",(AF11-AF10))</f>
        <v>0</v>
      </c>
      <c r="AH11" s="220">
        <f t="shared" si="11"/>
        <v>33183</v>
      </c>
      <c r="AI11" s="349">
        <v>33214</v>
      </c>
      <c r="AJ11" s="433">
        <f t="shared" si="20"/>
        <v>31</v>
      </c>
      <c r="AK11" s="220">
        <f t="shared" si="12"/>
        <v>0</v>
      </c>
      <c r="AL11" s="348"/>
      <c r="AM11" s="433">
        <f t="shared" si="21"/>
        <v>0</v>
      </c>
      <c r="AN11" s="806">
        <f>U11+X11+AA11+AD11+AG11+AJ11+AM11</f>
        <v>82</v>
      </c>
    </row>
    <row r="12" spans="1:40" ht="23.1" customHeight="1" x14ac:dyDescent="0.3">
      <c r="A12" s="47">
        <f>Gen!A17</f>
        <v>44384</v>
      </c>
      <c r="B12" s="4"/>
      <c r="C12" s="81">
        <f t="shared" si="0"/>
        <v>259908</v>
      </c>
      <c r="D12" s="1">
        <v>260022</v>
      </c>
      <c r="E12" s="48">
        <f t="shared" si="1"/>
        <v>114</v>
      </c>
      <c r="F12" s="81">
        <f t="shared" si="2"/>
        <v>0</v>
      </c>
      <c r="G12" s="351"/>
      <c r="H12" s="432">
        <f t="shared" si="13"/>
        <v>0</v>
      </c>
      <c r="I12" s="81">
        <f t="shared" si="3"/>
        <v>8534</v>
      </c>
      <c r="J12" s="1">
        <v>8536</v>
      </c>
      <c r="K12" s="432">
        <f t="shared" si="26"/>
        <v>2</v>
      </c>
      <c r="L12" s="81">
        <f t="shared" si="5"/>
        <v>0</v>
      </c>
      <c r="M12" s="1"/>
      <c r="N12" s="432">
        <f t="shared" si="14"/>
        <v>0</v>
      </c>
      <c r="O12" s="81">
        <f t="shared" si="6"/>
        <v>21586</v>
      </c>
      <c r="P12" s="347">
        <v>21597</v>
      </c>
      <c r="Q12" s="432">
        <f t="shared" si="7"/>
        <v>11</v>
      </c>
      <c r="R12" s="222"/>
      <c r="S12" s="220">
        <f t="shared" si="15"/>
        <v>72103</v>
      </c>
      <c r="T12" s="348">
        <v>72189</v>
      </c>
      <c r="U12" s="433">
        <f t="shared" si="16"/>
        <v>86</v>
      </c>
      <c r="V12" s="220">
        <f>W12</f>
        <v>73031</v>
      </c>
      <c r="W12" s="348">
        <v>73031</v>
      </c>
      <c r="X12" s="433">
        <f>IF((W13-W11)&lt;0,"0",(W13-W11))</f>
        <v>0</v>
      </c>
      <c r="Y12" s="220">
        <f t="shared" si="9"/>
        <v>91219</v>
      </c>
      <c r="Z12" s="348">
        <v>91252</v>
      </c>
      <c r="AA12" s="433">
        <f t="shared" si="18"/>
        <v>33</v>
      </c>
      <c r="AB12" s="550">
        <f t="shared" si="22"/>
        <v>20355</v>
      </c>
      <c r="AC12" s="551">
        <v>20371</v>
      </c>
      <c r="AD12" s="553">
        <f t="shared" si="23"/>
        <v>16</v>
      </c>
      <c r="AE12" s="220">
        <f t="shared" ref="AE12:AE20" si="27">AF12</f>
        <v>8305</v>
      </c>
      <c r="AF12" s="349">
        <v>8305</v>
      </c>
      <c r="AG12" s="433">
        <f t="shared" si="19"/>
        <v>0</v>
      </c>
      <c r="AH12" s="220">
        <f t="shared" si="11"/>
        <v>33214</v>
      </c>
      <c r="AI12" s="349">
        <v>33246</v>
      </c>
      <c r="AJ12" s="433">
        <f t="shared" si="20"/>
        <v>32</v>
      </c>
      <c r="AK12" s="220">
        <f t="shared" si="12"/>
        <v>0</v>
      </c>
      <c r="AL12" s="348"/>
      <c r="AM12" s="433">
        <f t="shared" si="21"/>
        <v>0</v>
      </c>
      <c r="AN12" s="806">
        <f t="shared" ref="AN12:AN36" si="28">U12+X12+AA12+AD12+AG12+AJ12+AM12</f>
        <v>167</v>
      </c>
    </row>
    <row r="13" spans="1:40" ht="23.1" customHeight="1" x14ac:dyDescent="0.3">
      <c r="A13" s="47">
        <f>Gen!A18</f>
        <v>44385</v>
      </c>
      <c r="B13" s="4"/>
      <c r="C13" s="81">
        <f t="shared" si="0"/>
        <v>260022</v>
      </c>
      <c r="D13" s="1">
        <v>260116</v>
      </c>
      <c r="E13" s="48">
        <f t="shared" si="1"/>
        <v>94</v>
      </c>
      <c r="F13" s="81">
        <f t="shared" si="2"/>
        <v>0</v>
      </c>
      <c r="G13" s="351"/>
      <c r="H13" s="432">
        <f t="shared" si="13"/>
        <v>0</v>
      </c>
      <c r="I13" s="81">
        <f t="shared" si="3"/>
        <v>8536</v>
      </c>
      <c r="J13" s="1">
        <v>8537</v>
      </c>
      <c r="K13" s="432">
        <f t="shared" si="26"/>
        <v>1</v>
      </c>
      <c r="L13" s="81">
        <f t="shared" si="5"/>
        <v>0</v>
      </c>
      <c r="M13" s="1"/>
      <c r="N13" s="432">
        <f t="shared" si="14"/>
        <v>0</v>
      </c>
      <c r="O13" s="81">
        <f t="shared" si="6"/>
        <v>21597</v>
      </c>
      <c r="P13" s="347">
        <v>21606</v>
      </c>
      <c r="Q13" s="432">
        <f t="shared" si="7"/>
        <v>9</v>
      </c>
      <c r="R13" s="222"/>
      <c r="S13" s="220">
        <f t="shared" si="15"/>
        <v>72189</v>
      </c>
      <c r="T13" s="348">
        <v>72271</v>
      </c>
      <c r="U13" s="433">
        <f t="shared" si="16"/>
        <v>82</v>
      </c>
      <c r="V13" s="220">
        <f>W13</f>
        <v>73031</v>
      </c>
      <c r="W13" s="348">
        <v>73031</v>
      </c>
      <c r="X13" s="433">
        <f>IF((W14-W12)&lt;0,"0",(W14-W12))</f>
        <v>0</v>
      </c>
      <c r="Y13" s="220">
        <f t="shared" si="9"/>
        <v>91252</v>
      </c>
      <c r="Z13" s="348">
        <v>91285</v>
      </c>
      <c r="AA13" s="433">
        <f t="shared" si="18"/>
        <v>33</v>
      </c>
      <c r="AB13" s="550">
        <f t="shared" si="22"/>
        <v>20371</v>
      </c>
      <c r="AC13" s="551">
        <v>20387</v>
      </c>
      <c r="AD13" s="553">
        <f t="shared" si="23"/>
        <v>16</v>
      </c>
      <c r="AE13" s="220">
        <f t="shared" si="27"/>
        <v>8305</v>
      </c>
      <c r="AF13" s="349">
        <v>8305</v>
      </c>
      <c r="AG13" s="433">
        <f t="shared" si="19"/>
        <v>0</v>
      </c>
      <c r="AH13" s="220">
        <f t="shared" si="11"/>
        <v>33246</v>
      </c>
      <c r="AI13" s="349">
        <v>33279</v>
      </c>
      <c r="AJ13" s="433">
        <f t="shared" si="20"/>
        <v>33</v>
      </c>
      <c r="AK13" s="220">
        <f t="shared" si="12"/>
        <v>0</v>
      </c>
      <c r="AL13" s="348"/>
      <c r="AM13" s="433">
        <f t="shared" si="21"/>
        <v>0</v>
      </c>
      <c r="AN13" s="806">
        <f t="shared" si="28"/>
        <v>164</v>
      </c>
    </row>
    <row r="14" spans="1:40" ht="23.1" customHeight="1" x14ac:dyDescent="0.3">
      <c r="A14" s="47">
        <f>Gen!A19</f>
        <v>44386</v>
      </c>
      <c r="B14" s="4"/>
      <c r="C14" s="81">
        <f t="shared" si="0"/>
        <v>260116</v>
      </c>
      <c r="D14" s="1">
        <v>260224</v>
      </c>
      <c r="E14" s="48">
        <f t="shared" si="1"/>
        <v>108</v>
      </c>
      <c r="F14" s="81">
        <f t="shared" si="2"/>
        <v>0</v>
      </c>
      <c r="G14" s="351"/>
      <c r="H14" s="432">
        <f>IF((G14-G13)&lt;0,"0",(G14-G13))</f>
        <v>0</v>
      </c>
      <c r="I14" s="81">
        <f t="shared" si="3"/>
        <v>8537</v>
      </c>
      <c r="J14" s="1">
        <v>8539</v>
      </c>
      <c r="K14" s="432">
        <f t="shared" ref="K14:K27" si="29">IF((J14-J13)&lt;0,"0",(J14-J13))</f>
        <v>2</v>
      </c>
      <c r="L14" s="81">
        <f t="shared" si="5"/>
        <v>0</v>
      </c>
      <c r="M14" s="1"/>
      <c r="N14" s="432">
        <f t="shared" si="14"/>
        <v>0</v>
      </c>
      <c r="O14" s="81">
        <f t="shared" si="6"/>
        <v>21606</v>
      </c>
      <c r="P14" s="347">
        <v>21616</v>
      </c>
      <c r="Q14" s="432">
        <f t="shared" si="7"/>
        <v>10</v>
      </c>
      <c r="R14" s="222"/>
      <c r="S14" s="220">
        <f t="shared" si="15"/>
        <v>72271</v>
      </c>
      <c r="T14" s="348">
        <v>72354</v>
      </c>
      <c r="U14" s="433">
        <f t="shared" si="16"/>
        <v>83</v>
      </c>
      <c r="V14" s="220">
        <f>W14</f>
        <v>73031</v>
      </c>
      <c r="W14" s="348">
        <v>73031</v>
      </c>
      <c r="X14" s="433">
        <f>IF((W15-W13)&lt;0,"0",(W15-W13))</f>
        <v>0</v>
      </c>
      <c r="Y14" s="220">
        <f t="shared" si="9"/>
        <v>91285</v>
      </c>
      <c r="Z14" s="348">
        <v>91319</v>
      </c>
      <c r="AA14" s="433">
        <f>IF((Z14-Z13)&lt;0,"0",(Z14-Z13))</f>
        <v>34</v>
      </c>
      <c r="AB14" s="550">
        <f t="shared" si="22"/>
        <v>20387</v>
      </c>
      <c r="AC14" s="554">
        <v>20404</v>
      </c>
      <c r="AD14" s="553">
        <f t="shared" si="23"/>
        <v>17</v>
      </c>
      <c r="AE14" s="220">
        <f t="shared" si="27"/>
        <v>8305</v>
      </c>
      <c r="AF14" s="349">
        <v>8305</v>
      </c>
      <c r="AG14" s="433">
        <f t="shared" si="19"/>
        <v>0</v>
      </c>
      <c r="AH14" s="220">
        <f t="shared" si="11"/>
        <v>33279</v>
      </c>
      <c r="AI14" s="349">
        <v>33312</v>
      </c>
      <c r="AJ14" s="433">
        <f t="shared" si="20"/>
        <v>33</v>
      </c>
      <c r="AK14" s="220">
        <f t="shared" si="12"/>
        <v>0</v>
      </c>
      <c r="AL14" s="348"/>
      <c r="AM14" s="433">
        <f t="shared" si="21"/>
        <v>0</v>
      </c>
      <c r="AN14" s="806">
        <f>U14+X14+AA14+AD14+AG14+AJ14+AM14</f>
        <v>167</v>
      </c>
    </row>
    <row r="15" spans="1:40" ht="23.1" customHeight="1" x14ac:dyDescent="0.3">
      <c r="A15" s="47">
        <f>Gen!A20</f>
        <v>44387</v>
      </c>
      <c r="B15" s="4"/>
      <c r="C15" s="81">
        <f t="shared" si="0"/>
        <v>260224</v>
      </c>
      <c r="D15" s="1">
        <v>260340</v>
      </c>
      <c r="E15" s="48">
        <f t="shared" si="1"/>
        <v>116</v>
      </c>
      <c r="F15" s="81">
        <f t="shared" si="2"/>
        <v>0</v>
      </c>
      <c r="G15" s="351"/>
      <c r="H15" s="432">
        <f t="shared" ref="H15:H17" si="30">IF((G15-G14)&lt;0,"0",(G15-G14))</f>
        <v>0</v>
      </c>
      <c r="I15" s="81">
        <f t="shared" si="3"/>
        <v>8539</v>
      </c>
      <c r="J15" s="1">
        <v>8541</v>
      </c>
      <c r="K15" s="432">
        <f t="shared" si="29"/>
        <v>2</v>
      </c>
      <c r="L15" s="81">
        <f t="shared" si="5"/>
        <v>0</v>
      </c>
      <c r="M15" s="1"/>
      <c r="N15" s="432">
        <f t="shared" si="14"/>
        <v>0</v>
      </c>
      <c r="O15" s="81">
        <f t="shared" si="6"/>
        <v>21616</v>
      </c>
      <c r="P15" s="347">
        <v>21627</v>
      </c>
      <c r="Q15" s="432">
        <f t="shared" si="7"/>
        <v>11</v>
      </c>
      <c r="R15" s="222"/>
      <c r="S15" s="220">
        <f t="shared" si="15"/>
        <v>72354</v>
      </c>
      <c r="T15" s="348">
        <v>72435</v>
      </c>
      <c r="U15" s="433">
        <f t="shared" si="16"/>
        <v>81</v>
      </c>
      <c r="V15" s="220">
        <f t="shared" si="8"/>
        <v>73031</v>
      </c>
      <c r="W15" s="348">
        <v>73031</v>
      </c>
      <c r="X15" s="433">
        <f t="shared" si="17"/>
        <v>0</v>
      </c>
      <c r="Y15" s="220">
        <f t="shared" si="9"/>
        <v>91319</v>
      </c>
      <c r="Z15" s="348">
        <v>91359</v>
      </c>
      <c r="AA15" s="433">
        <f t="shared" si="18"/>
        <v>40</v>
      </c>
      <c r="AB15" s="550">
        <f t="shared" si="22"/>
        <v>20404</v>
      </c>
      <c r="AC15" s="554">
        <v>20420</v>
      </c>
      <c r="AD15" s="553">
        <f t="shared" si="23"/>
        <v>16</v>
      </c>
      <c r="AE15" s="220">
        <f t="shared" si="27"/>
        <v>8305</v>
      </c>
      <c r="AF15" s="349">
        <v>8305</v>
      </c>
      <c r="AG15" s="433">
        <f t="shared" si="19"/>
        <v>0</v>
      </c>
      <c r="AH15" s="220">
        <f t="shared" si="11"/>
        <v>33312</v>
      </c>
      <c r="AI15" s="349">
        <v>33347</v>
      </c>
      <c r="AJ15" s="433">
        <f t="shared" si="20"/>
        <v>35</v>
      </c>
      <c r="AK15" s="220">
        <f t="shared" si="12"/>
        <v>0</v>
      </c>
      <c r="AL15" s="348"/>
      <c r="AM15" s="433">
        <f t="shared" si="21"/>
        <v>0</v>
      </c>
      <c r="AN15" s="806">
        <f t="shared" si="28"/>
        <v>172</v>
      </c>
    </row>
    <row r="16" spans="1:40" ht="23.1" customHeight="1" x14ac:dyDescent="0.3">
      <c r="A16" s="47">
        <f>Gen!A21</f>
        <v>44388</v>
      </c>
      <c r="B16" s="4"/>
      <c r="C16" s="81">
        <f t="shared" si="0"/>
        <v>260340</v>
      </c>
      <c r="D16" s="1">
        <v>260456</v>
      </c>
      <c r="E16" s="48">
        <f>IF((D16-D15)&lt;0,"0",(D16-D15))</f>
        <v>116</v>
      </c>
      <c r="F16" s="81">
        <f t="shared" si="2"/>
        <v>0</v>
      </c>
      <c r="G16" s="351"/>
      <c r="H16" s="432">
        <f t="shared" si="30"/>
        <v>0</v>
      </c>
      <c r="I16" s="81">
        <f t="shared" si="3"/>
        <v>8541</v>
      </c>
      <c r="J16" s="1">
        <v>8547</v>
      </c>
      <c r="K16" s="432">
        <f t="shared" si="29"/>
        <v>6</v>
      </c>
      <c r="L16" s="81">
        <f t="shared" si="5"/>
        <v>0</v>
      </c>
      <c r="M16" s="1"/>
      <c r="N16" s="432">
        <f t="shared" si="14"/>
        <v>0</v>
      </c>
      <c r="O16" s="81">
        <f t="shared" si="6"/>
        <v>21627</v>
      </c>
      <c r="P16" s="347">
        <v>21638</v>
      </c>
      <c r="Q16" s="432">
        <f t="shared" si="7"/>
        <v>11</v>
      </c>
      <c r="R16" s="222"/>
      <c r="S16" s="220">
        <f t="shared" si="15"/>
        <v>72435</v>
      </c>
      <c r="T16" s="348">
        <v>72517</v>
      </c>
      <c r="U16" s="433">
        <f t="shared" si="16"/>
        <v>82</v>
      </c>
      <c r="V16" s="220">
        <f t="shared" si="8"/>
        <v>73031</v>
      </c>
      <c r="W16" s="348">
        <v>73031</v>
      </c>
      <c r="X16" s="433">
        <f t="shared" si="17"/>
        <v>0</v>
      </c>
      <c r="Y16" s="220">
        <f t="shared" si="9"/>
        <v>91359</v>
      </c>
      <c r="Z16" s="348">
        <v>91393</v>
      </c>
      <c r="AA16" s="433">
        <f t="shared" si="18"/>
        <v>34</v>
      </c>
      <c r="AB16" s="550">
        <f t="shared" si="22"/>
        <v>20420</v>
      </c>
      <c r="AC16" s="554">
        <v>20434</v>
      </c>
      <c r="AD16" s="553">
        <f t="shared" si="23"/>
        <v>14</v>
      </c>
      <c r="AE16" s="220">
        <f t="shared" si="27"/>
        <v>8305</v>
      </c>
      <c r="AF16" s="349">
        <v>8305</v>
      </c>
      <c r="AG16" s="433">
        <f t="shared" si="19"/>
        <v>0</v>
      </c>
      <c r="AH16" s="220">
        <f t="shared" si="11"/>
        <v>33347</v>
      </c>
      <c r="AI16" s="349">
        <v>33371</v>
      </c>
      <c r="AJ16" s="433">
        <f t="shared" si="20"/>
        <v>24</v>
      </c>
      <c r="AK16" s="220">
        <f t="shared" si="12"/>
        <v>0</v>
      </c>
      <c r="AL16" s="348"/>
      <c r="AM16" s="433">
        <f t="shared" si="21"/>
        <v>0</v>
      </c>
      <c r="AN16" s="806">
        <f t="shared" si="28"/>
        <v>154</v>
      </c>
    </row>
    <row r="17" spans="1:40" ht="23.1" customHeight="1" x14ac:dyDescent="0.3">
      <c r="A17" s="47">
        <f>Gen!A22</f>
        <v>44389</v>
      </c>
      <c r="B17" s="4"/>
      <c r="C17" s="81">
        <f t="shared" si="0"/>
        <v>260456</v>
      </c>
      <c r="D17" s="1">
        <v>260565</v>
      </c>
      <c r="E17" s="432">
        <f>IF((D17-D16)&lt;0,"0",(D17-D16))</f>
        <v>109</v>
      </c>
      <c r="F17" s="81">
        <f t="shared" si="2"/>
        <v>0</v>
      </c>
      <c r="G17" s="351"/>
      <c r="H17" s="432">
        <f t="shared" si="30"/>
        <v>0</v>
      </c>
      <c r="I17" s="81">
        <f t="shared" si="3"/>
        <v>8547</v>
      </c>
      <c r="J17" s="1">
        <v>8549</v>
      </c>
      <c r="K17" s="432">
        <f t="shared" si="29"/>
        <v>2</v>
      </c>
      <c r="L17" s="81">
        <f t="shared" si="5"/>
        <v>0</v>
      </c>
      <c r="M17" s="1"/>
      <c r="N17" s="432">
        <f t="shared" si="14"/>
        <v>0</v>
      </c>
      <c r="O17" s="81">
        <f t="shared" si="6"/>
        <v>21638</v>
      </c>
      <c r="P17" s="347">
        <v>21648</v>
      </c>
      <c r="Q17" s="432">
        <f t="shared" si="7"/>
        <v>10</v>
      </c>
      <c r="R17" s="222"/>
      <c r="S17" s="220">
        <f t="shared" si="15"/>
        <v>72517</v>
      </c>
      <c r="T17" s="348">
        <v>72603</v>
      </c>
      <c r="U17" s="433">
        <f>IF((T17-T16)&lt;0,"0",(T17-T16))</f>
        <v>86</v>
      </c>
      <c r="V17" s="220">
        <f t="shared" si="8"/>
        <v>73031</v>
      </c>
      <c r="W17" s="348">
        <v>73031</v>
      </c>
      <c r="X17" s="433">
        <f>IF((W17-W16)&lt;0,"0",(W17-W16))</f>
        <v>0</v>
      </c>
      <c r="Y17" s="220">
        <f t="shared" si="9"/>
        <v>91393</v>
      </c>
      <c r="Z17" s="348">
        <v>91430</v>
      </c>
      <c r="AA17" s="433">
        <f t="shared" si="18"/>
        <v>37</v>
      </c>
      <c r="AB17" s="550">
        <f t="shared" si="22"/>
        <v>20434</v>
      </c>
      <c r="AC17" s="554">
        <v>20449</v>
      </c>
      <c r="AD17" s="553">
        <f t="shared" si="23"/>
        <v>15</v>
      </c>
      <c r="AE17" s="220">
        <f t="shared" si="27"/>
        <v>8305</v>
      </c>
      <c r="AF17" s="349">
        <v>8305</v>
      </c>
      <c r="AG17" s="433">
        <f t="shared" si="19"/>
        <v>0</v>
      </c>
      <c r="AH17" s="220">
        <f t="shared" si="11"/>
        <v>33371</v>
      </c>
      <c r="AI17" s="349">
        <v>33404</v>
      </c>
      <c r="AJ17" s="433">
        <f t="shared" si="20"/>
        <v>33</v>
      </c>
      <c r="AK17" s="220">
        <f t="shared" si="12"/>
        <v>0</v>
      </c>
      <c r="AL17" s="348"/>
      <c r="AM17" s="433">
        <f>IF((AL17-AL16)&lt;0,"0",(AL17-AL16))</f>
        <v>0</v>
      </c>
      <c r="AN17" s="806">
        <f t="shared" si="28"/>
        <v>171</v>
      </c>
    </row>
    <row r="18" spans="1:40" ht="23.1" customHeight="1" x14ac:dyDescent="0.3">
      <c r="A18" s="47">
        <f>Gen!A23</f>
        <v>44390</v>
      </c>
      <c r="B18" s="4"/>
      <c r="C18" s="81">
        <f t="shared" si="0"/>
        <v>260565</v>
      </c>
      <c r="D18" s="1">
        <v>260670</v>
      </c>
      <c r="E18" s="432">
        <f t="shared" ref="E18:E37" si="31">IF((D18-D17)&lt;0,"0",(D18-D17))</f>
        <v>105</v>
      </c>
      <c r="F18" s="81">
        <f t="shared" si="2"/>
        <v>0</v>
      </c>
      <c r="G18" s="351"/>
      <c r="H18" s="432">
        <f t="shared" si="13"/>
        <v>0</v>
      </c>
      <c r="I18" s="81"/>
      <c r="J18" s="1">
        <v>8551</v>
      </c>
      <c r="K18" s="432">
        <f t="shared" si="29"/>
        <v>2</v>
      </c>
      <c r="L18" s="81">
        <f t="shared" si="5"/>
        <v>0</v>
      </c>
      <c r="M18" s="1"/>
      <c r="N18" s="432">
        <f t="shared" si="14"/>
        <v>0</v>
      </c>
      <c r="O18" s="81">
        <f t="shared" si="6"/>
        <v>21648</v>
      </c>
      <c r="P18" s="347">
        <v>21660</v>
      </c>
      <c r="Q18" s="432">
        <f t="shared" si="7"/>
        <v>12</v>
      </c>
      <c r="R18" s="222"/>
      <c r="S18" s="220">
        <f t="shared" si="15"/>
        <v>72603</v>
      </c>
      <c r="T18" s="348">
        <v>72686</v>
      </c>
      <c r="U18" s="433">
        <f>IF((T18-T17)&lt;0,"0",(T18-T17))</f>
        <v>83</v>
      </c>
      <c r="V18" s="220">
        <f t="shared" si="8"/>
        <v>73031</v>
      </c>
      <c r="W18" s="348">
        <v>73031</v>
      </c>
      <c r="X18" s="433">
        <f t="shared" si="17"/>
        <v>0</v>
      </c>
      <c r="Y18" s="220">
        <f t="shared" si="9"/>
        <v>91430</v>
      </c>
      <c r="Z18" s="348">
        <v>91466</v>
      </c>
      <c r="AA18" s="433">
        <f t="shared" si="18"/>
        <v>36</v>
      </c>
      <c r="AB18" s="841">
        <f>AC17</f>
        <v>20449</v>
      </c>
      <c r="AC18" s="554">
        <v>20464</v>
      </c>
      <c r="AD18" s="553">
        <f t="shared" si="23"/>
        <v>15</v>
      </c>
      <c r="AE18" s="220">
        <f t="shared" si="27"/>
        <v>8305</v>
      </c>
      <c r="AF18" s="349">
        <v>8305</v>
      </c>
      <c r="AG18" s="433">
        <f t="shared" si="19"/>
        <v>0</v>
      </c>
      <c r="AH18" s="220">
        <f>AI17</f>
        <v>33404</v>
      </c>
      <c r="AI18" s="349">
        <v>33435</v>
      </c>
      <c r="AJ18" s="433">
        <f t="shared" si="20"/>
        <v>31</v>
      </c>
      <c r="AK18" s="220">
        <f t="shared" si="12"/>
        <v>0</v>
      </c>
      <c r="AL18" s="348"/>
      <c r="AM18" s="433">
        <f t="shared" ref="AM18:AM26" si="32">IF((AL18-AL17)&lt;0,"0",(AL18-AL17))</f>
        <v>0</v>
      </c>
      <c r="AN18" s="806">
        <f t="shared" si="28"/>
        <v>165</v>
      </c>
    </row>
    <row r="19" spans="1:40" ht="23.1" customHeight="1" x14ac:dyDescent="0.3">
      <c r="A19" s="47">
        <f>Gen!A24</f>
        <v>44391</v>
      </c>
      <c r="B19" s="4"/>
      <c r="C19" s="81">
        <f t="shared" si="0"/>
        <v>260670</v>
      </c>
      <c r="D19" s="1">
        <v>260775</v>
      </c>
      <c r="E19" s="432">
        <f t="shared" si="31"/>
        <v>105</v>
      </c>
      <c r="F19" s="81">
        <f t="shared" si="2"/>
        <v>0</v>
      </c>
      <c r="G19" s="351"/>
      <c r="H19" s="432">
        <f t="shared" si="13"/>
        <v>0</v>
      </c>
      <c r="I19" s="81">
        <f t="shared" si="3"/>
        <v>8551</v>
      </c>
      <c r="J19" s="1">
        <v>8553</v>
      </c>
      <c r="K19" s="432">
        <f t="shared" si="29"/>
        <v>2</v>
      </c>
      <c r="L19" s="81">
        <f t="shared" si="5"/>
        <v>0</v>
      </c>
      <c r="M19" s="1"/>
      <c r="N19" s="432">
        <f t="shared" si="14"/>
        <v>0</v>
      </c>
      <c r="O19" s="81">
        <f t="shared" si="6"/>
        <v>21660</v>
      </c>
      <c r="P19" s="347">
        <v>21670</v>
      </c>
      <c r="Q19" s="432">
        <f t="shared" si="7"/>
        <v>10</v>
      </c>
      <c r="R19" s="222"/>
      <c r="S19" s="220">
        <f t="shared" si="15"/>
        <v>72686</v>
      </c>
      <c r="T19" s="348">
        <v>72688</v>
      </c>
      <c r="U19" s="433">
        <f t="shared" ref="U19:U22" si="33">IF((T19-T18)&lt;0,"0",(T19-T18))</f>
        <v>2</v>
      </c>
      <c r="V19" s="220">
        <f t="shared" si="8"/>
        <v>73031</v>
      </c>
      <c r="W19" s="348">
        <v>73031</v>
      </c>
      <c r="X19" s="433">
        <f t="shared" si="17"/>
        <v>0</v>
      </c>
      <c r="Y19" s="220">
        <f t="shared" si="9"/>
        <v>91466</v>
      </c>
      <c r="Z19" s="348">
        <v>91502</v>
      </c>
      <c r="AA19" s="433">
        <f t="shared" si="18"/>
        <v>36</v>
      </c>
      <c r="AB19" s="550">
        <f t="shared" si="22"/>
        <v>20464</v>
      </c>
      <c r="AC19" s="554">
        <v>20479</v>
      </c>
      <c r="AD19" s="553">
        <f t="shared" si="23"/>
        <v>15</v>
      </c>
      <c r="AE19" s="220">
        <f t="shared" si="27"/>
        <v>8305</v>
      </c>
      <c r="AF19" s="349">
        <v>8305</v>
      </c>
      <c r="AG19" s="433">
        <f t="shared" si="19"/>
        <v>0</v>
      </c>
      <c r="AH19" s="220">
        <f>AI18</f>
        <v>33435</v>
      </c>
      <c r="AI19" s="349">
        <v>33466</v>
      </c>
      <c r="AJ19" s="433">
        <f t="shared" si="20"/>
        <v>31</v>
      </c>
      <c r="AK19" s="220">
        <f t="shared" si="12"/>
        <v>0</v>
      </c>
      <c r="AL19" s="348"/>
      <c r="AM19" s="433">
        <f t="shared" si="32"/>
        <v>0</v>
      </c>
      <c r="AN19" s="806">
        <f t="shared" si="28"/>
        <v>84</v>
      </c>
    </row>
    <row r="20" spans="1:40" ht="23.1" customHeight="1" x14ac:dyDescent="0.3">
      <c r="A20" s="47">
        <f>Gen!A25</f>
        <v>44392</v>
      </c>
      <c r="B20" s="4"/>
      <c r="C20" s="81">
        <f t="shared" si="0"/>
        <v>260775</v>
      </c>
      <c r="D20" s="1">
        <v>260858</v>
      </c>
      <c r="E20" s="432">
        <f t="shared" si="31"/>
        <v>83</v>
      </c>
      <c r="F20" s="81">
        <f t="shared" si="2"/>
        <v>0</v>
      </c>
      <c r="G20" s="351"/>
      <c r="H20" s="432">
        <f t="shared" si="13"/>
        <v>0</v>
      </c>
      <c r="I20" s="81">
        <f t="shared" si="3"/>
        <v>8553</v>
      </c>
      <c r="J20" s="1">
        <v>8555</v>
      </c>
      <c r="K20" s="432">
        <f t="shared" si="29"/>
        <v>2</v>
      </c>
      <c r="L20" s="81">
        <f t="shared" si="5"/>
        <v>0</v>
      </c>
      <c r="M20" s="1"/>
      <c r="N20" s="432">
        <f t="shared" si="14"/>
        <v>0</v>
      </c>
      <c r="O20" s="81">
        <f t="shared" si="6"/>
        <v>21670</v>
      </c>
      <c r="P20" s="347">
        <v>21678</v>
      </c>
      <c r="Q20" s="432">
        <f t="shared" si="7"/>
        <v>8</v>
      </c>
      <c r="R20" s="222"/>
      <c r="S20" s="220">
        <f>T20</f>
        <v>72688</v>
      </c>
      <c r="T20" s="348">
        <v>72688</v>
      </c>
      <c r="U20" s="433">
        <f t="shared" si="33"/>
        <v>0</v>
      </c>
      <c r="V20" s="220">
        <f t="shared" si="8"/>
        <v>73031</v>
      </c>
      <c r="W20" s="348">
        <v>73031</v>
      </c>
      <c r="X20" s="433">
        <f t="shared" si="17"/>
        <v>0</v>
      </c>
      <c r="Y20" s="220">
        <f t="shared" si="9"/>
        <v>91502</v>
      </c>
      <c r="Z20" s="348">
        <v>91539</v>
      </c>
      <c r="AA20" s="433">
        <f>IF((Z20-Z19)&lt;0,"0",(Z20-Z19))</f>
        <v>37</v>
      </c>
      <c r="AB20" s="550">
        <f t="shared" si="22"/>
        <v>20479</v>
      </c>
      <c r="AC20" s="554">
        <v>20494</v>
      </c>
      <c r="AD20" s="553">
        <f t="shared" si="23"/>
        <v>15</v>
      </c>
      <c r="AE20" s="220">
        <f t="shared" si="27"/>
        <v>8305</v>
      </c>
      <c r="AF20" s="349">
        <v>8305</v>
      </c>
      <c r="AG20" s="433">
        <f t="shared" si="19"/>
        <v>0</v>
      </c>
      <c r="AH20" s="220">
        <f t="shared" si="11"/>
        <v>33466</v>
      </c>
      <c r="AI20" s="349">
        <v>33496</v>
      </c>
      <c r="AJ20" s="433">
        <f t="shared" si="20"/>
        <v>30</v>
      </c>
      <c r="AK20" s="220">
        <f t="shared" si="12"/>
        <v>0</v>
      </c>
      <c r="AL20" s="348"/>
      <c r="AM20" s="433">
        <f t="shared" si="32"/>
        <v>0</v>
      </c>
      <c r="AN20" s="806">
        <f t="shared" si="28"/>
        <v>82</v>
      </c>
    </row>
    <row r="21" spans="1:40" ht="23.1" customHeight="1" x14ac:dyDescent="0.3">
      <c r="A21" s="47">
        <f>Gen!A26</f>
        <v>44393</v>
      </c>
      <c r="B21" s="4"/>
      <c r="C21" s="81">
        <f t="shared" si="0"/>
        <v>260858</v>
      </c>
      <c r="D21" s="1">
        <v>260961</v>
      </c>
      <c r="E21" s="432">
        <f t="shared" si="31"/>
        <v>103</v>
      </c>
      <c r="F21" s="81">
        <f t="shared" si="2"/>
        <v>0</v>
      </c>
      <c r="G21" s="351"/>
      <c r="H21" s="432">
        <f t="shared" si="13"/>
        <v>0</v>
      </c>
      <c r="I21" s="81">
        <f t="shared" si="3"/>
        <v>8555</v>
      </c>
      <c r="J21" s="1">
        <v>8560</v>
      </c>
      <c r="K21" s="432">
        <f t="shared" si="29"/>
        <v>5</v>
      </c>
      <c r="L21" s="81">
        <f t="shared" si="5"/>
        <v>0</v>
      </c>
      <c r="M21" s="1"/>
      <c r="N21" s="432">
        <f t="shared" si="14"/>
        <v>0</v>
      </c>
      <c r="O21" s="81">
        <f t="shared" si="6"/>
        <v>21678</v>
      </c>
      <c r="P21" s="347">
        <v>21688</v>
      </c>
      <c r="Q21" s="432">
        <f t="shared" si="7"/>
        <v>10</v>
      </c>
      <c r="R21" s="222"/>
      <c r="S21" s="220">
        <f t="shared" ref="S21:S22" si="34">T21</f>
        <v>72747</v>
      </c>
      <c r="T21" s="348">
        <v>72747</v>
      </c>
      <c r="U21" s="433">
        <f t="shared" si="33"/>
        <v>59</v>
      </c>
      <c r="V21" s="220">
        <f t="shared" ref="V21:V35" si="35">W20</f>
        <v>73031</v>
      </c>
      <c r="W21" s="348">
        <v>73031</v>
      </c>
      <c r="X21" s="433">
        <f t="shared" si="17"/>
        <v>0</v>
      </c>
      <c r="Y21" s="220">
        <f t="shared" si="9"/>
        <v>91539</v>
      </c>
      <c r="Z21" s="348">
        <v>91576</v>
      </c>
      <c r="AA21" s="433">
        <f t="shared" si="18"/>
        <v>37</v>
      </c>
      <c r="AB21" s="550">
        <f t="shared" si="22"/>
        <v>20494</v>
      </c>
      <c r="AC21" s="554">
        <v>20511</v>
      </c>
      <c r="AD21" s="553">
        <f t="shared" si="23"/>
        <v>17</v>
      </c>
      <c r="AE21" s="220">
        <f t="shared" si="10"/>
        <v>8305</v>
      </c>
      <c r="AF21" s="349">
        <v>8305</v>
      </c>
      <c r="AG21" s="433">
        <f t="shared" si="19"/>
        <v>0</v>
      </c>
      <c r="AH21" s="220">
        <f t="shared" si="11"/>
        <v>33496</v>
      </c>
      <c r="AI21" s="349">
        <v>33538</v>
      </c>
      <c r="AJ21" s="433">
        <f t="shared" si="20"/>
        <v>42</v>
      </c>
      <c r="AK21" s="220">
        <f t="shared" si="12"/>
        <v>0</v>
      </c>
      <c r="AL21" s="348"/>
      <c r="AM21" s="433">
        <f t="shared" si="32"/>
        <v>0</v>
      </c>
      <c r="AN21" s="806">
        <f t="shared" si="28"/>
        <v>155</v>
      </c>
    </row>
    <row r="22" spans="1:40" ht="23.1" customHeight="1" x14ac:dyDescent="0.3">
      <c r="A22" s="47">
        <f>Gen!A27</f>
        <v>44394</v>
      </c>
      <c r="B22" s="4"/>
      <c r="C22" s="81">
        <f t="shared" si="0"/>
        <v>260961</v>
      </c>
      <c r="D22" s="1">
        <v>261068</v>
      </c>
      <c r="E22" s="432">
        <f t="shared" si="31"/>
        <v>107</v>
      </c>
      <c r="F22" s="81">
        <f t="shared" si="2"/>
        <v>0</v>
      </c>
      <c r="G22" s="351"/>
      <c r="H22" s="432">
        <f t="shared" si="13"/>
        <v>0</v>
      </c>
      <c r="I22" s="81">
        <f t="shared" si="3"/>
        <v>8560</v>
      </c>
      <c r="J22" s="1">
        <v>8564</v>
      </c>
      <c r="K22" s="432">
        <f t="shared" si="29"/>
        <v>4</v>
      </c>
      <c r="L22" s="81">
        <f t="shared" si="5"/>
        <v>0</v>
      </c>
      <c r="M22" s="1"/>
      <c r="N22" s="432">
        <f t="shared" si="14"/>
        <v>0</v>
      </c>
      <c r="O22" s="81">
        <f t="shared" si="6"/>
        <v>21688</v>
      </c>
      <c r="P22" s="347">
        <v>21698</v>
      </c>
      <c r="Q22" s="432">
        <f t="shared" si="7"/>
        <v>10</v>
      </c>
      <c r="R22" s="222"/>
      <c r="S22" s="220">
        <f t="shared" si="34"/>
        <v>72829</v>
      </c>
      <c r="T22" s="348">
        <v>72829</v>
      </c>
      <c r="U22" s="433">
        <f t="shared" si="33"/>
        <v>82</v>
      </c>
      <c r="V22" s="220">
        <f t="shared" si="35"/>
        <v>73031</v>
      </c>
      <c r="W22" s="348">
        <v>73031</v>
      </c>
      <c r="X22" s="433">
        <f t="shared" si="17"/>
        <v>0</v>
      </c>
      <c r="Y22" s="220">
        <f t="shared" si="9"/>
        <v>91576</v>
      </c>
      <c r="Z22" s="348">
        <v>91614</v>
      </c>
      <c r="AA22" s="433">
        <f t="shared" si="18"/>
        <v>38</v>
      </c>
      <c r="AB22" s="550">
        <f t="shared" si="22"/>
        <v>20511</v>
      </c>
      <c r="AC22" s="554">
        <v>20528</v>
      </c>
      <c r="AD22" s="553">
        <f t="shared" si="23"/>
        <v>17</v>
      </c>
      <c r="AE22" s="220">
        <f t="shared" si="10"/>
        <v>8305</v>
      </c>
      <c r="AF22" s="349">
        <v>8305</v>
      </c>
      <c r="AG22" s="433">
        <f t="shared" si="19"/>
        <v>0</v>
      </c>
      <c r="AH22" s="220">
        <f t="shared" si="11"/>
        <v>33538</v>
      </c>
      <c r="AI22" s="349">
        <v>33560</v>
      </c>
      <c r="AJ22" s="433">
        <f t="shared" si="20"/>
        <v>22</v>
      </c>
      <c r="AK22" s="220">
        <f t="shared" si="12"/>
        <v>0</v>
      </c>
      <c r="AL22" s="348"/>
      <c r="AM22" s="433">
        <f t="shared" si="32"/>
        <v>0</v>
      </c>
      <c r="AN22" s="806">
        <f t="shared" si="28"/>
        <v>159</v>
      </c>
    </row>
    <row r="23" spans="1:40" ht="23.1" customHeight="1" x14ac:dyDescent="0.3">
      <c r="A23" s="47">
        <f>Gen!A28</f>
        <v>44395</v>
      </c>
      <c r="B23" s="4"/>
      <c r="C23" s="81">
        <f t="shared" si="0"/>
        <v>261068</v>
      </c>
      <c r="D23" s="1">
        <v>261196</v>
      </c>
      <c r="E23" s="432">
        <f t="shared" si="31"/>
        <v>128</v>
      </c>
      <c r="F23" s="81">
        <f t="shared" si="2"/>
        <v>0</v>
      </c>
      <c r="G23" s="351"/>
      <c r="H23" s="432">
        <f t="shared" si="13"/>
        <v>0</v>
      </c>
      <c r="I23" s="81">
        <f t="shared" si="3"/>
        <v>8564</v>
      </c>
      <c r="J23" s="1">
        <v>8567</v>
      </c>
      <c r="K23" s="432">
        <f t="shared" si="29"/>
        <v>3</v>
      </c>
      <c r="L23" s="81">
        <f t="shared" si="5"/>
        <v>0</v>
      </c>
      <c r="M23" s="1"/>
      <c r="N23" s="432">
        <f t="shared" si="14"/>
        <v>0</v>
      </c>
      <c r="O23" s="81">
        <f t="shared" si="6"/>
        <v>21698</v>
      </c>
      <c r="P23" s="347">
        <v>21706</v>
      </c>
      <c r="Q23" s="432">
        <f t="shared" si="7"/>
        <v>8</v>
      </c>
      <c r="R23" s="222"/>
      <c r="S23" s="220">
        <f t="shared" si="15"/>
        <v>72829</v>
      </c>
      <c r="T23" s="348">
        <v>72829</v>
      </c>
      <c r="U23" s="433">
        <f t="shared" si="16"/>
        <v>0</v>
      </c>
      <c r="V23" s="220">
        <f t="shared" si="35"/>
        <v>73031</v>
      </c>
      <c r="W23" s="348">
        <v>73031</v>
      </c>
      <c r="X23" s="433">
        <f t="shared" si="17"/>
        <v>0</v>
      </c>
      <c r="Y23" s="220">
        <f t="shared" si="9"/>
        <v>91614</v>
      </c>
      <c r="Z23" s="348">
        <v>91651</v>
      </c>
      <c r="AA23" s="433">
        <f t="shared" si="18"/>
        <v>37</v>
      </c>
      <c r="AB23" s="550">
        <f t="shared" si="22"/>
        <v>20528</v>
      </c>
      <c r="AC23" s="551">
        <v>20545</v>
      </c>
      <c r="AD23" s="553">
        <f t="shared" si="23"/>
        <v>17</v>
      </c>
      <c r="AE23" s="220">
        <f t="shared" si="10"/>
        <v>8305</v>
      </c>
      <c r="AF23" s="349">
        <v>8305</v>
      </c>
      <c r="AG23" s="433">
        <f t="shared" si="19"/>
        <v>0</v>
      </c>
      <c r="AH23" s="220">
        <f t="shared" si="11"/>
        <v>33560</v>
      </c>
      <c r="AI23" s="349">
        <v>33591</v>
      </c>
      <c r="AJ23" s="433">
        <f t="shared" si="20"/>
        <v>31</v>
      </c>
      <c r="AK23" s="220">
        <f t="shared" si="12"/>
        <v>0</v>
      </c>
      <c r="AL23" s="348"/>
      <c r="AM23" s="433">
        <f t="shared" si="32"/>
        <v>0</v>
      </c>
      <c r="AN23" s="806">
        <f t="shared" si="28"/>
        <v>85</v>
      </c>
    </row>
    <row r="24" spans="1:40" ht="23.1" customHeight="1" x14ac:dyDescent="0.3">
      <c r="A24" s="47">
        <f>Gen!A29</f>
        <v>44396</v>
      </c>
      <c r="B24" s="4"/>
      <c r="C24" s="81">
        <f t="shared" si="0"/>
        <v>261196</v>
      </c>
      <c r="D24" s="1">
        <v>261311</v>
      </c>
      <c r="E24" s="432">
        <f t="shared" si="31"/>
        <v>115</v>
      </c>
      <c r="F24" s="81">
        <f t="shared" si="2"/>
        <v>0</v>
      </c>
      <c r="G24" s="351"/>
      <c r="H24" s="432">
        <f t="shared" si="13"/>
        <v>0</v>
      </c>
      <c r="I24" s="81">
        <f t="shared" si="3"/>
        <v>8567</v>
      </c>
      <c r="J24" s="1">
        <v>8568</v>
      </c>
      <c r="K24" s="432">
        <f t="shared" si="29"/>
        <v>1</v>
      </c>
      <c r="L24" s="81">
        <f t="shared" si="5"/>
        <v>0</v>
      </c>
      <c r="M24" s="1"/>
      <c r="N24" s="432">
        <f t="shared" si="14"/>
        <v>0</v>
      </c>
      <c r="O24" s="81">
        <f t="shared" si="6"/>
        <v>21706</v>
      </c>
      <c r="P24" s="347">
        <v>21718</v>
      </c>
      <c r="Q24" s="432">
        <f t="shared" si="7"/>
        <v>12</v>
      </c>
      <c r="R24" s="222"/>
      <c r="S24" s="220">
        <f t="shared" si="15"/>
        <v>72829</v>
      </c>
      <c r="T24" s="348">
        <v>72830</v>
      </c>
      <c r="U24" s="433">
        <f t="shared" si="16"/>
        <v>1</v>
      </c>
      <c r="V24" s="220">
        <f t="shared" si="35"/>
        <v>73031</v>
      </c>
      <c r="W24" s="348">
        <v>73031</v>
      </c>
      <c r="X24" s="433">
        <f>IF((W24-W22)&lt;0,"0",(W24-W22))</f>
        <v>0</v>
      </c>
      <c r="Y24" s="220">
        <f t="shared" si="9"/>
        <v>91651</v>
      </c>
      <c r="Z24" s="348">
        <v>91689</v>
      </c>
      <c r="AA24" s="433">
        <f t="shared" si="18"/>
        <v>38</v>
      </c>
      <c r="AB24" s="550">
        <f t="shared" si="22"/>
        <v>20545</v>
      </c>
      <c r="AC24" s="551">
        <v>20563</v>
      </c>
      <c r="AD24" s="553">
        <f t="shared" si="23"/>
        <v>18</v>
      </c>
      <c r="AE24" s="220">
        <f t="shared" si="10"/>
        <v>8305</v>
      </c>
      <c r="AF24" s="349">
        <v>8305</v>
      </c>
      <c r="AG24" s="433">
        <f t="shared" si="19"/>
        <v>0</v>
      </c>
      <c r="AH24" s="220">
        <f t="shared" si="11"/>
        <v>33591</v>
      </c>
      <c r="AI24" s="349">
        <v>33622</v>
      </c>
      <c r="AJ24" s="433">
        <f t="shared" si="20"/>
        <v>31</v>
      </c>
      <c r="AK24" s="220">
        <f t="shared" si="12"/>
        <v>0</v>
      </c>
      <c r="AL24" s="348"/>
      <c r="AM24" s="433">
        <f t="shared" si="32"/>
        <v>0</v>
      </c>
      <c r="AN24" s="806">
        <f t="shared" si="28"/>
        <v>88</v>
      </c>
    </row>
    <row r="25" spans="1:40" ht="23.1" customHeight="1" x14ac:dyDescent="0.3">
      <c r="A25" s="47">
        <f>Gen!A30</f>
        <v>44397</v>
      </c>
      <c r="B25" s="4"/>
      <c r="C25" s="81">
        <f>D24</f>
        <v>261311</v>
      </c>
      <c r="D25" s="1">
        <v>261424</v>
      </c>
      <c r="E25" s="432">
        <f t="shared" si="31"/>
        <v>113</v>
      </c>
      <c r="F25" s="81">
        <f t="shared" si="2"/>
        <v>0</v>
      </c>
      <c r="G25" s="351"/>
      <c r="H25" s="432">
        <f>IF((G26-G24)&lt;0,"0",(G26-G24))</f>
        <v>0</v>
      </c>
      <c r="I25" s="81">
        <f t="shared" ref="I25:I37" si="36">J24</f>
        <v>8568</v>
      </c>
      <c r="J25" s="1">
        <v>8569</v>
      </c>
      <c r="K25" s="432">
        <f t="shared" si="29"/>
        <v>1</v>
      </c>
      <c r="L25" s="81">
        <f t="shared" ref="L25:L37" si="37">M24</f>
        <v>0</v>
      </c>
      <c r="M25" s="1"/>
      <c r="N25" s="432">
        <f t="shared" ref="N25:N37" si="38">IF((M25-M24)&lt;0,"0",(M25-M24))</f>
        <v>0</v>
      </c>
      <c r="O25" s="81">
        <f t="shared" si="6"/>
        <v>21718</v>
      </c>
      <c r="P25" s="347">
        <v>21726</v>
      </c>
      <c r="Q25" s="432">
        <f t="shared" si="7"/>
        <v>8</v>
      </c>
      <c r="R25" s="222"/>
      <c r="S25" s="220">
        <f t="shared" ref="S25:S36" si="39">T24</f>
        <v>72830</v>
      </c>
      <c r="T25" s="348">
        <v>72914</v>
      </c>
      <c r="U25" s="433">
        <f t="shared" ref="U25:U36" si="40">IF((T25-T24)&lt;0,"0",(T25-T24))</f>
        <v>84</v>
      </c>
      <c r="V25" s="220">
        <f t="shared" si="35"/>
        <v>73031</v>
      </c>
      <c r="W25" s="348">
        <v>73031</v>
      </c>
      <c r="X25" s="433">
        <f>IF((W25-W23)&lt;0,"0",(W25-W23))</f>
        <v>0</v>
      </c>
      <c r="Y25" s="220">
        <f t="shared" si="9"/>
        <v>91689</v>
      </c>
      <c r="Z25" s="348">
        <v>91725</v>
      </c>
      <c r="AA25" s="433">
        <f t="shared" si="18"/>
        <v>36</v>
      </c>
      <c r="AB25" s="550">
        <f t="shared" si="22"/>
        <v>20563</v>
      </c>
      <c r="AC25" s="348">
        <v>20580</v>
      </c>
      <c r="AD25" s="553">
        <f t="shared" si="23"/>
        <v>17</v>
      </c>
      <c r="AE25" s="220">
        <f t="shared" si="10"/>
        <v>8305</v>
      </c>
      <c r="AF25" s="349">
        <v>8305</v>
      </c>
      <c r="AG25" s="433">
        <f t="shared" si="19"/>
        <v>0</v>
      </c>
      <c r="AH25" s="220">
        <f t="shared" si="11"/>
        <v>33622</v>
      </c>
      <c r="AI25" s="349">
        <v>33653</v>
      </c>
      <c r="AJ25" s="433">
        <f t="shared" si="20"/>
        <v>31</v>
      </c>
      <c r="AK25" s="220">
        <f t="shared" si="12"/>
        <v>0</v>
      </c>
      <c r="AL25" s="348"/>
      <c r="AM25" s="433">
        <f t="shared" si="32"/>
        <v>0</v>
      </c>
      <c r="AN25" s="806">
        <f t="shared" si="28"/>
        <v>168</v>
      </c>
    </row>
    <row r="26" spans="1:40" ht="23.1" customHeight="1" x14ac:dyDescent="0.3">
      <c r="A26" s="47">
        <f>Gen!A31</f>
        <v>44398</v>
      </c>
      <c r="B26" s="4"/>
      <c r="C26" s="81">
        <f>D25</f>
        <v>261424</v>
      </c>
      <c r="D26" s="1">
        <v>261557</v>
      </c>
      <c r="E26" s="432">
        <f t="shared" si="31"/>
        <v>133</v>
      </c>
      <c r="F26" s="81">
        <f>G26</f>
        <v>0</v>
      </c>
      <c r="G26" s="351"/>
      <c r="H26" s="432">
        <f t="shared" ref="H26:H27" si="41">IF((G27-G25)&lt;0,"0",(G27-G25))</f>
        <v>0</v>
      </c>
      <c r="I26" s="81">
        <f t="shared" si="36"/>
        <v>8569</v>
      </c>
      <c r="J26" s="1">
        <v>8571</v>
      </c>
      <c r="K26" s="432">
        <f t="shared" si="29"/>
        <v>2</v>
      </c>
      <c r="L26" s="81">
        <f t="shared" si="37"/>
        <v>0</v>
      </c>
      <c r="M26" s="1"/>
      <c r="N26" s="432">
        <f t="shared" si="38"/>
        <v>0</v>
      </c>
      <c r="O26" s="81">
        <f t="shared" ref="O26:O37" si="42">P25</f>
        <v>21726</v>
      </c>
      <c r="P26" s="347">
        <v>21732</v>
      </c>
      <c r="Q26" s="432">
        <f t="shared" si="7"/>
        <v>6</v>
      </c>
      <c r="R26" s="222"/>
      <c r="S26" s="220">
        <f t="shared" si="39"/>
        <v>72914</v>
      </c>
      <c r="T26" s="348">
        <v>72997</v>
      </c>
      <c r="U26" s="433">
        <f t="shared" si="40"/>
        <v>83</v>
      </c>
      <c r="V26" s="220">
        <f t="shared" si="35"/>
        <v>73031</v>
      </c>
      <c r="W26" s="348">
        <v>73031</v>
      </c>
      <c r="X26" s="433">
        <f t="shared" si="17"/>
        <v>0</v>
      </c>
      <c r="Y26" s="220">
        <f t="shared" si="9"/>
        <v>91725</v>
      </c>
      <c r="Z26" s="348">
        <v>91761</v>
      </c>
      <c r="AA26" s="433">
        <f t="shared" si="18"/>
        <v>36</v>
      </c>
      <c r="AB26" s="550">
        <f t="shared" si="22"/>
        <v>20580</v>
      </c>
      <c r="AC26" s="551">
        <v>20598</v>
      </c>
      <c r="AD26" s="553">
        <f t="shared" si="23"/>
        <v>18</v>
      </c>
      <c r="AE26" s="220">
        <f t="shared" si="10"/>
        <v>8305</v>
      </c>
      <c r="AF26" s="349">
        <v>8305</v>
      </c>
      <c r="AG26" s="433">
        <f t="shared" si="19"/>
        <v>0</v>
      </c>
      <c r="AH26" s="220">
        <f t="shared" si="11"/>
        <v>33653</v>
      </c>
      <c r="AI26" s="349">
        <v>33685</v>
      </c>
      <c r="AJ26" s="433">
        <f t="shared" si="20"/>
        <v>32</v>
      </c>
      <c r="AK26" s="220">
        <f t="shared" si="12"/>
        <v>0</v>
      </c>
      <c r="AL26" s="348"/>
      <c r="AM26" s="433">
        <f t="shared" si="32"/>
        <v>0</v>
      </c>
      <c r="AN26" s="806">
        <f t="shared" si="28"/>
        <v>169</v>
      </c>
    </row>
    <row r="27" spans="1:40" ht="23.1" customHeight="1" x14ac:dyDescent="0.3">
      <c r="A27" s="47">
        <f>Gen!A32</f>
        <v>44399</v>
      </c>
      <c r="B27" s="4"/>
      <c r="C27" s="81">
        <f>D26</f>
        <v>261557</v>
      </c>
      <c r="D27" s="1">
        <v>261670</v>
      </c>
      <c r="E27" s="432">
        <f t="shared" si="31"/>
        <v>113</v>
      </c>
      <c r="F27" s="81">
        <f t="shared" ref="F27:F31" si="43">G27</f>
        <v>0</v>
      </c>
      <c r="G27" s="351"/>
      <c r="H27" s="432">
        <f t="shared" si="41"/>
        <v>0</v>
      </c>
      <c r="I27" s="81">
        <f t="shared" si="36"/>
        <v>8571</v>
      </c>
      <c r="J27" s="1">
        <v>8572</v>
      </c>
      <c r="K27" s="432">
        <f t="shared" si="29"/>
        <v>1</v>
      </c>
      <c r="L27" s="81">
        <f t="shared" si="37"/>
        <v>0</v>
      </c>
      <c r="M27" s="1"/>
      <c r="N27" s="432">
        <f t="shared" si="38"/>
        <v>0</v>
      </c>
      <c r="O27" s="81">
        <f t="shared" si="42"/>
        <v>21732</v>
      </c>
      <c r="P27" s="347">
        <v>21741</v>
      </c>
      <c r="Q27" s="432">
        <f t="shared" si="7"/>
        <v>9</v>
      </c>
      <c r="R27" s="222"/>
      <c r="S27" s="220">
        <f t="shared" si="39"/>
        <v>72997</v>
      </c>
      <c r="T27" s="348">
        <v>73042</v>
      </c>
      <c r="U27" s="433">
        <f t="shared" si="40"/>
        <v>45</v>
      </c>
      <c r="V27" s="220">
        <f t="shared" si="35"/>
        <v>73031</v>
      </c>
      <c r="W27" s="348">
        <v>73031</v>
      </c>
      <c r="X27" s="433">
        <f t="shared" si="17"/>
        <v>0</v>
      </c>
      <c r="Y27" s="220">
        <f t="shared" si="9"/>
        <v>91761</v>
      </c>
      <c r="Z27" s="348">
        <v>91796</v>
      </c>
      <c r="AA27" s="433">
        <f>IF((Z27-Z26)&lt;0,"0",(Z27-Z26))</f>
        <v>35</v>
      </c>
      <c r="AB27" s="550">
        <f t="shared" si="22"/>
        <v>20598</v>
      </c>
      <c r="AC27" s="551">
        <v>20626</v>
      </c>
      <c r="AD27" s="553">
        <f t="shared" si="23"/>
        <v>28</v>
      </c>
      <c r="AE27" s="220">
        <f t="shared" si="10"/>
        <v>8305</v>
      </c>
      <c r="AF27" s="349">
        <v>8305</v>
      </c>
      <c r="AG27" s="433">
        <f t="shared" si="19"/>
        <v>0</v>
      </c>
      <c r="AH27" s="220">
        <f t="shared" si="11"/>
        <v>33685</v>
      </c>
      <c r="AI27" s="349">
        <v>33716</v>
      </c>
      <c r="AJ27" s="433">
        <f t="shared" si="20"/>
        <v>31</v>
      </c>
      <c r="AK27" s="220">
        <f t="shared" si="12"/>
        <v>0</v>
      </c>
      <c r="AL27" s="348"/>
      <c r="AM27" s="433">
        <f t="shared" si="21"/>
        <v>0</v>
      </c>
      <c r="AN27" s="806">
        <f t="shared" si="28"/>
        <v>139</v>
      </c>
    </row>
    <row r="28" spans="1:40" ht="23.1" customHeight="1" x14ac:dyDescent="0.3">
      <c r="A28" s="47">
        <f>Gen!A33</f>
        <v>44400</v>
      </c>
      <c r="B28" s="4"/>
      <c r="C28" s="81">
        <f t="shared" ref="C28:C37" si="44">D27</f>
        <v>261670</v>
      </c>
      <c r="D28" s="1">
        <v>261778</v>
      </c>
      <c r="E28" s="432">
        <f t="shared" si="31"/>
        <v>108</v>
      </c>
      <c r="F28" s="81">
        <f t="shared" si="43"/>
        <v>0</v>
      </c>
      <c r="G28" s="351"/>
      <c r="H28" s="432">
        <f t="shared" ref="H28:H37" si="45">IF((G28-G27)&lt;0,"0",(G28-G27))</f>
        <v>0</v>
      </c>
      <c r="I28" s="81">
        <f t="shared" si="36"/>
        <v>8572</v>
      </c>
      <c r="J28" s="1">
        <v>8573</v>
      </c>
      <c r="K28" s="432">
        <f>IF((J28-J27)&lt;0,"0",(J28-J27))</f>
        <v>1</v>
      </c>
      <c r="L28" s="81">
        <f t="shared" si="37"/>
        <v>0</v>
      </c>
      <c r="M28" s="1"/>
      <c r="N28" s="432">
        <f t="shared" si="38"/>
        <v>0</v>
      </c>
      <c r="O28" s="81">
        <f t="shared" si="42"/>
        <v>21741</v>
      </c>
      <c r="P28" s="347">
        <v>21749</v>
      </c>
      <c r="Q28" s="432">
        <f t="shared" ref="Q28:Q37" si="46">IF((P28-P27)&lt;0,"0",(P28-P27))</f>
        <v>8</v>
      </c>
      <c r="R28" s="222"/>
      <c r="S28" s="220">
        <f t="shared" si="39"/>
        <v>73042</v>
      </c>
      <c r="T28" s="348">
        <v>73119</v>
      </c>
      <c r="U28" s="433">
        <f t="shared" si="40"/>
        <v>77</v>
      </c>
      <c r="V28" s="220">
        <f t="shared" si="35"/>
        <v>73031</v>
      </c>
      <c r="W28" s="348">
        <v>73031</v>
      </c>
      <c r="X28" s="433">
        <f t="shared" si="17"/>
        <v>0</v>
      </c>
      <c r="Y28" s="220">
        <f t="shared" si="9"/>
        <v>91796</v>
      </c>
      <c r="Z28" s="348">
        <v>91831</v>
      </c>
      <c r="AA28" s="433">
        <f>IF((Z28-Z27)&lt;0,"0",(Z28-Z27))</f>
        <v>35</v>
      </c>
      <c r="AB28" s="550">
        <f t="shared" si="22"/>
        <v>20626</v>
      </c>
      <c r="AC28" s="551">
        <v>20647</v>
      </c>
      <c r="AD28" s="553">
        <f t="shared" si="23"/>
        <v>21</v>
      </c>
      <c r="AE28" s="220">
        <f t="shared" si="10"/>
        <v>8305</v>
      </c>
      <c r="AF28" s="349">
        <v>8305</v>
      </c>
      <c r="AG28" s="433">
        <f t="shared" si="19"/>
        <v>0</v>
      </c>
      <c r="AH28" s="220">
        <f t="shared" si="11"/>
        <v>33716</v>
      </c>
      <c r="AI28" s="349">
        <v>33748</v>
      </c>
      <c r="AJ28" s="433">
        <f t="shared" si="20"/>
        <v>32</v>
      </c>
      <c r="AK28" s="220">
        <f t="shared" si="12"/>
        <v>0</v>
      </c>
      <c r="AL28" s="348"/>
      <c r="AM28" s="433">
        <f t="shared" si="21"/>
        <v>0</v>
      </c>
      <c r="AN28" s="806">
        <f t="shared" si="28"/>
        <v>165</v>
      </c>
    </row>
    <row r="29" spans="1:40" ht="23.1" customHeight="1" x14ac:dyDescent="0.3">
      <c r="A29" s="47">
        <f>Gen!A34</f>
        <v>44401</v>
      </c>
      <c r="B29" s="4"/>
      <c r="C29" s="81">
        <f t="shared" si="44"/>
        <v>261778</v>
      </c>
      <c r="D29" s="1">
        <v>261884</v>
      </c>
      <c r="E29" s="432">
        <f t="shared" si="31"/>
        <v>106</v>
      </c>
      <c r="F29" s="81">
        <f t="shared" si="43"/>
        <v>0</v>
      </c>
      <c r="G29" s="351"/>
      <c r="H29" s="432">
        <f t="shared" si="45"/>
        <v>0</v>
      </c>
      <c r="I29" s="81">
        <f t="shared" si="36"/>
        <v>8573</v>
      </c>
      <c r="J29" s="1">
        <v>8575</v>
      </c>
      <c r="K29" s="432">
        <f t="shared" ref="K29:K37" si="47">IF((J29-J28)&lt;0,"0",(J29-J28))</f>
        <v>2</v>
      </c>
      <c r="L29" s="81">
        <f t="shared" si="37"/>
        <v>0</v>
      </c>
      <c r="M29" s="1"/>
      <c r="N29" s="432">
        <f t="shared" si="38"/>
        <v>0</v>
      </c>
      <c r="O29" s="81">
        <f t="shared" si="42"/>
        <v>21749</v>
      </c>
      <c r="P29" s="347">
        <v>21760</v>
      </c>
      <c r="Q29" s="432">
        <f t="shared" si="46"/>
        <v>11</v>
      </c>
      <c r="R29" s="222"/>
      <c r="S29" s="220">
        <f t="shared" si="39"/>
        <v>73119</v>
      </c>
      <c r="T29" s="348">
        <v>73198</v>
      </c>
      <c r="U29" s="433">
        <f t="shared" si="40"/>
        <v>79</v>
      </c>
      <c r="V29" s="220">
        <f t="shared" si="35"/>
        <v>73031</v>
      </c>
      <c r="W29" s="348">
        <v>73031</v>
      </c>
      <c r="X29" s="433">
        <f t="shared" si="17"/>
        <v>0</v>
      </c>
      <c r="Y29" s="220">
        <f t="shared" si="9"/>
        <v>91831</v>
      </c>
      <c r="Z29" s="348">
        <v>91864</v>
      </c>
      <c r="AA29" s="433">
        <f>IF((Z29-Z28)&lt;0,"0",(Z29-Z28))</f>
        <v>33</v>
      </c>
      <c r="AB29" s="550">
        <f t="shared" si="22"/>
        <v>20647</v>
      </c>
      <c r="AC29" s="551">
        <v>20664</v>
      </c>
      <c r="AD29" s="553">
        <f t="shared" si="23"/>
        <v>17</v>
      </c>
      <c r="AE29" s="220">
        <f t="shared" si="10"/>
        <v>8305</v>
      </c>
      <c r="AF29" s="349">
        <v>8305</v>
      </c>
      <c r="AG29" s="433">
        <f t="shared" si="19"/>
        <v>0</v>
      </c>
      <c r="AH29" s="220">
        <f t="shared" si="11"/>
        <v>33748</v>
      </c>
      <c r="AI29" s="349">
        <v>33777</v>
      </c>
      <c r="AJ29" s="433">
        <f t="shared" si="20"/>
        <v>29</v>
      </c>
      <c r="AK29" s="220">
        <f t="shared" si="12"/>
        <v>0</v>
      </c>
      <c r="AL29" s="348"/>
      <c r="AM29" s="433">
        <f t="shared" si="21"/>
        <v>0</v>
      </c>
      <c r="AN29" s="806">
        <f t="shared" si="28"/>
        <v>158</v>
      </c>
    </row>
    <row r="30" spans="1:40" ht="23.1" customHeight="1" x14ac:dyDescent="0.3">
      <c r="A30" s="47">
        <f>Gen!A35</f>
        <v>44402</v>
      </c>
      <c r="B30" s="4"/>
      <c r="C30" s="81">
        <f t="shared" si="44"/>
        <v>261884</v>
      </c>
      <c r="D30" s="1">
        <v>261990</v>
      </c>
      <c r="E30" s="432">
        <f t="shared" si="31"/>
        <v>106</v>
      </c>
      <c r="F30" s="81">
        <f t="shared" si="43"/>
        <v>0</v>
      </c>
      <c r="G30" s="351"/>
      <c r="H30" s="432">
        <f t="shared" si="45"/>
        <v>0</v>
      </c>
      <c r="I30" s="81">
        <f t="shared" si="36"/>
        <v>8575</v>
      </c>
      <c r="J30" s="1">
        <v>8577</v>
      </c>
      <c r="K30" s="432">
        <f t="shared" si="47"/>
        <v>2</v>
      </c>
      <c r="L30" s="81">
        <f t="shared" si="37"/>
        <v>0</v>
      </c>
      <c r="M30" s="1"/>
      <c r="N30" s="432">
        <f t="shared" si="38"/>
        <v>0</v>
      </c>
      <c r="O30" s="81">
        <f t="shared" si="42"/>
        <v>21760</v>
      </c>
      <c r="P30" s="347">
        <v>21770</v>
      </c>
      <c r="Q30" s="432">
        <f t="shared" si="46"/>
        <v>10</v>
      </c>
      <c r="R30" s="222"/>
      <c r="S30" s="220">
        <f t="shared" si="39"/>
        <v>73198</v>
      </c>
      <c r="T30" s="348">
        <v>73280</v>
      </c>
      <c r="U30" s="433">
        <f t="shared" si="40"/>
        <v>82</v>
      </c>
      <c r="V30" s="220">
        <f t="shared" si="35"/>
        <v>73031</v>
      </c>
      <c r="W30" s="348">
        <v>73031</v>
      </c>
      <c r="X30" s="433">
        <f t="shared" si="17"/>
        <v>0</v>
      </c>
      <c r="Y30" s="220">
        <f t="shared" si="9"/>
        <v>91864</v>
      </c>
      <c r="Z30" s="348">
        <v>91900</v>
      </c>
      <c r="AA30" s="433">
        <f>IF((Z30-Z29)&lt;0,"0",(Z30-Z29))</f>
        <v>36</v>
      </c>
      <c r="AB30" s="550">
        <f>AC29</f>
        <v>20664</v>
      </c>
      <c r="AC30" s="551">
        <v>20683</v>
      </c>
      <c r="AD30" s="553">
        <f t="shared" si="23"/>
        <v>19</v>
      </c>
      <c r="AE30" s="220">
        <f t="shared" si="10"/>
        <v>8305</v>
      </c>
      <c r="AF30" s="349">
        <v>8305</v>
      </c>
      <c r="AG30" s="433">
        <f t="shared" si="19"/>
        <v>0</v>
      </c>
      <c r="AH30" s="220">
        <f t="shared" si="11"/>
        <v>33777</v>
      </c>
      <c r="AI30" s="349">
        <v>33810</v>
      </c>
      <c r="AJ30" s="433">
        <f t="shared" si="20"/>
        <v>33</v>
      </c>
      <c r="AK30" s="220">
        <f t="shared" si="12"/>
        <v>0</v>
      </c>
      <c r="AL30" s="348"/>
      <c r="AM30" s="433">
        <f t="shared" si="21"/>
        <v>0</v>
      </c>
      <c r="AN30" s="806">
        <f>U30+X30+AA31+AD30+AG30+AJ30+AM30</f>
        <v>169</v>
      </c>
    </row>
    <row r="31" spans="1:40" ht="23.1" customHeight="1" x14ac:dyDescent="0.3">
      <c r="A31" s="47">
        <f>Gen!A36</f>
        <v>44403</v>
      </c>
      <c r="B31" s="4"/>
      <c r="C31" s="81">
        <f t="shared" si="44"/>
        <v>261990</v>
      </c>
      <c r="D31" s="1">
        <v>262086</v>
      </c>
      <c r="E31" s="432">
        <f t="shared" si="31"/>
        <v>96</v>
      </c>
      <c r="F31" s="81">
        <f t="shared" si="43"/>
        <v>0</v>
      </c>
      <c r="G31" s="351"/>
      <c r="H31" s="432">
        <f t="shared" si="45"/>
        <v>0</v>
      </c>
      <c r="I31" s="81">
        <f t="shared" si="36"/>
        <v>8577</v>
      </c>
      <c r="J31" s="1">
        <v>8580</v>
      </c>
      <c r="K31" s="432">
        <f t="shared" si="47"/>
        <v>3</v>
      </c>
      <c r="L31" s="81">
        <f t="shared" si="37"/>
        <v>0</v>
      </c>
      <c r="M31" s="1"/>
      <c r="N31" s="432">
        <f t="shared" si="38"/>
        <v>0</v>
      </c>
      <c r="O31" s="81">
        <f t="shared" si="42"/>
        <v>21770</v>
      </c>
      <c r="P31" s="347">
        <v>21780</v>
      </c>
      <c r="Q31" s="432">
        <f t="shared" si="46"/>
        <v>10</v>
      </c>
      <c r="R31" s="222"/>
      <c r="S31" s="220">
        <f t="shared" si="39"/>
        <v>73280</v>
      </c>
      <c r="T31" s="348">
        <v>73361</v>
      </c>
      <c r="U31" s="433">
        <f t="shared" si="40"/>
        <v>81</v>
      </c>
      <c r="V31" s="220">
        <f t="shared" si="35"/>
        <v>73031</v>
      </c>
      <c r="W31" s="348">
        <v>73031</v>
      </c>
      <c r="X31" s="433">
        <f t="shared" si="17"/>
        <v>0</v>
      </c>
      <c r="Y31" s="220">
        <f t="shared" si="9"/>
        <v>91900</v>
      </c>
      <c r="Z31" s="348">
        <v>91935</v>
      </c>
      <c r="AA31" s="433">
        <f>IF((Z31-Z30)&lt;0,"0",(Z31-Z30))</f>
        <v>35</v>
      </c>
      <c r="AB31" s="550">
        <f t="shared" si="22"/>
        <v>20683</v>
      </c>
      <c r="AC31" s="551">
        <v>20700</v>
      </c>
      <c r="AD31" s="553">
        <f t="shared" si="23"/>
        <v>17</v>
      </c>
      <c r="AE31" s="220">
        <f t="shared" si="10"/>
        <v>8305</v>
      </c>
      <c r="AF31" s="349">
        <v>8305</v>
      </c>
      <c r="AG31" s="433">
        <f t="shared" si="19"/>
        <v>0</v>
      </c>
      <c r="AH31" s="220">
        <f t="shared" si="11"/>
        <v>33810</v>
      </c>
      <c r="AI31" s="349">
        <v>33841</v>
      </c>
      <c r="AJ31" s="433">
        <f t="shared" si="20"/>
        <v>31</v>
      </c>
      <c r="AK31" s="220">
        <f t="shared" si="12"/>
        <v>0</v>
      </c>
      <c r="AL31" s="348"/>
      <c r="AM31" s="433">
        <f t="shared" si="21"/>
        <v>0</v>
      </c>
      <c r="AN31" s="806">
        <f t="shared" si="28"/>
        <v>164</v>
      </c>
    </row>
    <row r="32" spans="1:40" ht="23.1" customHeight="1" x14ac:dyDescent="0.3">
      <c r="A32" s="47">
        <f>Gen!A37</f>
        <v>44404</v>
      </c>
      <c r="B32" s="4" t="s">
        <v>331</v>
      </c>
      <c r="C32" s="81">
        <f t="shared" si="44"/>
        <v>262086</v>
      </c>
      <c r="D32" s="1">
        <v>262189</v>
      </c>
      <c r="E32" s="432">
        <f t="shared" si="31"/>
        <v>103</v>
      </c>
      <c r="F32" s="81">
        <f t="shared" si="2"/>
        <v>0</v>
      </c>
      <c r="G32" s="351"/>
      <c r="H32" s="432">
        <f t="shared" si="45"/>
        <v>0</v>
      </c>
      <c r="I32" s="81">
        <f t="shared" si="36"/>
        <v>8580</v>
      </c>
      <c r="J32" s="1">
        <v>8582</v>
      </c>
      <c r="K32" s="432">
        <f t="shared" si="47"/>
        <v>2</v>
      </c>
      <c r="L32" s="81">
        <f t="shared" si="37"/>
        <v>0</v>
      </c>
      <c r="M32" s="1"/>
      <c r="N32" s="432">
        <f t="shared" si="38"/>
        <v>0</v>
      </c>
      <c r="O32" s="81">
        <f t="shared" si="42"/>
        <v>21780</v>
      </c>
      <c r="P32" s="347">
        <v>21788</v>
      </c>
      <c r="Q32" s="432">
        <f t="shared" si="46"/>
        <v>8</v>
      </c>
      <c r="R32" s="222"/>
      <c r="S32" s="220">
        <f t="shared" si="39"/>
        <v>73361</v>
      </c>
      <c r="T32" s="348">
        <v>73441</v>
      </c>
      <c r="U32" s="433">
        <f t="shared" si="40"/>
        <v>80</v>
      </c>
      <c r="V32" s="220">
        <f t="shared" si="35"/>
        <v>73031</v>
      </c>
      <c r="W32" s="348">
        <v>73031</v>
      </c>
      <c r="X32" s="433">
        <f t="shared" si="17"/>
        <v>0</v>
      </c>
      <c r="Y32" s="220">
        <f t="shared" si="9"/>
        <v>91935</v>
      </c>
      <c r="Z32" s="348">
        <v>91970</v>
      </c>
      <c r="AA32" s="433">
        <f t="shared" si="18"/>
        <v>35</v>
      </c>
      <c r="AB32" s="550">
        <f t="shared" si="22"/>
        <v>20700</v>
      </c>
      <c r="AC32" s="551">
        <v>20717</v>
      </c>
      <c r="AD32" s="553">
        <f t="shared" si="23"/>
        <v>17</v>
      </c>
      <c r="AE32" s="220">
        <f t="shared" si="10"/>
        <v>8305</v>
      </c>
      <c r="AF32" s="349">
        <v>8305</v>
      </c>
      <c r="AG32" s="433">
        <f t="shared" si="19"/>
        <v>0</v>
      </c>
      <c r="AH32" s="220">
        <f t="shared" si="11"/>
        <v>33841</v>
      </c>
      <c r="AI32" s="349">
        <v>33872</v>
      </c>
      <c r="AJ32" s="433">
        <f t="shared" si="20"/>
        <v>31</v>
      </c>
      <c r="AK32" s="220">
        <f t="shared" si="12"/>
        <v>0</v>
      </c>
      <c r="AL32" s="348"/>
      <c r="AM32" s="433">
        <f t="shared" si="21"/>
        <v>0</v>
      </c>
      <c r="AN32" s="806">
        <f t="shared" si="28"/>
        <v>163</v>
      </c>
    </row>
    <row r="33" spans="1:40" ht="23.1" customHeight="1" x14ac:dyDescent="0.3">
      <c r="A33" s="47">
        <f>Gen!A38</f>
        <v>44405</v>
      </c>
      <c r="B33" s="4"/>
      <c r="C33" s="81">
        <f t="shared" si="44"/>
        <v>262189</v>
      </c>
      <c r="D33" s="1">
        <v>262304</v>
      </c>
      <c r="E33" s="432">
        <f t="shared" si="31"/>
        <v>115</v>
      </c>
      <c r="F33" s="81">
        <f t="shared" si="2"/>
        <v>0</v>
      </c>
      <c r="G33" s="351"/>
      <c r="H33" s="432">
        <f t="shared" si="45"/>
        <v>0</v>
      </c>
      <c r="I33" s="81">
        <f t="shared" si="36"/>
        <v>8582</v>
      </c>
      <c r="J33" s="1">
        <v>8585</v>
      </c>
      <c r="K33" s="432">
        <f t="shared" si="47"/>
        <v>3</v>
      </c>
      <c r="L33" s="81">
        <f t="shared" si="37"/>
        <v>0</v>
      </c>
      <c r="M33" s="1"/>
      <c r="N33" s="432">
        <f t="shared" si="38"/>
        <v>0</v>
      </c>
      <c r="O33" s="81">
        <f t="shared" si="42"/>
        <v>21788</v>
      </c>
      <c r="P33" s="347">
        <v>21797</v>
      </c>
      <c r="Q33" s="432">
        <f t="shared" si="46"/>
        <v>9</v>
      </c>
      <c r="R33" s="222"/>
      <c r="S33" s="220">
        <f t="shared" si="39"/>
        <v>73441</v>
      </c>
      <c r="T33" s="348">
        <v>73454</v>
      </c>
      <c r="U33" s="433">
        <f t="shared" si="40"/>
        <v>13</v>
      </c>
      <c r="V33" s="220">
        <f t="shared" si="35"/>
        <v>73031</v>
      </c>
      <c r="W33" s="348">
        <v>73031</v>
      </c>
      <c r="X33" s="433">
        <f t="shared" si="17"/>
        <v>0</v>
      </c>
      <c r="Y33" s="220">
        <f t="shared" si="9"/>
        <v>91970</v>
      </c>
      <c r="Z33" s="348">
        <v>92004</v>
      </c>
      <c r="AA33" s="433">
        <f t="shared" si="18"/>
        <v>34</v>
      </c>
      <c r="AB33" s="550">
        <f t="shared" si="22"/>
        <v>20717</v>
      </c>
      <c r="AC33" s="221">
        <v>20734</v>
      </c>
      <c r="AD33" s="553">
        <f t="shared" si="23"/>
        <v>17</v>
      </c>
      <c r="AE33" s="220">
        <f t="shared" si="10"/>
        <v>8305</v>
      </c>
      <c r="AF33" s="349">
        <v>8305</v>
      </c>
      <c r="AG33" s="433">
        <f t="shared" si="19"/>
        <v>0</v>
      </c>
      <c r="AH33" s="220">
        <f t="shared" si="11"/>
        <v>33872</v>
      </c>
      <c r="AI33" s="349">
        <v>33904</v>
      </c>
      <c r="AJ33" s="433">
        <f t="shared" si="20"/>
        <v>32</v>
      </c>
      <c r="AK33" s="220">
        <f t="shared" si="12"/>
        <v>0</v>
      </c>
      <c r="AL33" s="348"/>
      <c r="AM33" s="433">
        <f t="shared" si="21"/>
        <v>0</v>
      </c>
      <c r="AN33" s="806">
        <f>U33+X33+AA33+AD33+AG33+AJ33+AM33</f>
        <v>96</v>
      </c>
    </row>
    <row r="34" spans="1:40" ht="23.1" customHeight="1" x14ac:dyDescent="0.3">
      <c r="A34" s="47">
        <f>Gen!A39</f>
        <v>44406</v>
      </c>
      <c r="B34" s="130"/>
      <c r="C34" s="81">
        <f t="shared" si="44"/>
        <v>262304</v>
      </c>
      <c r="D34" s="1">
        <v>262415</v>
      </c>
      <c r="E34" s="432">
        <f t="shared" si="31"/>
        <v>111</v>
      </c>
      <c r="F34" s="81">
        <f t="shared" si="2"/>
        <v>0</v>
      </c>
      <c r="G34" s="351"/>
      <c r="H34" s="432">
        <f t="shared" si="45"/>
        <v>0</v>
      </c>
      <c r="I34" s="81">
        <f t="shared" si="36"/>
        <v>8585</v>
      </c>
      <c r="J34" s="1">
        <v>8587</v>
      </c>
      <c r="K34" s="432">
        <f t="shared" si="47"/>
        <v>2</v>
      </c>
      <c r="L34" s="81">
        <f t="shared" si="37"/>
        <v>0</v>
      </c>
      <c r="M34" s="1"/>
      <c r="N34" s="432">
        <f t="shared" si="38"/>
        <v>0</v>
      </c>
      <c r="O34" s="81">
        <f t="shared" si="42"/>
        <v>21797</v>
      </c>
      <c r="P34" s="347">
        <v>21807</v>
      </c>
      <c r="Q34" s="432">
        <f t="shared" si="46"/>
        <v>10</v>
      </c>
      <c r="R34" s="222"/>
      <c r="S34" s="220">
        <f t="shared" si="39"/>
        <v>73454</v>
      </c>
      <c r="T34" s="348">
        <v>73526</v>
      </c>
      <c r="U34" s="433">
        <f t="shared" si="40"/>
        <v>72</v>
      </c>
      <c r="V34" s="220">
        <f t="shared" si="35"/>
        <v>73031</v>
      </c>
      <c r="W34" s="348">
        <v>73031</v>
      </c>
      <c r="X34" s="433">
        <f t="shared" si="17"/>
        <v>0</v>
      </c>
      <c r="Y34" s="220">
        <f t="shared" si="9"/>
        <v>92004</v>
      </c>
      <c r="Z34" s="348">
        <v>92038</v>
      </c>
      <c r="AA34" s="433">
        <f t="shared" si="18"/>
        <v>34</v>
      </c>
      <c r="AB34" s="550">
        <f t="shared" si="22"/>
        <v>20734</v>
      </c>
      <c r="AC34" s="221">
        <v>20750</v>
      </c>
      <c r="AD34" s="553">
        <f t="shared" si="23"/>
        <v>16</v>
      </c>
      <c r="AE34" s="220">
        <f t="shared" si="10"/>
        <v>8305</v>
      </c>
      <c r="AF34" s="349">
        <v>8305</v>
      </c>
      <c r="AG34" s="433">
        <f t="shared" si="19"/>
        <v>0</v>
      </c>
      <c r="AH34" s="220">
        <f t="shared" si="11"/>
        <v>33904</v>
      </c>
      <c r="AI34" s="349">
        <v>33935</v>
      </c>
      <c r="AJ34" s="433">
        <f t="shared" si="20"/>
        <v>31</v>
      </c>
      <c r="AK34" s="220">
        <f t="shared" si="12"/>
        <v>0</v>
      </c>
      <c r="AL34" s="348"/>
      <c r="AM34" s="433">
        <f t="shared" si="21"/>
        <v>0</v>
      </c>
      <c r="AN34" s="806">
        <f t="shared" si="28"/>
        <v>153</v>
      </c>
    </row>
    <row r="35" spans="1:40" ht="23.1" customHeight="1" x14ac:dyDescent="0.3">
      <c r="A35" s="47">
        <f>Gen!A40</f>
        <v>44407</v>
      </c>
      <c r="B35" s="130"/>
      <c r="C35" s="81">
        <f t="shared" si="44"/>
        <v>262415</v>
      </c>
      <c r="D35" s="1">
        <v>262520</v>
      </c>
      <c r="E35" s="432">
        <f t="shared" si="31"/>
        <v>105</v>
      </c>
      <c r="F35" s="81">
        <f t="shared" si="2"/>
        <v>0</v>
      </c>
      <c r="G35" s="351"/>
      <c r="H35" s="432">
        <f t="shared" si="45"/>
        <v>0</v>
      </c>
      <c r="I35" s="81">
        <f t="shared" si="36"/>
        <v>8587</v>
      </c>
      <c r="J35" s="1">
        <v>8590</v>
      </c>
      <c r="K35" s="432">
        <f t="shared" si="47"/>
        <v>3</v>
      </c>
      <c r="L35" s="81">
        <f t="shared" si="37"/>
        <v>0</v>
      </c>
      <c r="M35" s="1"/>
      <c r="N35" s="432">
        <f t="shared" si="38"/>
        <v>0</v>
      </c>
      <c r="O35" s="81">
        <f t="shared" si="42"/>
        <v>21807</v>
      </c>
      <c r="P35" s="347">
        <v>21817</v>
      </c>
      <c r="Q35" s="432">
        <f t="shared" si="46"/>
        <v>10</v>
      </c>
      <c r="R35" s="222"/>
      <c r="S35" s="220">
        <f t="shared" si="39"/>
        <v>73526</v>
      </c>
      <c r="T35" s="348">
        <v>73607</v>
      </c>
      <c r="U35" s="433">
        <f t="shared" si="40"/>
        <v>81</v>
      </c>
      <c r="V35" s="220">
        <f t="shared" si="35"/>
        <v>73031</v>
      </c>
      <c r="W35" s="348">
        <v>73031</v>
      </c>
      <c r="X35" s="433">
        <f>IF((W36-W34)&lt;0,"0",(W36-W34))</f>
        <v>0</v>
      </c>
      <c r="Y35" s="220">
        <f t="shared" si="9"/>
        <v>92038</v>
      </c>
      <c r="Z35" s="348">
        <v>92073</v>
      </c>
      <c r="AA35" s="433">
        <f t="shared" si="18"/>
        <v>35</v>
      </c>
      <c r="AB35" s="550">
        <f t="shared" si="22"/>
        <v>20750</v>
      </c>
      <c r="AC35" s="221">
        <v>20770</v>
      </c>
      <c r="AD35" s="553">
        <f t="shared" si="23"/>
        <v>20</v>
      </c>
      <c r="AE35" s="220">
        <f t="shared" si="10"/>
        <v>8305</v>
      </c>
      <c r="AF35" s="349">
        <v>8305</v>
      </c>
      <c r="AG35" s="433">
        <f t="shared" si="19"/>
        <v>0</v>
      </c>
      <c r="AH35" s="220">
        <f t="shared" si="11"/>
        <v>33935</v>
      </c>
      <c r="AI35" s="349">
        <v>33966</v>
      </c>
      <c r="AJ35" s="433">
        <f t="shared" si="20"/>
        <v>31</v>
      </c>
      <c r="AK35" s="220">
        <f t="shared" si="12"/>
        <v>0</v>
      </c>
      <c r="AL35" s="348"/>
      <c r="AM35" s="433">
        <f t="shared" si="21"/>
        <v>0</v>
      </c>
      <c r="AN35" s="806">
        <f t="shared" si="28"/>
        <v>167</v>
      </c>
    </row>
    <row r="36" spans="1:40" ht="23.1" customHeight="1" x14ac:dyDescent="0.3">
      <c r="A36" s="47">
        <f>Gen!A41</f>
        <v>44408</v>
      </c>
      <c r="B36" s="131"/>
      <c r="C36" s="81">
        <f t="shared" si="44"/>
        <v>262520</v>
      </c>
      <c r="D36" s="1">
        <v>262619</v>
      </c>
      <c r="E36" s="432">
        <f t="shared" si="31"/>
        <v>99</v>
      </c>
      <c r="F36" s="81">
        <f t="shared" si="2"/>
        <v>0</v>
      </c>
      <c r="G36" s="351"/>
      <c r="H36" s="432">
        <f>IF((G36-G35)&lt;0,"0",(G36-G35))</f>
        <v>0</v>
      </c>
      <c r="I36" s="81">
        <f t="shared" si="36"/>
        <v>8590</v>
      </c>
      <c r="J36" s="1">
        <v>8592</v>
      </c>
      <c r="K36" s="432">
        <f t="shared" si="47"/>
        <v>2</v>
      </c>
      <c r="L36" s="81">
        <f t="shared" si="37"/>
        <v>0</v>
      </c>
      <c r="M36" s="1"/>
      <c r="N36" s="432">
        <f t="shared" si="38"/>
        <v>0</v>
      </c>
      <c r="O36" s="81">
        <f t="shared" si="42"/>
        <v>21817</v>
      </c>
      <c r="P36" s="347">
        <v>21828</v>
      </c>
      <c r="Q36" s="432">
        <f t="shared" si="46"/>
        <v>11</v>
      </c>
      <c r="R36" s="222"/>
      <c r="S36" s="220">
        <f t="shared" si="39"/>
        <v>73607</v>
      </c>
      <c r="T36" s="348">
        <v>73687</v>
      </c>
      <c r="U36" s="433">
        <f t="shared" si="40"/>
        <v>80</v>
      </c>
      <c r="V36" s="220">
        <f>W36</f>
        <v>73031</v>
      </c>
      <c r="W36" s="348">
        <v>73031</v>
      </c>
      <c r="X36" s="433" t="str">
        <f>IF((W37-W35)&lt;0,"0",(W37-W35))</f>
        <v>0</v>
      </c>
      <c r="Y36" s="220">
        <f t="shared" si="9"/>
        <v>92073</v>
      </c>
      <c r="Z36" s="348">
        <v>92106</v>
      </c>
      <c r="AA36" s="433">
        <f t="shared" si="18"/>
        <v>33</v>
      </c>
      <c r="AB36" s="550">
        <f t="shared" si="22"/>
        <v>20770</v>
      </c>
      <c r="AC36" s="221">
        <v>20786</v>
      </c>
      <c r="AD36" s="553">
        <f t="shared" si="23"/>
        <v>16</v>
      </c>
      <c r="AE36" s="220">
        <f t="shared" si="10"/>
        <v>8305</v>
      </c>
      <c r="AF36" s="349">
        <v>8305</v>
      </c>
      <c r="AG36" s="433">
        <f t="shared" si="19"/>
        <v>0</v>
      </c>
      <c r="AH36" s="220">
        <f t="shared" si="11"/>
        <v>33966</v>
      </c>
      <c r="AI36" s="349">
        <v>33986</v>
      </c>
      <c r="AJ36" s="433">
        <f t="shared" si="20"/>
        <v>20</v>
      </c>
      <c r="AK36" s="220">
        <f t="shared" si="12"/>
        <v>0</v>
      </c>
      <c r="AL36" s="348"/>
      <c r="AM36" s="433">
        <f t="shared" si="21"/>
        <v>0</v>
      </c>
      <c r="AN36" s="806">
        <f t="shared" si="28"/>
        <v>149</v>
      </c>
    </row>
    <row r="37" spans="1:40" ht="24" customHeight="1" x14ac:dyDescent="0.3">
      <c r="A37" s="47"/>
      <c r="B37" s="3"/>
      <c r="C37" s="81">
        <f t="shared" si="44"/>
        <v>262619</v>
      </c>
      <c r="D37" s="1"/>
      <c r="E37" s="432" t="str">
        <f t="shared" si="31"/>
        <v>0</v>
      </c>
      <c r="F37" s="81">
        <f t="shared" si="2"/>
        <v>0</v>
      </c>
      <c r="G37" s="351"/>
      <c r="H37" s="432">
        <f t="shared" si="45"/>
        <v>0</v>
      </c>
      <c r="I37" s="81">
        <f t="shared" si="36"/>
        <v>8592</v>
      </c>
      <c r="J37" s="1"/>
      <c r="K37" s="432" t="str">
        <f t="shared" si="47"/>
        <v>0</v>
      </c>
      <c r="L37" s="81">
        <f t="shared" si="37"/>
        <v>0</v>
      </c>
      <c r="M37" s="1"/>
      <c r="N37" s="432">
        <f t="shared" si="38"/>
        <v>0</v>
      </c>
      <c r="O37" s="81">
        <f t="shared" si="42"/>
        <v>21828</v>
      </c>
      <c r="P37" s="347"/>
      <c r="Q37" s="432" t="str">
        <f t="shared" si="46"/>
        <v>0</v>
      </c>
      <c r="R37" s="222"/>
      <c r="S37" s="220"/>
      <c r="T37" s="348"/>
      <c r="U37" s="433"/>
      <c r="V37" s="220"/>
      <c r="W37" s="348"/>
      <c r="X37" s="433"/>
      <c r="Y37" s="220"/>
      <c r="Z37" s="348"/>
      <c r="AA37" s="433" t="str">
        <f t="shared" si="18"/>
        <v>0</v>
      </c>
      <c r="AB37" s="550">
        <f t="shared" si="22"/>
        <v>20786</v>
      </c>
      <c r="AC37" s="221"/>
      <c r="AD37" s="553" t="str">
        <f t="shared" si="23"/>
        <v>0</v>
      </c>
      <c r="AE37" s="220">
        <f t="shared" si="10"/>
        <v>8305</v>
      </c>
      <c r="AF37" s="349"/>
      <c r="AG37" s="433"/>
      <c r="AH37" s="220"/>
      <c r="AI37" s="349"/>
      <c r="AJ37" s="433"/>
      <c r="AK37" s="220"/>
      <c r="AL37" s="348"/>
      <c r="AM37" s="433"/>
      <c r="AN37" s="802"/>
    </row>
    <row r="38" spans="1:40" s="824" customFormat="1" ht="15.75" x14ac:dyDescent="0.25">
      <c r="A38" s="80"/>
      <c r="B38" s="810"/>
      <c r="C38" s="930" t="s">
        <v>306</v>
      </c>
      <c r="D38" s="930"/>
      <c r="E38" s="811">
        <f>SUM(E6:E36)</f>
        <v>3372</v>
      </c>
      <c r="F38" s="812" t="s">
        <v>332</v>
      </c>
      <c r="G38" s="813"/>
      <c r="H38" s="814">
        <f>SUM(H6:H37)</f>
        <v>0</v>
      </c>
      <c r="I38" s="815"/>
      <c r="J38" s="812"/>
      <c r="K38" s="816">
        <f>SUM(K6:K37)</f>
        <v>70</v>
      </c>
      <c r="L38" s="817"/>
      <c r="M38" s="817"/>
      <c r="N38" s="818">
        <f t="shared" ref="N38" si="48">M38-M37</f>
        <v>0</v>
      </c>
      <c r="O38" s="815"/>
      <c r="P38" s="819"/>
      <c r="Q38" s="820">
        <f t="shared" ref="Q38" si="49">P38-O38</f>
        <v>0</v>
      </c>
      <c r="R38" s="821">
        <f>E38</f>
        <v>3372</v>
      </c>
      <c r="S38" s="819"/>
      <c r="T38" s="819"/>
      <c r="U38" s="807">
        <f>SUM(U6:U37)</f>
        <v>1929</v>
      </c>
      <c r="V38" s="819"/>
      <c r="W38" s="819"/>
      <c r="X38" s="808">
        <f>SUM(X13:X37)</f>
        <v>0</v>
      </c>
      <c r="Y38" s="822"/>
      <c r="Z38" s="819"/>
      <c r="AA38" s="808">
        <f>SUM(AA6:AA37)</f>
        <v>1094</v>
      </c>
      <c r="AB38" s="819"/>
      <c r="AC38" s="819"/>
      <c r="AD38" s="808">
        <f>SUM(AD6:AD37)</f>
        <v>527</v>
      </c>
      <c r="AE38" s="819"/>
      <c r="AF38" s="819"/>
      <c r="AG38" s="808">
        <f>SUM(AG6:AG37)</f>
        <v>0</v>
      </c>
      <c r="AH38" s="819"/>
      <c r="AI38" s="819"/>
      <c r="AJ38" s="809">
        <f>SUM(AJ6:AJ37)</f>
        <v>957</v>
      </c>
      <c r="AK38" s="819"/>
      <c r="AL38" s="819"/>
      <c r="AM38" s="823">
        <f>SUM(AM6:AM37)</f>
        <v>0</v>
      </c>
      <c r="AN38" s="806">
        <f>U38+X38+AA38+AD38+AG38+AJ38+AM38</f>
        <v>4507</v>
      </c>
    </row>
    <row r="40" spans="1:40" x14ac:dyDescent="0.2">
      <c r="AF40" t="s">
        <v>13</v>
      </c>
    </row>
    <row r="41" spans="1:40" ht="13.5" thickBot="1" x14ac:dyDescent="0.25"/>
    <row r="42" spans="1:40" ht="18.75" thickBot="1" x14ac:dyDescent="0.3">
      <c r="A42" s="956"/>
      <c r="B42" s="246"/>
      <c r="C42" s="953" t="s">
        <v>333</v>
      </c>
      <c r="D42" s="954"/>
      <c r="E42" s="954"/>
      <c r="F42" s="954"/>
      <c r="G42" s="954"/>
      <c r="H42" s="954"/>
      <c r="I42" s="954"/>
      <c r="J42" s="954"/>
      <c r="K42" s="955"/>
    </row>
    <row r="43" spans="1:40" ht="24.75" customHeight="1" x14ac:dyDescent="0.2">
      <c r="A43" s="957"/>
      <c r="C43" s="959" t="s">
        <v>334</v>
      </c>
      <c r="D43" s="960"/>
      <c r="E43" s="961" t="s">
        <v>335</v>
      </c>
      <c r="F43" s="962"/>
      <c r="G43" s="963" t="s">
        <v>336</v>
      </c>
      <c r="H43" s="964"/>
      <c r="I43" s="963" t="s">
        <v>337</v>
      </c>
      <c r="J43" s="964"/>
      <c r="K43" s="951" t="s">
        <v>338</v>
      </c>
    </row>
    <row r="44" spans="1:40" ht="21" customHeight="1" thickBot="1" x14ac:dyDescent="0.25">
      <c r="A44" s="957"/>
      <c r="C44" s="965" t="s">
        <v>339</v>
      </c>
      <c r="D44" s="966"/>
      <c r="E44" s="965" t="s">
        <v>340</v>
      </c>
      <c r="F44" s="966"/>
      <c r="G44" s="965" t="s">
        <v>341</v>
      </c>
      <c r="H44" s="966"/>
      <c r="I44" s="965" t="s">
        <v>342</v>
      </c>
      <c r="J44" s="966"/>
      <c r="K44" s="952"/>
    </row>
    <row r="45" spans="1:40" ht="21" customHeight="1" thickBot="1" x14ac:dyDescent="0.25">
      <c r="A45" s="958"/>
      <c r="C45" s="290" t="s">
        <v>343</v>
      </c>
      <c r="D45" s="291" t="s">
        <v>344</v>
      </c>
      <c r="E45" s="292" t="s">
        <v>343</v>
      </c>
      <c r="F45" s="293" t="s">
        <v>344</v>
      </c>
      <c r="G45" s="434"/>
      <c r="H45" s="293" t="s">
        <v>344</v>
      </c>
      <c r="I45" s="292"/>
      <c r="J45" s="293" t="s">
        <v>344</v>
      </c>
      <c r="K45" s="294" t="s">
        <v>344</v>
      </c>
    </row>
    <row r="46" spans="1:40" ht="20.25" customHeight="1" x14ac:dyDescent="0.25">
      <c r="A46" s="261">
        <f>Gen!A11</f>
        <v>44378</v>
      </c>
      <c r="C46" s="52">
        <v>205</v>
      </c>
      <c r="D46" s="289">
        <f t="shared" ref="D46:D77" si="50">C46*217/300</f>
        <v>148.28333333333333</v>
      </c>
      <c r="E46" s="6">
        <v>175</v>
      </c>
      <c r="F46" s="289">
        <f t="shared" ref="F46:F77" si="51">E46*92/305</f>
        <v>52.786885245901637</v>
      </c>
      <c r="G46" s="562">
        <v>240</v>
      </c>
      <c r="H46" s="289">
        <f t="shared" ref="H46:H77" si="52">G46*146/383</f>
        <v>91.488250652741513</v>
      </c>
      <c r="I46" s="6">
        <v>280</v>
      </c>
      <c r="J46" s="289">
        <f t="shared" ref="J46:J77" si="53">I46*213/308</f>
        <v>193.63636363636363</v>
      </c>
      <c r="K46" s="295">
        <f>D46+F46+H46+J46</f>
        <v>486.19483286834009</v>
      </c>
    </row>
    <row r="47" spans="1:40" ht="13.5" x14ac:dyDescent="0.25">
      <c r="A47" s="261">
        <f>Gen!A12</f>
        <v>44379</v>
      </c>
      <c r="C47" s="52">
        <v>230</v>
      </c>
      <c r="D47" s="289">
        <f t="shared" si="50"/>
        <v>166.36666666666667</v>
      </c>
      <c r="E47" s="6">
        <v>110</v>
      </c>
      <c r="F47" s="289">
        <f t="shared" si="51"/>
        <v>33.180327868852459</v>
      </c>
      <c r="G47" s="562">
        <v>235</v>
      </c>
      <c r="H47" s="289">
        <f t="shared" si="52"/>
        <v>89.582245430809394</v>
      </c>
      <c r="I47" s="6">
        <v>285</v>
      </c>
      <c r="J47" s="289">
        <f t="shared" si="53"/>
        <v>197.09415584415584</v>
      </c>
      <c r="K47" s="295">
        <f t="shared" ref="K47:K77" si="54">D47+F47+H47+J47</f>
        <v>486.22339581048436</v>
      </c>
    </row>
    <row r="48" spans="1:40" ht="13.5" x14ac:dyDescent="0.25">
      <c r="A48" s="261">
        <f>Gen!A13</f>
        <v>44380</v>
      </c>
      <c r="C48" s="52">
        <v>250</v>
      </c>
      <c r="D48" s="289">
        <f t="shared" si="50"/>
        <v>180.83333333333334</v>
      </c>
      <c r="E48" s="6">
        <v>225</v>
      </c>
      <c r="F48" s="289">
        <f t="shared" si="51"/>
        <v>67.868852459016395</v>
      </c>
      <c r="G48" s="562">
        <v>245</v>
      </c>
      <c r="H48" s="289">
        <f t="shared" si="52"/>
        <v>93.394255874673632</v>
      </c>
      <c r="I48" s="6">
        <v>280</v>
      </c>
      <c r="J48" s="289">
        <f t="shared" si="53"/>
        <v>193.63636363636363</v>
      </c>
      <c r="K48" s="295">
        <f t="shared" si="54"/>
        <v>535.73280530338695</v>
      </c>
    </row>
    <row r="49" spans="1:15" ht="13.5" x14ac:dyDescent="0.25">
      <c r="A49" s="261">
        <f>Gen!A14</f>
        <v>44381</v>
      </c>
      <c r="C49" s="52">
        <v>300</v>
      </c>
      <c r="D49" s="289">
        <f t="shared" si="50"/>
        <v>217</v>
      </c>
      <c r="E49" s="6">
        <v>300</v>
      </c>
      <c r="F49" s="289">
        <f t="shared" si="51"/>
        <v>90.491803278688522</v>
      </c>
      <c r="G49" s="562">
        <v>175</v>
      </c>
      <c r="H49" s="289">
        <f t="shared" si="52"/>
        <v>66.710182767624019</v>
      </c>
      <c r="I49" s="6">
        <v>285</v>
      </c>
      <c r="J49" s="289">
        <f t="shared" si="53"/>
        <v>197.09415584415584</v>
      </c>
      <c r="K49" s="295">
        <f t="shared" si="54"/>
        <v>571.29614189046833</v>
      </c>
    </row>
    <row r="50" spans="1:15" ht="13.5" x14ac:dyDescent="0.25">
      <c r="A50" s="261">
        <f>Gen!A15</f>
        <v>44382</v>
      </c>
      <c r="C50" s="52">
        <v>300</v>
      </c>
      <c r="D50" s="289">
        <f t="shared" si="50"/>
        <v>217</v>
      </c>
      <c r="E50" s="6">
        <v>300</v>
      </c>
      <c r="F50" s="289">
        <f t="shared" si="51"/>
        <v>90.491803278688522</v>
      </c>
      <c r="G50" s="562">
        <v>170</v>
      </c>
      <c r="H50" s="289">
        <f t="shared" si="52"/>
        <v>64.8041775456919</v>
      </c>
      <c r="I50" s="6">
        <v>280</v>
      </c>
      <c r="J50" s="289">
        <f t="shared" si="53"/>
        <v>193.63636363636363</v>
      </c>
      <c r="K50" s="295">
        <f t="shared" si="54"/>
        <v>565.93234446074405</v>
      </c>
    </row>
    <row r="51" spans="1:15" ht="13.5" x14ac:dyDescent="0.25">
      <c r="A51" s="261">
        <f>Gen!A16</f>
        <v>44383</v>
      </c>
      <c r="C51" s="52">
        <v>250</v>
      </c>
      <c r="D51" s="289">
        <f t="shared" si="50"/>
        <v>180.83333333333334</v>
      </c>
      <c r="E51" s="6">
        <v>215</v>
      </c>
      <c r="F51" s="289">
        <f t="shared" si="51"/>
        <v>64.852459016393439</v>
      </c>
      <c r="G51" s="562">
        <v>35</v>
      </c>
      <c r="H51" s="289">
        <f t="shared" si="52"/>
        <v>13.342036553524805</v>
      </c>
      <c r="I51" s="6">
        <v>290</v>
      </c>
      <c r="J51" s="289">
        <f t="shared" si="53"/>
        <v>200.55194805194805</v>
      </c>
      <c r="K51" s="295">
        <f t="shared" si="54"/>
        <v>459.57977695519963</v>
      </c>
    </row>
    <row r="52" spans="1:15" ht="13.5" x14ac:dyDescent="0.25">
      <c r="A52" s="261">
        <f>Gen!A17</f>
        <v>44384</v>
      </c>
      <c r="C52" s="52">
        <v>160</v>
      </c>
      <c r="D52" s="289">
        <f t="shared" si="50"/>
        <v>115.73333333333333</v>
      </c>
      <c r="E52" s="6">
        <v>130</v>
      </c>
      <c r="F52" s="289">
        <f t="shared" si="51"/>
        <v>39.213114754098363</v>
      </c>
      <c r="G52" s="562">
        <v>85</v>
      </c>
      <c r="H52" s="289">
        <f t="shared" si="52"/>
        <v>32.40208877284595</v>
      </c>
      <c r="I52" s="6">
        <v>285</v>
      </c>
      <c r="J52" s="289">
        <f t="shared" si="53"/>
        <v>197.09415584415584</v>
      </c>
      <c r="K52" s="295">
        <f t="shared" si="54"/>
        <v>384.44269270443351</v>
      </c>
    </row>
    <row r="53" spans="1:15" ht="13.5" x14ac:dyDescent="0.25">
      <c r="A53" s="261">
        <f>Gen!A18</f>
        <v>44385</v>
      </c>
      <c r="C53" s="52">
        <v>55</v>
      </c>
      <c r="D53" s="289">
        <f t="shared" si="50"/>
        <v>39.783333333333331</v>
      </c>
      <c r="E53" s="6">
        <v>20</v>
      </c>
      <c r="F53" s="289">
        <f t="shared" si="51"/>
        <v>6.0327868852459012</v>
      </c>
      <c r="G53" s="562">
        <v>300</v>
      </c>
      <c r="H53" s="289">
        <f t="shared" si="52"/>
        <v>114.36031331592689</v>
      </c>
      <c r="I53" s="6">
        <v>280</v>
      </c>
      <c r="J53" s="289">
        <f t="shared" si="53"/>
        <v>193.63636363636363</v>
      </c>
      <c r="K53" s="295">
        <f t="shared" si="54"/>
        <v>353.81279717086977</v>
      </c>
    </row>
    <row r="54" spans="1:15" ht="13.5" x14ac:dyDescent="0.25">
      <c r="A54" s="261">
        <f>Gen!A19</f>
        <v>44386</v>
      </c>
      <c r="C54" s="52">
        <v>200</v>
      </c>
      <c r="D54" s="289">
        <f t="shared" si="50"/>
        <v>144.66666666666666</v>
      </c>
      <c r="E54" s="6">
        <v>175</v>
      </c>
      <c r="F54" s="289">
        <f t="shared" si="51"/>
        <v>52.786885245901637</v>
      </c>
      <c r="G54" s="562">
        <v>95</v>
      </c>
      <c r="H54" s="289">
        <f t="shared" si="52"/>
        <v>36.214099216710181</v>
      </c>
      <c r="I54" s="6">
        <v>280</v>
      </c>
      <c r="J54" s="289">
        <f t="shared" si="53"/>
        <v>193.63636363636363</v>
      </c>
      <c r="K54" s="295">
        <f t="shared" si="54"/>
        <v>427.30401476564208</v>
      </c>
    </row>
    <row r="55" spans="1:15" ht="13.5" x14ac:dyDescent="0.25">
      <c r="A55" s="261">
        <f>Gen!A20</f>
        <v>44387</v>
      </c>
      <c r="C55" s="52">
        <v>185</v>
      </c>
      <c r="D55" s="289">
        <f t="shared" si="50"/>
        <v>133.81666666666666</v>
      </c>
      <c r="E55" s="6">
        <v>150</v>
      </c>
      <c r="F55" s="289">
        <f t="shared" si="51"/>
        <v>45.245901639344261</v>
      </c>
      <c r="G55" s="562">
        <v>150</v>
      </c>
      <c r="H55" s="289">
        <f t="shared" si="52"/>
        <v>57.180156657963444</v>
      </c>
      <c r="I55" s="6">
        <v>285</v>
      </c>
      <c r="J55" s="289">
        <f t="shared" si="53"/>
        <v>197.09415584415584</v>
      </c>
      <c r="K55" s="295">
        <f t="shared" si="54"/>
        <v>433.33688080813022</v>
      </c>
    </row>
    <row r="56" spans="1:15" ht="13.5" x14ac:dyDescent="0.25">
      <c r="A56" s="261">
        <f>Gen!A21</f>
        <v>44388</v>
      </c>
      <c r="C56" s="52">
        <v>285</v>
      </c>
      <c r="D56" s="289">
        <f t="shared" si="50"/>
        <v>206.15</v>
      </c>
      <c r="E56" s="6">
        <v>250</v>
      </c>
      <c r="F56" s="289">
        <f t="shared" si="51"/>
        <v>75.409836065573771</v>
      </c>
      <c r="G56" s="562">
        <v>100</v>
      </c>
      <c r="H56" s="289">
        <f t="shared" si="52"/>
        <v>38.120104438642301</v>
      </c>
      <c r="I56" s="6">
        <v>280</v>
      </c>
      <c r="J56" s="289">
        <f t="shared" si="53"/>
        <v>193.63636363636363</v>
      </c>
      <c r="K56" s="295">
        <f t="shared" si="54"/>
        <v>513.31630414057975</v>
      </c>
    </row>
    <row r="57" spans="1:15" ht="13.5" x14ac:dyDescent="0.25">
      <c r="A57" s="261">
        <f>Gen!A22</f>
        <v>44389</v>
      </c>
      <c r="C57" s="52">
        <v>270</v>
      </c>
      <c r="D57" s="289">
        <f t="shared" si="50"/>
        <v>195.3</v>
      </c>
      <c r="E57" s="6">
        <v>235</v>
      </c>
      <c r="F57" s="289">
        <f t="shared" si="51"/>
        <v>70.885245901639351</v>
      </c>
      <c r="G57" s="562">
        <v>195</v>
      </c>
      <c r="H57" s="289">
        <f t="shared" si="52"/>
        <v>74.334203655352482</v>
      </c>
      <c r="I57" s="6">
        <v>290</v>
      </c>
      <c r="J57" s="289">
        <f t="shared" si="53"/>
        <v>200.55194805194805</v>
      </c>
      <c r="K57" s="295">
        <f t="shared" si="54"/>
        <v>541.07139760893983</v>
      </c>
    </row>
    <row r="58" spans="1:15" ht="13.5" x14ac:dyDescent="0.25">
      <c r="A58" s="261">
        <f>Gen!A23</f>
        <v>44390</v>
      </c>
      <c r="C58" s="52">
        <v>275</v>
      </c>
      <c r="D58" s="289">
        <f t="shared" si="50"/>
        <v>198.91666666666666</v>
      </c>
      <c r="E58" s="6">
        <v>240</v>
      </c>
      <c r="F58" s="289">
        <f t="shared" si="51"/>
        <v>72.393442622950815</v>
      </c>
      <c r="G58" s="562">
        <v>295</v>
      </c>
      <c r="H58" s="289">
        <f t="shared" si="52"/>
        <v>112.45430809399478</v>
      </c>
      <c r="I58" s="6">
        <v>292</v>
      </c>
      <c r="J58" s="289">
        <f t="shared" si="53"/>
        <v>201.93506493506493</v>
      </c>
      <c r="K58" s="295">
        <f t="shared" si="54"/>
        <v>585.69948231867716</v>
      </c>
    </row>
    <row r="59" spans="1:15" ht="13.5" x14ac:dyDescent="0.25">
      <c r="A59" s="261">
        <f>Gen!A24</f>
        <v>44391</v>
      </c>
      <c r="C59" s="52">
        <v>300</v>
      </c>
      <c r="D59" s="289">
        <f t="shared" si="50"/>
        <v>217</v>
      </c>
      <c r="E59" s="6">
        <v>295</v>
      </c>
      <c r="F59" s="289">
        <f t="shared" si="51"/>
        <v>88.983606557377044</v>
      </c>
      <c r="G59" s="562">
        <v>245</v>
      </c>
      <c r="H59" s="289">
        <f t="shared" si="52"/>
        <v>93.394255874673632</v>
      </c>
      <c r="I59" s="6">
        <v>290</v>
      </c>
      <c r="J59" s="289">
        <f t="shared" si="53"/>
        <v>200.55194805194805</v>
      </c>
      <c r="K59" s="295">
        <f t="shared" si="54"/>
        <v>599.92981048399861</v>
      </c>
    </row>
    <row r="60" spans="1:15" ht="13.5" x14ac:dyDescent="0.25">
      <c r="A60" s="261">
        <f>Gen!A25</f>
        <v>44392</v>
      </c>
      <c r="C60" s="52">
        <v>270</v>
      </c>
      <c r="D60" s="289">
        <f t="shared" si="50"/>
        <v>195.3</v>
      </c>
      <c r="E60" s="6">
        <v>235</v>
      </c>
      <c r="F60" s="289">
        <f t="shared" si="51"/>
        <v>70.885245901639351</v>
      </c>
      <c r="G60" s="562">
        <v>180</v>
      </c>
      <c r="H60" s="289">
        <f t="shared" si="52"/>
        <v>68.616187989556138</v>
      </c>
      <c r="I60" s="6">
        <v>290</v>
      </c>
      <c r="J60" s="289">
        <f t="shared" si="53"/>
        <v>200.55194805194805</v>
      </c>
      <c r="K60" s="295">
        <f>D60+F60+H60+J60</f>
        <v>535.35338194314352</v>
      </c>
      <c r="L60" t="s">
        <v>345</v>
      </c>
      <c r="O60" t="s">
        <v>346</v>
      </c>
    </row>
    <row r="61" spans="1:15" ht="13.5" x14ac:dyDescent="0.25">
      <c r="A61" s="261">
        <f>Gen!A26</f>
        <v>44393</v>
      </c>
      <c r="C61" s="52">
        <v>235</v>
      </c>
      <c r="D61" s="289">
        <f t="shared" si="50"/>
        <v>169.98333333333332</v>
      </c>
      <c r="E61" s="6">
        <v>200</v>
      </c>
      <c r="F61" s="289">
        <f t="shared" si="51"/>
        <v>60.327868852459019</v>
      </c>
      <c r="G61" s="562">
        <v>235</v>
      </c>
      <c r="H61" s="289">
        <f t="shared" si="52"/>
        <v>89.582245430809394</v>
      </c>
      <c r="I61" s="6">
        <v>286</v>
      </c>
      <c r="J61" s="289">
        <f t="shared" si="53"/>
        <v>197.78571428571428</v>
      </c>
      <c r="K61" s="295">
        <f t="shared" si="54"/>
        <v>517.67916190231608</v>
      </c>
      <c r="L61" t="s">
        <v>347</v>
      </c>
      <c r="N61" t="s">
        <v>348</v>
      </c>
    </row>
    <row r="62" spans="1:15" ht="13.5" x14ac:dyDescent="0.25">
      <c r="A62" s="261">
        <f>Gen!A27</f>
        <v>44394</v>
      </c>
      <c r="C62" s="52">
        <v>275</v>
      </c>
      <c r="D62" s="289">
        <f t="shared" si="50"/>
        <v>198.91666666666666</v>
      </c>
      <c r="E62" s="6">
        <v>240</v>
      </c>
      <c r="F62" s="289">
        <f t="shared" si="51"/>
        <v>72.393442622950815</v>
      </c>
      <c r="G62" s="562">
        <v>240</v>
      </c>
      <c r="H62" s="289">
        <f t="shared" si="52"/>
        <v>91.488250652741513</v>
      </c>
      <c r="I62" s="6">
        <v>288</v>
      </c>
      <c r="J62" s="289">
        <f t="shared" si="53"/>
        <v>199.16883116883116</v>
      </c>
      <c r="K62" s="295">
        <f t="shared" si="54"/>
        <v>561.96719111119012</v>
      </c>
    </row>
    <row r="63" spans="1:15" ht="13.5" x14ac:dyDescent="0.25">
      <c r="A63" s="261">
        <f>Gen!A28</f>
        <v>44395</v>
      </c>
      <c r="C63" s="52">
        <v>300</v>
      </c>
      <c r="D63" s="289">
        <f t="shared" si="50"/>
        <v>217</v>
      </c>
      <c r="E63" s="6">
        <v>295</v>
      </c>
      <c r="F63" s="289">
        <f t="shared" si="51"/>
        <v>88.983606557377044</v>
      </c>
      <c r="G63" s="435">
        <v>241</v>
      </c>
      <c r="H63" s="289">
        <f t="shared" si="52"/>
        <v>91.869451697127943</v>
      </c>
      <c r="I63" s="6">
        <v>290</v>
      </c>
      <c r="J63" s="289">
        <f t="shared" si="53"/>
        <v>200.55194805194805</v>
      </c>
      <c r="K63" s="295">
        <f t="shared" si="54"/>
        <v>598.40500630645306</v>
      </c>
    </row>
    <row r="64" spans="1:15" ht="13.5" x14ac:dyDescent="0.25">
      <c r="A64" s="261">
        <f>Gen!A29</f>
        <v>44396</v>
      </c>
      <c r="C64" s="52">
        <v>220</v>
      </c>
      <c r="D64" s="289">
        <f t="shared" si="50"/>
        <v>159.13333333333333</v>
      </c>
      <c r="E64" s="6">
        <v>185</v>
      </c>
      <c r="F64" s="289">
        <f t="shared" si="51"/>
        <v>55.803278688524593</v>
      </c>
      <c r="G64" s="435">
        <v>195</v>
      </c>
      <c r="H64" s="289">
        <f t="shared" si="52"/>
        <v>74.334203655352482</v>
      </c>
      <c r="I64" s="6">
        <v>291</v>
      </c>
      <c r="J64" s="289">
        <f t="shared" si="53"/>
        <v>201.24350649350649</v>
      </c>
      <c r="K64" s="295">
        <f t="shared" si="54"/>
        <v>490.51432217071692</v>
      </c>
    </row>
    <row r="65" spans="1:11" ht="13.5" x14ac:dyDescent="0.25">
      <c r="A65" s="261">
        <f>Gen!A30</f>
        <v>44397</v>
      </c>
      <c r="C65" s="52">
        <v>185</v>
      </c>
      <c r="D65" s="289">
        <f t="shared" si="50"/>
        <v>133.81666666666666</v>
      </c>
      <c r="E65" s="6">
        <v>150</v>
      </c>
      <c r="F65" s="289">
        <f t="shared" si="51"/>
        <v>45.245901639344261</v>
      </c>
      <c r="G65" s="435">
        <v>300</v>
      </c>
      <c r="H65" s="289">
        <f t="shared" si="52"/>
        <v>114.36031331592689</v>
      </c>
      <c r="I65" s="6">
        <v>291</v>
      </c>
      <c r="J65" s="289">
        <f t="shared" si="53"/>
        <v>201.24350649350649</v>
      </c>
      <c r="K65" s="295">
        <f t="shared" si="54"/>
        <v>494.66638811544431</v>
      </c>
    </row>
    <row r="66" spans="1:11" ht="13.5" x14ac:dyDescent="0.25">
      <c r="A66" s="261">
        <f>Gen!A31</f>
        <v>44398</v>
      </c>
      <c r="C66" s="52">
        <v>258</v>
      </c>
      <c r="D66" s="289">
        <f t="shared" si="50"/>
        <v>186.62</v>
      </c>
      <c r="E66" s="6">
        <v>225</v>
      </c>
      <c r="F66" s="289">
        <f t="shared" si="51"/>
        <v>67.868852459016395</v>
      </c>
      <c r="G66" s="435">
        <v>100</v>
      </c>
      <c r="H66" s="289">
        <f t="shared" si="52"/>
        <v>38.120104438642301</v>
      </c>
      <c r="I66" s="6">
        <v>290</v>
      </c>
      <c r="J66" s="289">
        <f t="shared" si="53"/>
        <v>200.55194805194805</v>
      </c>
      <c r="K66" s="295">
        <f t="shared" si="54"/>
        <v>493.16090494960673</v>
      </c>
    </row>
    <row r="67" spans="1:11" ht="13.5" x14ac:dyDescent="0.25">
      <c r="A67" s="261">
        <f>Gen!A32</f>
        <v>44399</v>
      </c>
      <c r="C67" s="52">
        <v>182</v>
      </c>
      <c r="D67" s="289">
        <f t="shared" si="50"/>
        <v>131.64666666666668</v>
      </c>
      <c r="E67" s="6">
        <v>167</v>
      </c>
      <c r="F67" s="289">
        <f t="shared" si="51"/>
        <v>50.373770491803278</v>
      </c>
      <c r="G67" s="435">
        <v>182</v>
      </c>
      <c r="H67" s="289">
        <f t="shared" si="52"/>
        <v>69.378590078328983</v>
      </c>
      <c r="I67" s="6">
        <v>290</v>
      </c>
      <c r="J67" s="289">
        <f t="shared" si="53"/>
        <v>200.55194805194805</v>
      </c>
      <c r="K67" s="295">
        <f t="shared" si="54"/>
        <v>451.95097528874697</v>
      </c>
    </row>
    <row r="68" spans="1:11" ht="13.5" x14ac:dyDescent="0.25">
      <c r="A68" s="261">
        <f>Gen!A33</f>
        <v>44400</v>
      </c>
      <c r="C68" s="52">
        <v>115</v>
      </c>
      <c r="D68" s="289">
        <f t="shared" si="50"/>
        <v>83.183333333333337</v>
      </c>
      <c r="E68" s="6">
        <v>80</v>
      </c>
      <c r="F68" s="289">
        <f t="shared" si="51"/>
        <v>24.131147540983605</v>
      </c>
      <c r="G68" s="435">
        <v>290</v>
      </c>
      <c r="H68" s="289">
        <f t="shared" si="52"/>
        <v>110.54830287206266</v>
      </c>
      <c r="I68" s="6">
        <v>292</v>
      </c>
      <c r="J68" s="289">
        <f t="shared" si="53"/>
        <v>201.93506493506493</v>
      </c>
      <c r="K68" s="295">
        <f t="shared" si="54"/>
        <v>419.79784868144452</v>
      </c>
    </row>
    <row r="69" spans="1:11" ht="13.5" x14ac:dyDescent="0.25">
      <c r="A69" s="261">
        <f>Gen!A34</f>
        <v>44401</v>
      </c>
      <c r="C69" s="52">
        <v>165</v>
      </c>
      <c r="D69" s="289">
        <f t="shared" si="50"/>
        <v>119.35</v>
      </c>
      <c r="E69" s="6">
        <v>131</v>
      </c>
      <c r="F69" s="289">
        <f t="shared" si="51"/>
        <v>39.514754098360655</v>
      </c>
      <c r="G69" s="435">
        <v>100</v>
      </c>
      <c r="H69" s="289">
        <f t="shared" si="52"/>
        <v>38.120104438642301</v>
      </c>
      <c r="I69" s="6">
        <v>290</v>
      </c>
      <c r="J69" s="289">
        <f t="shared" si="53"/>
        <v>200.55194805194805</v>
      </c>
      <c r="K69" s="295">
        <f t="shared" si="54"/>
        <v>397.53680658895098</v>
      </c>
    </row>
    <row r="70" spans="1:11" ht="13.5" x14ac:dyDescent="0.25">
      <c r="A70" s="261">
        <f>Gen!A35</f>
        <v>44402</v>
      </c>
      <c r="C70" s="52">
        <v>150</v>
      </c>
      <c r="D70" s="289">
        <f t="shared" si="50"/>
        <v>108.5</v>
      </c>
      <c r="E70" s="6">
        <v>110</v>
      </c>
      <c r="F70" s="289">
        <f t="shared" si="51"/>
        <v>33.180327868852459</v>
      </c>
      <c r="G70" s="435">
        <v>230</v>
      </c>
      <c r="H70" s="289">
        <f t="shared" si="52"/>
        <v>87.676240208877289</v>
      </c>
      <c r="I70" s="6">
        <v>285</v>
      </c>
      <c r="J70" s="289">
        <f t="shared" si="53"/>
        <v>197.09415584415584</v>
      </c>
      <c r="K70" s="295">
        <f t="shared" si="54"/>
        <v>426.45072392188558</v>
      </c>
    </row>
    <row r="71" spans="1:11" ht="13.5" x14ac:dyDescent="0.25">
      <c r="A71" s="261">
        <f>Gen!A36</f>
        <v>44403</v>
      </c>
      <c r="C71" s="52">
        <v>190</v>
      </c>
      <c r="D71" s="289">
        <f t="shared" si="50"/>
        <v>137.43333333333334</v>
      </c>
      <c r="E71" s="6">
        <v>120</v>
      </c>
      <c r="F71" s="289">
        <f t="shared" si="51"/>
        <v>36.196721311475407</v>
      </c>
      <c r="G71" s="435">
        <v>270</v>
      </c>
      <c r="H71" s="289">
        <f t="shared" si="52"/>
        <v>102.9242819843342</v>
      </c>
      <c r="I71" s="6">
        <v>285</v>
      </c>
      <c r="J71" s="289">
        <f t="shared" si="53"/>
        <v>197.09415584415584</v>
      </c>
      <c r="K71" s="295">
        <f t="shared" si="54"/>
        <v>473.6484924732988</v>
      </c>
    </row>
    <row r="72" spans="1:11" ht="13.5" x14ac:dyDescent="0.25">
      <c r="A72" s="261">
        <f>Gen!A37</f>
        <v>44404</v>
      </c>
      <c r="C72" s="52">
        <v>250</v>
      </c>
      <c r="D72" s="289">
        <f t="shared" si="50"/>
        <v>180.83333333333334</v>
      </c>
      <c r="E72" s="6">
        <v>190</v>
      </c>
      <c r="F72" s="289">
        <f t="shared" si="51"/>
        <v>57.311475409836063</v>
      </c>
      <c r="G72" s="435">
        <v>280</v>
      </c>
      <c r="H72" s="289">
        <f t="shared" si="52"/>
        <v>106.73629242819844</v>
      </c>
      <c r="I72" s="6">
        <v>285</v>
      </c>
      <c r="J72" s="289">
        <f t="shared" si="53"/>
        <v>197.09415584415584</v>
      </c>
      <c r="K72" s="295">
        <f t="shared" si="54"/>
        <v>541.97525701552365</v>
      </c>
    </row>
    <row r="73" spans="1:11" ht="13.5" x14ac:dyDescent="0.25">
      <c r="A73" s="261">
        <f>Gen!A38</f>
        <v>44405</v>
      </c>
      <c r="C73" s="52">
        <v>270</v>
      </c>
      <c r="D73" s="289">
        <f t="shared" si="50"/>
        <v>195.3</v>
      </c>
      <c r="E73" s="6">
        <v>200</v>
      </c>
      <c r="F73" s="289">
        <f t="shared" si="51"/>
        <v>60.327868852459019</v>
      </c>
      <c r="G73" s="435">
        <v>300</v>
      </c>
      <c r="H73" s="289">
        <f t="shared" si="52"/>
        <v>114.36031331592689</v>
      </c>
      <c r="I73" s="6">
        <v>290</v>
      </c>
      <c r="J73" s="289">
        <f t="shared" si="53"/>
        <v>200.55194805194805</v>
      </c>
      <c r="K73" s="295">
        <f t="shared" si="54"/>
        <v>570.54013022033394</v>
      </c>
    </row>
    <row r="74" spans="1:11" ht="13.5" x14ac:dyDescent="0.25">
      <c r="A74" s="261">
        <f>Gen!A39</f>
        <v>44406</v>
      </c>
      <c r="C74" s="52">
        <v>150</v>
      </c>
      <c r="D74" s="289">
        <f t="shared" si="50"/>
        <v>108.5</v>
      </c>
      <c r="E74" s="6">
        <v>50</v>
      </c>
      <c r="F74" s="289">
        <f t="shared" si="51"/>
        <v>15.081967213114755</v>
      </c>
      <c r="G74" s="435">
        <v>300</v>
      </c>
      <c r="H74" s="289">
        <f t="shared" si="52"/>
        <v>114.36031331592689</v>
      </c>
      <c r="I74" s="6">
        <v>280</v>
      </c>
      <c r="J74" s="289">
        <f t="shared" si="53"/>
        <v>193.63636363636363</v>
      </c>
      <c r="K74" s="295">
        <f t="shared" si="54"/>
        <v>431.57864416540525</v>
      </c>
    </row>
    <row r="75" spans="1:11" ht="13.5" x14ac:dyDescent="0.25">
      <c r="A75" s="261">
        <f>Gen!A40</f>
        <v>44407</v>
      </c>
      <c r="B75" s="223"/>
      <c r="C75" s="52">
        <v>160</v>
      </c>
      <c r="D75" s="289">
        <f t="shared" si="50"/>
        <v>115.73333333333333</v>
      </c>
      <c r="E75" s="6">
        <v>110</v>
      </c>
      <c r="F75" s="289">
        <f t="shared" si="51"/>
        <v>33.180327868852459</v>
      </c>
      <c r="G75" s="435">
        <v>280</v>
      </c>
      <c r="H75" s="289">
        <f t="shared" si="52"/>
        <v>106.73629242819844</v>
      </c>
      <c r="I75" s="6">
        <v>285</v>
      </c>
      <c r="J75" s="289">
        <f t="shared" si="53"/>
        <v>197.09415584415584</v>
      </c>
      <c r="K75" s="295">
        <f t="shared" si="54"/>
        <v>452.7441094745401</v>
      </c>
    </row>
    <row r="76" spans="1:11" ht="13.5" x14ac:dyDescent="0.25">
      <c r="A76" s="261">
        <f>Gen!A41</f>
        <v>44408</v>
      </c>
      <c r="C76" s="52">
        <v>235</v>
      </c>
      <c r="D76" s="289">
        <f t="shared" si="50"/>
        <v>169.98333333333332</v>
      </c>
      <c r="E76" s="6">
        <v>200</v>
      </c>
      <c r="F76" s="289">
        <f t="shared" si="51"/>
        <v>60.327868852459019</v>
      </c>
      <c r="G76" s="435">
        <v>255</v>
      </c>
      <c r="H76" s="289">
        <f t="shared" si="52"/>
        <v>97.206266318537857</v>
      </c>
      <c r="I76" s="6">
        <v>290</v>
      </c>
      <c r="J76" s="289">
        <f t="shared" si="53"/>
        <v>200.55194805194805</v>
      </c>
      <c r="K76" s="295">
        <f t="shared" si="54"/>
        <v>528.06941655627827</v>
      </c>
    </row>
    <row r="77" spans="1:11" ht="14.25" thickBot="1" x14ac:dyDescent="0.3">
      <c r="A77" s="261">
        <f>Gen!A42</f>
        <v>0</v>
      </c>
      <c r="C77" s="52"/>
      <c r="D77" s="289">
        <f t="shared" si="50"/>
        <v>0</v>
      </c>
      <c r="E77" s="6"/>
      <c r="F77" s="289">
        <f t="shared" si="51"/>
        <v>0</v>
      </c>
      <c r="G77" s="435"/>
      <c r="H77" s="289">
        <f t="shared" si="52"/>
        <v>0</v>
      </c>
      <c r="I77" s="6"/>
      <c r="J77" s="289">
        <f t="shared" si="53"/>
        <v>0</v>
      </c>
      <c r="K77" s="296">
        <f t="shared" si="54"/>
        <v>0</v>
      </c>
    </row>
    <row r="78" spans="1:11" ht="13.5" x14ac:dyDescent="0.25">
      <c r="A78" s="261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2" sqref="B2"/>
    </sheetView>
  </sheetViews>
  <sheetFormatPr defaultRowHeight="12.75" x14ac:dyDescent="0.2"/>
  <cols>
    <col min="1" max="1" width="9.7109375" bestFit="1" customWidth="1"/>
    <col min="2" max="2" width="9.28515625" style="11" bestFit="1" customWidth="1"/>
  </cols>
  <sheetData>
    <row r="1" spans="1:3" s="15" customFormat="1" x14ac:dyDescent="0.2">
      <c r="A1" s="13" t="s">
        <v>32</v>
      </c>
      <c r="B1" s="13" t="s">
        <v>349</v>
      </c>
      <c r="C1" s="13" t="s">
        <v>107</v>
      </c>
    </row>
    <row r="2" spans="1:3" x14ac:dyDescent="0.2">
      <c r="A2" s="79">
        <f>Gen!A11</f>
        <v>44378</v>
      </c>
      <c r="B2" s="12" t="e">
        <v>#REF!</v>
      </c>
      <c r="C2" s="78">
        <v>0.623</v>
      </c>
    </row>
    <row r="3" spans="1:3" x14ac:dyDescent="0.2">
      <c r="A3" s="79">
        <f>Gen!A12</f>
        <v>44379</v>
      </c>
      <c r="B3" s="12" t="e">
        <v>#REF!</v>
      </c>
      <c r="C3" s="78">
        <v>0.77900000000000003</v>
      </c>
    </row>
    <row r="4" spans="1:3" x14ac:dyDescent="0.2">
      <c r="A4" s="79">
        <f>Gen!A13</f>
        <v>44380</v>
      </c>
      <c r="B4" s="12" t="e">
        <v>#REF!</v>
      </c>
      <c r="C4" s="78">
        <v>0.53200000000000003</v>
      </c>
    </row>
    <row r="5" spans="1:3" x14ac:dyDescent="0.2">
      <c r="A5" s="79">
        <f>Gen!A14</f>
        <v>44381</v>
      </c>
      <c r="B5" s="12" t="e">
        <v>#REF!</v>
      </c>
      <c r="C5" s="78">
        <v>0.61</v>
      </c>
    </row>
    <row r="6" spans="1:3" x14ac:dyDescent="0.2">
      <c r="A6" s="79">
        <f>Gen!A15</f>
        <v>44382</v>
      </c>
      <c r="B6" s="12" t="e">
        <v>#REF!</v>
      </c>
      <c r="C6" s="78">
        <v>0.68799999999999994</v>
      </c>
    </row>
    <row r="7" spans="1:3" x14ac:dyDescent="0.2">
      <c r="A7" s="79">
        <f>Gen!A16</f>
        <v>44383</v>
      </c>
      <c r="B7" s="12" t="e">
        <v>#REF!</v>
      </c>
      <c r="C7" s="78">
        <v>0.53200000000000003</v>
      </c>
    </row>
    <row r="8" spans="1:3" x14ac:dyDescent="0.2">
      <c r="A8" s="79">
        <f>Gen!A17</f>
        <v>44384</v>
      </c>
      <c r="B8" s="12" t="e">
        <v>#REF!</v>
      </c>
      <c r="C8" s="78">
        <v>0.753</v>
      </c>
    </row>
    <row r="9" spans="1:3" x14ac:dyDescent="0.2">
      <c r="A9" s="79">
        <f>Gen!A18</f>
        <v>44385</v>
      </c>
      <c r="B9" s="12" t="e">
        <v>#REF!</v>
      </c>
      <c r="C9" s="78">
        <v>0.156</v>
      </c>
    </row>
    <row r="10" spans="1:3" x14ac:dyDescent="0.2">
      <c r="A10" s="79">
        <f>Gen!A19</f>
        <v>44386</v>
      </c>
      <c r="B10" s="12" t="e">
        <v>#REF!</v>
      </c>
      <c r="C10" s="78">
        <v>0.442</v>
      </c>
    </row>
    <row r="11" spans="1:3" x14ac:dyDescent="0.2">
      <c r="A11" s="79">
        <f>Gen!A20</f>
        <v>44387</v>
      </c>
      <c r="B11" s="12" t="e">
        <v>#REF!</v>
      </c>
      <c r="C11" s="78">
        <v>0.32500000000000001</v>
      </c>
    </row>
    <row r="12" spans="1:3" x14ac:dyDescent="0.2">
      <c r="A12" s="79">
        <f>Gen!A21</f>
        <v>44388</v>
      </c>
      <c r="B12" s="12" t="e">
        <v>#REF!</v>
      </c>
      <c r="C12" s="78">
        <v>0.45500000000000002</v>
      </c>
    </row>
    <row r="13" spans="1:3" x14ac:dyDescent="0.2">
      <c r="A13" s="79">
        <f>Gen!A22</f>
        <v>44389</v>
      </c>
      <c r="B13" s="12" t="e">
        <v>#REF!</v>
      </c>
      <c r="C13" s="78">
        <v>0.41599999999999998</v>
      </c>
    </row>
    <row r="14" spans="1:3" x14ac:dyDescent="0.2">
      <c r="A14" s="79">
        <f>Gen!A23</f>
        <v>44390</v>
      </c>
      <c r="B14" s="12" t="e">
        <v>#REF!</v>
      </c>
      <c r="C14" s="78">
        <v>0.39</v>
      </c>
    </row>
    <row r="15" spans="1:3" x14ac:dyDescent="0.2">
      <c r="A15" s="79">
        <f>Gen!A24</f>
        <v>44391</v>
      </c>
      <c r="B15" s="12" t="e">
        <v>#REF!</v>
      </c>
      <c r="C15" s="78">
        <v>0.63600000000000001</v>
      </c>
    </row>
    <row r="16" spans="1:3" x14ac:dyDescent="0.2">
      <c r="A16" s="79">
        <f>Gen!A25</f>
        <v>44392</v>
      </c>
      <c r="B16" s="12" t="e">
        <v>#REF!</v>
      </c>
      <c r="C16" s="78">
        <v>0.84399999999999997</v>
      </c>
    </row>
    <row r="17" spans="1:3" x14ac:dyDescent="0.2">
      <c r="A17" s="79">
        <f>Gen!A26</f>
        <v>44393</v>
      </c>
      <c r="B17" s="12" t="e">
        <v>#REF!</v>
      </c>
      <c r="C17" s="78">
        <v>0.81799999999999995</v>
      </c>
    </row>
    <row r="18" spans="1:3" x14ac:dyDescent="0.2">
      <c r="A18" s="79">
        <f>Gen!A27</f>
        <v>44394</v>
      </c>
      <c r="B18" s="12" t="e">
        <v>#REF!</v>
      </c>
      <c r="C18" s="78">
        <v>0.20799999999999999</v>
      </c>
    </row>
    <row r="19" spans="1:3" x14ac:dyDescent="0.2">
      <c r="A19" s="79">
        <f>Gen!A28</f>
        <v>44395</v>
      </c>
      <c r="B19" s="12" t="e">
        <v>#REF!</v>
      </c>
      <c r="C19" s="78">
        <v>0.221</v>
      </c>
    </row>
    <row r="20" spans="1:3" x14ac:dyDescent="0.2">
      <c r="A20" s="79">
        <f>Gen!A29</f>
        <v>44396</v>
      </c>
      <c r="B20" s="12" t="e">
        <v>#REF!</v>
      </c>
      <c r="C20" s="78">
        <v>0.11700000000000001</v>
      </c>
    </row>
    <row r="21" spans="1:3" x14ac:dyDescent="0.2">
      <c r="A21" s="79">
        <f>Gen!A30</f>
        <v>44397</v>
      </c>
      <c r="B21" s="12" t="e">
        <v>#REF!</v>
      </c>
      <c r="C21" s="78">
        <v>0.57099999999999995</v>
      </c>
    </row>
    <row r="22" spans="1:3" x14ac:dyDescent="0.2">
      <c r="A22" s="79">
        <f>Gen!A31</f>
        <v>44398</v>
      </c>
      <c r="B22" s="12" t="e">
        <v>#REF!</v>
      </c>
      <c r="C22" s="78">
        <v>0.55800000000000005</v>
      </c>
    </row>
    <row r="23" spans="1:3" x14ac:dyDescent="0.2">
      <c r="A23" s="79">
        <f>Gen!A32</f>
        <v>44399</v>
      </c>
      <c r="B23" s="12" t="e">
        <v>#REF!</v>
      </c>
      <c r="C23" s="78">
        <v>0.40300000000000002</v>
      </c>
    </row>
    <row r="24" spans="1:3" x14ac:dyDescent="0.2">
      <c r="A24" s="79">
        <f>Gen!A33</f>
        <v>44400</v>
      </c>
      <c r="B24" s="12" t="e">
        <v>#REF!</v>
      </c>
      <c r="C24" s="78">
        <v>0.24</v>
      </c>
    </row>
    <row r="25" spans="1:3" x14ac:dyDescent="0.2">
      <c r="A25" s="79">
        <f>Gen!A34</f>
        <v>44401</v>
      </c>
      <c r="B25" s="12" t="e">
        <v>#REF!</v>
      </c>
      <c r="C25" s="78">
        <v>0.09</v>
      </c>
    </row>
    <row r="26" spans="1:3" x14ac:dyDescent="0.2">
      <c r="A26" s="79">
        <f>Gen!A35</f>
        <v>44402</v>
      </c>
      <c r="B26" s="12" t="e">
        <v>#REF!</v>
      </c>
      <c r="C26" s="78">
        <v>0.28599999999999998</v>
      </c>
    </row>
    <row r="27" spans="1:3" x14ac:dyDescent="0.2">
      <c r="A27" s="79">
        <f>Gen!A36</f>
        <v>44403</v>
      </c>
      <c r="B27" s="12" t="e">
        <v>#REF!</v>
      </c>
      <c r="C27" s="78">
        <v>0.54500000000000004</v>
      </c>
    </row>
    <row r="28" spans="1:3" x14ac:dyDescent="0.2">
      <c r="A28" s="79">
        <f>Gen!A37</f>
        <v>44404</v>
      </c>
      <c r="B28" s="12" t="e">
        <v>#REF!</v>
      </c>
      <c r="C28" s="78">
        <v>0.67500000000000004</v>
      </c>
    </row>
    <row r="29" spans="1:3" x14ac:dyDescent="0.2">
      <c r="A29" s="79">
        <f>Gen!A38</f>
        <v>44405</v>
      </c>
      <c r="B29" s="12" t="e">
        <v>#REF!</v>
      </c>
      <c r="C29" s="78">
        <v>0.27300000000000002</v>
      </c>
    </row>
    <row r="30" spans="1:3" x14ac:dyDescent="0.2">
      <c r="A30" s="79">
        <f>Gen!A39</f>
        <v>44406</v>
      </c>
      <c r="B30" s="12">
        <v>-212333</v>
      </c>
      <c r="C30" s="78" t="e">
        <v>#REF!</v>
      </c>
    </row>
    <row r="31" spans="1:3" x14ac:dyDescent="0.2">
      <c r="A31" s="79">
        <f>Gen!A40</f>
        <v>44407</v>
      </c>
      <c r="B31" s="12" t="e">
        <v>#REF!</v>
      </c>
      <c r="C31" s="78" t="e">
        <v>#REF!</v>
      </c>
    </row>
    <row r="32" spans="1:3" x14ac:dyDescent="0.2">
      <c r="A32" s="79">
        <f>Gen!A41</f>
        <v>44408</v>
      </c>
      <c r="B32" s="12" t="e">
        <v>#REF!</v>
      </c>
      <c r="C32" s="78" t="e"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workbookViewId="0">
      <selection activeCell="B6" sqref="B6"/>
    </sheetView>
  </sheetViews>
  <sheetFormatPr defaultRowHeight="12.75" x14ac:dyDescent="0.2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 x14ac:dyDescent="0.25"/>
    <row r="2" spans="1:27" x14ac:dyDescent="0.2">
      <c r="A2" s="967" t="s">
        <v>350</v>
      </c>
      <c r="B2" s="968"/>
      <c r="C2" s="968"/>
      <c r="D2" s="968"/>
      <c r="E2" s="969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76">
        <v>2209.85</v>
      </c>
      <c r="R2" s="394" t="s">
        <v>351</v>
      </c>
      <c r="S2" s="394" t="s">
        <v>352</v>
      </c>
      <c r="T2" s="76">
        <v>1584</v>
      </c>
      <c r="U2" s="51"/>
      <c r="V2" s="55"/>
      <c r="W2" s="50"/>
    </row>
    <row r="3" spans="1:27" ht="38.25" customHeight="1" x14ac:dyDescent="0.2">
      <c r="A3" s="5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05" t="s">
        <v>353</v>
      </c>
      <c r="N3" s="105"/>
      <c r="O3" s="105"/>
      <c r="P3" s="105" t="s">
        <v>354</v>
      </c>
      <c r="Q3" s="106" t="s">
        <v>355</v>
      </c>
      <c r="R3" s="106"/>
      <c r="S3" s="106"/>
      <c r="T3" s="395"/>
      <c r="U3" s="396"/>
      <c r="V3" s="57" t="s">
        <v>356</v>
      </c>
      <c r="W3" s="105" t="s">
        <v>357</v>
      </c>
      <c r="AA3" s="125" t="s">
        <v>358</v>
      </c>
    </row>
    <row r="4" spans="1:27" s="40" customFormat="1" ht="50.25" customHeight="1" x14ac:dyDescent="0.2">
      <c r="A4" s="53" t="s">
        <v>32</v>
      </c>
      <c r="B4" s="66" t="s">
        <v>125</v>
      </c>
      <c r="C4" s="42" t="s">
        <v>126</v>
      </c>
      <c r="D4" s="42" t="s">
        <v>127</v>
      </c>
      <c r="E4" s="42" t="s">
        <v>128</v>
      </c>
      <c r="F4" s="42" t="s">
        <v>129</v>
      </c>
      <c r="G4" s="42" t="s">
        <v>359</v>
      </c>
      <c r="H4" s="42" t="s">
        <v>360</v>
      </c>
      <c r="I4" s="42" t="s">
        <v>361</v>
      </c>
      <c r="J4" s="42" t="s">
        <v>362</v>
      </c>
      <c r="K4" s="42" t="s">
        <v>134</v>
      </c>
      <c r="L4" s="42" t="s">
        <v>135</v>
      </c>
      <c r="M4" s="42">
        <v>3</v>
      </c>
      <c r="N4" s="42">
        <v>2</v>
      </c>
      <c r="O4" s="42">
        <v>1</v>
      </c>
      <c r="P4" s="46"/>
      <c r="Q4" s="49" t="s">
        <v>363</v>
      </c>
      <c r="R4" s="49" t="s">
        <v>364</v>
      </c>
      <c r="S4" s="49" t="s">
        <v>365</v>
      </c>
      <c r="T4" s="49" t="s">
        <v>43</v>
      </c>
      <c r="U4" s="54" t="s">
        <v>44</v>
      </c>
      <c r="V4" s="56"/>
      <c r="W4" s="45"/>
      <c r="X4" s="861"/>
      <c r="Y4" s="861"/>
      <c r="Z4" s="861"/>
      <c r="AA4" s="861"/>
    </row>
    <row r="5" spans="1:27" x14ac:dyDescent="0.2">
      <c r="A5" s="43">
        <f>Gen!A11</f>
        <v>44378</v>
      </c>
      <c r="B5" s="68">
        <v>0</v>
      </c>
      <c r="C5" s="73">
        <f>Gen!B11</f>
        <v>0.3</v>
      </c>
      <c r="D5" s="393">
        <f>SUM(77*C5)</f>
        <v>23.099999999999998</v>
      </c>
      <c r="E5" s="62"/>
      <c r="F5" s="60">
        <f>Gen!U11</f>
        <v>0.42204033771106941</v>
      </c>
      <c r="G5" s="71">
        <f>Gen!T11</f>
        <v>4264</v>
      </c>
      <c r="H5" s="71" t="e">
        <v>#REF!</v>
      </c>
      <c r="I5" s="71" t="e">
        <f t="shared" ref="I5:I35" si="0">SUM(G5:H5)</f>
        <v>#REF!</v>
      </c>
      <c r="J5" s="71">
        <v>47806.650000000031</v>
      </c>
      <c r="K5" s="59">
        <f>'Water-Meter'!E6</f>
        <v>109</v>
      </c>
      <c r="L5" s="406">
        <f>'Lpg (2)'!G10</f>
        <v>130.67999999998722</v>
      </c>
      <c r="M5" s="74" t="e">
        <f>#REF!</f>
        <v>#REF!</v>
      </c>
      <c r="N5" s="74" t="e">
        <f>#REF!</f>
        <v>#REF!</v>
      </c>
      <c r="O5" s="74" t="e">
        <f>#REF!</f>
        <v>#REF!</v>
      </c>
      <c r="P5" s="75">
        <f t="shared" ref="P5:P35" si="1">J5/52000</f>
        <v>0.91935865384615445</v>
      </c>
      <c r="Q5" s="6" t="e">
        <f>I5*Q2</f>
        <v>#REF!</v>
      </c>
      <c r="R5" s="64" t="e">
        <f>SUM(Q5/D5)/X5</f>
        <v>#REF!</v>
      </c>
      <c r="S5" s="397" t="e">
        <f>SUM(Q5/E5)/X5</f>
        <v>#REF!</v>
      </c>
      <c r="T5" s="64">
        <f>(K5*102)/X5</f>
        <v>7.0189393939393936</v>
      </c>
      <c r="U5" s="108">
        <f>SUM(L5*1963)/X5</f>
        <v>161.94749999998416</v>
      </c>
      <c r="V5" s="17" t="e">
        <f>SUM(Q5+T5+U5)</f>
        <v>#REF!</v>
      </c>
      <c r="W5" s="110" t="e">
        <f>SUM(V5/E5)/T2</f>
        <v>#REF!</v>
      </c>
      <c r="X5">
        <f>SUM(T2)</f>
        <v>1584</v>
      </c>
      <c r="Y5" s="398">
        <v>106</v>
      </c>
      <c r="Z5" s="65" t="e">
        <f>SUM(Y5-S5)</f>
        <v>#REF!</v>
      </c>
      <c r="AA5">
        <v>106</v>
      </c>
    </row>
    <row r="6" spans="1:27" x14ac:dyDescent="0.2">
      <c r="A6" s="43">
        <f>Gen!A12</f>
        <v>44379</v>
      </c>
      <c r="B6" s="68">
        <v>0</v>
      </c>
      <c r="C6" s="73">
        <f>Gen!B12</f>
        <v>0.35</v>
      </c>
      <c r="D6" s="393">
        <f t="shared" ref="D6:D35" si="2">SUM(77*C6)</f>
        <v>26.95</v>
      </c>
      <c r="E6" s="62"/>
      <c r="F6" s="60">
        <f>Gen!U12</f>
        <v>0.39586335985025733</v>
      </c>
      <c r="G6" s="71">
        <f>Gen!T12</f>
        <v>4274</v>
      </c>
      <c r="H6" s="71" t="e">
        <v>#REF!</v>
      </c>
      <c r="I6" s="71" t="e">
        <f t="shared" si="0"/>
        <v>#REF!</v>
      </c>
      <c r="J6" s="71">
        <v>45423.890000000029</v>
      </c>
      <c r="K6" s="59">
        <f>'Water-Meter'!E7</f>
        <v>101</v>
      </c>
      <c r="L6" s="406">
        <f>'Lpg (2)'!G11</f>
        <v>124.52000000001281</v>
      </c>
      <c r="M6" s="74" t="e">
        <f>#REF!</f>
        <v>#REF!</v>
      </c>
      <c r="N6" s="74" t="e">
        <f>#REF!</f>
        <v>#REF!</v>
      </c>
      <c r="O6" s="74" t="e">
        <f>#REF!</f>
        <v>#REF!</v>
      </c>
      <c r="P6" s="75">
        <f t="shared" si="1"/>
        <v>0.87353634615384668</v>
      </c>
      <c r="Q6" s="6" t="e">
        <f>I6*Q2</f>
        <v>#REF!</v>
      </c>
      <c r="R6" s="64" t="e">
        <f t="shared" ref="R6:R35" si="3">SUM(Q6/D6)/X6</f>
        <v>#REF!</v>
      </c>
      <c r="S6" s="397" t="e">
        <f t="shared" ref="S6:S35" si="4">SUM(Q6/E6)/X6</f>
        <v>#REF!</v>
      </c>
      <c r="T6" s="64">
        <f t="shared" ref="T6:T35" si="5">(K6*102)/X6</f>
        <v>6.5037878787878789</v>
      </c>
      <c r="U6" s="108">
        <f t="shared" ref="U6:U35" si="6">SUM(L6*1963)/X6</f>
        <v>154.31361111112699</v>
      </c>
      <c r="V6" s="17" t="e">
        <f t="shared" ref="V6:V36" si="7">SUM(Q6+T6+U6)</f>
        <v>#REF!</v>
      </c>
      <c r="W6" s="110" t="e">
        <f>SUM(V6/E6)/T2</f>
        <v>#REF!</v>
      </c>
      <c r="X6">
        <f>SUM(X5)</f>
        <v>1584</v>
      </c>
      <c r="Y6" s="398">
        <v>106</v>
      </c>
      <c r="Z6" s="65" t="e">
        <f t="shared" ref="Z6:Z35" si="8">SUM(Y6-S6)</f>
        <v>#REF!</v>
      </c>
    </row>
    <row r="7" spans="1:27" x14ac:dyDescent="0.2">
      <c r="A7" s="43">
        <f>Gen!A13</f>
        <v>44380</v>
      </c>
      <c r="B7" s="68">
        <v>0</v>
      </c>
      <c r="C7" s="73">
        <f>Gen!B13</f>
        <v>0.26090000000000002</v>
      </c>
      <c r="D7" s="393">
        <f t="shared" si="2"/>
        <v>20.089300000000001</v>
      </c>
      <c r="E7" s="62"/>
      <c r="F7" s="60">
        <f>Gen!U13</f>
        <v>0.40530557421087976</v>
      </c>
      <c r="G7" s="71">
        <f>Gen!T13</f>
        <v>4467</v>
      </c>
      <c r="H7" s="71" t="e">
        <v>#REF!</v>
      </c>
      <c r="I7" s="71" t="e">
        <f t="shared" si="0"/>
        <v>#REF!</v>
      </c>
      <c r="J7" s="71">
        <v>42919.590000000026</v>
      </c>
      <c r="K7" s="59">
        <f>'Water-Meter'!E8</f>
        <v>94</v>
      </c>
      <c r="L7" s="406">
        <f>'Lpg (2)'!G12</f>
        <v>44</v>
      </c>
      <c r="M7" s="74" t="e">
        <f>#REF!</f>
        <v>#REF!</v>
      </c>
      <c r="N7" s="74" t="e">
        <f>#REF!</f>
        <v>#REF!</v>
      </c>
      <c r="O7" s="74" t="e">
        <f>#REF!</f>
        <v>#REF!</v>
      </c>
      <c r="P7" s="75">
        <f t="shared" si="1"/>
        <v>0.82537673076923124</v>
      </c>
      <c r="Q7" s="6" t="e">
        <f>I7*Q2</f>
        <v>#REF!</v>
      </c>
      <c r="R7" s="64" t="e">
        <f t="shared" si="3"/>
        <v>#REF!</v>
      </c>
      <c r="S7" s="397" t="e">
        <f t="shared" si="4"/>
        <v>#REF!</v>
      </c>
      <c r="T7" s="64">
        <f t="shared" si="5"/>
        <v>6.0530303030303028</v>
      </c>
      <c r="U7" s="108">
        <f t="shared" si="6"/>
        <v>54.527777777777779</v>
      </c>
      <c r="V7" s="17" t="e">
        <f t="shared" si="7"/>
        <v>#REF!</v>
      </c>
      <c r="W7" s="110" t="e">
        <f>SUM(V7/E7)/T2</f>
        <v>#REF!</v>
      </c>
      <c r="X7">
        <f t="shared" ref="X7:X35" si="9">SUM(X6)</f>
        <v>1584</v>
      </c>
      <c r="Y7" s="398">
        <v>106</v>
      </c>
      <c r="Z7" s="65" t="e">
        <f t="shared" si="8"/>
        <v>#REF!</v>
      </c>
    </row>
    <row r="8" spans="1:27" x14ac:dyDescent="0.2">
      <c r="A8" s="43">
        <f>Gen!A14</f>
        <v>44381</v>
      </c>
      <c r="B8" s="68">
        <v>0</v>
      </c>
      <c r="C8" s="73">
        <f>Gen!B14</f>
        <v>0.18</v>
      </c>
      <c r="D8" s="393">
        <f t="shared" si="2"/>
        <v>13.86</v>
      </c>
      <c r="E8" s="62"/>
      <c r="F8" s="60">
        <f>Gen!U14</f>
        <v>0.40242084754018509</v>
      </c>
      <c r="G8" s="71">
        <f>Gen!T14</f>
        <v>4106</v>
      </c>
      <c r="H8" s="71" t="e">
        <v>#REF!</v>
      </c>
      <c r="I8" s="71" t="e">
        <f t="shared" si="0"/>
        <v>#REF!</v>
      </c>
      <c r="J8" s="71">
        <v>40258.940000000024</v>
      </c>
      <c r="K8" s="59">
        <f>'Water-Meter'!E9</f>
        <v>98</v>
      </c>
      <c r="L8" s="406">
        <f>'Lpg (2)'!G13</f>
        <v>89.363999999989758</v>
      </c>
      <c r="M8" s="74" t="e">
        <f>#REF!</f>
        <v>#REF!</v>
      </c>
      <c r="N8" s="74" t="e">
        <f>#REF!</f>
        <v>#REF!</v>
      </c>
      <c r="O8" s="74" t="e">
        <f>#REF!</f>
        <v>#REF!</v>
      </c>
      <c r="P8" s="75">
        <f t="shared" si="1"/>
        <v>0.77421038461538505</v>
      </c>
      <c r="Q8" s="6" t="e">
        <f>I8*Q2</f>
        <v>#REF!</v>
      </c>
      <c r="R8" s="64" t="e">
        <f t="shared" si="3"/>
        <v>#REF!</v>
      </c>
      <c r="S8" s="397" t="e">
        <f t="shared" si="4"/>
        <v>#REF!</v>
      </c>
      <c r="T8" s="64">
        <f t="shared" si="5"/>
        <v>6.3106060606060606</v>
      </c>
      <c r="U8" s="108">
        <f t="shared" si="6"/>
        <v>110.74591666665397</v>
      </c>
      <c r="V8" s="17" t="e">
        <f t="shared" si="7"/>
        <v>#REF!</v>
      </c>
      <c r="W8" s="110" t="e">
        <f>SUM(V8/E8)/T2</f>
        <v>#REF!</v>
      </c>
      <c r="X8">
        <f t="shared" si="9"/>
        <v>1584</v>
      </c>
      <c r="Y8" s="398">
        <v>106</v>
      </c>
      <c r="Z8" s="65" t="e">
        <f t="shared" si="8"/>
        <v>#REF!</v>
      </c>
    </row>
    <row r="9" spans="1:27" x14ac:dyDescent="0.2">
      <c r="A9" s="43">
        <f>Gen!A15</f>
        <v>44382</v>
      </c>
      <c r="B9" s="68">
        <v>0</v>
      </c>
      <c r="C9" s="73">
        <f>Gen!B15</f>
        <v>0.14000000000000001</v>
      </c>
      <c r="D9" s="393">
        <f t="shared" si="2"/>
        <v>10.780000000000001</v>
      </c>
      <c r="E9" s="62"/>
      <c r="F9" s="60">
        <f>Gen!U15</f>
        <v>0.40842523596621955</v>
      </c>
      <c r="G9" s="71">
        <f>Gen!T15</f>
        <v>4026</v>
      </c>
      <c r="H9" s="71">
        <v>0</v>
      </c>
      <c r="I9" s="71">
        <f t="shared" si="0"/>
        <v>4026</v>
      </c>
      <c r="J9" s="71">
        <v>37525.210000000021</v>
      </c>
      <c r="K9" s="59">
        <f>'Water-Meter'!E10</f>
        <v>135</v>
      </c>
      <c r="L9" s="406">
        <f>'Lpg (2)'!G14</f>
        <v>112.42000000001282</v>
      </c>
      <c r="M9" s="74" t="e">
        <f>#REF!</f>
        <v>#REF!</v>
      </c>
      <c r="N9" s="74" t="e">
        <f>#REF!</f>
        <v>#REF!</v>
      </c>
      <c r="O9" s="74" t="e">
        <f>#REF!</f>
        <v>#REF!</v>
      </c>
      <c r="P9" s="75">
        <f t="shared" si="1"/>
        <v>0.72163865384615422</v>
      </c>
      <c r="Q9" s="6">
        <f>I9*Q2</f>
        <v>8896856.0999999996</v>
      </c>
      <c r="R9" s="64">
        <f t="shared" si="3"/>
        <v>521.02987786023493</v>
      </c>
      <c r="S9" s="397" t="e">
        <f t="shared" si="4"/>
        <v>#DIV/0!</v>
      </c>
      <c r="T9" s="64">
        <f t="shared" si="5"/>
        <v>8.6931818181818183</v>
      </c>
      <c r="U9" s="108">
        <f t="shared" si="6"/>
        <v>139.31847222223811</v>
      </c>
      <c r="V9" s="17">
        <f t="shared" si="7"/>
        <v>8897004.1116540395</v>
      </c>
      <c r="W9" s="110" t="e">
        <f>SUM(V9/E9)/T2</f>
        <v>#DIV/0!</v>
      </c>
      <c r="X9">
        <f t="shared" si="9"/>
        <v>1584</v>
      </c>
      <c r="Y9" s="398">
        <v>106</v>
      </c>
      <c r="Z9" s="65" t="e">
        <f t="shared" si="8"/>
        <v>#DIV/0!</v>
      </c>
    </row>
    <row r="10" spans="1:27" x14ac:dyDescent="0.2">
      <c r="A10" s="43">
        <f>Gen!A16</f>
        <v>44383</v>
      </c>
      <c r="B10" s="68">
        <v>0</v>
      </c>
      <c r="C10" s="73">
        <f>Gen!B16</f>
        <v>0.16900000000000001</v>
      </c>
      <c r="D10" s="393">
        <f t="shared" si="2"/>
        <v>13.013000000000002</v>
      </c>
      <c r="E10" s="62"/>
      <c r="F10" s="60">
        <f>Gen!U16</f>
        <v>0.40270928829915559</v>
      </c>
      <c r="G10" s="71">
        <f>Gen!T16</f>
        <v>4145</v>
      </c>
      <c r="H10" s="71" t="e">
        <v>#REF!</v>
      </c>
      <c r="I10" s="71" t="e">
        <f t="shared" si="0"/>
        <v>#REF!</v>
      </c>
      <c r="J10" s="71">
        <v>35107.690000000024</v>
      </c>
      <c r="K10" s="59">
        <f>'Water-Meter'!E11</f>
        <v>124</v>
      </c>
      <c r="L10" s="406">
        <f>'Lpg (2)'!G15</f>
        <v>116.77599999997183</v>
      </c>
      <c r="M10" s="74" t="e">
        <f>#REF!</f>
        <v>#REF!</v>
      </c>
      <c r="N10" s="74" t="e">
        <f>#REF!</f>
        <v>#REF!</v>
      </c>
      <c r="O10" s="74" t="e">
        <f>#REF!</f>
        <v>#REF!</v>
      </c>
      <c r="P10" s="75">
        <f t="shared" si="1"/>
        <v>0.67514788461538511</v>
      </c>
      <c r="Q10" s="6" t="e">
        <f>I10*Q2</f>
        <v>#REF!</v>
      </c>
      <c r="R10" s="64" t="e">
        <f t="shared" si="3"/>
        <v>#REF!</v>
      </c>
      <c r="S10" s="397" t="e">
        <f t="shared" si="4"/>
        <v>#REF!</v>
      </c>
      <c r="T10" s="64">
        <f t="shared" si="5"/>
        <v>7.9848484848484844</v>
      </c>
      <c r="U10" s="108">
        <f t="shared" si="6"/>
        <v>144.71672222218731</v>
      </c>
      <c r="V10" s="17" t="e">
        <f t="shared" si="7"/>
        <v>#REF!</v>
      </c>
      <c r="W10" s="110" t="e">
        <f>SUM(V10/E10)/T2</f>
        <v>#REF!</v>
      </c>
      <c r="X10">
        <f t="shared" si="9"/>
        <v>1584</v>
      </c>
      <c r="Y10" s="398">
        <v>106</v>
      </c>
      <c r="Z10" s="65" t="e">
        <f t="shared" si="8"/>
        <v>#REF!</v>
      </c>
    </row>
    <row r="11" spans="1:27" x14ac:dyDescent="0.2">
      <c r="A11" s="43">
        <f>Gen!A17</f>
        <v>44384</v>
      </c>
      <c r="B11" s="68">
        <v>0</v>
      </c>
      <c r="C11" s="73">
        <f>Gen!B17</f>
        <v>0.36399999999999999</v>
      </c>
      <c r="D11" s="393">
        <f t="shared" si="2"/>
        <v>28.027999999999999</v>
      </c>
      <c r="E11" s="62"/>
      <c r="F11" s="60">
        <f>Gen!U17</f>
        <v>0.40618395721925138</v>
      </c>
      <c r="G11" s="71">
        <f>Gen!T17</f>
        <v>4675</v>
      </c>
      <c r="H11" s="71">
        <v>80.56</v>
      </c>
      <c r="I11" s="71">
        <f t="shared" si="0"/>
        <v>4755.5600000000004</v>
      </c>
      <c r="J11" s="71">
        <v>47513.140000000029</v>
      </c>
      <c r="K11" s="59">
        <f>'Water-Meter'!E12</f>
        <v>114</v>
      </c>
      <c r="L11" s="406">
        <f>'Lpg (2)'!G16</f>
        <v>108.32800000004355</v>
      </c>
      <c r="M11" s="74" t="e">
        <f>#REF!</f>
        <v>#REF!</v>
      </c>
      <c r="N11" s="74" t="e">
        <f>#REF!</f>
        <v>#REF!</v>
      </c>
      <c r="O11" s="74" t="e">
        <f>#REF!</f>
        <v>#REF!</v>
      </c>
      <c r="P11" s="75">
        <f t="shared" si="1"/>
        <v>0.91371423076923131</v>
      </c>
      <c r="Q11" s="6">
        <f>I11*Q2</f>
        <v>10509074.266000001</v>
      </c>
      <c r="R11" s="64">
        <f t="shared" si="3"/>
        <v>236.71031047776179</v>
      </c>
      <c r="S11" s="397" t="e">
        <f t="shared" si="4"/>
        <v>#DIV/0!</v>
      </c>
      <c r="T11" s="64">
        <f t="shared" si="5"/>
        <v>7.3409090909090908</v>
      </c>
      <c r="U11" s="108">
        <f t="shared" si="6"/>
        <v>134.24738888894285</v>
      </c>
      <c r="V11" s="17">
        <f t="shared" si="7"/>
        <v>10509215.854297981</v>
      </c>
      <c r="W11" s="110" t="e">
        <f>SUM(V11/E11)/T2</f>
        <v>#DIV/0!</v>
      </c>
      <c r="X11">
        <f t="shared" si="9"/>
        <v>1584</v>
      </c>
      <c r="Y11" s="398">
        <v>106</v>
      </c>
      <c r="Z11" s="65" t="e">
        <f t="shared" si="8"/>
        <v>#DIV/0!</v>
      </c>
    </row>
    <row r="12" spans="1:27" x14ac:dyDescent="0.2">
      <c r="A12" s="43">
        <f>Gen!A18</f>
        <v>44385</v>
      </c>
      <c r="B12" s="68">
        <v>0</v>
      </c>
      <c r="C12" s="73">
        <f>Gen!B18</f>
        <v>0.45500000000000002</v>
      </c>
      <c r="D12" s="393">
        <f t="shared" si="2"/>
        <v>35.035000000000004</v>
      </c>
      <c r="E12" s="62"/>
      <c r="F12" s="60">
        <f>Gen!U18</f>
        <v>0.41006373626373627</v>
      </c>
      <c r="G12" s="71">
        <f>Gen!T18</f>
        <v>4550</v>
      </c>
      <c r="H12" s="71" t="e">
        <v>#REF!</v>
      </c>
      <c r="I12" s="71" t="e">
        <f t="shared" si="0"/>
        <v>#REF!</v>
      </c>
      <c r="J12" s="71">
        <v>45161.890000000029</v>
      </c>
      <c r="K12" s="59">
        <f>'Water-Meter'!E13</f>
        <v>94</v>
      </c>
      <c r="L12" s="406">
        <f>'Lpg (2)'!G17</f>
        <v>112.37599999997184</v>
      </c>
      <c r="M12" s="74" t="e">
        <f>#REF!</f>
        <v>#REF!</v>
      </c>
      <c r="N12" s="74" t="e">
        <f>#REF!</f>
        <v>#REF!</v>
      </c>
      <c r="O12" s="74" t="e">
        <f>#REF!</f>
        <v>#REF!</v>
      </c>
      <c r="P12" s="75">
        <f t="shared" si="1"/>
        <v>0.86849788461538513</v>
      </c>
      <c r="Q12" s="6" t="e">
        <f>I12*Q2</f>
        <v>#REF!</v>
      </c>
      <c r="R12" s="64" t="e">
        <f t="shared" si="3"/>
        <v>#REF!</v>
      </c>
      <c r="S12" s="397" t="e">
        <f t="shared" si="4"/>
        <v>#REF!</v>
      </c>
      <c r="T12" s="64">
        <f t="shared" si="5"/>
        <v>6.0530303030303028</v>
      </c>
      <c r="U12" s="108">
        <f t="shared" si="6"/>
        <v>139.26394444440953</v>
      </c>
      <c r="V12" s="17" t="e">
        <f t="shared" si="7"/>
        <v>#REF!</v>
      </c>
      <c r="W12" s="110" t="e">
        <f>SUM(V12/E12)/T2</f>
        <v>#REF!</v>
      </c>
      <c r="X12">
        <f t="shared" si="9"/>
        <v>1584</v>
      </c>
      <c r="Y12" s="398">
        <v>106</v>
      </c>
      <c r="Z12" s="65" t="e">
        <f t="shared" si="8"/>
        <v>#REF!</v>
      </c>
    </row>
    <row r="13" spans="1:27" x14ac:dyDescent="0.2">
      <c r="A13" s="43">
        <f>Gen!A19</f>
        <v>44386</v>
      </c>
      <c r="B13" s="68">
        <v>0</v>
      </c>
      <c r="C13" s="73">
        <f>Gen!B19</f>
        <v>0.46800000000000003</v>
      </c>
      <c r="D13" s="393">
        <f t="shared" si="2"/>
        <v>36.036000000000001</v>
      </c>
      <c r="E13" s="62"/>
      <c r="F13" s="60">
        <f>Gen!U19</f>
        <v>0.42393150363593718</v>
      </c>
      <c r="G13" s="71">
        <f>Gen!T19</f>
        <v>4263</v>
      </c>
      <c r="H13" s="71" t="e">
        <v>#REF!</v>
      </c>
      <c r="I13" s="71" t="e">
        <f t="shared" si="0"/>
        <v>#REF!</v>
      </c>
      <c r="J13" s="71">
        <v>42825.480000000025</v>
      </c>
      <c r="K13" s="59">
        <f>'Water-Meter'!E14</f>
        <v>108</v>
      </c>
      <c r="L13" s="406">
        <f>'Lpg (2)'!G18</f>
        <v>103.4</v>
      </c>
      <c r="M13" s="74" t="e">
        <f>#REF!</f>
        <v>#REF!</v>
      </c>
      <c r="N13" s="74" t="e">
        <f>#REF!</f>
        <v>#REF!</v>
      </c>
      <c r="O13" s="74" t="e">
        <f>#REF!</f>
        <v>#REF!</v>
      </c>
      <c r="P13" s="75">
        <f t="shared" si="1"/>
        <v>0.82356692307692358</v>
      </c>
      <c r="Q13" s="6" t="e">
        <f>I13*Q2</f>
        <v>#REF!</v>
      </c>
      <c r="R13" s="64" t="e">
        <f t="shared" si="3"/>
        <v>#REF!</v>
      </c>
      <c r="S13" s="397" t="e">
        <f t="shared" si="4"/>
        <v>#REF!</v>
      </c>
      <c r="T13" s="64">
        <f t="shared" si="5"/>
        <v>6.9545454545454541</v>
      </c>
      <c r="U13" s="108">
        <f t="shared" si="6"/>
        <v>128.14027777777778</v>
      </c>
      <c r="V13" s="17" t="e">
        <f t="shared" si="7"/>
        <v>#REF!</v>
      </c>
      <c r="W13" s="110" t="e">
        <f>SUM(V13/E13)/T2</f>
        <v>#REF!</v>
      </c>
      <c r="X13">
        <f t="shared" si="9"/>
        <v>1584</v>
      </c>
      <c r="Y13" s="398">
        <v>106</v>
      </c>
      <c r="Z13" s="65" t="e">
        <f t="shared" si="8"/>
        <v>#REF!</v>
      </c>
    </row>
    <row r="14" spans="1:27" x14ac:dyDescent="0.2">
      <c r="A14" s="43">
        <f>Gen!A20</f>
        <v>44387</v>
      </c>
      <c r="B14" s="68">
        <v>0</v>
      </c>
      <c r="C14" s="73">
        <f>Gen!B20</f>
        <v>0.39</v>
      </c>
      <c r="D14" s="393">
        <f t="shared" si="2"/>
        <v>30.03</v>
      </c>
      <c r="E14" s="62"/>
      <c r="F14" s="60">
        <f>Gen!U20</f>
        <v>0.41897026187305814</v>
      </c>
      <c r="G14" s="71">
        <f>Gen!T20</f>
        <v>4506</v>
      </c>
      <c r="H14" s="71" t="e">
        <v>#REF!</v>
      </c>
      <c r="I14" s="71" t="e">
        <f t="shared" si="0"/>
        <v>#REF!</v>
      </c>
      <c r="J14" s="71">
        <v>40110.380000000026</v>
      </c>
      <c r="K14" s="59">
        <f>'Water-Meter'!E15</f>
        <v>116</v>
      </c>
      <c r="L14" s="406">
        <f>'Lpg (2)'!G19</f>
        <v>117.30400000001538</v>
      </c>
      <c r="M14" s="74" t="e">
        <f>#REF!</f>
        <v>#REF!</v>
      </c>
      <c r="N14" s="74" t="e">
        <f>#REF!</f>
        <v>#REF!</v>
      </c>
      <c r="O14" s="74" t="e">
        <f>#REF!</f>
        <v>#REF!</v>
      </c>
      <c r="P14" s="75">
        <f t="shared" si="1"/>
        <v>0.77135346153846207</v>
      </c>
      <c r="Q14" s="6" t="e">
        <f>I14*Q2</f>
        <v>#REF!</v>
      </c>
      <c r="R14" s="64" t="e">
        <f t="shared" si="3"/>
        <v>#REF!</v>
      </c>
      <c r="S14" s="397" t="e">
        <f t="shared" si="4"/>
        <v>#REF!</v>
      </c>
      <c r="T14" s="64">
        <f t="shared" si="5"/>
        <v>7.4696969696969697</v>
      </c>
      <c r="U14" s="108">
        <f t="shared" si="6"/>
        <v>145.3710555555746</v>
      </c>
      <c r="V14" s="17" t="e">
        <f t="shared" si="7"/>
        <v>#REF!</v>
      </c>
      <c r="W14" s="110" t="e">
        <f>SUM(V14/E14)/T2</f>
        <v>#REF!</v>
      </c>
      <c r="X14">
        <f t="shared" si="9"/>
        <v>1584</v>
      </c>
      <c r="Y14" s="398">
        <v>106</v>
      </c>
      <c r="Z14" s="65" t="e">
        <f t="shared" si="8"/>
        <v>#REF!</v>
      </c>
    </row>
    <row r="15" spans="1:27" x14ac:dyDescent="0.2">
      <c r="A15" s="43">
        <f>Gen!A21</f>
        <v>44388</v>
      </c>
      <c r="B15" s="68">
        <v>0</v>
      </c>
      <c r="C15" s="73">
        <f>Gen!B21</f>
        <v>0.40300000000000002</v>
      </c>
      <c r="D15" s="393">
        <f t="shared" si="2"/>
        <v>31.031000000000002</v>
      </c>
      <c r="E15" s="62"/>
      <c r="F15" s="60">
        <f>Gen!U21</f>
        <v>0.41547432159677056</v>
      </c>
      <c r="G15" s="71">
        <f>Gen!T21</f>
        <v>4459</v>
      </c>
      <c r="H15" s="71" t="e">
        <v>#REF!</v>
      </c>
      <c r="I15" s="71" t="e">
        <f t="shared" si="0"/>
        <v>#REF!</v>
      </c>
      <c r="J15" s="71">
        <v>37540.570000000029</v>
      </c>
      <c r="K15" s="59">
        <f>'Water-Meter'!E16</f>
        <v>116</v>
      </c>
      <c r="L15" s="406">
        <f>'Lpg (2)'!G20</f>
        <v>115.67599999997184</v>
      </c>
      <c r="M15" s="74" t="e">
        <f>#REF!</f>
        <v>#REF!</v>
      </c>
      <c r="N15" s="74" t="e">
        <f>#REF!</f>
        <v>#REF!</v>
      </c>
      <c r="O15" s="74" t="e">
        <f>#REF!</f>
        <v>#REF!</v>
      </c>
      <c r="P15" s="75">
        <f t="shared" si="1"/>
        <v>0.72193403846153903</v>
      </c>
      <c r="Q15" s="6" t="e">
        <f>I15*Q2</f>
        <v>#REF!</v>
      </c>
      <c r="R15" s="64" t="e">
        <f t="shared" si="3"/>
        <v>#REF!</v>
      </c>
      <c r="S15" s="397" t="e">
        <f t="shared" si="4"/>
        <v>#REF!</v>
      </c>
      <c r="T15" s="64">
        <f t="shared" si="5"/>
        <v>7.4696969696969697</v>
      </c>
      <c r="U15" s="108">
        <f t="shared" si="6"/>
        <v>143.35352777774287</v>
      </c>
      <c r="V15" s="17" t="e">
        <f t="shared" si="7"/>
        <v>#REF!</v>
      </c>
      <c r="W15" s="110" t="e">
        <f>SUM(V15/E15)/T2</f>
        <v>#REF!</v>
      </c>
      <c r="X15">
        <f t="shared" si="9"/>
        <v>1584</v>
      </c>
      <c r="Y15" s="398">
        <v>106</v>
      </c>
      <c r="Z15" s="65" t="e">
        <f t="shared" si="8"/>
        <v>#REF!</v>
      </c>
    </row>
    <row r="16" spans="1:27" x14ac:dyDescent="0.2">
      <c r="A16" s="43">
        <f>Gen!A22</f>
        <v>44389</v>
      </c>
      <c r="B16" s="68">
        <v>0</v>
      </c>
      <c r="C16" s="73">
        <f>Gen!B22</f>
        <v>0.39</v>
      </c>
      <c r="D16" s="393">
        <f t="shared" si="2"/>
        <v>30.03</v>
      </c>
      <c r="E16" s="62"/>
      <c r="F16" s="60">
        <f>Gen!U22</f>
        <v>0.37453132041460119</v>
      </c>
      <c r="G16" s="71">
        <f>Gen!T22</f>
        <v>4438</v>
      </c>
      <c r="H16" s="71" t="e">
        <v>#REF!</v>
      </c>
      <c r="I16" s="71" t="e">
        <f t="shared" si="0"/>
        <v>#REF!</v>
      </c>
      <c r="J16" s="71">
        <v>34967.29000000003</v>
      </c>
      <c r="K16" s="59">
        <f>'Water-Meter'!E17</f>
        <v>109</v>
      </c>
      <c r="L16" s="406">
        <f>'Lpg (2)'!G21</f>
        <v>126.98400000000257</v>
      </c>
      <c r="M16" s="74" t="e">
        <f>#REF!</f>
        <v>#REF!</v>
      </c>
      <c r="N16" s="74" t="e">
        <f>#REF!</f>
        <v>#REF!</v>
      </c>
      <c r="O16" s="74" t="e">
        <f>#REF!</f>
        <v>#REF!</v>
      </c>
      <c r="P16" s="75">
        <f t="shared" si="1"/>
        <v>0.67244788461538518</v>
      </c>
      <c r="Q16" s="6" t="e">
        <f>I16*Q2</f>
        <v>#REF!</v>
      </c>
      <c r="R16" s="64" t="e">
        <f t="shared" si="3"/>
        <v>#REF!</v>
      </c>
      <c r="S16" s="397" t="e">
        <f t="shared" si="4"/>
        <v>#REF!</v>
      </c>
      <c r="T16" s="64">
        <f t="shared" si="5"/>
        <v>7.0189393939393936</v>
      </c>
      <c r="U16" s="108">
        <f t="shared" si="6"/>
        <v>157.36716666666985</v>
      </c>
      <c r="V16" s="17" t="e">
        <f t="shared" si="7"/>
        <v>#REF!</v>
      </c>
      <c r="W16" s="110" t="e">
        <f>SUM(V16/E16)/T2</f>
        <v>#REF!</v>
      </c>
      <c r="X16">
        <f t="shared" si="9"/>
        <v>1584</v>
      </c>
      <c r="Y16" s="398">
        <v>106</v>
      </c>
      <c r="Z16" s="65" t="e">
        <f t="shared" si="8"/>
        <v>#REF!</v>
      </c>
    </row>
    <row r="17" spans="1:26" x14ac:dyDescent="0.2">
      <c r="A17" s="43">
        <f>Gen!A23</f>
        <v>44390</v>
      </c>
      <c r="B17" s="68">
        <v>0</v>
      </c>
      <c r="C17" s="73">
        <f>Gen!B23</f>
        <v>0.221</v>
      </c>
      <c r="D17" s="393">
        <f t="shared" si="2"/>
        <v>17.016999999999999</v>
      </c>
      <c r="E17" s="62"/>
      <c r="F17" s="60">
        <f>Gen!U23</f>
        <v>0.42904883720930231</v>
      </c>
      <c r="G17" s="71">
        <f>Gen!T23</f>
        <v>4300</v>
      </c>
      <c r="H17" s="71" t="e">
        <v>#REF!</v>
      </c>
      <c r="I17" s="71" t="e">
        <f t="shared" si="0"/>
        <v>#REF!</v>
      </c>
      <c r="J17" s="71">
        <v>32228.760000000031</v>
      </c>
      <c r="K17" s="59">
        <f>'Water-Meter'!E18</f>
        <v>105</v>
      </c>
      <c r="L17" s="406">
        <f>'Lpg (2)'!G22</f>
        <v>117.87600000003586</v>
      </c>
      <c r="M17" s="74" t="e">
        <f>#REF!</f>
        <v>#REF!</v>
      </c>
      <c r="N17" s="74" t="e">
        <f>#REF!</f>
        <v>#REF!</v>
      </c>
      <c r="O17" s="74" t="e">
        <f>#REF!</f>
        <v>#REF!</v>
      </c>
      <c r="P17" s="75">
        <f t="shared" si="1"/>
        <v>0.61978384615384674</v>
      </c>
      <c r="Q17" s="6" t="e">
        <f>I17*Q2</f>
        <v>#REF!</v>
      </c>
      <c r="R17" s="64" t="e">
        <f t="shared" si="3"/>
        <v>#REF!</v>
      </c>
      <c r="S17" s="397" t="e">
        <f t="shared" si="4"/>
        <v>#REF!</v>
      </c>
      <c r="T17" s="64">
        <f t="shared" si="5"/>
        <v>6.7613636363636367</v>
      </c>
      <c r="U17" s="108">
        <f t="shared" si="6"/>
        <v>146.07991666671111</v>
      </c>
      <c r="V17" s="17" t="e">
        <f t="shared" si="7"/>
        <v>#REF!</v>
      </c>
      <c r="W17" s="110" t="e">
        <f>SUM(V17/E17)/T2</f>
        <v>#REF!</v>
      </c>
      <c r="X17">
        <f t="shared" si="9"/>
        <v>1584</v>
      </c>
      <c r="Y17" s="398">
        <v>106</v>
      </c>
      <c r="Z17" s="65" t="e">
        <f t="shared" si="8"/>
        <v>#REF!</v>
      </c>
    </row>
    <row r="18" spans="1:26" x14ac:dyDescent="0.2">
      <c r="A18" s="43">
        <f>Gen!A24</f>
        <v>44391</v>
      </c>
      <c r="B18" s="68">
        <v>0</v>
      </c>
      <c r="C18" s="73">
        <f>Gen!B24</f>
        <v>0.19500000000000001</v>
      </c>
      <c r="D18" s="393">
        <f t="shared" si="2"/>
        <v>15.015000000000001</v>
      </c>
      <c r="E18" s="62"/>
      <c r="F18" s="60">
        <f>Gen!U24</f>
        <v>0.42290363915940543</v>
      </c>
      <c r="G18" s="71">
        <f>Gen!T24</f>
        <v>3902</v>
      </c>
      <c r="H18" s="71">
        <v>597.9</v>
      </c>
      <c r="I18" s="71">
        <f t="shared" si="0"/>
        <v>4499.8999999999996</v>
      </c>
      <c r="J18" s="71">
        <v>29915.45000000003</v>
      </c>
      <c r="K18" s="59">
        <f>'Water-Meter'!E19</f>
        <v>105</v>
      </c>
      <c r="L18" s="406">
        <f>'Lpg (2)'!G23</f>
        <v>127.77599999997184</v>
      </c>
      <c r="M18" s="74" t="e">
        <f>#REF!</f>
        <v>#REF!</v>
      </c>
      <c r="N18" s="74" t="e">
        <f>#REF!</f>
        <v>#REF!</v>
      </c>
      <c r="O18" s="74" t="e">
        <f>#REF!</f>
        <v>#REF!</v>
      </c>
      <c r="P18" s="75">
        <f t="shared" si="1"/>
        <v>0.57529711538461592</v>
      </c>
      <c r="Q18" s="6">
        <f>I18*Q2</f>
        <v>9944104.0149999987</v>
      </c>
      <c r="R18" s="64">
        <f t="shared" si="3"/>
        <v>418.10479146274599</v>
      </c>
      <c r="S18" s="397" t="e">
        <f t="shared" si="4"/>
        <v>#DIV/0!</v>
      </c>
      <c r="T18" s="64">
        <f t="shared" si="5"/>
        <v>6.7613636363636367</v>
      </c>
      <c r="U18" s="108">
        <f t="shared" si="6"/>
        <v>158.34866666663177</v>
      </c>
      <c r="V18" s="17">
        <f t="shared" si="7"/>
        <v>9944269.1250303015</v>
      </c>
      <c r="W18" s="110" t="e">
        <f>SUM(V18/E18)/T2</f>
        <v>#DIV/0!</v>
      </c>
      <c r="X18">
        <f t="shared" si="9"/>
        <v>1584</v>
      </c>
      <c r="Y18" s="398">
        <v>106</v>
      </c>
      <c r="Z18" s="65" t="e">
        <f t="shared" si="8"/>
        <v>#DIV/0!</v>
      </c>
    </row>
    <row r="19" spans="1:26" x14ac:dyDescent="0.2">
      <c r="A19" s="43">
        <f>Gen!A25</f>
        <v>44392</v>
      </c>
      <c r="B19" s="68">
        <v>0</v>
      </c>
      <c r="C19" s="73">
        <f>Gen!B25</f>
        <v>0.20799999999999999</v>
      </c>
      <c r="D19" s="393">
        <f t="shared" si="2"/>
        <v>16.015999999999998</v>
      </c>
      <c r="E19" s="62"/>
      <c r="F19" s="60">
        <f>Gen!U25</f>
        <v>0.42871380120010444</v>
      </c>
      <c r="G19" s="71">
        <f>Gen!T25</f>
        <v>3833</v>
      </c>
      <c r="H19" s="71">
        <v>227.73000000000002</v>
      </c>
      <c r="I19" s="71">
        <f t="shared" si="0"/>
        <v>4060.73</v>
      </c>
      <c r="J19" s="71">
        <v>42248.240000000034</v>
      </c>
      <c r="K19" s="59">
        <f>'Water-Meter'!E20</f>
        <v>83</v>
      </c>
      <c r="L19" s="406">
        <f>'Lpg (2)'!G24</f>
        <v>124.74000000002562</v>
      </c>
      <c r="M19" s="74" t="e">
        <f>#REF!</f>
        <v>#REF!</v>
      </c>
      <c r="N19" s="74" t="e">
        <f>#REF!</f>
        <v>#REF!</v>
      </c>
      <c r="O19" s="74" t="e">
        <f>#REF!</f>
        <v>#REF!</v>
      </c>
      <c r="P19" s="75">
        <f t="shared" si="1"/>
        <v>0.8124661538461545</v>
      </c>
      <c r="Q19" s="6">
        <f>I19*Q2</f>
        <v>8973604.1905000005</v>
      </c>
      <c r="R19" s="64">
        <f t="shared" si="3"/>
        <v>353.71841662519932</v>
      </c>
      <c r="S19" s="397" t="e">
        <f t="shared" si="4"/>
        <v>#DIV/0!</v>
      </c>
      <c r="T19" s="64">
        <f t="shared" si="5"/>
        <v>5.3446969696969697</v>
      </c>
      <c r="U19" s="108">
        <f t="shared" si="6"/>
        <v>154.58625000003175</v>
      </c>
      <c r="V19" s="17">
        <f t="shared" si="7"/>
        <v>8973764.121446969</v>
      </c>
      <c r="W19" s="64" t="e">
        <f>SUM(V19/E19)/T2</f>
        <v>#DIV/0!</v>
      </c>
      <c r="X19">
        <f t="shared" si="9"/>
        <v>1584</v>
      </c>
      <c r="Y19" s="398">
        <v>106</v>
      </c>
      <c r="Z19" s="65" t="e">
        <f t="shared" si="8"/>
        <v>#DIV/0!</v>
      </c>
    </row>
    <row r="20" spans="1:26" x14ac:dyDescent="0.2">
      <c r="A20" s="43">
        <f>Gen!A26</f>
        <v>44393</v>
      </c>
      <c r="B20" s="68">
        <v>0</v>
      </c>
      <c r="C20" s="73">
        <f>Gen!B26</f>
        <v>0.27</v>
      </c>
      <c r="D20" s="393">
        <f t="shared" si="2"/>
        <v>20.790000000000003</v>
      </c>
      <c r="E20" s="62"/>
      <c r="F20" s="60">
        <f>Gen!U26</f>
        <v>0.42469117647058824</v>
      </c>
      <c r="G20" s="71">
        <f>Gen!T26</f>
        <v>4080</v>
      </c>
      <c r="H20" s="71">
        <v>88.289999999999992</v>
      </c>
      <c r="I20" s="71">
        <f t="shared" si="0"/>
        <v>4168.29</v>
      </c>
      <c r="J20" s="71">
        <v>39497.370000000032</v>
      </c>
      <c r="K20" s="59">
        <f>'Water-Meter'!E21</f>
        <v>103</v>
      </c>
      <c r="L20" s="406">
        <f>'Lpg (2)'!G25</f>
        <v>119.06399999998976</v>
      </c>
      <c r="M20" s="74" t="e">
        <f>#REF!</f>
        <v>#REF!</v>
      </c>
      <c r="N20" s="74" t="e">
        <f>#REF!</f>
        <v>#REF!</v>
      </c>
      <c r="O20" s="74" t="e">
        <f>#REF!</f>
        <v>#REF!</v>
      </c>
      <c r="P20" s="75">
        <f t="shared" si="1"/>
        <v>0.75956480769230827</v>
      </c>
      <c r="Q20" s="6">
        <f>I20*Q2</f>
        <v>9211295.6564999986</v>
      </c>
      <c r="R20" s="64">
        <f t="shared" si="3"/>
        <v>279.71197231149876</v>
      </c>
      <c r="S20" s="397" t="e">
        <f t="shared" si="4"/>
        <v>#DIV/0!</v>
      </c>
      <c r="T20" s="64">
        <f t="shared" si="5"/>
        <v>6.6325757575757578</v>
      </c>
      <c r="U20" s="108">
        <f t="shared" si="6"/>
        <v>147.55216666665399</v>
      </c>
      <c r="V20" s="17">
        <f t="shared" si="7"/>
        <v>9211449.8412424233</v>
      </c>
      <c r="W20" s="64" t="e">
        <f>SUM(V20/E20)/T2</f>
        <v>#DIV/0!</v>
      </c>
      <c r="X20">
        <f t="shared" si="9"/>
        <v>1584</v>
      </c>
      <c r="Y20" s="398">
        <v>106</v>
      </c>
      <c r="Z20" s="65" t="e">
        <f t="shared" si="8"/>
        <v>#DIV/0!</v>
      </c>
    </row>
    <row r="21" spans="1:26" x14ac:dyDescent="0.2">
      <c r="A21" s="43">
        <f>Gen!A27</f>
        <v>44394</v>
      </c>
      <c r="B21" s="68">
        <v>0</v>
      </c>
      <c r="C21" s="73">
        <f>Gen!B27</f>
        <v>0.26</v>
      </c>
      <c r="D21" s="393">
        <f t="shared" si="2"/>
        <v>20.02</v>
      </c>
      <c r="E21" s="62"/>
      <c r="F21" s="60">
        <f>Gen!U27</f>
        <v>0.43173020527859235</v>
      </c>
      <c r="G21" s="71">
        <f>Gen!T27</f>
        <v>4092</v>
      </c>
      <c r="H21" s="71">
        <v>783.92</v>
      </c>
      <c r="I21" s="71">
        <f t="shared" si="0"/>
        <v>4875.92</v>
      </c>
      <c r="J21" s="71">
        <v>36688.350000000035</v>
      </c>
      <c r="K21" s="59">
        <f>'Water-Meter'!E22</f>
        <v>107</v>
      </c>
      <c r="L21" s="406">
        <f>'Lpg (2)'!G26</f>
        <v>114.44399999997695</v>
      </c>
      <c r="M21" s="74" t="e">
        <f>#REF!</f>
        <v>#REF!</v>
      </c>
      <c r="N21" s="74" t="e">
        <f>#REF!</f>
        <v>#REF!</v>
      </c>
      <c r="O21" s="74" t="e">
        <f>#REF!</f>
        <v>#REF!</v>
      </c>
      <c r="P21" s="75">
        <f t="shared" si="1"/>
        <v>0.70554519230769297</v>
      </c>
      <c r="Q21" s="6">
        <f>I21*Q2</f>
        <v>10775051.811999999</v>
      </c>
      <c r="R21" s="64">
        <f t="shared" si="3"/>
        <v>339.78180317157586</v>
      </c>
      <c r="S21" s="397" t="e">
        <f t="shared" si="4"/>
        <v>#DIV/0!</v>
      </c>
      <c r="T21" s="64">
        <f t="shared" si="5"/>
        <v>6.8901515151515156</v>
      </c>
      <c r="U21" s="108">
        <f t="shared" si="6"/>
        <v>141.82674999997144</v>
      </c>
      <c r="V21" s="17">
        <f t="shared" si="7"/>
        <v>10775200.528901514</v>
      </c>
      <c r="W21" s="64" t="e">
        <f>SUM(V21/E21)/T2</f>
        <v>#DIV/0!</v>
      </c>
      <c r="X21">
        <f t="shared" si="9"/>
        <v>1584</v>
      </c>
      <c r="Y21" s="398">
        <v>106</v>
      </c>
      <c r="Z21" s="65" t="e">
        <f t="shared" si="8"/>
        <v>#DIV/0!</v>
      </c>
    </row>
    <row r="22" spans="1:26" x14ac:dyDescent="0.2">
      <c r="A22" s="43">
        <f>Gen!A28</f>
        <v>44395</v>
      </c>
      <c r="B22" s="68">
        <v>0</v>
      </c>
      <c r="C22" s="73">
        <f>Gen!B28</f>
        <v>0.35</v>
      </c>
      <c r="D22" s="393">
        <f t="shared" si="2"/>
        <v>26.95</v>
      </c>
      <c r="E22" s="62"/>
      <c r="F22" s="60">
        <f>Gen!U28</f>
        <v>0.40179325842696623</v>
      </c>
      <c r="G22" s="71">
        <f>Gen!T28</f>
        <v>4450</v>
      </c>
      <c r="H22" s="71" t="e">
        <v>#REF!</v>
      </c>
      <c r="I22" s="71" t="e">
        <f t="shared" si="0"/>
        <v>#REF!</v>
      </c>
      <c r="J22" s="71">
        <v>33769.340000000033</v>
      </c>
      <c r="K22" s="59">
        <f>'Water-Meter'!E23</f>
        <v>128</v>
      </c>
      <c r="L22" s="406">
        <f>'Lpg (2)'!G27</f>
        <v>104.32400000002818</v>
      </c>
      <c r="M22" s="74" t="e">
        <f>#REF!</f>
        <v>#REF!</v>
      </c>
      <c r="N22" s="74" t="e">
        <f>#REF!</f>
        <v>#REF!</v>
      </c>
      <c r="O22" s="74" t="e">
        <f>#REF!</f>
        <v>#REF!</v>
      </c>
      <c r="P22" s="75">
        <f t="shared" si="1"/>
        <v>0.64941038461538525</v>
      </c>
      <c r="Q22" s="6" t="e">
        <f>I22*Q2</f>
        <v>#REF!</v>
      </c>
      <c r="R22" s="64" t="e">
        <f t="shared" si="3"/>
        <v>#REF!</v>
      </c>
      <c r="S22" s="397" t="e">
        <f t="shared" si="4"/>
        <v>#REF!</v>
      </c>
      <c r="T22" s="64">
        <f t="shared" si="5"/>
        <v>8.2424242424242422</v>
      </c>
      <c r="U22" s="108">
        <f t="shared" si="6"/>
        <v>129.28536111114605</v>
      </c>
      <c r="V22" s="17" t="e">
        <f t="shared" si="7"/>
        <v>#REF!</v>
      </c>
      <c r="W22" s="64" t="e">
        <f>SUM(V22/E22)/T2</f>
        <v>#REF!</v>
      </c>
      <c r="X22">
        <f t="shared" si="9"/>
        <v>1584</v>
      </c>
      <c r="Y22" s="398">
        <v>106</v>
      </c>
      <c r="Z22" s="65" t="e">
        <f t="shared" si="8"/>
        <v>#REF!</v>
      </c>
    </row>
    <row r="23" spans="1:26" x14ac:dyDescent="0.2">
      <c r="A23" s="43">
        <f>Gen!A29</f>
        <v>44396</v>
      </c>
      <c r="B23" s="68">
        <v>0</v>
      </c>
      <c r="C23" s="73">
        <f>Gen!B29</f>
        <v>0.39</v>
      </c>
      <c r="D23" s="393">
        <f t="shared" si="2"/>
        <v>30.03</v>
      </c>
      <c r="E23" s="62"/>
      <c r="F23" s="60">
        <f>Gen!U29</f>
        <v>0.39119145262249078</v>
      </c>
      <c r="G23" s="71">
        <f>Gen!T29</f>
        <v>4633</v>
      </c>
      <c r="H23" s="71" t="e">
        <v>#REF!</v>
      </c>
      <c r="I23" s="71" t="e">
        <f t="shared" si="0"/>
        <v>#REF!</v>
      </c>
      <c r="J23" s="71">
        <v>31336.770000000033</v>
      </c>
      <c r="K23" s="59">
        <f>'Water-Meter'!E24</f>
        <v>115</v>
      </c>
      <c r="L23" s="406">
        <f>'Lpg (2)'!G28</f>
        <v>113.65200000000769</v>
      </c>
      <c r="M23" s="74" t="e">
        <f>#REF!</f>
        <v>#REF!</v>
      </c>
      <c r="N23" s="74" t="e">
        <f>#REF!</f>
        <v>#REF!</v>
      </c>
      <c r="O23" s="74" t="e">
        <f>#REF!</f>
        <v>#REF!</v>
      </c>
      <c r="P23" s="75">
        <f t="shared" si="1"/>
        <v>0.60263019230769299</v>
      </c>
      <c r="Q23" s="6" t="e">
        <f>I23*Q2</f>
        <v>#REF!</v>
      </c>
      <c r="R23" s="64" t="e">
        <f t="shared" si="3"/>
        <v>#REF!</v>
      </c>
      <c r="S23" s="397" t="e">
        <f t="shared" si="4"/>
        <v>#REF!</v>
      </c>
      <c r="T23" s="64">
        <f t="shared" si="5"/>
        <v>7.4053030303030303</v>
      </c>
      <c r="U23" s="108">
        <f t="shared" si="6"/>
        <v>140.84525000000954</v>
      </c>
      <c r="V23" s="17" t="e">
        <f t="shared" si="7"/>
        <v>#REF!</v>
      </c>
      <c r="W23" s="64" t="e">
        <f>SUM(V23/E23)/T2</f>
        <v>#REF!</v>
      </c>
      <c r="X23">
        <f t="shared" si="9"/>
        <v>1584</v>
      </c>
      <c r="Y23" s="398">
        <v>106</v>
      </c>
      <c r="Z23" s="65" t="e">
        <f t="shared" si="8"/>
        <v>#REF!</v>
      </c>
    </row>
    <row r="24" spans="1:26" x14ac:dyDescent="0.2">
      <c r="A24" s="43">
        <f>Gen!A30</f>
        <v>44397</v>
      </c>
      <c r="B24" s="68">
        <v>0</v>
      </c>
      <c r="C24" s="73">
        <f>Gen!B30</f>
        <v>0.39</v>
      </c>
      <c r="D24" s="393">
        <f t="shared" si="2"/>
        <v>30.03</v>
      </c>
      <c r="E24" s="62"/>
      <c r="F24" s="60">
        <f>Gen!U30</f>
        <v>0.42516730199068192</v>
      </c>
      <c r="G24" s="71">
        <f>Gen!T30</f>
        <v>4722</v>
      </c>
      <c r="H24" s="71" t="e">
        <v>#REF!</v>
      </c>
      <c r="I24" s="71" t="e">
        <f t="shared" si="0"/>
        <v>#REF!</v>
      </c>
      <c r="J24" s="71">
        <v>29403.300000000032</v>
      </c>
      <c r="K24" s="59">
        <f>'Water-Meter'!E25</f>
        <v>113</v>
      </c>
      <c r="L24" s="406">
        <f>'Lpg (2)'!G29</f>
        <v>111.89199999996927</v>
      </c>
      <c r="M24" s="74" t="e">
        <f>#REF!</f>
        <v>#REF!</v>
      </c>
      <c r="N24" s="74" t="e">
        <f>#REF!</f>
        <v>#REF!</v>
      </c>
      <c r="O24" s="74" t="e">
        <f>#REF!</f>
        <v>#REF!</v>
      </c>
      <c r="P24" s="75">
        <f t="shared" si="1"/>
        <v>0.56544807692307753</v>
      </c>
      <c r="Q24" s="6" t="e">
        <f>I24*Q2</f>
        <v>#REF!</v>
      </c>
      <c r="R24" s="64" t="e">
        <f t="shared" si="3"/>
        <v>#REF!</v>
      </c>
      <c r="S24" s="397" t="e">
        <f t="shared" si="4"/>
        <v>#REF!</v>
      </c>
      <c r="T24" s="64">
        <f t="shared" si="5"/>
        <v>7.2765151515151514</v>
      </c>
      <c r="U24" s="108">
        <f t="shared" si="6"/>
        <v>138.6641388888508</v>
      </c>
      <c r="V24" s="17" t="e">
        <f t="shared" si="7"/>
        <v>#REF!</v>
      </c>
      <c r="W24" s="64" t="e">
        <f>SUM(V24/E24)/T2</f>
        <v>#REF!</v>
      </c>
      <c r="X24">
        <f t="shared" si="9"/>
        <v>1584</v>
      </c>
      <c r="Y24" s="398">
        <v>106</v>
      </c>
      <c r="Z24" s="65" t="e">
        <f t="shared" si="8"/>
        <v>#REF!</v>
      </c>
    </row>
    <row r="25" spans="1:26" x14ac:dyDescent="0.2">
      <c r="A25" s="43">
        <f>Gen!A31</f>
        <v>44398</v>
      </c>
      <c r="B25" s="68">
        <v>0</v>
      </c>
      <c r="C25" s="73">
        <f>Gen!B31</f>
        <v>0.55000000000000004</v>
      </c>
      <c r="D25" s="393">
        <f t="shared" si="2"/>
        <v>42.35</v>
      </c>
      <c r="E25" s="62"/>
      <c r="F25" s="60">
        <f>Gen!U31</f>
        <v>0.40577886377519851</v>
      </c>
      <c r="G25" s="71">
        <f>Gen!T31</f>
        <v>4911</v>
      </c>
      <c r="H25" s="71">
        <v>172.05</v>
      </c>
      <c r="I25" s="71">
        <f t="shared" si="0"/>
        <v>5083.05</v>
      </c>
      <c r="J25" s="71">
        <v>41422.370000000032</v>
      </c>
      <c r="K25" s="59">
        <f>'Water-Meter'!E26</f>
        <v>133</v>
      </c>
      <c r="L25" s="406">
        <f>'Lpg (2)'!G30</f>
        <v>336.11599999999748</v>
      </c>
      <c r="M25" s="74" t="e">
        <f>#REF!</f>
        <v>#REF!</v>
      </c>
      <c r="N25" s="74" t="e">
        <f>#REF!</f>
        <v>#REF!</v>
      </c>
      <c r="O25" s="74" t="e">
        <f>#REF!</f>
        <v>#REF!</v>
      </c>
      <c r="P25" s="75">
        <f t="shared" si="1"/>
        <v>0.79658403846153902</v>
      </c>
      <c r="Q25" s="6">
        <f>I25*Q2</f>
        <v>11232778.0425</v>
      </c>
      <c r="R25" s="64">
        <f t="shared" si="3"/>
        <v>167.44746822564488</v>
      </c>
      <c r="S25" s="397" t="e">
        <f t="shared" si="4"/>
        <v>#DIV/0!</v>
      </c>
      <c r="T25" s="64">
        <f t="shared" si="5"/>
        <v>8.5643939393939394</v>
      </c>
      <c r="U25" s="108">
        <f t="shared" si="6"/>
        <v>416.53769444444134</v>
      </c>
      <c r="V25" s="17">
        <f t="shared" si="7"/>
        <v>11233203.144588385</v>
      </c>
      <c r="W25" s="64" t="e">
        <f>SUM(V25/E25)/T2</f>
        <v>#DIV/0!</v>
      </c>
      <c r="X25">
        <f t="shared" si="9"/>
        <v>1584</v>
      </c>
      <c r="Y25" s="398">
        <v>106</v>
      </c>
      <c r="Z25" s="65" t="e">
        <f t="shared" si="8"/>
        <v>#DIV/0!</v>
      </c>
    </row>
    <row r="26" spans="1:26" x14ac:dyDescent="0.2">
      <c r="A26" s="43">
        <f>Gen!A32</f>
        <v>44399</v>
      </c>
      <c r="B26" s="68">
        <v>0</v>
      </c>
      <c r="C26" s="73">
        <f>Gen!B32</f>
        <v>0.54500000000000004</v>
      </c>
      <c r="D26" s="393">
        <f t="shared" si="2"/>
        <v>41.965000000000003</v>
      </c>
      <c r="E26" s="62"/>
      <c r="F26" s="60">
        <f>Gen!U32</f>
        <v>0.42726559510141598</v>
      </c>
      <c r="G26" s="71">
        <f>Gen!T32</f>
        <v>5226</v>
      </c>
      <c r="H26" s="71">
        <v>18.63</v>
      </c>
      <c r="I26" s="71">
        <f t="shared" si="0"/>
        <v>5244.63</v>
      </c>
      <c r="J26" s="71">
        <v>38988.160000000033</v>
      </c>
      <c r="K26" s="59">
        <f>'Water-Meter'!E27</f>
        <v>113</v>
      </c>
      <c r="L26" s="406">
        <f>'Lpg (2)'!G31</f>
        <v>-106.61199999998207</v>
      </c>
      <c r="M26" s="74" t="e">
        <f>#REF!</f>
        <v>#REF!</v>
      </c>
      <c r="N26" s="74" t="e">
        <f>#REF!</f>
        <v>#REF!</v>
      </c>
      <c r="O26" s="74" t="e">
        <f>#REF!</f>
        <v>#REF!</v>
      </c>
      <c r="P26" s="75">
        <f t="shared" si="1"/>
        <v>0.74977230769230829</v>
      </c>
      <c r="Q26" s="6">
        <f>I26*Q2</f>
        <v>11589845.6055</v>
      </c>
      <c r="R26" s="64">
        <f t="shared" si="3"/>
        <v>174.35533708194777</v>
      </c>
      <c r="S26" s="397" t="e">
        <f t="shared" si="4"/>
        <v>#DIV/0!</v>
      </c>
      <c r="T26" s="64">
        <f t="shared" si="5"/>
        <v>7.2765151515151514</v>
      </c>
      <c r="U26" s="108">
        <f t="shared" si="6"/>
        <v>-132.12080555553334</v>
      </c>
      <c r="V26" s="17">
        <f t="shared" si="7"/>
        <v>11589720.761209596</v>
      </c>
      <c r="W26" s="64" t="e">
        <f>SUM(V26/E26)/T2</f>
        <v>#DIV/0!</v>
      </c>
      <c r="X26">
        <f t="shared" si="9"/>
        <v>1584</v>
      </c>
      <c r="Y26" s="398">
        <v>106</v>
      </c>
      <c r="Z26" s="65" t="e">
        <f t="shared" si="8"/>
        <v>#DIV/0!</v>
      </c>
    </row>
    <row r="27" spans="1:26" x14ac:dyDescent="0.2">
      <c r="A27" s="43">
        <f>Gen!A33</f>
        <v>44400</v>
      </c>
      <c r="B27" s="68">
        <v>0</v>
      </c>
      <c r="C27" s="73">
        <f>Gen!B33</f>
        <v>0.45500000000000002</v>
      </c>
      <c r="D27" s="393">
        <f t="shared" si="2"/>
        <v>35.035000000000004</v>
      </c>
      <c r="E27" s="62"/>
      <c r="F27" s="60">
        <f>Gen!U33</f>
        <v>0.44202748414376319</v>
      </c>
      <c r="G27" s="71">
        <f>Gen!T33</f>
        <v>4730</v>
      </c>
      <c r="H27" s="71">
        <v>311.34000000000003</v>
      </c>
      <c r="I27" s="71">
        <f t="shared" si="0"/>
        <v>5041.34</v>
      </c>
      <c r="J27" s="71">
        <v>36682.670000000035</v>
      </c>
      <c r="K27" s="59">
        <f>'Water-Meter'!E28</f>
        <v>108</v>
      </c>
      <c r="L27" s="406">
        <f>'Lpg (2)'!G32</f>
        <v>98.295999999984645</v>
      </c>
      <c r="M27" s="74" t="e">
        <f>#REF!</f>
        <v>#REF!</v>
      </c>
      <c r="N27" s="74" t="e">
        <f>#REF!</f>
        <v>#REF!</v>
      </c>
      <c r="O27" s="74" t="e">
        <f>#REF!</f>
        <v>#REF!</v>
      </c>
      <c r="P27" s="75">
        <f t="shared" si="1"/>
        <v>0.70543596153846222</v>
      </c>
      <c r="Q27" s="6">
        <f>I27*Q2</f>
        <v>11140605.198999999</v>
      </c>
      <c r="R27" s="64">
        <f t="shared" si="3"/>
        <v>200.74811910672298</v>
      </c>
      <c r="S27" s="397" t="e">
        <f t="shared" si="4"/>
        <v>#DIV/0!</v>
      </c>
      <c r="T27" s="64">
        <f t="shared" si="5"/>
        <v>6.9545454545454541</v>
      </c>
      <c r="U27" s="108">
        <f t="shared" si="6"/>
        <v>121.81505555553653</v>
      </c>
      <c r="V27" s="17">
        <f t="shared" si="7"/>
        <v>11140733.968601009</v>
      </c>
      <c r="W27" s="64" t="e">
        <f>SUM(V27/E27)/T2</f>
        <v>#DIV/0!</v>
      </c>
      <c r="X27">
        <f t="shared" si="9"/>
        <v>1584</v>
      </c>
      <c r="Y27" s="398">
        <v>106</v>
      </c>
      <c r="Z27" s="65" t="e">
        <f t="shared" si="8"/>
        <v>#DIV/0!</v>
      </c>
    </row>
    <row r="28" spans="1:26" x14ac:dyDescent="0.2">
      <c r="A28" s="43">
        <f>Gen!A34</f>
        <v>44401</v>
      </c>
      <c r="B28" s="68">
        <v>0</v>
      </c>
      <c r="C28" s="73">
        <f>Gen!B34</f>
        <v>0.247</v>
      </c>
      <c r="D28" s="393">
        <f t="shared" si="2"/>
        <v>19.018999999999998</v>
      </c>
      <c r="E28" s="62"/>
      <c r="F28" s="60">
        <f>Gen!U34</f>
        <v>0.4129391268702603</v>
      </c>
      <c r="G28" s="71">
        <f>Gen!T34</f>
        <v>4879</v>
      </c>
      <c r="H28" s="71">
        <v>380.7</v>
      </c>
      <c r="I28" s="71">
        <f t="shared" si="0"/>
        <v>5259.7</v>
      </c>
      <c r="J28" s="71">
        <v>44223.030000000035</v>
      </c>
      <c r="K28" s="59">
        <f>'Water-Meter'!E29</f>
        <v>106</v>
      </c>
      <c r="L28" s="406">
        <f>'Lpg (2)'!G33</f>
        <v>98.868000000005125</v>
      </c>
      <c r="M28" s="74" t="e">
        <f>#REF!</f>
        <v>#REF!</v>
      </c>
      <c r="N28" s="74" t="e">
        <f>#REF!</f>
        <v>#REF!</v>
      </c>
      <c r="O28" s="74" t="e">
        <f>#REF!</f>
        <v>#REF!</v>
      </c>
      <c r="P28" s="75">
        <f t="shared" si="1"/>
        <v>0.85044288461538531</v>
      </c>
      <c r="Q28" s="6">
        <f>I28*Q2</f>
        <v>11623148.045</v>
      </c>
      <c r="R28" s="64">
        <f t="shared" si="3"/>
        <v>385.816603817501</v>
      </c>
      <c r="S28" s="397" t="e">
        <f t="shared" si="4"/>
        <v>#DIV/0!</v>
      </c>
      <c r="T28" s="64">
        <f t="shared" si="5"/>
        <v>6.8257575757575761</v>
      </c>
      <c r="U28" s="108">
        <f t="shared" si="6"/>
        <v>122.52391666667302</v>
      </c>
      <c r="V28" s="17">
        <f t="shared" si="7"/>
        <v>11623277.394674243</v>
      </c>
      <c r="W28" s="64" t="e">
        <f>SUM(V28/E28)/T2</f>
        <v>#DIV/0!</v>
      </c>
      <c r="X28">
        <f t="shared" si="9"/>
        <v>1584</v>
      </c>
      <c r="Y28" s="398">
        <v>106</v>
      </c>
      <c r="Z28" s="65" t="e">
        <f t="shared" si="8"/>
        <v>#DIV/0!</v>
      </c>
    </row>
    <row r="29" spans="1:26" x14ac:dyDescent="0.2">
      <c r="A29" s="43">
        <f>Gen!A35</f>
        <v>44402</v>
      </c>
      <c r="B29" s="68">
        <v>0</v>
      </c>
      <c r="C29" s="73">
        <f>Gen!B35</f>
        <v>0.20799999999999999</v>
      </c>
      <c r="D29" s="393">
        <f t="shared" si="2"/>
        <v>16.015999999999998</v>
      </c>
      <c r="E29" s="62"/>
      <c r="F29" s="60">
        <f>Gen!U35</f>
        <v>0.40641226353555121</v>
      </c>
      <c r="G29" s="71">
        <f>Gen!T35</f>
        <v>4599</v>
      </c>
      <c r="H29" s="71">
        <v>273.37</v>
      </c>
      <c r="I29" s="71">
        <f t="shared" si="0"/>
        <v>4872.37</v>
      </c>
      <c r="J29" s="71">
        <v>41629.060000000034</v>
      </c>
      <c r="K29" s="59">
        <f>'Water-Meter'!E30</f>
        <v>106</v>
      </c>
      <c r="L29" s="406">
        <f>'Lpg (2)'!G34</f>
        <v>106.39200000003331</v>
      </c>
      <c r="M29" s="74" t="e">
        <f>#REF!</f>
        <v>#REF!</v>
      </c>
      <c r="N29" s="74" t="e">
        <f>#REF!</f>
        <v>#REF!</v>
      </c>
      <c r="O29" s="74" t="e">
        <f>#REF!</f>
        <v>#REF!</v>
      </c>
      <c r="P29" s="75">
        <f t="shared" si="1"/>
        <v>0.80055884615384676</v>
      </c>
      <c r="Q29" s="6">
        <f>I29*Q2</f>
        <v>10767206.8445</v>
      </c>
      <c r="R29" s="64">
        <f t="shared" si="3"/>
        <v>424.41802375733488</v>
      </c>
      <c r="S29" s="397" t="e">
        <f t="shared" si="4"/>
        <v>#DIV/0!</v>
      </c>
      <c r="T29" s="64">
        <f t="shared" si="5"/>
        <v>6.8257575757575761</v>
      </c>
      <c r="U29" s="108">
        <f t="shared" si="6"/>
        <v>131.84816666670795</v>
      </c>
      <c r="V29" s="17">
        <f t="shared" si="7"/>
        <v>10767345.518424243</v>
      </c>
      <c r="W29" s="64" t="e">
        <f>SUM(V29/E29)/T2</f>
        <v>#DIV/0!</v>
      </c>
      <c r="X29">
        <f t="shared" si="9"/>
        <v>1584</v>
      </c>
      <c r="Y29" s="398">
        <v>106</v>
      </c>
      <c r="Z29" s="65" t="e">
        <f t="shared" si="8"/>
        <v>#DIV/0!</v>
      </c>
    </row>
    <row r="30" spans="1:26" x14ac:dyDescent="0.2">
      <c r="A30" s="43">
        <f>Gen!A36</f>
        <v>44403</v>
      </c>
      <c r="B30" s="68">
        <v>0</v>
      </c>
      <c r="C30" s="73">
        <f>Gen!B36</f>
        <v>0.156</v>
      </c>
      <c r="D30" s="393">
        <f t="shared" si="2"/>
        <v>12.012</v>
      </c>
      <c r="E30" s="62"/>
      <c r="F30" s="60">
        <f>Gen!U36</f>
        <v>0.42781426953567375</v>
      </c>
      <c r="G30" s="71">
        <f>Gen!T36</f>
        <v>4415</v>
      </c>
      <c r="H30" s="71">
        <v>396.56</v>
      </c>
      <c r="I30" s="71">
        <f t="shared" si="0"/>
        <v>4811.5600000000004</v>
      </c>
      <c r="J30" s="71">
        <v>39251.170000000035</v>
      </c>
      <c r="K30" s="59">
        <f>'Water-Meter'!E31</f>
        <v>96</v>
      </c>
      <c r="L30" s="406">
        <f>'Lpg (2)'!G35</f>
        <v>93.323999999964158</v>
      </c>
      <c r="M30" s="74" t="e">
        <f>#REF!</f>
        <v>#REF!</v>
      </c>
      <c r="N30" s="74" t="e">
        <f>#REF!</f>
        <v>#REF!</v>
      </c>
      <c r="O30" s="74" t="e">
        <f>#REF!</f>
        <v>#REF!</v>
      </c>
      <c r="P30" s="75">
        <f t="shared" si="1"/>
        <v>0.75483019230769299</v>
      </c>
      <c r="Q30" s="6">
        <f>I30*Q2</f>
        <v>10632825.866</v>
      </c>
      <c r="R30" s="64">
        <f t="shared" si="3"/>
        <v>558.82805462635008</v>
      </c>
      <c r="S30" s="397" t="e">
        <f t="shared" si="4"/>
        <v>#DIV/0!</v>
      </c>
      <c r="T30" s="64">
        <f t="shared" si="5"/>
        <v>6.1818181818181817</v>
      </c>
      <c r="U30" s="108">
        <f t="shared" si="6"/>
        <v>115.65341666662225</v>
      </c>
      <c r="V30" s="17">
        <f t="shared" si="7"/>
        <v>10632947.701234849</v>
      </c>
      <c r="W30" s="64" t="e">
        <f>SUM(V30/E30)/T2</f>
        <v>#DIV/0!</v>
      </c>
      <c r="X30">
        <f t="shared" si="9"/>
        <v>1584</v>
      </c>
      <c r="Y30" s="398">
        <v>106</v>
      </c>
      <c r="Z30" s="65" t="e">
        <f t="shared" si="8"/>
        <v>#DIV/0!</v>
      </c>
    </row>
    <row r="31" spans="1:26" x14ac:dyDescent="0.2">
      <c r="A31" s="43">
        <f>Gen!A37</f>
        <v>44404</v>
      </c>
      <c r="B31" s="68">
        <v>0</v>
      </c>
      <c r="C31" s="73">
        <f>Gen!B37</f>
        <v>0.29899999999999999</v>
      </c>
      <c r="D31" s="393">
        <f t="shared" si="2"/>
        <v>23.023</v>
      </c>
      <c r="E31" s="62"/>
      <c r="F31" s="60">
        <f>Gen!U37</f>
        <v>0.41703711742999783</v>
      </c>
      <c r="G31" s="71">
        <f>Gen!T37</f>
        <v>4607</v>
      </c>
      <c r="H31" s="71">
        <v>280.63</v>
      </c>
      <c r="I31" s="71">
        <f t="shared" si="0"/>
        <v>4887.63</v>
      </c>
      <c r="J31" s="71">
        <v>36384.370000000032</v>
      </c>
      <c r="K31" s="59">
        <f>'Water-Meter'!E32</f>
        <v>103</v>
      </c>
      <c r="L31" s="406">
        <f>'Lpg (2)'!G36</f>
        <v>74.228000000043551</v>
      </c>
      <c r="M31" s="74" t="e">
        <f>#REF!</f>
        <v>#REF!</v>
      </c>
      <c r="N31" s="74" t="e">
        <f>#REF!</f>
        <v>#REF!</v>
      </c>
      <c r="O31" s="74" t="e">
        <f>#REF!</f>
        <v>#REF!</v>
      </c>
      <c r="P31" s="75">
        <f t="shared" si="1"/>
        <v>0.69969942307692368</v>
      </c>
      <c r="Q31" s="6">
        <f>I31*Q2</f>
        <v>10800929.1555</v>
      </c>
      <c r="R31" s="64">
        <f t="shared" si="3"/>
        <v>296.17201955653047</v>
      </c>
      <c r="S31" s="397" t="e">
        <f t="shared" si="4"/>
        <v>#DIV/0!</v>
      </c>
      <c r="T31" s="64">
        <f t="shared" si="5"/>
        <v>6.6325757575757578</v>
      </c>
      <c r="U31" s="108">
        <f t="shared" si="6"/>
        <v>91.988361111165077</v>
      </c>
      <c r="V31" s="17">
        <f t="shared" si="7"/>
        <v>10801027.776436869</v>
      </c>
      <c r="W31" s="64" t="e">
        <f>SUM(V31/E31)/T2</f>
        <v>#DIV/0!</v>
      </c>
      <c r="X31">
        <f t="shared" si="9"/>
        <v>1584</v>
      </c>
      <c r="Y31" s="398">
        <v>106</v>
      </c>
      <c r="Z31" s="65" t="e">
        <f t="shared" si="8"/>
        <v>#DIV/0!</v>
      </c>
    </row>
    <row r="32" spans="1:26" x14ac:dyDescent="0.2">
      <c r="A32" s="43">
        <f>Gen!A38</f>
        <v>44405</v>
      </c>
      <c r="B32" s="68">
        <v>0</v>
      </c>
      <c r="C32" s="73">
        <f>Gen!B38</f>
        <v>0.46800000000000003</v>
      </c>
      <c r="D32" s="393">
        <f t="shared" si="2"/>
        <v>36.036000000000001</v>
      </c>
      <c r="E32" s="62"/>
      <c r="F32" s="60">
        <f>Gen!U38</f>
        <v>0.36549332184403277</v>
      </c>
      <c r="G32" s="71">
        <f>Gen!T38</f>
        <v>4642</v>
      </c>
      <c r="H32" s="71">
        <v>0</v>
      </c>
      <c r="I32" s="71">
        <f t="shared" si="0"/>
        <v>4642</v>
      </c>
      <c r="J32" s="71">
        <v>33780.000000000029</v>
      </c>
      <c r="K32" s="59">
        <f>'Water-Meter'!E33</f>
        <v>115</v>
      </c>
      <c r="L32" s="406">
        <f>'Lpg (2)'!G37</f>
        <v>79.2</v>
      </c>
      <c r="M32" s="74" t="e">
        <f>#REF!</f>
        <v>#REF!</v>
      </c>
      <c r="N32" s="74" t="e">
        <f>#REF!</f>
        <v>#REF!</v>
      </c>
      <c r="O32" s="74" t="e">
        <f>#REF!</f>
        <v>#REF!</v>
      </c>
      <c r="P32" s="75">
        <f t="shared" si="1"/>
        <v>0.64961538461538515</v>
      </c>
      <c r="Q32" s="6">
        <f>I32*Q2</f>
        <v>10258123.699999999</v>
      </c>
      <c r="R32" s="64">
        <f t="shared" si="3"/>
        <v>179.71162710746043</v>
      </c>
      <c r="S32" s="397" t="e">
        <f t="shared" si="4"/>
        <v>#DIV/0!</v>
      </c>
      <c r="T32" s="64">
        <f t="shared" si="5"/>
        <v>7.4053030303030303</v>
      </c>
      <c r="U32" s="108">
        <f t="shared" si="6"/>
        <v>98.15</v>
      </c>
      <c r="V32" s="17">
        <f t="shared" si="7"/>
        <v>10258229.255303031</v>
      </c>
      <c r="W32" s="64" t="e">
        <f>SUM(V32/E32)/T2</f>
        <v>#DIV/0!</v>
      </c>
      <c r="X32">
        <f t="shared" si="9"/>
        <v>1584</v>
      </c>
      <c r="Y32" s="398">
        <v>106</v>
      </c>
      <c r="Z32" s="65" t="e">
        <f t="shared" si="8"/>
        <v>#DIV/0!</v>
      </c>
    </row>
    <row r="33" spans="1:26" x14ac:dyDescent="0.2">
      <c r="A33" s="43">
        <f>Gen!A39</f>
        <v>44406</v>
      </c>
      <c r="B33" s="68">
        <v>0</v>
      </c>
      <c r="C33" s="73">
        <f>Gen!B39</f>
        <v>0.51</v>
      </c>
      <c r="D33" s="393">
        <f t="shared" si="2"/>
        <v>39.270000000000003</v>
      </c>
      <c r="E33" s="62"/>
      <c r="F33" s="60">
        <f>Gen!U39</f>
        <v>0.49988958594730237</v>
      </c>
      <c r="G33" s="71">
        <f>Gen!T39</f>
        <v>3985</v>
      </c>
      <c r="H33" s="71">
        <v>0</v>
      </c>
      <c r="I33" s="71">
        <f t="shared" si="0"/>
        <v>3985</v>
      </c>
      <c r="J33" s="71">
        <v>33780.000000000029</v>
      </c>
      <c r="K33" s="59">
        <f>'Water-Meter'!E34</f>
        <v>111</v>
      </c>
      <c r="L33" s="406">
        <f>'Lpg (2)'!G38</f>
        <v>175.64799999999232</v>
      </c>
      <c r="M33" s="74" t="e">
        <f>#REF!</f>
        <v>#REF!</v>
      </c>
      <c r="N33" s="74" t="e">
        <f>#REF!</f>
        <v>#REF!</v>
      </c>
      <c r="O33" s="74" t="e">
        <f>#REF!</f>
        <v>#REF!</v>
      </c>
      <c r="P33" s="75">
        <f t="shared" si="1"/>
        <v>0.64961538461538515</v>
      </c>
      <c r="Q33" s="6">
        <f>I33*Q2</f>
        <v>8806252.25</v>
      </c>
      <c r="R33" s="64">
        <f t="shared" si="3"/>
        <v>141.57124224804704</v>
      </c>
      <c r="S33" s="397" t="e">
        <f t="shared" si="4"/>
        <v>#DIV/0!</v>
      </c>
      <c r="T33" s="64">
        <f t="shared" si="5"/>
        <v>7.1477272727272725</v>
      </c>
      <c r="U33" s="108">
        <f t="shared" si="6"/>
        <v>217.67488888887937</v>
      </c>
      <c r="V33" s="17">
        <f t="shared" si="7"/>
        <v>8806477.0726161618</v>
      </c>
      <c r="W33" s="64" t="e">
        <f>SUM(V33/E33)/T2</f>
        <v>#DIV/0!</v>
      </c>
      <c r="X33">
        <f t="shared" si="9"/>
        <v>1584</v>
      </c>
      <c r="Y33" s="398">
        <v>106</v>
      </c>
      <c r="Z33" s="65" t="e">
        <f t="shared" si="8"/>
        <v>#DIV/0!</v>
      </c>
    </row>
    <row r="34" spans="1:26" x14ac:dyDescent="0.2">
      <c r="A34" s="43">
        <f>Gen!A40</f>
        <v>44407</v>
      </c>
      <c r="B34" s="68">
        <v>0</v>
      </c>
      <c r="C34" s="73">
        <f>Gen!B40</f>
        <v>0.38</v>
      </c>
      <c r="D34" s="393">
        <f t="shared" si="2"/>
        <v>29.26</v>
      </c>
      <c r="E34" s="62"/>
      <c r="F34" s="60">
        <f>Gen!U40</f>
        <v>0.4064607493309545</v>
      </c>
      <c r="G34" s="71">
        <f>Gen!T40</f>
        <v>4484</v>
      </c>
      <c r="H34" s="71">
        <v>0</v>
      </c>
      <c r="I34" s="71">
        <f t="shared" si="0"/>
        <v>4484</v>
      </c>
      <c r="J34" s="71">
        <v>33780.000000000029</v>
      </c>
      <c r="K34" s="59">
        <f>'Water-Meter'!E35</f>
        <v>105</v>
      </c>
      <c r="L34" s="406">
        <f>'Lpg (2)'!G39</f>
        <v>171.29199999996928</v>
      </c>
      <c r="M34" s="74" t="e">
        <f>#REF!</f>
        <v>#REF!</v>
      </c>
      <c r="N34" s="74" t="e">
        <f>#REF!</f>
        <v>#REF!</v>
      </c>
      <c r="O34" s="74" t="e">
        <f>#REF!</f>
        <v>#REF!</v>
      </c>
      <c r="P34" s="75">
        <f t="shared" si="1"/>
        <v>0.64961538461538515</v>
      </c>
      <c r="Q34" s="6">
        <f>I34*Q2</f>
        <v>9908967.4000000004</v>
      </c>
      <c r="R34" s="64">
        <f t="shared" si="3"/>
        <v>213.79566771612224</v>
      </c>
      <c r="S34" s="397" t="e">
        <f t="shared" si="4"/>
        <v>#DIV/0!</v>
      </c>
      <c r="T34" s="64">
        <f t="shared" si="5"/>
        <v>6.7613636363636367</v>
      </c>
      <c r="U34" s="108">
        <f t="shared" si="6"/>
        <v>212.27663888885081</v>
      </c>
      <c r="V34" s="17">
        <f t="shared" si="7"/>
        <v>9909186.4380025268</v>
      </c>
      <c r="W34" s="64" t="e">
        <f>SUM(V34/E34)/T2</f>
        <v>#DIV/0!</v>
      </c>
      <c r="X34">
        <f t="shared" si="9"/>
        <v>1584</v>
      </c>
      <c r="Y34" s="398">
        <v>106</v>
      </c>
      <c r="Z34" s="65" t="e">
        <f t="shared" si="8"/>
        <v>#DIV/0!</v>
      </c>
    </row>
    <row r="35" spans="1:26" x14ac:dyDescent="0.2">
      <c r="A35" s="43">
        <f>Gen!A41</f>
        <v>44408</v>
      </c>
      <c r="B35" s="68">
        <v>0</v>
      </c>
      <c r="C35" s="73">
        <f>Gen!B41</f>
        <v>0.15</v>
      </c>
      <c r="D35" s="393">
        <f t="shared" si="2"/>
        <v>11.549999999999999</v>
      </c>
      <c r="E35" s="62"/>
      <c r="F35" s="60">
        <f>Gen!U41</f>
        <v>0.41843586550435863</v>
      </c>
      <c r="G35" s="71">
        <f>Gen!T41</f>
        <v>4015</v>
      </c>
      <c r="H35" s="71">
        <v>0</v>
      </c>
      <c r="I35" s="71">
        <f t="shared" si="0"/>
        <v>4015</v>
      </c>
      <c r="J35" s="71">
        <v>33780.000000000029</v>
      </c>
      <c r="K35" s="59">
        <f>'Water-Meter'!E36</f>
        <v>99</v>
      </c>
      <c r="L35" s="406">
        <f>'Lpg (2)'!G40</f>
        <v>111.23199999999488</v>
      </c>
      <c r="M35" s="74" t="e">
        <f>#REF!</f>
        <v>#REF!</v>
      </c>
      <c r="N35" s="74" t="e">
        <f>#REF!</f>
        <v>#REF!</v>
      </c>
      <c r="O35" s="74" t="e">
        <f>#REF!</f>
        <v>#REF!</v>
      </c>
      <c r="P35" s="75">
        <f t="shared" si="1"/>
        <v>0.64961538461538515</v>
      </c>
      <c r="Q35" s="6">
        <f>I35*Q2</f>
        <v>8872547.75</v>
      </c>
      <c r="R35" s="64">
        <f t="shared" si="3"/>
        <v>484.96587902837905</v>
      </c>
      <c r="S35" s="397" t="e">
        <f t="shared" si="4"/>
        <v>#DIV/0!</v>
      </c>
      <c r="T35" s="64">
        <f t="shared" si="5"/>
        <v>6.375</v>
      </c>
      <c r="U35" s="108">
        <f t="shared" si="6"/>
        <v>137.84622222221589</v>
      </c>
      <c r="V35" s="17">
        <f t="shared" si="7"/>
        <v>8872691.9712222219</v>
      </c>
      <c r="W35" s="64" t="e">
        <f>SUM(V35/E35)/T2</f>
        <v>#DIV/0!</v>
      </c>
      <c r="X35">
        <f t="shared" si="9"/>
        <v>1584</v>
      </c>
      <c r="Y35" s="398">
        <v>106</v>
      </c>
      <c r="Z35" s="65" t="e">
        <f t="shared" si="8"/>
        <v>#DIV/0!</v>
      </c>
    </row>
    <row r="36" spans="1:26" ht="13.5" thickBot="1" x14ac:dyDescent="0.25">
      <c r="A36" s="44"/>
      <c r="B36" s="67"/>
      <c r="C36" s="61"/>
      <c r="D36" s="70"/>
      <c r="E36" s="7"/>
      <c r="F36" s="61"/>
      <c r="G36" s="72"/>
      <c r="H36" s="72"/>
      <c r="I36" s="72"/>
      <c r="J36" s="72"/>
      <c r="K36" s="59" t="str">
        <f>'Water-Meter'!E37</f>
        <v>0</v>
      </c>
      <c r="L36" s="58"/>
      <c r="M36" s="72"/>
      <c r="N36" s="72"/>
      <c r="O36" s="72"/>
      <c r="P36" s="72"/>
      <c r="Q36" s="6">
        <f>I36*2057.79</f>
        <v>0</v>
      </c>
      <c r="R36" s="63"/>
      <c r="S36" s="63"/>
      <c r="T36" s="107"/>
      <c r="U36" s="109"/>
      <c r="V36" s="17">
        <f t="shared" si="7"/>
        <v>0</v>
      </c>
      <c r="W36" s="107"/>
    </row>
    <row r="37" spans="1:26" x14ac:dyDescent="0.2">
      <c r="K37" s="59">
        <f>'Water-Meter'!E38</f>
        <v>3372</v>
      </c>
      <c r="S37" s="65" t="e">
        <v>#REF!</v>
      </c>
    </row>
    <row r="38" spans="1:26" x14ac:dyDescent="0.2">
      <c r="B38" s="69" t="e">
        <v>#REF!</v>
      </c>
      <c r="M38">
        <f>0.5*2057.79</f>
        <v>1028.895</v>
      </c>
    </row>
    <row r="39" spans="1:26" x14ac:dyDescent="0.2">
      <c r="B39" s="69" t="e">
        <v>#REF!</v>
      </c>
      <c r="C39" s="6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366</v>
      </c>
      <c r="S39" s="65" t="e">
        <f>SUM(S37-Y35)</f>
        <v>#REF!</v>
      </c>
    </row>
    <row r="40" spans="1:26" x14ac:dyDescent="0.2">
      <c r="P40">
        <f>P39/K5</f>
        <v>996.90275229357803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36" workbookViewId="0">
      <selection activeCell="C52" sqref="C52"/>
    </sheetView>
  </sheetViews>
  <sheetFormatPr defaultRowHeight="12.75" x14ac:dyDescent="0.2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 x14ac:dyDescent="0.3">
      <c r="A1" s="970" t="s">
        <v>367</v>
      </c>
      <c r="B1" s="971"/>
      <c r="C1" s="971"/>
      <c r="D1" s="971"/>
      <c r="E1" s="971"/>
      <c r="F1" s="971"/>
      <c r="G1" s="972"/>
    </row>
    <row r="2" spans="1:7" ht="13.5" thickBot="1" x14ac:dyDescent="0.25">
      <c r="A2" s="267"/>
      <c r="B2" s="973" t="s">
        <v>368</v>
      </c>
      <c r="C2" s="974"/>
      <c r="D2" s="975"/>
      <c r="E2" s="973" t="s">
        <v>369</v>
      </c>
      <c r="F2" s="974"/>
      <c r="G2" s="975"/>
    </row>
    <row r="3" spans="1:7" ht="40.5" customHeight="1" x14ac:dyDescent="0.2">
      <c r="A3" s="282" t="s">
        <v>292</v>
      </c>
      <c r="B3" s="283" t="s">
        <v>370</v>
      </c>
      <c r="C3" s="283" t="s">
        <v>371</v>
      </c>
      <c r="D3" s="283" t="s">
        <v>372</v>
      </c>
      <c r="E3" s="283" t="s">
        <v>370</v>
      </c>
      <c r="F3" s="283" t="s">
        <v>371</v>
      </c>
      <c r="G3" s="284" t="s">
        <v>372</v>
      </c>
    </row>
    <row r="4" spans="1:7" x14ac:dyDescent="0.2">
      <c r="A4" s="215">
        <v>43101</v>
      </c>
      <c r="B4" s="436">
        <v>46071</v>
      </c>
      <c r="C4" s="217">
        <v>48188</v>
      </c>
      <c r="D4" s="285">
        <v>2117</v>
      </c>
      <c r="E4" s="286">
        <v>216654</v>
      </c>
      <c r="F4" s="240">
        <v>218779</v>
      </c>
      <c r="G4" s="234">
        <v>2125</v>
      </c>
    </row>
    <row r="5" spans="1:7" x14ac:dyDescent="0.2">
      <c r="A5" s="215">
        <v>43132</v>
      </c>
      <c r="B5" s="436">
        <f t="shared" ref="B5:B68" si="0">C4</f>
        <v>48188</v>
      </c>
      <c r="C5" s="217">
        <v>50066</v>
      </c>
      <c r="D5" s="285">
        <f t="shared" ref="D5:D68" si="1">C5-B5</f>
        <v>1878</v>
      </c>
      <c r="E5" s="286">
        <f t="shared" ref="E5:E68" si="2">F4</f>
        <v>218779</v>
      </c>
      <c r="F5" s="240">
        <v>220744</v>
      </c>
      <c r="G5" s="234">
        <f t="shared" ref="G5:G68" si="3">F5-E5</f>
        <v>1965</v>
      </c>
    </row>
    <row r="6" spans="1:7" x14ac:dyDescent="0.2">
      <c r="A6" s="215">
        <v>43160</v>
      </c>
      <c r="B6" s="436">
        <f t="shared" si="0"/>
        <v>50066</v>
      </c>
      <c r="C6" s="217">
        <v>51916</v>
      </c>
      <c r="D6" s="285">
        <f t="shared" si="1"/>
        <v>1850</v>
      </c>
      <c r="E6" s="286">
        <f t="shared" si="2"/>
        <v>220744</v>
      </c>
      <c r="F6" s="240">
        <v>222873</v>
      </c>
      <c r="G6" s="234">
        <f t="shared" si="3"/>
        <v>2129</v>
      </c>
    </row>
    <row r="7" spans="1:7" x14ac:dyDescent="0.2">
      <c r="A7" s="215">
        <v>43191</v>
      </c>
      <c r="B7" s="436">
        <f t="shared" si="0"/>
        <v>51916</v>
      </c>
      <c r="C7" s="217">
        <v>53641</v>
      </c>
      <c r="D7" s="285">
        <f t="shared" si="1"/>
        <v>1725</v>
      </c>
      <c r="E7" s="286">
        <f t="shared" si="2"/>
        <v>222873</v>
      </c>
      <c r="F7" s="240">
        <v>224922</v>
      </c>
      <c r="G7" s="234">
        <f t="shared" si="3"/>
        <v>2049</v>
      </c>
    </row>
    <row r="8" spans="1:7" x14ac:dyDescent="0.2">
      <c r="A8" s="215">
        <v>43221</v>
      </c>
      <c r="B8" s="436">
        <f t="shared" si="0"/>
        <v>53641</v>
      </c>
      <c r="C8" s="217">
        <v>55409</v>
      </c>
      <c r="D8" s="285">
        <f t="shared" si="1"/>
        <v>1768</v>
      </c>
      <c r="E8" s="286">
        <f t="shared" si="2"/>
        <v>224922</v>
      </c>
      <c r="F8" s="240">
        <v>227063</v>
      </c>
      <c r="G8" s="234">
        <f t="shared" si="3"/>
        <v>2141</v>
      </c>
    </row>
    <row r="9" spans="1:7" x14ac:dyDescent="0.2">
      <c r="A9" s="215">
        <v>43252</v>
      </c>
      <c r="B9" s="436">
        <f t="shared" si="0"/>
        <v>55409</v>
      </c>
      <c r="C9" s="217">
        <v>57396</v>
      </c>
      <c r="D9" s="285">
        <f t="shared" si="1"/>
        <v>1987</v>
      </c>
      <c r="E9" s="286">
        <f t="shared" si="2"/>
        <v>227063</v>
      </c>
      <c r="F9" s="240">
        <v>229163</v>
      </c>
      <c r="G9" s="234">
        <f t="shared" si="3"/>
        <v>2100</v>
      </c>
    </row>
    <row r="10" spans="1:7" x14ac:dyDescent="0.2">
      <c r="A10" s="215">
        <v>43282</v>
      </c>
      <c r="B10" s="436">
        <f t="shared" si="0"/>
        <v>57396</v>
      </c>
      <c r="C10" s="217">
        <v>59391</v>
      </c>
      <c r="D10" s="285">
        <f t="shared" si="1"/>
        <v>1995</v>
      </c>
      <c r="E10" s="286">
        <f t="shared" si="2"/>
        <v>229163</v>
      </c>
      <c r="F10" s="240">
        <v>231359</v>
      </c>
      <c r="G10" s="234">
        <f t="shared" si="3"/>
        <v>2196</v>
      </c>
    </row>
    <row r="11" spans="1:7" x14ac:dyDescent="0.2">
      <c r="A11" s="215">
        <v>43313</v>
      </c>
      <c r="B11" s="436">
        <f t="shared" si="0"/>
        <v>59391</v>
      </c>
      <c r="C11" s="217">
        <v>61427</v>
      </c>
      <c r="D11" s="285">
        <f t="shared" si="1"/>
        <v>2036</v>
      </c>
      <c r="E11" s="286">
        <f t="shared" si="2"/>
        <v>231359</v>
      </c>
      <c r="F11" s="240">
        <v>233548</v>
      </c>
      <c r="G11" s="234">
        <f t="shared" si="3"/>
        <v>2189</v>
      </c>
    </row>
    <row r="12" spans="1:7" x14ac:dyDescent="0.2">
      <c r="A12" s="215">
        <v>43344</v>
      </c>
      <c r="B12" s="436">
        <f t="shared" si="0"/>
        <v>61427</v>
      </c>
      <c r="C12" s="217">
        <v>63464</v>
      </c>
      <c r="D12" s="285">
        <f t="shared" si="1"/>
        <v>2037</v>
      </c>
      <c r="E12" s="286">
        <f t="shared" si="2"/>
        <v>233548</v>
      </c>
      <c r="F12" s="240">
        <v>235653</v>
      </c>
      <c r="G12" s="234">
        <f t="shared" si="3"/>
        <v>2105</v>
      </c>
    </row>
    <row r="13" spans="1:7" x14ac:dyDescent="0.2">
      <c r="A13" s="215">
        <v>43374</v>
      </c>
      <c r="B13" s="436">
        <f t="shared" si="0"/>
        <v>63464</v>
      </c>
      <c r="C13" s="217">
        <v>65577</v>
      </c>
      <c r="D13" s="285">
        <f t="shared" si="1"/>
        <v>2113</v>
      </c>
      <c r="E13" s="286">
        <f t="shared" si="2"/>
        <v>235653</v>
      </c>
      <c r="F13" s="240">
        <v>237802</v>
      </c>
      <c r="G13" s="234">
        <f t="shared" si="3"/>
        <v>2149</v>
      </c>
    </row>
    <row r="14" spans="1:7" x14ac:dyDescent="0.2">
      <c r="A14" s="215">
        <v>43405</v>
      </c>
      <c r="B14" s="436">
        <f t="shared" si="0"/>
        <v>65577</v>
      </c>
      <c r="C14" s="217">
        <v>67714</v>
      </c>
      <c r="D14" s="285">
        <f t="shared" si="1"/>
        <v>2137</v>
      </c>
      <c r="E14" s="286">
        <f t="shared" si="2"/>
        <v>237802</v>
      </c>
      <c r="F14" s="240">
        <v>239883</v>
      </c>
      <c r="G14" s="234">
        <f t="shared" si="3"/>
        <v>2081</v>
      </c>
    </row>
    <row r="15" spans="1:7" x14ac:dyDescent="0.2">
      <c r="A15" s="215">
        <v>43435</v>
      </c>
      <c r="B15" s="436">
        <f t="shared" si="0"/>
        <v>67714</v>
      </c>
      <c r="C15" s="217">
        <v>69886</v>
      </c>
      <c r="D15" s="285">
        <f t="shared" si="1"/>
        <v>2172</v>
      </c>
      <c r="E15" s="286">
        <f t="shared" si="2"/>
        <v>239883</v>
      </c>
      <c r="F15" s="240">
        <v>242023</v>
      </c>
      <c r="G15" s="234">
        <f t="shared" si="3"/>
        <v>2140</v>
      </c>
    </row>
    <row r="16" spans="1:7" x14ac:dyDescent="0.2">
      <c r="A16" s="215">
        <v>43466</v>
      </c>
      <c r="B16" s="436">
        <f t="shared" si="0"/>
        <v>69886</v>
      </c>
      <c r="C16" s="217">
        <v>72120</v>
      </c>
      <c r="D16" s="285">
        <f t="shared" si="1"/>
        <v>2234</v>
      </c>
      <c r="E16" s="286">
        <f t="shared" si="2"/>
        <v>242023</v>
      </c>
      <c r="F16" s="240">
        <v>244252</v>
      </c>
      <c r="G16" s="234">
        <f t="shared" si="3"/>
        <v>2229</v>
      </c>
    </row>
    <row r="17" spans="1:7" x14ac:dyDescent="0.2">
      <c r="A17" s="215">
        <v>43497</v>
      </c>
      <c r="B17" s="436">
        <f t="shared" si="0"/>
        <v>72120</v>
      </c>
      <c r="C17" s="217">
        <v>74132</v>
      </c>
      <c r="D17" s="285">
        <f t="shared" si="1"/>
        <v>2012</v>
      </c>
      <c r="E17" s="286">
        <f t="shared" si="2"/>
        <v>244252</v>
      </c>
      <c r="F17" s="240">
        <v>246272</v>
      </c>
      <c r="G17" s="234">
        <f t="shared" si="3"/>
        <v>2020</v>
      </c>
    </row>
    <row r="18" spans="1:7" x14ac:dyDescent="0.2">
      <c r="A18" s="215">
        <v>43525</v>
      </c>
      <c r="B18" s="436">
        <f t="shared" si="0"/>
        <v>74132</v>
      </c>
      <c r="C18" s="217">
        <v>76130</v>
      </c>
      <c r="D18" s="285">
        <f t="shared" si="1"/>
        <v>1998</v>
      </c>
      <c r="E18" s="286">
        <f t="shared" si="2"/>
        <v>246272</v>
      </c>
      <c r="F18" s="240">
        <v>248562</v>
      </c>
      <c r="G18" s="234">
        <f t="shared" si="3"/>
        <v>2290</v>
      </c>
    </row>
    <row r="19" spans="1:7" x14ac:dyDescent="0.2">
      <c r="A19" s="215">
        <v>43556</v>
      </c>
      <c r="B19" s="436">
        <f t="shared" si="0"/>
        <v>76130</v>
      </c>
      <c r="C19" s="217">
        <v>77859</v>
      </c>
      <c r="D19" s="285">
        <f t="shared" si="1"/>
        <v>1729</v>
      </c>
      <c r="E19" s="286">
        <f t="shared" si="2"/>
        <v>248562</v>
      </c>
      <c r="F19" s="240">
        <v>250789</v>
      </c>
      <c r="G19" s="234">
        <f t="shared" si="3"/>
        <v>2227</v>
      </c>
    </row>
    <row r="20" spans="1:7" x14ac:dyDescent="0.2">
      <c r="A20" s="215">
        <v>43586</v>
      </c>
      <c r="B20" s="436">
        <f t="shared" si="0"/>
        <v>77859</v>
      </c>
      <c r="C20" s="217">
        <v>79636</v>
      </c>
      <c r="D20" s="285">
        <f t="shared" si="1"/>
        <v>1777</v>
      </c>
      <c r="E20" s="286">
        <f t="shared" si="2"/>
        <v>250789</v>
      </c>
      <c r="F20" s="240">
        <v>252878</v>
      </c>
      <c r="G20" s="234">
        <f t="shared" si="3"/>
        <v>2089</v>
      </c>
    </row>
    <row r="21" spans="1:7" x14ac:dyDescent="0.2">
      <c r="A21" s="215">
        <v>43617</v>
      </c>
      <c r="B21" s="436">
        <f t="shared" si="0"/>
        <v>79636</v>
      </c>
      <c r="C21" s="217">
        <v>81603</v>
      </c>
      <c r="D21" s="285">
        <f t="shared" si="1"/>
        <v>1967</v>
      </c>
      <c r="E21" s="286">
        <f t="shared" si="2"/>
        <v>252878</v>
      </c>
      <c r="F21" s="240">
        <v>254783</v>
      </c>
      <c r="G21" s="234">
        <f t="shared" si="3"/>
        <v>1905</v>
      </c>
    </row>
    <row r="22" spans="1:7" x14ac:dyDescent="0.2">
      <c r="A22" s="215">
        <v>43647</v>
      </c>
      <c r="B22" s="436">
        <f t="shared" si="0"/>
        <v>81603</v>
      </c>
      <c r="C22" s="217">
        <v>83511</v>
      </c>
      <c r="D22" s="285">
        <f t="shared" si="1"/>
        <v>1908</v>
      </c>
      <c r="E22" s="286">
        <f t="shared" si="2"/>
        <v>254783</v>
      </c>
      <c r="F22" s="217">
        <v>257138</v>
      </c>
      <c r="G22" s="234">
        <f t="shared" si="3"/>
        <v>2355</v>
      </c>
    </row>
    <row r="23" spans="1:7" x14ac:dyDescent="0.2">
      <c r="A23" s="215">
        <v>43678</v>
      </c>
      <c r="B23" s="436">
        <f t="shared" si="0"/>
        <v>83511</v>
      </c>
      <c r="C23" s="217">
        <v>85418</v>
      </c>
      <c r="D23" s="285">
        <f t="shared" si="1"/>
        <v>1907</v>
      </c>
      <c r="E23" s="286">
        <f t="shared" si="2"/>
        <v>257138</v>
      </c>
      <c r="F23" s="217">
        <v>259453</v>
      </c>
      <c r="G23" s="234">
        <f t="shared" si="3"/>
        <v>2315</v>
      </c>
    </row>
    <row r="24" spans="1:7" x14ac:dyDescent="0.2">
      <c r="A24" s="215">
        <v>43709</v>
      </c>
      <c r="B24" s="436">
        <f t="shared" si="0"/>
        <v>85418</v>
      </c>
      <c r="C24" s="217">
        <v>87262</v>
      </c>
      <c r="D24" s="285">
        <f t="shared" si="1"/>
        <v>1844</v>
      </c>
      <c r="E24" s="286">
        <f t="shared" si="2"/>
        <v>259453</v>
      </c>
      <c r="F24" s="217">
        <v>261652</v>
      </c>
      <c r="G24" s="234">
        <f t="shared" si="3"/>
        <v>2199</v>
      </c>
    </row>
    <row r="25" spans="1:7" x14ac:dyDescent="0.2">
      <c r="A25" s="215">
        <v>43739</v>
      </c>
      <c r="B25" s="436">
        <f t="shared" si="0"/>
        <v>87262</v>
      </c>
      <c r="C25" s="217">
        <v>89489</v>
      </c>
      <c r="D25" s="285">
        <f t="shared" si="1"/>
        <v>2227</v>
      </c>
      <c r="E25" s="286">
        <f t="shared" si="2"/>
        <v>261652</v>
      </c>
      <c r="F25" s="217">
        <v>263905</v>
      </c>
      <c r="G25" s="234">
        <f t="shared" si="3"/>
        <v>2253</v>
      </c>
    </row>
    <row r="26" spans="1:7" x14ac:dyDescent="0.2">
      <c r="A26" s="215">
        <v>43770</v>
      </c>
      <c r="B26" s="436">
        <f t="shared" si="0"/>
        <v>89489</v>
      </c>
      <c r="C26" s="217">
        <v>91615</v>
      </c>
      <c r="D26" s="285">
        <f t="shared" si="1"/>
        <v>2126</v>
      </c>
      <c r="E26" s="286">
        <f t="shared" si="2"/>
        <v>263905</v>
      </c>
      <c r="F26" s="217">
        <v>265969</v>
      </c>
      <c r="G26" s="234">
        <f t="shared" si="3"/>
        <v>2064</v>
      </c>
    </row>
    <row r="27" spans="1:7" x14ac:dyDescent="0.2">
      <c r="A27" s="215">
        <v>43800</v>
      </c>
      <c r="B27" s="436">
        <f t="shared" si="0"/>
        <v>91615</v>
      </c>
      <c r="C27" s="217">
        <v>93828</v>
      </c>
      <c r="D27" s="285">
        <f t="shared" si="1"/>
        <v>2213</v>
      </c>
      <c r="E27" s="286">
        <f t="shared" si="2"/>
        <v>265969</v>
      </c>
      <c r="F27" s="217">
        <v>268212</v>
      </c>
      <c r="G27" s="234">
        <f t="shared" si="3"/>
        <v>2243</v>
      </c>
    </row>
    <row r="28" spans="1:7" x14ac:dyDescent="0.2">
      <c r="A28" s="215">
        <v>43831</v>
      </c>
      <c r="B28" s="436">
        <f t="shared" si="0"/>
        <v>93828</v>
      </c>
      <c r="C28" s="217">
        <v>95998</v>
      </c>
      <c r="D28" s="285">
        <f t="shared" si="1"/>
        <v>2170</v>
      </c>
      <c r="E28" s="286">
        <f t="shared" si="2"/>
        <v>268212</v>
      </c>
      <c r="F28" s="217">
        <v>270443</v>
      </c>
      <c r="G28" s="234">
        <f t="shared" si="3"/>
        <v>2231</v>
      </c>
    </row>
    <row r="29" spans="1:7" x14ac:dyDescent="0.2">
      <c r="A29" s="215">
        <v>43862</v>
      </c>
      <c r="B29" s="436">
        <f t="shared" si="0"/>
        <v>95998</v>
      </c>
      <c r="C29" s="217">
        <v>98070</v>
      </c>
      <c r="D29" s="285">
        <f t="shared" si="1"/>
        <v>2072</v>
      </c>
      <c r="E29" s="286">
        <f t="shared" si="2"/>
        <v>270443</v>
      </c>
      <c r="F29" s="217">
        <v>272554</v>
      </c>
      <c r="G29" s="234">
        <f t="shared" si="3"/>
        <v>2111</v>
      </c>
    </row>
    <row r="30" spans="1:7" x14ac:dyDescent="0.2">
      <c r="A30" s="215">
        <v>43891</v>
      </c>
      <c r="B30" s="436">
        <f t="shared" si="0"/>
        <v>98070</v>
      </c>
      <c r="C30" s="217">
        <v>100381</v>
      </c>
      <c r="D30" s="285">
        <f t="shared" si="1"/>
        <v>2311</v>
      </c>
      <c r="E30" s="286">
        <f t="shared" si="2"/>
        <v>272554</v>
      </c>
      <c r="F30" s="217">
        <v>274788</v>
      </c>
      <c r="G30" s="234">
        <f t="shared" si="3"/>
        <v>2234</v>
      </c>
    </row>
    <row r="31" spans="1:7" x14ac:dyDescent="0.2">
      <c r="A31" s="215">
        <v>43922</v>
      </c>
      <c r="B31" s="436">
        <f t="shared" si="0"/>
        <v>100381</v>
      </c>
      <c r="C31" s="217">
        <v>102607</v>
      </c>
      <c r="D31" s="285">
        <f t="shared" si="1"/>
        <v>2226</v>
      </c>
      <c r="E31" s="286">
        <f t="shared" si="2"/>
        <v>274788</v>
      </c>
      <c r="F31" s="217">
        <v>276874</v>
      </c>
      <c r="G31" s="234">
        <f t="shared" si="3"/>
        <v>2086</v>
      </c>
    </row>
    <row r="32" spans="1:7" x14ac:dyDescent="0.2">
      <c r="A32" s="215">
        <v>43952</v>
      </c>
      <c r="B32" s="436">
        <f t="shared" si="0"/>
        <v>102607</v>
      </c>
      <c r="C32" s="217">
        <v>104898</v>
      </c>
      <c r="D32" s="285">
        <f t="shared" si="1"/>
        <v>2291</v>
      </c>
      <c r="E32" s="286">
        <f t="shared" si="2"/>
        <v>276874</v>
      </c>
      <c r="F32" s="217">
        <v>279093</v>
      </c>
      <c r="G32" s="234">
        <f t="shared" si="3"/>
        <v>2219</v>
      </c>
    </row>
    <row r="33" spans="1:7" x14ac:dyDescent="0.2">
      <c r="A33" s="215">
        <v>43983</v>
      </c>
      <c r="B33" s="436">
        <f t="shared" si="0"/>
        <v>104898</v>
      </c>
      <c r="C33" s="217">
        <v>107117</v>
      </c>
      <c r="D33" s="285">
        <f t="shared" si="1"/>
        <v>2219</v>
      </c>
      <c r="E33" s="286">
        <f t="shared" si="2"/>
        <v>279093</v>
      </c>
      <c r="F33" s="217">
        <v>281240</v>
      </c>
      <c r="G33" s="234">
        <f t="shared" si="3"/>
        <v>2147</v>
      </c>
    </row>
    <row r="34" spans="1:7" x14ac:dyDescent="0.2">
      <c r="A34" s="215">
        <v>44013</v>
      </c>
      <c r="B34" s="436">
        <f t="shared" si="0"/>
        <v>107117</v>
      </c>
      <c r="C34" s="217">
        <v>109400</v>
      </c>
      <c r="D34" s="285">
        <f t="shared" si="1"/>
        <v>2283</v>
      </c>
      <c r="E34" s="286">
        <f t="shared" si="2"/>
        <v>281240</v>
      </c>
      <c r="F34" s="217">
        <v>283452</v>
      </c>
      <c r="G34" s="234">
        <f t="shared" si="3"/>
        <v>2212</v>
      </c>
    </row>
    <row r="35" spans="1:7" x14ac:dyDescent="0.2">
      <c r="A35" s="215">
        <v>44044</v>
      </c>
      <c r="B35" s="436">
        <f t="shared" si="0"/>
        <v>109400</v>
      </c>
      <c r="C35" s="217">
        <v>111576</v>
      </c>
      <c r="D35" s="285">
        <f t="shared" si="1"/>
        <v>2176</v>
      </c>
      <c r="E35" s="286">
        <f t="shared" si="2"/>
        <v>283452</v>
      </c>
      <c r="F35" s="217">
        <v>285683</v>
      </c>
      <c r="G35" s="234">
        <f t="shared" si="3"/>
        <v>2231</v>
      </c>
    </row>
    <row r="36" spans="1:7" x14ac:dyDescent="0.2">
      <c r="A36" s="215">
        <v>44075</v>
      </c>
      <c r="B36" s="436">
        <f t="shared" si="0"/>
        <v>111576</v>
      </c>
      <c r="C36" s="217">
        <v>113681</v>
      </c>
      <c r="D36" s="285">
        <f t="shared" si="1"/>
        <v>2105</v>
      </c>
      <c r="E36" s="286">
        <f t="shared" si="2"/>
        <v>285683</v>
      </c>
      <c r="F36" s="217">
        <v>287829</v>
      </c>
      <c r="G36" s="234">
        <f t="shared" si="3"/>
        <v>2146</v>
      </c>
    </row>
    <row r="37" spans="1:7" x14ac:dyDescent="0.2">
      <c r="A37" s="215">
        <v>44105</v>
      </c>
      <c r="B37" s="436">
        <f t="shared" si="0"/>
        <v>113681</v>
      </c>
      <c r="C37" s="217">
        <v>115884</v>
      </c>
      <c r="D37" s="285">
        <f t="shared" si="1"/>
        <v>2203</v>
      </c>
      <c r="E37" s="286">
        <f t="shared" si="2"/>
        <v>287829</v>
      </c>
      <c r="F37" s="217">
        <v>290035</v>
      </c>
      <c r="G37" s="234">
        <f t="shared" si="3"/>
        <v>2206</v>
      </c>
    </row>
    <row r="38" spans="1:7" x14ac:dyDescent="0.2">
      <c r="A38" s="215">
        <v>44136</v>
      </c>
      <c r="B38" s="436">
        <f t="shared" si="0"/>
        <v>115884</v>
      </c>
      <c r="C38" s="217">
        <v>117878</v>
      </c>
      <c r="D38" s="285">
        <f t="shared" si="1"/>
        <v>1994</v>
      </c>
      <c r="E38" s="286">
        <f t="shared" si="2"/>
        <v>290035</v>
      </c>
      <c r="F38" s="217">
        <v>292096</v>
      </c>
      <c r="G38" s="234">
        <f t="shared" si="3"/>
        <v>2061</v>
      </c>
    </row>
    <row r="39" spans="1:7" x14ac:dyDescent="0.2">
      <c r="A39" s="215">
        <v>44166</v>
      </c>
      <c r="B39" s="436">
        <f t="shared" si="0"/>
        <v>117878</v>
      </c>
      <c r="C39" s="217">
        <v>120013</v>
      </c>
      <c r="D39" s="285">
        <f t="shared" si="1"/>
        <v>2135</v>
      </c>
      <c r="E39" s="286">
        <f t="shared" si="2"/>
        <v>292096</v>
      </c>
      <c r="F39" s="217">
        <v>294243</v>
      </c>
      <c r="G39" s="234">
        <f t="shared" si="3"/>
        <v>2147</v>
      </c>
    </row>
    <row r="40" spans="1:7" x14ac:dyDescent="0.2">
      <c r="A40" s="215">
        <v>44197</v>
      </c>
      <c r="B40" s="436">
        <f t="shared" si="0"/>
        <v>120013</v>
      </c>
      <c r="C40" s="217">
        <v>122116</v>
      </c>
      <c r="D40" s="285">
        <f t="shared" si="1"/>
        <v>2103</v>
      </c>
      <c r="E40" s="286">
        <f t="shared" si="2"/>
        <v>294243</v>
      </c>
      <c r="F40" s="217">
        <v>296404</v>
      </c>
      <c r="G40" s="234">
        <f t="shared" si="3"/>
        <v>2161</v>
      </c>
    </row>
    <row r="41" spans="1:7" x14ac:dyDescent="0.2">
      <c r="A41" s="215">
        <v>44228</v>
      </c>
      <c r="B41" s="436">
        <f t="shared" si="0"/>
        <v>122116</v>
      </c>
      <c r="C41" s="217">
        <v>124084</v>
      </c>
      <c r="D41" s="285">
        <f t="shared" si="1"/>
        <v>1968</v>
      </c>
      <c r="E41" s="286">
        <f t="shared" si="2"/>
        <v>296404</v>
      </c>
      <c r="F41" s="217">
        <v>298355</v>
      </c>
      <c r="G41" s="234">
        <f t="shared" si="3"/>
        <v>1951</v>
      </c>
    </row>
    <row r="42" spans="1:7" x14ac:dyDescent="0.2">
      <c r="A42" s="215">
        <v>44256</v>
      </c>
      <c r="B42" s="436">
        <f t="shared" si="0"/>
        <v>124084</v>
      </c>
      <c r="C42" s="217">
        <v>126278</v>
      </c>
      <c r="D42" s="285">
        <f t="shared" si="1"/>
        <v>2194</v>
      </c>
      <c r="E42" s="286">
        <f t="shared" si="2"/>
        <v>298355</v>
      </c>
      <c r="F42" s="217">
        <v>300336</v>
      </c>
      <c r="G42" s="234">
        <f t="shared" si="3"/>
        <v>1981</v>
      </c>
    </row>
    <row r="43" spans="1:7" x14ac:dyDescent="0.2">
      <c r="A43" s="215">
        <v>44287</v>
      </c>
      <c r="B43" s="436">
        <f t="shared" si="0"/>
        <v>126278</v>
      </c>
      <c r="C43" s="217">
        <v>128390</v>
      </c>
      <c r="D43" s="285">
        <f t="shared" si="1"/>
        <v>2112</v>
      </c>
      <c r="E43" s="286">
        <f t="shared" si="2"/>
        <v>300336</v>
      </c>
      <c r="F43" s="217">
        <v>302366</v>
      </c>
      <c r="G43" s="234">
        <f t="shared" si="3"/>
        <v>2030</v>
      </c>
    </row>
    <row r="44" spans="1:7" x14ac:dyDescent="0.2">
      <c r="A44" s="215">
        <v>44317</v>
      </c>
      <c r="B44" s="436">
        <f t="shared" si="0"/>
        <v>128390</v>
      </c>
      <c r="C44" s="217">
        <v>130576</v>
      </c>
      <c r="D44" s="285">
        <f t="shared" si="1"/>
        <v>2186</v>
      </c>
      <c r="E44" s="286">
        <f t="shared" si="2"/>
        <v>302366</v>
      </c>
      <c r="F44" s="217">
        <v>304389</v>
      </c>
      <c r="G44" s="234">
        <f t="shared" si="3"/>
        <v>2023</v>
      </c>
    </row>
    <row r="45" spans="1:7" x14ac:dyDescent="0.2">
      <c r="A45" s="215">
        <v>44348</v>
      </c>
      <c r="B45" s="436">
        <f t="shared" si="0"/>
        <v>130576</v>
      </c>
      <c r="C45" s="217">
        <v>132621</v>
      </c>
      <c r="D45" s="285">
        <f t="shared" si="1"/>
        <v>2045</v>
      </c>
      <c r="E45" s="286">
        <f t="shared" si="2"/>
        <v>304389</v>
      </c>
      <c r="F45" s="217">
        <v>306282</v>
      </c>
      <c r="G45" s="234">
        <f t="shared" si="3"/>
        <v>1893</v>
      </c>
    </row>
    <row r="46" spans="1:7" x14ac:dyDescent="0.2">
      <c r="A46" s="215">
        <v>44378</v>
      </c>
      <c r="B46" s="436">
        <f t="shared" si="0"/>
        <v>132621</v>
      </c>
      <c r="C46" s="217">
        <v>134729</v>
      </c>
      <c r="D46" s="285">
        <f t="shared" si="1"/>
        <v>2108</v>
      </c>
      <c r="E46" s="286">
        <f t="shared" si="2"/>
        <v>306282</v>
      </c>
      <c r="F46" s="217">
        <v>308345</v>
      </c>
      <c r="G46" s="234">
        <f t="shared" si="3"/>
        <v>2063</v>
      </c>
    </row>
    <row r="47" spans="1:7" x14ac:dyDescent="0.2">
      <c r="A47" s="215">
        <v>44409</v>
      </c>
      <c r="B47" s="436">
        <f t="shared" si="0"/>
        <v>134729</v>
      </c>
      <c r="C47" s="217"/>
      <c r="D47" s="285">
        <f t="shared" si="1"/>
        <v>-134729</v>
      </c>
      <c r="E47" s="286">
        <f t="shared" si="2"/>
        <v>308345</v>
      </c>
      <c r="F47" s="217"/>
      <c r="G47" s="234">
        <f t="shared" si="3"/>
        <v>-308345</v>
      </c>
    </row>
    <row r="48" spans="1:7" x14ac:dyDescent="0.2">
      <c r="A48" s="215">
        <v>44440</v>
      </c>
      <c r="B48" s="436">
        <f t="shared" si="0"/>
        <v>0</v>
      </c>
      <c r="C48" s="217"/>
      <c r="D48" s="285">
        <f t="shared" si="1"/>
        <v>0</v>
      </c>
      <c r="E48" s="286">
        <f t="shared" si="2"/>
        <v>0</v>
      </c>
      <c r="F48" s="217"/>
      <c r="G48" s="234">
        <f t="shared" si="3"/>
        <v>0</v>
      </c>
    </row>
    <row r="49" spans="1:7" x14ac:dyDescent="0.2">
      <c r="A49" s="215">
        <v>44470</v>
      </c>
      <c r="B49" s="436">
        <f t="shared" si="0"/>
        <v>0</v>
      </c>
      <c r="C49" s="217"/>
      <c r="D49" s="285">
        <f t="shared" si="1"/>
        <v>0</v>
      </c>
      <c r="E49" s="286">
        <f t="shared" si="2"/>
        <v>0</v>
      </c>
      <c r="F49" s="6"/>
      <c r="G49" s="234">
        <f t="shared" si="3"/>
        <v>0</v>
      </c>
    </row>
    <row r="50" spans="1:7" x14ac:dyDescent="0.2">
      <c r="A50" s="215">
        <v>44501</v>
      </c>
      <c r="B50" s="436">
        <f t="shared" si="0"/>
        <v>0</v>
      </c>
      <c r="C50" s="217"/>
      <c r="D50" s="285">
        <f t="shared" si="1"/>
        <v>0</v>
      </c>
      <c r="E50" s="286">
        <f t="shared" si="2"/>
        <v>0</v>
      </c>
      <c r="F50" s="6"/>
      <c r="G50" s="234">
        <f t="shared" si="3"/>
        <v>0</v>
      </c>
    </row>
    <row r="51" spans="1:7" x14ac:dyDescent="0.2">
      <c r="A51" s="215">
        <v>44531</v>
      </c>
      <c r="B51" s="436">
        <f t="shared" si="0"/>
        <v>0</v>
      </c>
      <c r="C51" s="217"/>
      <c r="D51" s="285">
        <f t="shared" si="1"/>
        <v>0</v>
      </c>
      <c r="E51" s="286">
        <f t="shared" si="2"/>
        <v>0</v>
      </c>
      <c r="F51" s="6"/>
      <c r="G51" s="234">
        <f t="shared" si="3"/>
        <v>0</v>
      </c>
    </row>
    <row r="52" spans="1:7" x14ac:dyDescent="0.2">
      <c r="A52" s="215">
        <v>44562</v>
      </c>
      <c r="B52" s="436">
        <f t="shared" si="0"/>
        <v>0</v>
      </c>
      <c r="C52" s="217"/>
      <c r="D52" s="285">
        <f t="shared" si="1"/>
        <v>0</v>
      </c>
      <c r="E52" s="286">
        <f t="shared" si="2"/>
        <v>0</v>
      </c>
      <c r="F52" s="6"/>
      <c r="G52" s="234">
        <f t="shared" si="3"/>
        <v>0</v>
      </c>
    </row>
    <row r="53" spans="1:7" x14ac:dyDescent="0.2">
      <c r="A53" s="215">
        <v>44593</v>
      </c>
      <c r="B53" s="436">
        <f t="shared" si="0"/>
        <v>0</v>
      </c>
      <c r="C53" s="6"/>
      <c r="D53" s="285">
        <f t="shared" si="1"/>
        <v>0</v>
      </c>
      <c r="E53" s="286">
        <f t="shared" si="2"/>
        <v>0</v>
      </c>
      <c r="F53" s="6"/>
      <c r="G53" s="234">
        <f t="shared" si="3"/>
        <v>0</v>
      </c>
    </row>
    <row r="54" spans="1:7" x14ac:dyDescent="0.2">
      <c r="A54" s="215">
        <v>44621</v>
      </c>
      <c r="B54" s="436">
        <f t="shared" si="0"/>
        <v>0</v>
      </c>
      <c r="C54" s="6"/>
      <c r="D54" s="285">
        <f t="shared" si="1"/>
        <v>0</v>
      </c>
      <c r="E54" s="286">
        <f t="shared" si="2"/>
        <v>0</v>
      </c>
      <c r="F54" s="6"/>
      <c r="G54" s="234">
        <f t="shared" si="3"/>
        <v>0</v>
      </c>
    </row>
    <row r="55" spans="1:7" x14ac:dyDescent="0.2">
      <c r="A55" s="215">
        <v>44652</v>
      </c>
      <c r="B55" s="436">
        <f t="shared" si="0"/>
        <v>0</v>
      </c>
      <c r="C55" s="6"/>
      <c r="D55" s="285">
        <f t="shared" si="1"/>
        <v>0</v>
      </c>
      <c r="E55" s="286">
        <f t="shared" si="2"/>
        <v>0</v>
      </c>
      <c r="F55" s="6"/>
      <c r="G55" s="234">
        <f t="shared" si="3"/>
        <v>0</v>
      </c>
    </row>
    <row r="56" spans="1:7" x14ac:dyDescent="0.2">
      <c r="A56" s="215">
        <v>44682</v>
      </c>
      <c r="B56" s="436">
        <f t="shared" si="0"/>
        <v>0</v>
      </c>
      <c r="C56" s="6"/>
      <c r="D56" s="285">
        <f t="shared" si="1"/>
        <v>0</v>
      </c>
      <c r="E56" s="286">
        <f t="shared" si="2"/>
        <v>0</v>
      </c>
      <c r="F56" s="6"/>
      <c r="G56" s="234">
        <f t="shared" si="3"/>
        <v>0</v>
      </c>
    </row>
    <row r="57" spans="1:7" x14ac:dyDescent="0.2">
      <c r="A57" s="215">
        <v>44713</v>
      </c>
      <c r="B57" s="436">
        <f t="shared" si="0"/>
        <v>0</v>
      </c>
      <c r="C57" s="6"/>
      <c r="D57" s="285">
        <f t="shared" si="1"/>
        <v>0</v>
      </c>
      <c r="E57" s="286">
        <f t="shared" si="2"/>
        <v>0</v>
      </c>
      <c r="F57" s="6"/>
      <c r="G57" s="234">
        <f t="shared" si="3"/>
        <v>0</v>
      </c>
    </row>
    <row r="58" spans="1:7" x14ac:dyDescent="0.2">
      <c r="A58" s="215">
        <v>44743</v>
      </c>
      <c r="B58" s="436">
        <f t="shared" si="0"/>
        <v>0</v>
      </c>
      <c r="C58" s="6"/>
      <c r="D58" s="285">
        <f t="shared" si="1"/>
        <v>0</v>
      </c>
      <c r="E58" s="286">
        <f t="shared" si="2"/>
        <v>0</v>
      </c>
      <c r="F58" s="6"/>
      <c r="G58" s="234">
        <f t="shared" si="3"/>
        <v>0</v>
      </c>
    </row>
    <row r="59" spans="1:7" x14ac:dyDescent="0.2">
      <c r="A59" s="215">
        <v>44774</v>
      </c>
      <c r="B59" s="436">
        <f t="shared" si="0"/>
        <v>0</v>
      </c>
      <c r="C59" s="6"/>
      <c r="D59" s="285">
        <f t="shared" si="1"/>
        <v>0</v>
      </c>
      <c r="E59" s="286">
        <f t="shared" si="2"/>
        <v>0</v>
      </c>
      <c r="F59" s="6"/>
      <c r="G59" s="234">
        <f t="shared" si="3"/>
        <v>0</v>
      </c>
    </row>
    <row r="60" spans="1:7" x14ac:dyDescent="0.2">
      <c r="A60" s="215">
        <v>44805</v>
      </c>
      <c r="B60" s="436">
        <f t="shared" si="0"/>
        <v>0</v>
      </c>
      <c r="C60" s="6"/>
      <c r="D60" s="285">
        <f t="shared" si="1"/>
        <v>0</v>
      </c>
      <c r="E60" s="286">
        <f t="shared" si="2"/>
        <v>0</v>
      </c>
      <c r="F60" s="6"/>
      <c r="G60" s="234">
        <f t="shared" si="3"/>
        <v>0</v>
      </c>
    </row>
    <row r="61" spans="1:7" x14ac:dyDescent="0.2">
      <c r="A61" s="215">
        <v>44835</v>
      </c>
      <c r="B61" s="436">
        <f t="shared" si="0"/>
        <v>0</v>
      </c>
      <c r="C61" s="6"/>
      <c r="D61" s="285">
        <f t="shared" si="1"/>
        <v>0</v>
      </c>
      <c r="E61" s="286">
        <f t="shared" si="2"/>
        <v>0</v>
      </c>
      <c r="F61" s="6"/>
      <c r="G61" s="234">
        <f t="shared" si="3"/>
        <v>0</v>
      </c>
    </row>
    <row r="62" spans="1:7" x14ac:dyDescent="0.2">
      <c r="A62" s="215">
        <v>44866</v>
      </c>
      <c r="B62" s="436">
        <f t="shared" si="0"/>
        <v>0</v>
      </c>
      <c r="C62" s="6"/>
      <c r="D62" s="285">
        <f t="shared" si="1"/>
        <v>0</v>
      </c>
      <c r="E62" s="286">
        <f t="shared" si="2"/>
        <v>0</v>
      </c>
      <c r="F62" s="6"/>
      <c r="G62" s="234">
        <f t="shared" si="3"/>
        <v>0</v>
      </c>
    </row>
    <row r="63" spans="1:7" x14ac:dyDescent="0.2">
      <c r="A63" s="215">
        <v>44896</v>
      </c>
      <c r="B63" s="436">
        <f t="shared" si="0"/>
        <v>0</v>
      </c>
      <c r="C63" s="6"/>
      <c r="D63" s="285">
        <f t="shared" si="1"/>
        <v>0</v>
      </c>
      <c r="E63" s="286">
        <f t="shared" si="2"/>
        <v>0</v>
      </c>
      <c r="F63" s="6"/>
      <c r="G63" s="234">
        <f t="shared" si="3"/>
        <v>0</v>
      </c>
    </row>
    <row r="64" spans="1:7" x14ac:dyDescent="0.2">
      <c r="A64" s="215">
        <v>44562</v>
      </c>
      <c r="B64" s="436">
        <f t="shared" si="0"/>
        <v>0</v>
      </c>
      <c r="C64" s="217"/>
      <c r="D64" s="285">
        <f t="shared" si="1"/>
        <v>0</v>
      </c>
      <c r="E64" s="286">
        <f t="shared" si="2"/>
        <v>0</v>
      </c>
      <c r="F64" s="6"/>
      <c r="G64" s="234">
        <f t="shared" si="3"/>
        <v>0</v>
      </c>
    </row>
    <row r="65" spans="1:7" x14ac:dyDescent="0.2">
      <c r="A65" s="215">
        <v>44593</v>
      </c>
      <c r="B65" s="436">
        <f t="shared" si="0"/>
        <v>0</v>
      </c>
      <c r="C65" s="6"/>
      <c r="D65" s="285">
        <f t="shared" si="1"/>
        <v>0</v>
      </c>
      <c r="E65" s="286">
        <f t="shared" si="2"/>
        <v>0</v>
      </c>
      <c r="F65" s="6"/>
      <c r="G65" s="234">
        <f t="shared" si="3"/>
        <v>0</v>
      </c>
    </row>
    <row r="66" spans="1:7" x14ac:dyDescent="0.2">
      <c r="A66" s="215">
        <v>44621</v>
      </c>
      <c r="B66" s="436">
        <f t="shared" si="0"/>
        <v>0</v>
      </c>
      <c r="C66" s="6"/>
      <c r="D66" s="285">
        <f t="shared" si="1"/>
        <v>0</v>
      </c>
      <c r="E66" s="286">
        <f t="shared" si="2"/>
        <v>0</v>
      </c>
      <c r="F66" s="6"/>
      <c r="G66" s="234">
        <f t="shared" si="3"/>
        <v>0</v>
      </c>
    </row>
    <row r="67" spans="1:7" x14ac:dyDescent="0.2">
      <c r="A67" s="215">
        <v>44652</v>
      </c>
      <c r="B67" s="436">
        <f t="shared" si="0"/>
        <v>0</v>
      </c>
      <c r="C67" s="6"/>
      <c r="D67" s="285">
        <f t="shared" si="1"/>
        <v>0</v>
      </c>
      <c r="E67" s="286">
        <f t="shared" si="2"/>
        <v>0</v>
      </c>
      <c r="F67" s="6"/>
      <c r="G67" s="234">
        <f t="shared" si="3"/>
        <v>0</v>
      </c>
    </row>
    <row r="68" spans="1:7" x14ac:dyDescent="0.2">
      <c r="A68" s="215">
        <v>44682</v>
      </c>
      <c r="B68" s="436">
        <f t="shared" si="0"/>
        <v>0</v>
      </c>
      <c r="C68" s="6"/>
      <c r="D68" s="285">
        <f t="shared" si="1"/>
        <v>0</v>
      </c>
      <c r="E68" s="286">
        <f t="shared" si="2"/>
        <v>0</v>
      </c>
      <c r="F68" s="6"/>
      <c r="G68" s="234">
        <f t="shared" si="3"/>
        <v>0</v>
      </c>
    </row>
    <row r="69" spans="1:7" x14ac:dyDescent="0.2">
      <c r="A69" s="215">
        <v>44713</v>
      </c>
      <c r="B69" s="436">
        <f t="shared" ref="B69:B75" si="4">C68</f>
        <v>0</v>
      </c>
      <c r="C69" s="6"/>
      <c r="D69" s="285">
        <f t="shared" ref="D69:D75" si="5">C69-B69</f>
        <v>0</v>
      </c>
      <c r="E69" s="286">
        <f t="shared" ref="E69:E75" si="6">F68</f>
        <v>0</v>
      </c>
      <c r="F69" s="6"/>
      <c r="G69" s="234">
        <f t="shared" ref="G69:G75" si="7">F69-E69</f>
        <v>0</v>
      </c>
    </row>
    <row r="70" spans="1:7" x14ac:dyDescent="0.2">
      <c r="A70" s="215">
        <v>44743</v>
      </c>
      <c r="B70" s="436">
        <f t="shared" si="4"/>
        <v>0</v>
      </c>
      <c r="C70" s="6"/>
      <c r="D70" s="285">
        <f t="shared" si="5"/>
        <v>0</v>
      </c>
      <c r="E70" s="286">
        <f t="shared" si="6"/>
        <v>0</v>
      </c>
      <c r="F70" s="6"/>
      <c r="G70" s="234">
        <f t="shared" si="7"/>
        <v>0</v>
      </c>
    </row>
    <row r="71" spans="1:7" x14ac:dyDescent="0.2">
      <c r="A71" s="215">
        <v>44774</v>
      </c>
      <c r="B71" s="436">
        <f t="shared" si="4"/>
        <v>0</v>
      </c>
      <c r="C71" s="6"/>
      <c r="D71" s="285">
        <f t="shared" si="5"/>
        <v>0</v>
      </c>
      <c r="E71" s="286">
        <f t="shared" si="6"/>
        <v>0</v>
      </c>
      <c r="F71" s="6"/>
      <c r="G71" s="234">
        <f t="shared" si="7"/>
        <v>0</v>
      </c>
    </row>
    <row r="72" spans="1:7" x14ac:dyDescent="0.2">
      <c r="A72" s="215">
        <v>44805</v>
      </c>
      <c r="B72" s="436">
        <f t="shared" si="4"/>
        <v>0</v>
      </c>
      <c r="C72" s="6"/>
      <c r="D72" s="285">
        <f t="shared" si="5"/>
        <v>0</v>
      </c>
      <c r="E72" s="286">
        <f t="shared" si="6"/>
        <v>0</v>
      </c>
      <c r="F72" s="6"/>
      <c r="G72" s="234">
        <f t="shared" si="7"/>
        <v>0</v>
      </c>
    </row>
    <row r="73" spans="1:7" x14ac:dyDescent="0.2">
      <c r="A73" s="215">
        <v>44835</v>
      </c>
      <c r="B73" s="436">
        <f t="shared" si="4"/>
        <v>0</v>
      </c>
      <c r="C73" s="6"/>
      <c r="D73" s="285">
        <f t="shared" si="5"/>
        <v>0</v>
      </c>
      <c r="E73" s="286">
        <f t="shared" si="6"/>
        <v>0</v>
      </c>
      <c r="F73" s="6"/>
      <c r="G73" s="234">
        <f t="shared" si="7"/>
        <v>0</v>
      </c>
    </row>
    <row r="74" spans="1:7" x14ac:dyDescent="0.2">
      <c r="A74" s="215">
        <v>44866</v>
      </c>
      <c r="B74" s="436">
        <f t="shared" si="4"/>
        <v>0</v>
      </c>
      <c r="C74" s="6"/>
      <c r="D74" s="285">
        <f t="shared" si="5"/>
        <v>0</v>
      </c>
      <c r="E74" s="286">
        <f t="shared" si="6"/>
        <v>0</v>
      </c>
      <c r="F74" s="6"/>
      <c r="G74" s="234">
        <f t="shared" si="7"/>
        <v>0</v>
      </c>
    </row>
    <row r="75" spans="1:7" x14ac:dyDescent="0.2">
      <c r="A75" s="215">
        <v>44896</v>
      </c>
      <c r="B75" s="436">
        <f t="shared" si="4"/>
        <v>0</v>
      </c>
      <c r="C75" s="6"/>
      <c r="D75" s="285">
        <f t="shared" si="5"/>
        <v>0</v>
      </c>
      <c r="E75" s="286">
        <f t="shared" si="6"/>
        <v>0</v>
      </c>
      <c r="F75" s="6"/>
      <c r="G75" s="234">
        <f t="shared" si="7"/>
        <v>0</v>
      </c>
    </row>
    <row r="76" spans="1:7" ht="13.5" thickBot="1" x14ac:dyDescent="0.25"/>
    <row r="77" spans="1:7" x14ac:dyDescent="0.2">
      <c r="B77" s="759"/>
      <c r="C77" s="246"/>
      <c r="D77" s="760"/>
      <c r="E77" s="246"/>
      <c r="F77" s="246"/>
      <c r="G77" s="760"/>
    </row>
    <row r="78" spans="1:7" x14ac:dyDescent="0.2">
      <c r="B78" s="755"/>
      <c r="D78" s="756"/>
      <c r="G78" s="756"/>
    </row>
    <row r="79" spans="1:7" x14ac:dyDescent="0.2">
      <c r="B79" s="755"/>
      <c r="D79" s="756"/>
      <c r="G79" s="756"/>
    </row>
    <row r="80" spans="1:7" x14ac:dyDescent="0.2">
      <c r="B80" s="755"/>
      <c r="D80" s="756"/>
      <c r="G80" s="756"/>
    </row>
    <row r="81" spans="2:7" x14ac:dyDescent="0.2">
      <c r="B81" s="755"/>
      <c r="D81" s="756"/>
      <c r="G81" s="756"/>
    </row>
    <row r="82" spans="2:7" x14ac:dyDescent="0.2">
      <c r="B82" s="755"/>
      <c r="D82" s="756"/>
      <c r="G82" s="756"/>
    </row>
    <row r="83" spans="2:7" x14ac:dyDescent="0.2">
      <c r="B83" s="755"/>
      <c r="D83" s="756"/>
      <c r="G83" s="756"/>
    </row>
    <row r="84" spans="2:7" x14ac:dyDescent="0.2">
      <c r="B84" s="755"/>
      <c r="D84" s="756"/>
      <c r="G84" s="756"/>
    </row>
    <row r="85" spans="2:7" x14ac:dyDescent="0.2">
      <c r="B85" s="755"/>
      <c r="D85" s="756"/>
      <c r="G85" s="756"/>
    </row>
    <row r="86" spans="2:7" x14ac:dyDescent="0.2">
      <c r="B86" s="755"/>
      <c r="D86" s="756"/>
      <c r="G86" s="756"/>
    </row>
    <row r="87" spans="2:7" x14ac:dyDescent="0.2">
      <c r="B87" s="755"/>
      <c r="D87" s="756"/>
      <c r="G87" s="756"/>
    </row>
    <row r="88" spans="2:7" ht="13.5" thickBot="1" x14ac:dyDescent="0.25">
      <c r="B88" s="757"/>
      <c r="C88" s="223"/>
      <c r="D88" s="758"/>
      <c r="E88" s="223"/>
      <c r="F88" s="223"/>
      <c r="G88" s="758"/>
    </row>
    <row r="89" spans="2:7" ht="13.5" thickBot="1" x14ac:dyDescent="0.25">
      <c r="B89" s="761" t="s">
        <v>373</v>
      </c>
      <c r="C89" s="762"/>
      <c r="D89" s="763"/>
      <c r="E89" s="761" t="s">
        <v>374</v>
      </c>
      <c r="F89" s="762"/>
      <c r="G89" s="76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27" workbookViewId="0">
      <selection activeCell="B52" sqref="B52:B55"/>
    </sheetView>
  </sheetViews>
  <sheetFormatPr defaultRowHeight="12.75" x14ac:dyDescent="0.2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 x14ac:dyDescent="0.3">
      <c r="A1" s="970" t="s">
        <v>375</v>
      </c>
      <c r="B1" s="971"/>
      <c r="C1" s="971"/>
      <c r="D1" s="971"/>
      <c r="G1" s="243"/>
      <c r="H1" s="244" t="s">
        <v>376</v>
      </c>
      <c r="I1" s="244"/>
      <c r="J1" s="243"/>
      <c r="K1" s="243"/>
    </row>
    <row r="2" spans="1:12" ht="39" thickBot="1" x14ac:dyDescent="0.25">
      <c r="A2" s="437" t="s">
        <v>292</v>
      </c>
      <c r="B2" s="438" t="s">
        <v>370</v>
      </c>
      <c r="C2" s="438" t="s">
        <v>371</v>
      </c>
      <c r="D2" s="439" t="s">
        <v>377</v>
      </c>
      <c r="E2" s="439" t="s">
        <v>378</v>
      </c>
      <c r="F2" s="440" t="s">
        <v>379</v>
      </c>
      <c r="G2" s="441" t="s">
        <v>380</v>
      </c>
      <c r="H2" s="442" t="s">
        <v>381</v>
      </c>
      <c r="I2" s="443" t="s">
        <v>382</v>
      </c>
      <c r="J2" s="442" t="s">
        <v>383</v>
      </c>
      <c r="K2" s="442" t="s">
        <v>379</v>
      </c>
      <c r="L2" s="444" t="s">
        <v>157</v>
      </c>
    </row>
    <row r="3" spans="1:12" x14ac:dyDescent="0.2">
      <c r="A3" s="215">
        <v>43101</v>
      </c>
      <c r="B3" s="279">
        <v>6476953</v>
      </c>
      <c r="C3" s="217">
        <v>6542879</v>
      </c>
      <c r="D3" s="354">
        <v>65926</v>
      </c>
      <c r="E3" s="217">
        <v>65927.77</v>
      </c>
      <c r="F3" s="445">
        <v>-1.7700000000040745</v>
      </c>
      <c r="G3" s="446">
        <v>52890</v>
      </c>
      <c r="H3" s="217">
        <v>59763</v>
      </c>
      <c r="I3" s="239">
        <v>6873</v>
      </c>
      <c r="J3" s="217">
        <v>6874.87</v>
      </c>
      <c r="K3" s="245">
        <v>-1.8699999999998909</v>
      </c>
      <c r="L3" s="447">
        <v>72799</v>
      </c>
    </row>
    <row r="4" spans="1:12" x14ac:dyDescent="0.2">
      <c r="A4" s="215">
        <v>43132</v>
      </c>
      <c r="B4" s="279">
        <f t="shared" ref="B4:B67" si="0">C3</f>
        <v>6542879</v>
      </c>
      <c r="C4" s="217">
        <v>6604433</v>
      </c>
      <c r="D4" s="354">
        <f t="shared" ref="D4:D67" si="1">C4-B4</f>
        <v>61554</v>
      </c>
      <c r="E4" s="268">
        <v>61553.03</v>
      </c>
      <c r="F4" s="445">
        <f t="shared" ref="F4:F67" si="2">D4-E4</f>
        <v>0.97000000000116415</v>
      </c>
      <c r="G4" s="446">
        <f t="shared" ref="G4:G67" si="3">H3</f>
        <v>59763</v>
      </c>
      <c r="H4" s="217">
        <v>66652</v>
      </c>
      <c r="I4" s="239">
        <f t="shared" ref="I4:I67" si="4">H4-G4</f>
        <v>6889</v>
      </c>
      <c r="J4" s="217">
        <v>6890.89</v>
      </c>
      <c r="K4" s="245">
        <f t="shared" ref="K4:K67" si="5">I4-J4</f>
        <v>-1.8900000000003274</v>
      </c>
      <c r="L4" s="447">
        <f t="shared" ref="L4:L67" si="6">I4+D4</f>
        <v>68443</v>
      </c>
    </row>
    <row r="5" spans="1:12" x14ac:dyDescent="0.2">
      <c r="A5" s="215">
        <v>43160</v>
      </c>
      <c r="B5" s="279">
        <f t="shared" si="0"/>
        <v>6604433</v>
      </c>
      <c r="C5" s="240">
        <v>6660226</v>
      </c>
      <c r="D5" s="354">
        <f t="shared" si="1"/>
        <v>55793</v>
      </c>
      <c r="E5" s="240">
        <v>55792.75</v>
      </c>
      <c r="F5" s="445">
        <f t="shared" si="2"/>
        <v>0.25</v>
      </c>
      <c r="G5" s="446">
        <f t="shared" si="3"/>
        <v>66652</v>
      </c>
      <c r="H5" s="240">
        <v>77607</v>
      </c>
      <c r="I5" s="239">
        <f t="shared" si="4"/>
        <v>10955</v>
      </c>
      <c r="J5" s="240">
        <v>10955.45</v>
      </c>
      <c r="K5" s="245">
        <f t="shared" si="5"/>
        <v>-0.4500000000007276</v>
      </c>
      <c r="L5" s="447">
        <f t="shared" si="6"/>
        <v>66748</v>
      </c>
    </row>
    <row r="6" spans="1:12" x14ac:dyDescent="0.2">
      <c r="A6" s="215">
        <v>43191</v>
      </c>
      <c r="B6" s="279">
        <f t="shared" si="0"/>
        <v>6660226</v>
      </c>
      <c r="C6" s="217">
        <v>6714539</v>
      </c>
      <c r="D6" s="354">
        <f t="shared" si="1"/>
        <v>54313</v>
      </c>
      <c r="E6" s="240">
        <v>54312.28</v>
      </c>
      <c r="F6" s="445">
        <f t="shared" si="2"/>
        <v>0.72000000000116415</v>
      </c>
      <c r="G6" s="446">
        <f t="shared" si="3"/>
        <v>77607</v>
      </c>
      <c r="H6" s="217">
        <v>82271</v>
      </c>
      <c r="I6" s="239">
        <f t="shared" si="4"/>
        <v>4664</v>
      </c>
      <c r="J6" s="240">
        <v>4665.22</v>
      </c>
      <c r="K6" s="245">
        <f t="shared" si="5"/>
        <v>-1.2200000000002547</v>
      </c>
      <c r="L6" s="447">
        <f t="shared" si="6"/>
        <v>58977</v>
      </c>
    </row>
    <row r="7" spans="1:12" x14ac:dyDescent="0.2">
      <c r="A7" s="233">
        <v>43221</v>
      </c>
      <c r="B7" s="279">
        <f t="shared" si="0"/>
        <v>6714539</v>
      </c>
      <c r="C7" s="217">
        <v>6774547</v>
      </c>
      <c r="D7" s="354">
        <f t="shared" si="1"/>
        <v>60008</v>
      </c>
      <c r="E7" s="217">
        <v>60007.47</v>
      </c>
      <c r="F7" s="445">
        <f t="shared" si="2"/>
        <v>0.52999999999883585</v>
      </c>
      <c r="G7" s="446">
        <f t="shared" si="3"/>
        <v>82271</v>
      </c>
      <c r="H7" s="217">
        <v>88664</v>
      </c>
      <c r="I7" s="239">
        <f t="shared" si="4"/>
        <v>6393</v>
      </c>
      <c r="J7" s="217">
        <v>6392.14</v>
      </c>
      <c r="K7" s="245">
        <f t="shared" si="5"/>
        <v>0.85999999999967258</v>
      </c>
      <c r="L7" s="447">
        <f t="shared" si="6"/>
        <v>66401</v>
      </c>
    </row>
    <row r="8" spans="1:12" x14ac:dyDescent="0.2">
      <c r="A8" s="215">
        <v>43252</v>
      </c>
      <c r="B8" s="279">
        <f t="shared" si="0"/>
        <v>6774547</v>
      </c>
      <c r="C8" s="217">
        <v>6845214</v>
      </c>
      <c r="D8" s="354">
        <f t="shared" si="1"/>
        <v>70667</v>
      </c>
      <c r="E8" s="217">
        <v>70666.289999999994</v>
      </c>
      <c r="F8" s="445">
        <f t="shared" si="2"/>
        <v>0.71000000000640284</v>
      </c>
      <c r="G8" s="446">
        <f t="shared" si="3"/>
        <v>88664</v>
      </c>
      <c r="H8" s="217">
        <v>99683</v>
      </c>
      <c r="I8" s="239">
        <f t="shared" si="4"/>
        <v>11019</v>
      </c>
      <c r="J8" s="240">
        <v>11020.51</v>
      </c>
      <c r="K8" s="245">
        <f t="shared" si="5"/>
        <v>-1.5100000000002183</v>
      </c>
      <c r="L8" s="447">
        <f t="shared" si="6"/>
        <v>81686</v>
      </c>
    </row>
    <row r="9" spans="1:12" x14ac:dyDescent="0.2">
      <c r="A9" s="215">
        <v>43282</v>
      </c>
      <c r="B9" s="279">
        <f t="shared" si="0"/>
        <v>6845214</v>
      </c>
      <c r="C9" s="240">
        <v>6921964</v>
      </c>
      <c r="D9" s="354">
        <f t="shared" si="1"/>
        <v>76750</v>
      </c>
      <c r="E9" s="240">
        <v>76750.25</v>
      </c>
      <c r="F9" s="445">
        <f t="shared" si="2"/>
        <v>-0.25</v>
      </c>
      <c r="G9" s="446">
        <f t="shared" si="3"/>
        <v>99683</v>
      </c>
      <c r="H9" s="240">
        <v>107936</v>
      </c>
      <c r="I9" s="239">
        <f t="shared" si="4"/>
        <v>8253</v>
      </c>
      <c r="J9" s="240">
        <v>8252.24</v>
      </c>
      <c r="K9" s="245">
        <f t="shared" si="5"/>
        <v>0.76000000000021828</v>
      </c>
      <c r="L9" s="447">
        <f t="shared" si="6"/>
        <v>85003</v>
      </c>
    </row>
    <row r="10" spans="1:12" x14ac:dyDescent="0.2">
      <c r="A10" s="215">
        <v>43313</v>
      </c>
      <c r="B10" s="279">
        <f t="shared" si="0"/>
        <v>6921964</v>
      </c>
      <c r="C10" s="240">
        <v>7001142</v>
      </c>
      <c r="D10" s="354">
        <f t="shared" si="1"/>
        <v>79178</v>
      </c>
      <c r="E10" s="240">
        <v>79179.56</v>
      </c>
      <c r="F10" s="445">
        <f t="shared" si="2"/>
        <v>-1.5599999999976717</v>
      </c>
      <c r="G10" s="446">
        <f t="shared" si="3"/>
        <v>107936</v>
      </c>
      <c r="H10" s="240">
        <v>116730</v>
      </c>
      <c r="I10" s="239">
        <f t="shared" si="4"/>
        <v>8794</v>
      </c>
      <c r="J10" s="240">
        <v>8793.1200000000008</v>
      </c>
      <c r="K10" s="245">
        <f t="shared" si="5"/>
        <v>0.87999999999919964</v>
      </c>
      <c r="L10" s="447">
        <f t="shared" si="6"/>
        <v>87972</v>
      </c>
    </row>
    <row r="11" spans="1:12" x14ac:dyDescent="0.2">
      <c r="A11" s="215">
        <v>43344</v>
      </c>
      <c r="B11" s="279">
        <f t="shared" si="0"/>
        <v>7001142</v>
      </c>
      <c r="C11" s="240">
        <v>7074217</v>
      </c>
      <c r="D11" s="354">
        <f t="shared" si="1"/>
        <v>73075</v>
      </c>
      <c r="E11" s="240">
        <v>73076.960000000006</v>
      </c>
      <c r="F11" s="445">
        <f t="shared" si="2"/>
        <v>-1.9600000000064028</v>
      </c>
      <c r="G11" s="446">
        <f t="shared" si="3"/>
        <v>116730</v>
      </c>
      <c r="H11" s="240">
        <v>127346</v>
      </c>
      <c r="I11" s="239">
        <f t="shared" si="4"/>
        <v>10616</v>
      </c>
      <c r="J11" s="240">
        <v>10615.37</v>
      </c>
      <c r="K11" s="245">
        <f t="shared" si="5"/>
        <v>0.62999999999919964</v>
      </c>
      <c r="L11" s="447">
        <f t="shared" si="6"/>
        <v>83691</v>
      </c>
    </row>
    <row r="12" spans="1:12" x14ac:dyDescent="0.2">
      <c r="A12" s="215">
        <v>43374</v>
      </c>
      <c r="B12" s="279">
        <f t="shared" si="0"/>
        <v>7074217</v>
      </c>
      <c r="C12" s="217">
        <v>7154506</v>
      </c>
      <c r="D12" s="354">
        <f t="shared" si="1"/>
        <v>80289</v>
      </c>
      <c r="E12" s="217">
        <v>80287.839999999997</v>
      </c>
      <c r="F12" s="445">
        <f t="shared" si="2"/>
        <v>1.1600000000034925</v>
      </c>
      <c r="G12" s="446">
        <f t="shared" si="3"/>
        <v>127346</v>
      </c>
      <c r="H12" s="217">
        <v>134840</v>
      </c>
      <c r="I12" s="239">
        <f t="shared" si="4"/>
        <v>7494</v>
      </c>
      <c r="J12" s="217">
        <v>7493.99</v>
      </c>
      <c r="K12" s="245">
        <f t="shared" si="5"/>
        <v>1.0000000000218279E-2</v>
      </c>
      <c r="L12" s="447">
        <f t="shared" si="6"/>
        <v>87783</v>
      </c>
    </row>
    <row r="13" spans="1:12" x14ac:dyDescent="0.2">
      <c r="A13" s="215">
        <v>43405</v>
      </c>
      <c r="B13" s="279">
        <f t="shared" si="0"/>
        <v>7154506</v>
      </c>
      <c r="C13" s="217">
        <v>7225359</v>
      </c>
      <c r="D13" s="354">
        <f t="shared" si="1"/>
        <v>70853</v>
      </c>
      <c r="E13" s="217">
        <v>70852.88</v>
      </c>
      <c r="F13" s="445">
        <f t="shared" si="2"/>
        <v>0.11999999999534339</v>
      </c>
      <c r="G13" s="446">
        <f t="shared" si="3"/>
        <v>134840</v>
      </c>
      <c r="H13" s="217">
        <v>145302</v>
      </c>
      <c r="I13" s="239">
        <f t="shared" si="4"/>
        <v>10462</v>
      </c>
      <c r="J13" s="217">
        <v>10462.700000000001</v>
      </c>
      <c r="K13" s="245">
        <f t="shared" si="5"/>
        <v>-0.7000000000007276</v>
      </c>
      <c r="L13" s="447">
        <f t="shared" si="6"/>
        <v>81315</v>
      </c>
    </row>
    <row r="14" spans="1:12" x14ac:dyDescent="0.2">
      <c r="A14" s="215">
        <v>43435</v>
      </c>
      <c r="B14" s="279">
        <f t="shared" si="0"/>
        <v>7225359</v>
      </c>
      <c r="C14" s="217">
        <v>7296581</v>
      </c>
      <c r="D14" s="354">
        <f t="shared" si="1"/>
        <v>71222</v>
      </c>
      <c r="E14" s="217">
        <v>71221.22</v>
      </c>
      <c r="F14" s="445">
        <f t="shared" si="2"/>
        <v>0.77999999999883585</v>
      </c>
      <c r="G14" s="446">
        <f t="shared" si="3"/>
        <v>145302</v>
      </c>
      <c r="H14" s="217">
        <v>154999</v>
      </c>
      <c r="I14" s="239">
        <f t="shared" si="4"/>
        <v>9697</v>
      </c>
      <c r="J14" s="217">
        <v>9696.7999999999993</v>
      </c>
      <c r="K14" s="245">
        <f t="shared" si="5"/>
        <v>0.2000000000007276</v>
      </c>
      <c r="L14" s="447">
        <f t="shared" si="6"/>
        <v>80919</v>
      </c>
    </row>
    <row r="15" spans="1:12" x14ac:dyDescent="0.2">
      <c r="A15" s="215">
        <v>43466</v>
      </c>
      <c r="B15" s="279">
        <f t="shared" si="0"/>
        <v>7296581</v>
      </c>
      <c r="C15" s="217">
        <v>7366625</v>
      </c>
      <c r="D15" s="354">
        <f t="shared" si="1"/>
        <v>70044</v>
      </c>
      <c r="E15" s="217">
        <v>70042.86</v>
      </c>
      <c r="F15" s="445">
        <f t="shared" si="2"/>
        <v>1.1399999999994179</v>
      </c>
      <c r="G15" s="446">
        <f t="shared" si="3"/>
        <v>154999</v>
      </c>
      <c r="H15" s="217">
        <v>161103</v>
      </c>
      <c r="I15" s="239">
        <f t="shared" si="4"/>
        <v>6104</v>
      </c>
      <c r="J15" s="217">
        <v>6107.32</v>
      </c>
      <c r="K15" s="245">
        <f t="shared" si="5"/>
        <v>-3.319999999999709</v>
      </c>
      <c r="L15" s="447">
        <f t="shared" si="6"/>
        <v>76148</v>
      </c>
    </row>
    <row r="16" spans="1:12" x14ac:dyDescent="0.2">
      <c r="A16" s="215">
        <v>43497</v>
      </c>
      <c r="B16" s="279">
        <f t="shared" si="0"/>
        <v>7366625</v>
      </c>
      <c r="C16" s="217">
        <v>7427612</v>
      </c>
      <c r="D16" s="354">
        <f t="shared" si="1"/>
        <v>60987</v>
      </c>
      <c r="E16" s="217">
        <v>60986.27</v>
      </c>
      <c r="F16" s="445">
        <f t="shared" si="2"/>
        <v>0.73000000000320142</v>
      </c>
      <c r="G16" s="446">
        <f t="shared" si="3"/>
        <v>161103</v>
      </c>
      <c r="H16" s="217">
        <v>167784</v>
      </c>
      <c r="I16" s="239">
        <f t="shared" si="4"/>
        <v>6681</v>
      </c>
      <c r="J16" s="217">
        <v>6681</v>
      </c>
      <c r="K16" s="245">
        <f t="shared" si="5"/>
        <v>0</v>
      </c>
      <c r="L16" s="447">
        <f t="shared" si="6"/>
        <v>67668</v>
      </c>
    </row>
    <row r="17" spans="1:12" x14ac:dyDescent="0.2">
      <c r="A17" s="215">
        <v>43525</v>
      </c>
      <c r="B17" s="279">
        <f t="shared" si="0"/>
        <v>7427612</v>
      </c>
      <c r="C17" s="217">
        <v>7494502</v>
      </c>
      <c r="D17" s="354">
        <f t="shared" si="1"/>
        <v>66890</v>
      </c>
      <c r="E17" s="217">
        <v>66888.649999999994</v>
      </c>
      <c r="F17" s="445">
        <f t="shared" si="2"/>
        <v>1.3500000000058208</v>
      </c>
      <c r="G17" s="446">
        <f t="shared" si="3"/>
        <v>167784</v>
      </c>
      <c r="H17" s="217">
        <v>178453</v>
      </c>
      <c r="I17" s="239">
        <f t="shared" si="4"/>
        <v>10669</v>
      </c>
      <c r="J17" s="217">
        <v>10669.59</v>
      </c>
      <c r="K17" s="245">
        <f t="shared" si="5"/>
        <v>-0.59000000000014552</v>
      </c>
      <c r="L17" s="447">
        <f t="shared" si="6"/>
        <v>77559</v>
      </c>
    </row>
    <row r="18" spans="1:12" x14ac:dyDescent="0.2">
      <c r="A18" s="215">
        <v>43556</v>
      </c>
      <c r="B18" s="279">
        <f t="shared" si="0"/>
        <v>7494502</v>
      </c>
      <c r="C18" s="217">
        <v>7567839</v>
      </c>
      <c r="D18" s="354">
        <f t="shared" si="1"/>
        <v>73337</v>
      </c>
      <c r="E18" s="217">
        <v>73336.570000000007</v>
      </c>
      <c r="F18" s="445">
        <f t="shared" si="2"/>
        <v>0.42999999999301508</v>
      </c>
      <c r="G18" s="446">
        <f t="shared" si="3"/>
        <v>178453</v>
      </c>
      <c r="H18" s="217">
        <v>185868</v>
      </c>
      <c r="I18" s="239">
        <f t="shared" si="4"/>
        <v>7415</v>
      </c>
      <c r="J18" s="217">
        <v>7415.91</v>
      </c>
      <c r="K18" s="245">
        <f t="shared" si="5"/>
        <v>-0.90999999999985448</v>
      </c>
      <c r="L18" s="447">
        <f t="shared" si="6"/>
        <v>80752</v>
      </c>
    </row>
    <row r="19" spans="1:12" x14ac:dyDescent="0.2">
      <c r="A19" s="215">
        <v>43586</v>
      </c>
      <c r="B19" s="279">
        <f t="shared" si="0"/>
        <v>7567839</v>
      </c>
      <c r="C19" s="217">
        <v>7635177</v>
      </c>
      <c r="D19" s="354">
        <f t="shared" si="1"/>
        <v>67338</v>
      </c>
      <c r="E19" s="217">
        <v>67338.48</v>
      </c>
      <c r="F19" s="445">
        <f t="shared" si="2"/>
        <v>-0.47999999999592546</v>
      </c>
      <c r="G19" s="446">
        <f t="shared" si="3"/>
        <v>185868</v>
      </c>
      <c r="H19" s="217">
        <v>191580</v>
      </c>
      <c r="I19" s="239">
        <f t="shared" si="4"/>
        <v>5712</v>
      </c>
      <c r="J19" s="217">
        <v>5711.08</v>
      </c>
      <c r="K19" s="245">
        <f t="shared" si="5"/>
        <v>0.92000000000007276</v>
      </c>
      <c r="L19" s="447">
        <f t="shared" si="6"/>
        <v>73050</v>
      </c>
    </row>
    <row r="20" spans="1:12" x14ac:dyDescent="0.2">
      <c r="A20" s="215">
        <v>43617</v>
      </c>
      <c r="B20" s="279">
        <f t="shared" si="0"/>
        <v>7635177</v>
      </c>
      <c r="C20" s="217">
        <v>7705814</v>
      </c>
      <c r="D20" s="354">
        <f t="shared" si="1"/>
        <v>70637</v>
      </c>
      <c r="E20" s="217">
        <v>70631.199999999997</v>
      </c>
      <c r="F20" s="445">
        <f>D20-E20</f>
        <v>5.8000000000029104</v>
      </c>
      <c r="G20" s="446">
        <f t="shared" si="3"/>
        <v>191580</v>
      </c>
      <c r="H20" s="217">
        <v>198910</v>
      </c>
      <c r="I20" s="239">
        <f t="shared" si="4"/>
        <v>7330</v>
      </c>
      <c r="J20" s="217">
        <v>7352.54</v>
      </c>
      <c r="K20" s="245">
        <f t="shared" si="5"/>
        <v>-22.539999999999964</v>
      </c>
      <c r="L20" s="447">
        <f t="shared" si="6"/>
        <v>77967</v>
      </c>
    </row>
    <row r="21" spans="1:12" x14ac:dyDescent="0.2">
      <c r="A21" s="215">
        <v>43647</v>
      </c>
      <c r="B21" s="279">
        <f t="shared" si="0"/>
        <v>7705814</v>
      </c>
      <c r="C21" s="217">
        <v>7789265</v>
      </c>
      <c r="D21" s="354">
        <f t="shared" si="1"/>
        <v>83451</v>
      </c>
      <c r="E21" s="217">
        <v>83450.259999999995</v>
      </c>
      <c r="F21" s="445">
        <f t="shared" si="2"/>
        <v>0.74000000000523869</v>
      </c>
      <c r="G21" s="446">
        <f t="shared" si="3"/>
        <v>198910</v>
      </c>
      <c r="H21" s="217">
        <v>208208</v>
      </c>
      <c r="I21" s="239">
        <f t="shared" si="4"/>
        <v>9298</v>
      </c>
      <c r="J21" s="217">
        <v>8921.51</v>
      </c>
      <c r="K21" s="245">
        <f t="shared" si="5"/>
        <v>376.48999999999978</v>
      </c>
      <c r="L21" s="447">
        <f t="shared" si="6"/>
        <v>92749</v>
      </c>
    </row>
    <row r="22" spans="1:12" x14ac:dyDescent="0.2">
      <c r="A22" s="215">
        <v>43678</v>
      </c>
      <c r="B22" s="279">
        <f t="shared" si="0"/>
        <v>7789265</v>
      </c>
      <c r="C22" s="217">
        <v>7867728</v>
      </c>
      <c r="D22" s="354">
        <f t="shared" si="1"/>
        <v>78463</v>
      </c>
      <c r="E22" s="217">
        <v>78463.600000000006</v>
      </c>
      <c r="F22" s="445">
        <f>D22-E22</f>
        <v>-0.60000000000582077</v>
      </c>
      <c r="G22" s="446">
        <f t="shared" si="3"/>
        <v>208208</v>
      </c>
      <c r="H22" s="217">
        <v>216205</v>
      </c>
      <c r="I22" s="239">
        <f t="shared" si="4"/>
        <v>7997</v>
      </c>
      <c r="J22" s="217">
        <v>7870.33</v>
      </c>
      <c r="K22" s="245">
        <f t="shared" si="5"/>
        <v>126.67000000000007</v>
      </c>
      <c r="L22" s="447">
        <f t="shared" si="6"/>
        <v>86460</v>
      </c>
    </row>
    <row r="23" spans="1:12" x14ac:dyDescent="0.2">
      <c r="A23" s="215">
        <v>43709</v>
      </c>
      <c r="B23" s="279">
        <f t="shared" si="0"/>
        <v>7867728</v>
      </c>
      <c r="C23" s="217">
        <v>7937278</v>
      </c>
      <c r="D23" s="354">
        <f t="shared" si="1"/>
        <v>69550</v>
      </c>
      <c r="E23" s="217">
        <v>69549.31</v>
      </c>
      <c r="F23" s="445">
        <f t="shared" si="2"/>
        <v>0.69000000000232831</v>
      </c>
      <c r="G23" s="446">
        <f t="shared" si="3"/>
        <v>216205</v>
      </c>
      <c r="H23" s="217">
        <v>223195</v>
      </c>
      <c r="I23" s="239">
        <f t="shared" si="4"/>
        <v>6990</v>
      </c>
      <c r="J23" s="217">
        <v>6989.22</v>
      </c>
      <c r="K23" s="245">
        <f t="shared" si="5"/>
        <v>0.77999999999974534</v>
      </c>
      <c r="L23" s="447">
        <f t="shared" si="6"/>
        <v>76540</v>
      </c>
    </row>
    <row r="24" spans="1:12" x14ac:dyDescent="0.2">
      <c r="A24" s="215">
        <v>43739</v>
      </c>
      <c r="B24" s="279">
        <f t="shared" si="0"/>
        <v>7937278</v>
      </c>
      <c r="C24" s="217">
        <v>8009185</v>
      </c>
      <c r="D24" s="354">
        <f t="shared" si="1"/>
        <v>71907</v>
      </c>
      <c r="E24" s="217">
        <v>71906.240000000005</v>
      </c>
      <c r="F24" s="445">
        <f t="shared" si="2"/>
        <v>0.75999999999476131</v>
      </c>
      <c r="G24" s="446">
        <f t="shared" si="3"/>
        <v>223195</v>
      </c>
      <c r="H24" s="217">
        <v>229902</v>
      </c>
      <c r="I24" s="239">
        <f t="shared" si="4"/>
        <v>6707</v>
      </c>
      <c r="J24" s="217">
        <v>6706</v>
      </c>
      <c r="K24" s="245">
        <f t="shared" si="5"/>
        <v>1</v>
      </c>
      <c r="L24" s="447">
        <f t="shared" si="6"/>
        <v>78614</v>
      </c>
    </row>
    <row r="25" spans="1:12" x14ac:dyDescent="0.2">
      <c r="A25" s="215">
        <v>43770</v>
      </c>
      <c r="B25" s="279">
        <f t="shared" si="0"/>
        <v>8009185</v>
      </c>
      <c r="C25" s="217">
        <v>8069975</v>
      </c>
      <c r="D25" s="354">
        <f t="shared" si="1"/>
        <v>60790</v>
      </c>
      <c r="E25" s="217">
        <v>60788.44</v>
      </c>
      <c r="F25" s="445">
        <f t="shared" si="2"/>
        <v>1.5599999999976717</v>
      </c>
      <c r="G25" s="446">
        <f t="shared" si="3"/>
        <v>229902</v>
      </c>
      <c r="H25" s="217">
        <v>235486</v>
      </c>
      <c r="I25" s="239">
        <f t="shared" si="4"/>
        <v>5584</v>
      </c>
      <c r="J25" s="217">
        <v>5584</v>
      </c>
      <c r="K25" s="245">
        <f t="shared" si="5"/>
        <v>0</v>
      </c>
      <c r="L25" s="447">
        <f t="shared" si="6"/>
        <v>66374</v>
      </c>
    </row>
    <row r="26" spans="1:12" x14ac:dyDescent="0.2">
      <c r="A26" s="215">
        <v>43800</v>
      </c>
      <c r="B26" s="279">
        <f t="shared" si="0"/>
        <v>8069975</v>
      </c>
      <c r="C26" s="240">
        <v>8133966</v>
      </c>
      <c r="D26" s="354">
        <f t="shared" si="1"/>
        <v>63991</v>
      </c>
      <c r="E26" s="240">
        <v>63990.63</v>
      </c>
      <c r="F26" s="445">
        <f t="shared" si="2"/>
        <v>0.37000000000261934</v>
      </c>
      <c r="G26" s="446">
        <f t="shared" si="3"/>
        <v>235486</v>
      </c>
      <c r="H26" s="240">
        <v>245835</v>
      </c>
      <c r="I26" s="239">
        <f t="shared" si="4"/>
        <v>10349</v>
      </c>
      <c r="J26" s="240">
        <v>10348.06</v>
      </c>
      <c r="K26" s="245">
        <f t="shared" si="5"/>
        <v>0.94000000000050932</v>
      </c>
      <c r="L26" s="447">
        <f t="shared" si="6"/>
        <v>74340</v>
      </c>
    </row>
    <row r="27" spans="1:12" x14ac:dyDescent="0.2">
      <c r="A27" s="215">
        <v>43831</v>
      </c>
      <c r="B27" s="279">
        <f t="shared" si="0"/>
        <v>8133966</v>
      </c>
      <c r="C27" s="217">
        <v>8200024</v>
      </c>
      <c r="D27" s="354">
        <f t="shared" si="1"/>
        <v>66058</v>
      </c>
      <c r="E27" s="217">
        <v>66057.75</v>
      </c>
      <c r="F27" s="445">
        <f t="shared" si="2"/>
        <v>0.25</v>
      </c>
      <c r="G27" s="446">
        <f t="shared" si="3"/>
        <v>245835</v>
      </c>
      <c r="H27" s="217">
        <v>253278</v>
      </c>
      <c r="I27" s="239">
        <f t="shared" si="4"/>
        <v>7443</v>
      </c>
      <c r="J27" s="217">
        <v>7443.22</v>
      </c>
      <c r="K27" s="245">
        <f t="shared" si="5"/>
        <v>-0.22000000000025466</v>
      </c>
      <c r="L27" s="447">
        <f t="shared" si="6"/>
        <v>73501</v>
      </c>
    </row>
    <row r="28" spans="1:12" x14ac:dyDescent="0.2">
      <c r="A28" s="215">
        <v>43862</v>
      </c>
      <c r="B28" s="279">
        <f t="shared" si="0"/>
        <v>8200024</v>
      </c>
      <c r="C28" s="217">
        <v>8265856</v>
      </c>
      <c r="D28" s="354">
        <f t="shared" si="1"/>
        <v>65832</v>
      </c>
      <c r="E28" s="217">
        <v>65831.210000000006</v>
      </c>
      <c r="F28" s="445">
        <f t="shared" si="2"/>
        <v>0.78999999999359716</v>
      </c>
      <c r="G28" s="446">
        <f t="shared" si="3"/>
        <v>253278</v>
      </c>
      <c r="H28" s="217">
        <v>259127</v>
      </c>
      <c r="I28" s="239">
        <f t="shared" si="4"/>
        <v>5849</v>
      </c>
      <c r="J28" s="217">
        <v>5848.37</v>
      </c>
      <c r="K28" s="245">
        <f t="shared" si="5"/>
        <v>0.63000000000010914</v>
      </c>
      <c r="L28" s="447">
        <f t="shared" si="6"/>
        <v>71681</v>
      </c>
    </row>
    <row r="29" spans="1:12" x14ac:dyDescent="0.2">
      <c r="A29" s="215">
        <v>43891</v>
      </c>
      <c r="B29" s="279">
        <f t="shared" si="0"/>
        <v>8265856</v>
      </c>
      <c r="C29" s="217">
        <v>8316467</v>
      </c>
      <c r="D29" s="354">
        <f t="shared" si="1"/>
        <v>50611</v>
      </c>
      <c r="E29" s="217">
        <v>50610.58</v>
      </c>
      <c r="F29" s="445">
        <f t="shared" si="2"/>
        <v>0.41999999999825377</v>
      </c>
      <c r="G29" s="446">
        <f t="shared" si="3"/>
        <v>259127</v>
      </c>
      <c r="H29" s="217">
        <v>262770</v>
      </c>
      <c r="I29" s="239">
        <f t="shared" si="4"/>
        <v>3643</v>
      </c>
      <c r="J29" s="217">
        <v>3643.28</v>
      </c>
      <c r="K29" s="245">
        <f t="shared" si="5"/>
        <v>-0.28000000000020009</v>
      </c>
      <c r="L29" s="447">
        <f t="shared" si="6"/>
        <v>54254</v>
      </c>
    </row>
    <row r="30" spans="1:12" x14ac:dyDescent="0.2">
      <c r="A30" s="215">
        <v>43922</v>
      </c>
      <c r="B30" s="279">
        <f t="shared" si="0"/>
        <v>8316467</v>
      </c>
      <c r="C30" s="240">
        <v>8339290</v>
      </c>
      <c r="D30" s="354">
        <f t="shared" si="1"/>
        <v>22823</v>
      </c>
      <c r="E30" s="240">
        <v>22822.77</v>
      </c>
      <c r="F30" s="445">
        <f t="shared" si="2"/>
        <v>0.22999999999956344</v>
      </c>
      <c r="G30" s="446">
        <f t="shared" si="3"/>
        <v>262770</v>
      </c>
      <c r="H30" s="240">
        <v>264628</v>
      </c>
      <c r="I30" s="239">
        <f t="shared" si="4"/>
        <v>1858</v>
      </c>
      <c r="J30" s="240">
        <v>1858.41</v>
      </c>
      <c r="K30" s="245">
        <f t="shared" si="5"/>
        <v>-0.41000000000008185</v>
      </c>
      <c r="L30" s="447">
        <f t="shared" si="6"/>
        <v>24681</v>
      </c>
    </row>
    <row r="31" spans="1:12" x14ac:dyDescent="0.2">
      <c r="A31" s="215">
        <v>43952</v>
      </c>
      <c r="B31" s="279">
        <f t="shared" si="0"/>
        <v>8339290</v>
      </c>
      <c r="C31" s="217">
        <v>8359648</v>
      </c>
      <c r="D31" s="354">
        <f t="shared" si="1"/>
        <v>20358</v>
      </c>
      <c r="E31" s="217">
        <v>20357.990000000002</v>
      </c>
      <c r="F31" s="445">
        <f t="shared" si="2"/>
        <v>9.9999999983992893E-3</v>
      </c>
      <c r="G31" s="446">
        <f t="shared" si="3"/>
        <v>264628</v>
      </c>
      <c r="H31" s="217">
        <v>265578</v>
      </c>
      <c r="I31" s="239">
        <f t="shared" si="4"/>
        <v>950</v>
      </c>
      <c r="J31" s="217">
        <v>949.76</v>
      </c>
      <c r="K31" s="245">
        <f t="shared" si="5"/>
        <v>0.24000000000000909</v>
      </c>
      <c r="L31" s="447">
        <f t="shared" si="6"/>
        <v>21308</v>
      </c>
    </row>
    <row r="32" spans="1:12" x14ac:dyDescent="0.2">
      <c r="A32" s="215">
        <v>43983</v>
      </c>
      <c r="B32" s="279">
        <f t="shared" si="0"/>
        <v>8359648</v>
      </c>
      <c r="C32" s="217">
        <v>8379633</v>
      </c>
      <c r="D32" s="354">
        <f t="shared" si="1"/>
        <v>19985</v>
      </c>
      <c r="E32" s="217">
        <v>19986.830000000002</v>
      </c>
      <c r="F32" s="445">
        <f t="shared" si="2"/>
        <v>-1.8300000000017462</v>
      </c>
      <c r="G32" s="446">
        <f t="shared" si="3"/>
        <v>265578</v>
      </c>
      <c r="H32" s="217">
        <v>266245</v>
      </c>
      <c r="I32" s="239">
        <f t="shared" si="4"/>
        <v>667</v>
      </c>
      <c r="J32" s="217">
        <v>667.51</v>
      </c>
      <c r="K32" s="245">
        <f t="shared" si="5"/>
        <v>-0.50999999999999091</v>
      </c>
      <c r="L32" s="447">
        <f t="shared" si="6"/>
        <v>20652</v>
      </c>
    </row>
    <row r="33" spans="1:12" x14ac:dyDescent="0.2">
      <c r="A33" s="215">
        <v>44013</v>
      </c>
      <c r="B33" s="279">
        <f t="shared" si="0"/>
        <v>8379633</v>
      </c>
      <c r="C33" s="217">
        <v>8401424</v>
      </c>
      <c r="D33" s="354">
        <f t="shared" si="1"/>
        <v>21791</v>
      </c>
      <c r="E33" s="217">
        <v>21791.54</v>
      </c>
      <c r="F33" s="445">
        <f t="shared" si="2"/>
        <v>-0.54000000000087311</v>
      </c>
      <c r="G33" s="446">
        <f t="shared" si="3"/>
        <v>266245</v>
      </c>
      <c r="H33" s="217">
        <v>267428</v>
      </c>
      <c r="I33" s="239">
        <f t="shared" si="4"/>
        <v>1183</v>
      </c>
      <c r="J33" s="217">
        <v>1182.19</v>
      </c>
      <c r="K33" s="245">
        <f t="shared" si="5"/>
        <v>0.80999999999994543</v>
      </c>
      <c r="L33" s="447">
        <f t="shared" si="6"/>
        <v>22974</v>
      </c>
    </row>
    <row r="34" spans="1:12" x14ac:dyDescent="0.2">
      <c r="A34" s="215">
        <v>44044</v>
      </c>
      <c r="B34" s="279">
        <f t="shared" si="0"/>
        <v>8401424</v>
      </c>
      <c r="C34" s="240">
        <v>8425982</v>
      </c>
      <c r="D34" s="354">
        <f t="shared" si="1"/>
        <v>24558</v>
      </c>
      <c r="E34" s="240">
        <v>24556.98</v>
      </c>
      <c r="F34" s="445">
        <f t="shared" si="2"/>
        <v>1.0200000000004366</v>
      </c>
      <c r="G34" s="446">
        <f t="shared" si="3"/>
        <v>267428</v>
      </c>
      <c r="H34" s="240">
        <v>268712</v>
      </c>
      <c r="I34" s="239">
        <f t="shared" si="4"/>
        <v>1284</v>
      </c>
      <c r="J34" s="240">
        <v>1284.27</v>
      </c>
      <c r="K34" s="245">
        <f t="shared" si="5"/>
        <v>-0.26999999999998181</v>
      </c>
      <c r="L34" s="447">
        <f t="shared" si="6"/>
        <v>25842</v>
      </c>
    </row>
    <row r="35" spans="1:12" x14ac:dyDescent="0.2">
      <c r="A35" s="215">
        <v>44075</v>
      </c>
      <c r="B35" s="279">
        <f t="shared" si="0"/>
        <v>8425982</v>
      </c>
      <c r="C35" s="240">
        <v>8454371</v>
      </c>
      <c r="D35" s="354">
        <f t="shared" si="1"/>
        <v>28389</v>
      </c>
      <c r="E35" s="240">
        <v>28390.560000000001</v>
      </c>
      <c r="F35" s="445">
        <f t="shared" si="2"/>
        <v>-1.5600000000013097</v>
      </c>
      <c r="G35" s="446">
        <f t="shared" si="3"/>
        <v>268712</v>
      </c>
      <c r="H35" s="217">
        <v>270861</v>
      </c>
      <c r="I35" s="239">
        <f t="shared" si="4"/>
        <v>2149</v>
      </c>
      <c r="J35" s="217">
        <v>2149.25</v>
      </c>
      <c r="K35" s="245">
        <f t="shared" si="5"/>
        <v>-0.25</v>
      </c>
      <c r="L35" s="447">
        <f t="shared" si="6"/>
        <v>30538</v>
      </c>
    </row>
    <row r="36" spans="1:12" x14ac:dyDescent="0.2">
      <c r="A36" s="215">
        <v>44105</v>
      </c>
      <c r="B36" s="279">
        <f t="shared" si="0"/>
        <v>8454371</v>
      </c>
      <c r="C36" s="240">
        <v>8485990</v>
      </c>
      <c r="D36" s="354">
        <f t="shared" si="1"/>
        <v>31619</v>
      </c>
      <c r="E36" s="240">
        <v>31621.57</v>
      </c>
      <c r="F36" s="445">
        <f t="shared" si="2"/>
        <v>-2.569999999999709</v>
      </c>
      <c r="G36" s="446">
        <f t="shared" si="3"/>
        <v>270861</v>
      </c>
      <c r="H36" s="240">
        <v>273623</v>
      </c>
      <c r="I36" s="239">
        <f t="shared" si="4"/>
        <v>2762</v>
      </c>
      <c r="J36" s="240">
        <v>2761.47</v>
      </c>
      <c r="K36" s="245">
        <f t="shared" si="5"/>
        <v>0.53000000000020009</v>
      </c>
      <c r="L36" s="447">
        <f t="shared" si="6"/>
        <v>34381</v>
      </c>
    </row>
    <row r="37" spans="1:12" x14ac:dyDescent="0.2">
      <c r="A37" s="215">
        <v>44136</v>
      </c>
      <c r="B37" s="279">
        <f t="shared" si="0"/>
        <v>8485990</v>
      </c>
      <c r="C37" s="217">
        <v>8516401</v>
      </c>
      <c r="D37" s="354">
        <f t="shared" si="1"/>
        <v>30411</v>
      </c>
      <c r="E37" s="217">
        <v>30411.599999999999</v>
      </c>
      <c r="F37" s="445">
        <f t="shared" si="2"/>
        <v>-0.59999999999854481</v>
      </c>
      <c r="G37" s="446">
        <f t="shared" si="3"/>
        <v>273623</v>
      </c>
      <c r="H37" s="217">
        <v>275204</v>
      </c>
      <c r="I37" s="239">
        <f t="shared" si="4"/>
        <v>1581</v>
      </c>
      <c r="J37" s="217">
        <v>1581.28</v>
      </c>
      <c r="K37" s="245">
        <f t="shared" si="5"/>
        <v>-0.27999999999997272</v>
      </c>
      <c r="L37" s="447">
        <f t="shared" si="6"/>
        <v>31992</v>
      </c>
    </row>
    <row r="38" spans="1:12" x14ac:dyDescent="0.2">
      <c r="A38" s="215">
        <v>44166</v>
      </c>
      <c r="B38" s="279">
        <f t="shared" si="0"/>
        <v>8516401</v>
      </c>
      <c r="C38" s="217">
        <v>8555365</v>
      </c>
      <c r="D38" s="354">
        <f t="shared" si="1"/>
        <v>38964</v>
      </c>
      <c r="E38" s="217">
        <v>38962.93</v>
      </c>
      <c r="F38" s="445">
        <f t="shared" si="2"/>
        <v>1.069999999999709</v>
      </c>
      <c r="G38" s="446">
        <f t="shared" si="3"/>
        <v>275204</v>
      </c>
      <c r="H38" s="217">
        <v>279159</v>
      </c>
      <c r="I38" s="239">
        <f t="shared" si="4"/>
        <v>3955</v>
      </c>
      <c r="J38" s="217">
        <v>3923.84</v>
      </c>
      <c r="K38" s="245">
        <f t="shared" si="5"/>
        <v>31.159999999999854</v>
      </c>
      <c r="L38" s="447">
        <f t="shared" si="6"/>
        <v>42919</v>
      </c>
    </row>
    <row r="39" spans="1:12" x14ac:dyDescent="0.2">
      <c r="A39" s="215">
        <v>44197</v>
      </c>
      <c r="B39" s="279">
        <f t="shared" si="0"/>
        <v>8555365</v>
      </c>
      <c r="C39" s="217">
        <v>8594661</v>
      </c>
      <c r="D39" s="354">
        <f t="shared" si="1"/>
        <v>39296</v>
      </c>
      <c r="E39" s="217">
        <v>39314.550000000003</v>
      </c>
      <c r="F39" s="445">
        <f t="shared" si="2"/>
        <v>-18.55000000000291</v>
      </c>
      <c r="G39" s="446">
        <f t="shared" si="3"/>
        <v>279159</v>
      </c>
      <c r="H39" s="217">
        <v>282519</v>
      </c>
      <c r="I39" s="239">
        <f t="shared" si="4"/>
        <v>3360</v>
      </c>
      <c r="J39" s="217">
        <v>3390.69</v>
      </c>
      <c r="K39" s="245">
        <f t="shared" si="5"/>
        <v>-30.690000000000055</v>
      </c>
      <c r="L39" s="447">
        <f t="shared" si="6"/>
        <v>42656</v>
      </c>
    </row>
    <row r="40" spans="1:12" x14ac:dyDescent="0.2">
      <c r="A40" s="215">
        <v>44228</v>
      </c>
      <c r="B40" s="279">
        <f t="shared" si="0"/>
        <v>8594661</v>
      </c>
      <c r="C40" s="217">
        <v>8626044</v>
      </c>
      <c r="D40" s="354">
        <f t="shared" si="1"/>
        <v>31383</v>
      </c>
      <c r="E40" s="217">
        <v>31457.200000000001</v>
      </c>
      <c r="F40" s="445">
        <f>D40-E40</f>
        <v>-74.200000000000728</v>
      </c>
      <c r="G40" s="446">
        <f t="shared" si="3"/>
        <v>282519</v>
      </c>
      <c r="H40" s="217">
        <v>286104</v>
      </c>
      <c r="I40" s="239">
        <f t="shared" si="4"/>
        <v>3585</v>
      </c>
      <c r="J40" s="217">
        <v>3585.35</v>
      </c>
      <c r="K40" s="245">
        <f t="shared" si="5"/>
        <v>-0.34999999999990905</v>
      </c>
      <c r="L40" s="447">
        <f t="shared" si="6"/>
        <v>34968</v>
      </c>
    </row>
    <row r="41" spans="1:12" x14ac:dyDescent="0.2">
      <c r="A41" s="215">
        <v>44256</v>
      </c>
      <c r="B41" s="279">
        <f t="shared" si="0"/>
        <v>8626044</v>
      </c>
      <c r="C41" s="217">
        <v>8662434</v>
      </c>
      <c r="D41" s="354">
        <f t="shared" si="1"/>
        <v>36390</v>
      </c>
      <c r="E41" s="217">
        <v>36518.83</v>
      </c>
      <c r="F41" s="445">
        <f t="shared" si="2"/>
        <v>-128.83000000000175</v>
      </c>
      <c r="G41" s="446">
        <f t="shared" si="3"/>
        <v>286104</v>
      </c>
      <c r="H41" s="217">
        <v>289959</v>
      </c>
      <c r="I41" s="239">
        <f t="shared" si="4"/>
        <v>3855</v>
      </c>
      <c r="J41" s="217">
        <v>3854.7</v>
      </c>
      <c r="K41" s="245">
        <f>I41-J41</f>
        <v>0.3000000000001819</v>
      </c>
      <c r="L41" s="447">
        <f t="shared" si="6"/>
        <v>40245</v>
      </c>
    </row>
    <row r="42" spans="1:12" x14ac:dyDescent="0.2">
      <c r="A42" s="215">
        <v>44287</v>
      </c>
      <c r="B42" s="279">
        <f t="shared" si="0"/>
        <v>8662434</v>
      </c>
      <c r="C42" s="217">
        <v>8665049</v>
      </c>
      <c r="D42" s="354">
        <f t="shared" si="1"/>
        <v>2615</v>
      </c>
      <c r="E42" s="217">
        <v>2635.28</v>
      </c>
      <c r="F42" s="445">
        <f t="shared" si="2"/>
        <v>-20.2800000000002</v>
      </c>
      <c r="G42" s="446">
        <f t="shared" si="3"/>
        <v>289959</v>
      </c>
      <c r="H42" s="217">
        <v>326780</v>
      </c>
      <c r="I42" s="239">
        <f>H42-G42</f>
        <v>36821</v>
      </c>
      <c r="J42" s="217">
        <v>36819.769999999997</v>
      </c>
      <c r="K42" s="245">
        <f t="shared" si="5"/>
        <v>1.2300000000032014</v>
      </c>
      <c r="L42" s="447">
        <f t="shared" si="6"/>
        <v>39436</v>
      </c>
    </row>
    <row r="43" spans="1:12" x14ac:dyDescent="0.2">
      <c r="A43" s="215">
        <v>44317</v>
      </c>
      <c r="B43" s="279">
        <f t="shared" si="0"/>
        <v>8665049</v>
      </c>
      <c r="C43" s="217">
        <v>8665049</v>
      </c>
      <c r="D43" s="354">
        <f t="shared" si="1"/>
        <v>0</v>
      </c>
      <c r="E43" s="217"/>
      <c r="F43" s="445">
        <f t="shared" si="2"/>
        <v>0</v>
      </c>
      <c r="G43" s="446">
        <f t="shared" si="3"/>
        <v>326780</v>
      </c>
      <c r="H43" s="217">
        <v>368062</v>
      </c>
      <c r="I43" s="239">
        <f t="shared" si="4"/>
        <v>41282</v>
      </c>
      <c r="J43" s="217">
        <v>41282</v>
      </c>
      <c r="K43" s="245">
        <f t="shared" si="5"/>
        <v>0</v>
      </c>
      <c r="L43" s="447">
        <f t="shared" si="6"/>
        <v>41282</v>
      </c>
    </row>
    <row r="44" spans="1:12" x14ac:dyDescent="0.2">
      <c r="A44" s="215">
        <v>44348</v>
      </c>
      <c r="B44" s="279">
        <f t="shared" si="0"/>
        <v>8665049</v>
      </c>
      <c r="C44" s="217">
        <v>8665049</v>
      </c>
      <c r="D44" s="354">
        <f t="shared" si="1"/>
        <v>0</v>
      </c>
      <c r="E44" s="217"/>
      <c r="F44" s="445">
        <f t="shared" si="2"/>
        <v>0</v>
      </c>
      <c r="G44" s="446">
        <f t="shared" si="3"/>
        <v>368062</v>
      </c>
      <c r="H44" s="217">
        <v>414601</v>
      </c>
      <c r="I44" s="239">
        <f t="shared" si="4"/>
        <v>46539</v>
      </c>
      <c r="J44" s="217">
        <v>46539</v>
      </c>
      <c r="K44" s="245">
        <f t="shared" si="5"/>
        <v>0</v>
      </c>
      <c r="L44" s="447">
        <f t="shared" si="6"/>
        <v>46539</v>
      </c>
    </row>
    <row r="45" spans="1:12" x14ac:dyDescent="0.2">
      <c r="A45" s="215">
        <v>44378</v>
      </c>
      <c r="B45" s="279">
        <f t="shared" si="0"/>
        <v>8665049</v>
      </c>
      <c r="C45" s="217">
        <v>8665049</v>
      </c>
      <c r="D45" s="354">
        <f t="shared" si="1"/>
        <v>0</v>
      </c>
      <c r="E45" s="217"/>
      <c r="F45" s="445">
        <f t="shared" si="2"/>
        <v>0</v>
      </c>
      <c r="G45" s="446">
        <f t="shared" si="3"/>
        <v>414601</v>
      </c>
      <c r="H45" s="217">
        <v>481510</v>
      </c>
      <c r="I45" s="239">
        <f t="shared" si="4"/>
        <v>66909</v>
      </c>
      <c r="J45" s="217">
        <v>66909.009999999995</v>
      </c>
      <c r="K45" s="245">
        <f t="shared" si="5"/>
        <v>-9.9999999947613105E-3</v>
      </c>
      <c r="L45" s="447">
        <f t="shared" si="6"/>
        <v>66909</v>
      </c>
    </row>
    <row r="46" spans="1:12" x14ac:dyDescent="0.2">
      <c r="A46" s="215">
        <v>44409</v>
      </c>
      <c r="B46" s="279">
        <f t="shared" si="0"/>
        <v>8665049</v>
      </c>
      <c r="C46" s="240"/>
      <c r="D46" s="354">
        <f t="shared" si="1"/>
        <v>-8665049</v>
      </c>
      <c r="E46" s="240"/>
      <c r="F46" s="445">
        <f t="shared" si="2"/>
        <v>-8665049</v>
      </c>
      <c r="G46" s="446">
        <f t="shared" si="3"/>
        <v>481510</v>
      </c>
      <c r="H46" s="240"/>
      <c r="I46" s="239">
        <f t="shared" si="4"/>
        <v>-481510</v>
      </c>
      <c r="J46" s="240"/>
      <c r="K46" s="245">
        <f t="shared" si="5"/>
        <v>-481510</v>
      </c>
      <c r="L46" s="447">
        <f t="shared" si="6"/>
        <v>-9146559</v>
      </c>
    </row>
    <row r="47" spans="1:12" x14ac:dyDescent="0.2">
      <c r="A47" s="215">
        <v>44440</v>
      </c>
      <c r="B47" s="279">
        <f t="shared" si="0"/>
        <v>0</v>
      </c>
      <c r="C47" s="240"/>
      <c r="D47" s="354">
        <f t="shared" si="1"/>
        <v>0</v>
      </c>
      <c r="E47" s="240"/>
      <c r="F47" s="445">
        <f t="shared" si="2"/>
        <v>0</v>
      </c>
      <c r="G47" s="446">
        <f t="shared" si="3"/>
        <v>0</v>
      </c>
      <c r="H47" s="217"/>
      <c r="I47" s="239">
        <f t="shared" si="4"/>
        <v>0</v>
      </c>
      <c r="J47" s="217"/>
      <c r="K47" s="245">
        <f t="shared" si="5"/>
        <v>0</v>
      </c>
      <c r="L47" s="447">
        <f t="shared" si="6"/>
        <v>0</v>
      </c>
    </row>
    <row r="48" spans="1:12" x14ac:dyDescent="0.2">
      <c r="A48" s="215">
        <v>44470</v>
      </c>
      <c r="B48" s="279">
        <f t="shared" si="0"/>
        <v>0</v>
      </c>
      <c r="C48" s="240"/>
      <c r="D48" s="354">
        <f t="shared" si="1"/>
        <v>0</v>
      </c>
      <c r="E48" s="240"/>
      <c r="F48" s="445">
        <f t="shared" si="2"/>
        <v>0</v>
      </c>
      <c r="G48" s="446">
        <f t="shared" si="3"/>
        <v>0</v>
      </c>
      <c r="H48" s="240"/>
      <c r="I48" s="239">
        <f t="shared" si="4"/>
        <v>0</v>
      </c>
      <c r="J48" s="240"/>
      <c r="K48" s="245">
        <f t="shared" si="5"/>
        <v>0</v>
      </c>
      <c r="L48" s="447">
        <f t="shared" si="6"/>
        <v>0</v>
      </c>
    </row>
    <row r="49" spans="1:12" x14ac:dyDescent="0.2">
      <c r="A49" s="215">
        <v>44501</v>
      </c>
      <c r="B49" s="279">
        <f t="shared" si="0"/>
        <v>0</v>
      </c>
      <c r="C49" s="217"/>
      <c r="D49" s="354">
        <f t="shared" si="1"/>
        <v>0</v>
      </c>
      <c r="E49" s="217"/>
      <c r="F49" s="445">
        <f t="shared" si="2"/>
        <v>0</v>
      </c>
      <c r="G49" s="446">
        <f t="shared" si="3"/>
        <v>0</v>
      </c>
      <c r="H49" s="217"/>
      <c r="I49" s="239">
        <f t="shared" si="4"/>
        <v>0</v>
      </c>
      <c r="J49" s="217"/>
      <c r="K49" s="245">
        <f>I49-J49</f>
        <v>0</v>
      </c>
      <c r="L49" s="447">
        <f t="shared" si="6"/>
        <v>0</v>
      </c>
    </row>
    <row r="50" spans="1:12" x14ac:dyDescent="0.2">
      <c r="A50" s="215">
        <v>44531</v>
      </c>
      <c r="B50" s="279">
        <f t="shared" si="0"/>
        <v>0</v>
      </c>
      <c r="C50" s="217"/>
      <c r="D50" s="354">
        <f t="shared" si="1"/>
        <v>0</v>
      </c>
      <c r="E50" s="217"/>
      <c r="F50" s="445">
        <f t="shared" si="2"/>
        <v>0</v>
      </c>
      <c r="G50" s="446">
        <f t="shared" si="3"/>
        <v>0</v>
      </c>
      <c r="H50" s="217"/>
      <c r="I50" s="239">
        <f t="shared" si="4"/>
        <v>0</v>
      </c>
      <c r="J50" s="217"/>
      <c r="K50" s="245">
        <f t="shared" si="5"/>
        <v>0</v>
      </c>
      <c r="L50" s="447">
        <f t="shared" si="6"/>
        <v>0</v>
      </c>
    </row>
    <row r="51" spans="1:12" x14ac:dyDescent="0.2">
      <c r="A51" s="215">
        <v>44562</v>
      </c>
      <c r="B51" s="279">
        <f t="shared" si="0"/>
        <v>0</v>
      </c>
      <c r="C51" s="217"/>
      <c r="D51" s="354">
        <f t="shared" si="1"/>
        <v>0</v>
      </c>
      <c r="E51" s="217"/>
      <c r="F51" s="445">
        <f t="shared" si="2"/>
        <v>0</v>
      </c>
      <c r="G51" s="446">
        <f t="shared" si="3"/>
        <v>0</v>
      </c>
      <c r="H51" s="217"/>
      <c r="I51" s="239">
        <f t="shared" si="4"/>
        <v>0</v>
      </c>
      <c r="J51" s="217"/>
      <c r="K51" s="245">
        <f t="shared" si="5"/>
        <v>0</v>
      </c>
      <c r="L51" s="447">
        <f t="shared" si="6"/>
        <v>0</v>
      </c>
    </row>
    <row r="52" spans="1:12" x14ac:dyDescent="0.2">
      <c r="A52" s="215">
        <v>44593</v>
      </c>
      <c r="B52" s="279">
        <f t="shared" si="0"/>
        <v>0</v>
      </c>
      <c r="C52" s="217"/>
      <c r="D52" s="354">
        <f t="shared" si="1"/>
        <v>0</v>
      </c>
      <c r="E52" s="217"/>
      <c r="F52" s="445">
        <f t="shared" si="2"/>
        <v>0</v>
      </c>
      <c r="G52" s="446">
        <f t="shared" si="3"/>
        <v>0</v>
      </c>
      <c r="H52" s="217"/>
      <c r="I52" s="239">
        <f t="shared" si="4"/>
        <v>0</v>
      </c>
      <c r="J52" s="217"/>
      <c r="K52" s="245">
        <f t="shared" si="5"/>
        <v>0</v>
      </c>
      <c r="L52" s="447">
        <f t="shared" si="6"/>
        <v>0</v>
      </c>
    </row>
    <row r="53" spans="1:12" x14ac:dyDescent="0.2">
      <c r="A53" s="215">
        <v>44621</v>
      </c>
      <c r="B53" s="279">
        <f t="shared" si="0"/>
        <v>0</v>
      </c>
      <c r="D53" s="354">
        <f t="shared" si="1"/>
        <v>0</v>
      </c>
      <c r="E53" s="217"/>
      <c r="F53" s="445">
        <f t="shared" si="2"/>
        <v>0</v>
      </c>
      <c r="G53" s="446">
        <f t="shared" si="3"/>
        <v>0</v>
      </c>
      <c r="H53" s="217"/>
      <c r="I53" s="239">
        <f t="shared" si="4"/>
        <v>0</v>
      </c>
      <c r="J53" s="217"/>
      <c r="K53" s="245">
        <f t="shared" si="5"/>
        <v>0</v>
      </c>
      <c r="L53" s="447">
        <f t="shared" si="6"/>
        <v>0</v>
      </c>
    </row>
    <row r="54" spans="1:12" x14ac:dyDescent="0.2">
      <c r="A54" s="215">
        <v>44652</v>
      </c>
      <c r="B54" s="279">
        <f t="shared" si="0"/>
        <v>0</v>
      </c>
      <c r="C54" s="217"/>
      <c r="D54" s="354">
        <f t="shared" si="1"/>
        <v>0</v>
      </c>
      <c r="E54" s="217"/>
      <c r="F54" s="445">
        <f t="shared" si="2"/>
        <v>0</v>
      </c>
      <c r="G54" s="446">
        <f t="shared" si="3"/>
        <v>0</v>
      </c>
      <c r="H54" s="217"/>
      <c r="I54" s="239">
        <f t="shared" si="4"/>
        <v>0</v>
      </c>
      <c r="J54" s="217"/>
      <c r="K54" s="245">
        <f t="shared" si="5"/>
        <v>0</v>
      </c>
      <c r="L54" s="447">
        <f t="shared" si="6"/>
        <v>0</v>
      </c>
    </row>
    <row r="55" spans="1:12" x14ac:dyDescent="0.2">
      <c r="A55" s="215">
        <v>44682</v>
      </c>
      <c r="B55" s="279">
        <f t="shared" si="0"/>
        <v>0</v>
      </c>
      <c r="C55" s="217"/>
      <c r="D55" s="354">
        <f t="shared" si="1"/>
        <v>0</v>
      </c>
      <c r="E55" s="217"/>
      <c r="F55" s="445">
        <f t="shared" si="2"/>
        <v>0</v>
      </c>
      <c r="G55" s="446">
        <f t="shared" si="3"/>
        <v>0</v>
      </c>
      <c r="H55" s="217"/>
      <c r="I55" s="239">
        <f t="shared" si="4"/>
        <v>0</v>
      </c>
      <c r="J55" s="217"/>
      <c r="K55" s="245">
        <f t="shared" si="5"/>
        <v>0</v>
      </c>
      <c r="L55" s="447">
        <f t="shared" si="6"/>
        <v>0</v>
      </c>
    </row>
    <row r="56" spans="1:12" ht="12.75" customHeight="1" x14ac:dyDescent="0.2">
      <c r="A56" s="215">
        <v>44713</v>
      </c>
      <c r="B56" s="279">
        <f t="shared" si="0"/>
        <v>0</v>
      </c>
      <c r="C56" s="217"/>
      <c r="D56" s="354">
        <f t="shared" si="1"/>
        <v>0</v>
      </c>
      <c r="E56" s="217"/>
      <c r="F56" s="445">
        <f t="shared" si="2"/>
        <v>0</v>
      </c>
      <c r="G56" s="446">
        <f t="shared" si="3"/>
        <v>0</v>
      </c>
      <c r="H56" s="217"/>
      <c r="I56" s="239">
        <f t="shared" si="4"/>
        <v>0</v>
      </c>
      <c r="J56" s="217"/>
      <c r="K56" s="245">
        <f t="shared" si="5"/>
        <v>0</v>
      </c>
      <c r="L56" s="447">
        <f t="shared" si="6"/>
        <v>0</v>
      </c>
    </row>
    <row r="57" spans="1:12" ht="13.5" customHeight="1" x14ac:dyDescent="0.2">
      <c r="A57" s="215">
        <v>44743</v>
      </c>
      <c r="B57" s="279">
        <f t="shared" si="0"/>
        <v>0</v>
      </c>
      <c r="C57" s="217"/>
      <c r="D57" s="354">
        <f t="shared" si="1"/>
        <v>0</v>
      </c>
      <c r="E57" s="217"/>
      <c r="F57" s="445">
        <f t="shared" si="2"/>
        <v>0</v>
      </c>
      <c r="G57" s="446">
        <f t="shared" si="3"/>
        <v>0</v>
      </c>
      <c r="H57" s="217"/>
      <c r="I57" s="239">
        <f t="shared" si="4"/>
        <v>0</v>
      </c>
      <c r="J57" s="217"/>
      <c r="K57" s="245">
        <f t="shared" si="5"/>
        <v>0</v>
      </c>
      <c r="L57" s="447">
        <f t="shared" si="6"/>
        <v>0</v>
      </c>
    </row>
    <row r="58" spans="1:12" x14ac:dyDescent="0.2">
      <c r="A58" s="215">
        <v>44774</v>
      </c>
      <c r="B58" s="279">
        <f t="shared" si="0"/>
        <v>0</v>
      </c>
      <c r="C58" s="217"/>
      <c r="D58" s="354">
        <f t="shared" si="1"/>
        <v>0</v>
      </c>
      <c r="E58" s="217"/>
      <c r="F58" s="445">
        <f t="shared" si="2"/>
        <v>0</v>
      </c>
      <c r="G58" s="446">
        <f t="shared" si="3"/>
        <v>0</v>
      </c>
      <c r="H58" s="217"/>
      <c r="I58" s="239">
        <f t="shared" si="4"/>
        <v>0</v>
      </c>
      <c r="J58" s="217"/>
      <c r="K58" s="245">
        <f t="shared" si="5"/>
        <v>0</v>
      </c>
      <c r="L58" s="447">
        <f t="shared" si="6"/>
        <v>0</v>
      </c>
    </row>
    <row r="59" spans="1:12" x14ac:dyDescent="0.2">
      <c r="A59" s="215">
        <v>44805</v>
      </c>
      <c r="B59" s="279">
        <f t="shared" si="0"/>
        <v>0</v>
      </c>
      <c r="C59" s="217"/>
      <c r="D59" s="354">
        <f t="shared" si="1"/>
        <v>0</v>
      </c>
      <c r="E59" s="217"/>
      <c r="F59" s="445">
        <f t="shared" si="2"/>
        <v>0</v>
      </c>
      <c r="G59" s="446">
        <f t="shared" si="3"/>
        <v>0</v>
      </c>
      <c r="H59" s="217"/>
      <c r="I59" s="239">
        <f t="shared" si="4"/>
        <v>0</v>
      </c>
      <c r="J59" s="217"/>
      <c r="K59" s="245">
        <f t="shared" si="5"/>
        <v>0</v>
      </c>
      <c r="L59" s="447">
        <f t="shared" si="6"/>
        <v>0</v>
      </c>
    </row>
    <row r="60" spans="1:12" x14ac:dyDescent="0.2">
      <c r="A60" s="215">
        <v>44835</v>
      </c>
      <c r="B60" s="279">
        <f t="shared" si="0"/>
        <v>0</v>
      </c>
      <c r="C60" s="217"/>
      <c r="D60" s="354">
        <f t="shared" si="1"/>
        <v>0</v>
      </c>
      <c r="E60" s="217"/>
      <c r="F60" s="445">
        <f t="shared" si="2"/>
        <v>0</v>
      </c>
      <c r="G60" s="446">
        <f t="shared" si="3"/>
        <v>0</v>
      </c>
      <c r="H60" s="217"/>
      <c r="I60" s="239">
        <f t="shared" si="4"/>
        <v>0</v>
      </c>
      <c r="J60" s="217"/>
      <c r="K60" s="245">
        <f t="shared" si="5"/>
        <v>0</v>
      </c>
      <c r="L60" s="447">
        <f t="shared" si="6"/>
        <v>0</v>
      </c>
    </row>
    <row r="61" spans="1:12" x14ac:dyDescent="0.2">
      <c r="A61" s="215">
        <v>44866</v>
      </c>
      <c r="B61" s="279">
        <f t="shared" si="0"/>
        <v>0</v>
      </c>
      <c r="C61" s="217"/>
      <c r="D61" s="354">
        <f t="shared" si="1"/>
        <v>0</v>
      </c>
      <c r="E61" s="217"/>
      <c r="F61" s="445">
        <f t="shared" si="2"/>
        <v>0</v>
      </c>
      <c r="G61" s="446">
        <f t="shared" si="3"/>
        <v>0</v>
      </c>
      <c r="H61" s="217"/>
      <c r="I61" s="239">
        <f t="shared" si="4"/>
        <v>0</v>
      </c>
      <c r="J61" s="217"/>
      <c r="K61" s="245">
        <f t="shared" si="5"/>
        <v>0</v>
      </c>
      <c r="L61" s="447">
        <f t="shared" si="6"/>
        <v>0</v>
      </c>
    </row>
    <row r="62" spans="1:12" x14ac:dyDescent="0.2">
      <c r="A62" s="215">
        <v>44896</v>
      </c>
      <c r="B62" s="279">
        <f t="shared" si="0"/>
        <v>0</v>
      </c>
      <c r="C62" s="217"/>
      <c r="D62" s="354">
        <f t="shared" si="1"/>
        <v>0</v>
      </c>
      <c r="E62" s="217"/>
      <c r="F62" s="445">
        <f t="shared" si="2"/>
        <v>0</v>
      </c>
      <c r="G62" s="446">
        <f t="shared" si="3"/>
        <v>0</v>
      </c>
      <c r="H62" s="217"/>
      <c r="I62" s="239">
        <f t="shared" si="4"/>
        <v>0</v>
      </c>
      <c r="J62" s="217"/>
      <c r="K62" s="245">
        <f t="shared" si="5"/>
        <v>0</v>
      </c>
      <c r="L62" s="447">
        <f t="shared" si="6"/>
        <v>0</v>
      </c>
    </row>
    <row r="63" spans="1:12" x14ac:dyDescent="0.2">
      <c r="A63" s="215">
        <v>44562</v>
      </c>
      <c r="B63" s="279">
        <f t="shared" si="0"/>
        <v>0</v>
      </c>
      <c r="C63" s="217"/>
      <c r="D63" s="354">
        <f t="shared" si="1"/>
        <v>0</v>
      </c>
      <c r="E63" s="217"/>
      <c r="F63" s="445">
        <f t="shared" si="2"/>
        <v>0</v>
      </c>
      <c r="G63" s="446">
        <f t="shared" si="3"/>
        <v>0</v>
      </c>
      <c r="H63" s="217"/>
      <c r="I63" s="239">
        <f t="shared" si="4"/>
        <v>0</v>
      </c>
      <c r="J63" s="217"/>
      <c r="K63" s="245">
        <f t="shared" si="5"/>
        <v>0</v>
      </c>
      <c r="L63" s="447">
        <f t="shared" si="6"/>
        <v>0</v>
      </c>
    </row>
    <row r="64" spans="1:12" x14ac:dyDescent="0.2">
      <c r="A64" s="215">
        <v>44593</v>
      </c>
      <c r="B64" s="279">
        <f t="shared" si="0"/>
        <v>0</v>
      </c>
      <c r="C64" s="217"/>
      <c r="D64" s="354">
        <f t="shared" si="1"/>
        <v>0</v>
      </c>
      <c r="E64" s="217"/>
      <c r="F64" s="445">
        <f t="shared" si="2"/>
        <v>0</v>
      </c>
      <c r="G64" s="446">
        <f t="shared" si="3"/>
        <v>0</v>
      </c>
      <c r="H64" s="217"/>
      <c r="I64" s="239">
        <f t="shared" si="4"/>
        <v>0</v>
      </c>
      <c r="J64" s="217"/>
      <c r="K64" s="245">
        <f t="shared" si="5"/>
        <v>0</v>
      </c>
      <c r="L64" s="447">
        <f t="shared" si="6"/>
        <v>0</v>
      </c>
    </row>
    <row r="65" spans="1:12" x14ac:dyDescent="0.2">
      <c r="A65" s="215">
        <v>44621</v>
      </c>
      <c r="B65" s="279">
        <f t="shared" si="0"/>
        <v>0</v>
      </c>
      <c r="C65" s="217"/>
      <c r="D65" s="354">
        <f t="shared" si="1"/>
        <v>0</v>
      </c>
      <c r="E65" s="217"/>
      <c r="F65" s="445">
        <f t="shared" si="2"/>
        <v>0</v>
      </c>
      <c r="G65" s="446">
        <f t="shared" si="3"/>
        <v>0</v>
      </c>
      <c r="H65" s="217"/>
      <c r="I65" s="239">
        <f t="shared" si="4"/>
        <v>0</v>
      </c>
      <c r="J65" s="217"/>
      <c r="K65" s="245">
        <f t="shared" si="5"/>
        <v>0</v>
      </c>
      <c r="L65" s="447">
        <f t="shared" si="6"/>
        <v>0</v>
      </c>
    </row>
    <row r="66" spans="1:12" x14ac:dyDescent="0.2">
      <c r="A66" s="215">
        <v>44652</v>
      </c>
      <c r="B66" s="279">
        <f t="shared" si="0"/>
        <v>0</v>
      </c>
      <c r="C66" s="217"/>
      <c r="D66" s="354">
        <f t="shared" si="1"/>
        <v>0</v>
      </c>
      <c r="E66" s="217"/>
      <c r="F66" s="445">
        <f t="shared" si="2"/>
        <v>0</v>
      </c>
      <c r="G66" s="446">
        <f t="shared" si="3"/>
        <v>0</v>
      </c>
      <c r="H66" s="217"/>
      <c r="I66" s="239">
        <f t="shared" si="4"/>
        <v>0</v>
      </c>
      <c r="J66" s="217"/>
      <c r="K66" s="245">
        <f t="shared" si="5"/>
        <v>0</v>
      </c>
      <c r="L66" s="447">
        <f t="shared" si="6"/>
        <v>0</v>
      </c>
    </row>
    <row r="67" spans="1:12" x14ac:dyDescent="0.2">
      <c r="A67" s="215">
        <v>44682</v>
      </c>
      <c r="B67" s="279">
        <f t="shared" si="0"/>
        <v>0</v>
      </c>
      <c r="C67" s="217"/>
      <c r="D67" s="354">
        <f t="shared" si="1"/>
        <v>0</v>
      </c>
      <c r="E67" s="217"/>
      <c r="F67" s="445">
        <f t="shared" si="2"/>
        <v>0</v>
      </c>
      <c r="G67" s="446">
        <f t="shared" si="3"/>
        <v>0</v>
      </c>
      <c r="H67" s="217"/>
      <c r="I67" s="239">
        <f t="shared" si="4"/>
        <v>0</v>
      </c>
      <c r="J67" s="217"/>
      <c r="K67" s="245">
        <f t="shared" si="5"/>
        <v>0</v>
      </c>
      <c r="L67" s="447">
        <f t="shared" si="6"/>
        <v>0</v>
      </c>
    </row>
    <row r="68" spans="1:12" x14ac:dyDescent="0.2">
      <c r="A68" s="215">
        <v>44713</v>
      </c>
      <c r="B68" s="279">
        <f t="shared" ref="B68:B74" si="7">C67</f>
        <v>0</v>
      </c>
      <c r="C68" s="217"/>
      <c r="D68" s="354">
        <f t="shared" ref="D68:D74" si="8">C68-B68</f>
        <v>0</v>
      </c>
      <c r="E68" s="217"/>
      <c r="F68" s="445">
        <f t="shared" ref="F68:F74" si="9">D68-E68</f>
        <v>0</v>
      </c>
      <c r="G68" s="446">
        <f t="shared" ref="G68:G74" si="10">H67</f>
        <v>0</v>
      </c>
      <c r="H68" s="217"/>
      <c r="I68" s="239">
        <f t="shared" ref="I68:I74" si="11">H68-G68</f>
        <v>0</v>
      </c>
      <c r="J68" s="217"/>
      <c r="K68" s="245">
        <f t="shared" ref="K68:K74" si="12">I68-J68</f>
        <v>0</v>
      </c>
      <c r="L68" s="447">
        <f t="shared" ref="L68:L74" si="13">I68+D68</f>
        <v>0</v>
      </c>
    </row>
    <row r="69" spans="1:12" x14ac:dyDescent="0.2">
      <c r="A69" s="215">
        <v>44743</v>
      </c>
      <c r="B69" s="279">
        <f t="shared" si="7"/>
        <v>0</v>
      </c>
      <c r="C69" s="217"/>
      <c r="D69" s="354">
        <f t="shared" si="8"/>
        <v>0</v>
      </c>
      <c r="E69" s="217"/>
      <c r="F69" s="445">
        <f t="shared" si="9"/>
        <v>0</v>
      </c>
      <c r="G69" s="446">
        <f t="shared" si="10"/>
        <v>0</v>
      </c>
      <c r="H69" s="217"/>
      <c r="I69" s="239">
        <f t="shared" si="11"/>
        <v>0</v>
      </c>
      <c r="J69" s="217"/>
      <c r="K69" s="245">
        <f t="shared" si="12"/>
        <v>0</v>
      </c>
      <c r="L69" s="447">
        <f t="shared" si="13"/>
        <v>0</v>
      </c>
    </row>
    <row r="70" spans="1:12" x14ac:dyDescent="0.2">
      <c r="A70" s="215">
        <v>44774</v>
      </c>
      <c r="B70" s="279">
        <f t="shared" si="7"/>
        <v>0</v>
      </c>
      <c r="C70" s="217"/>
      <c r="D70" s="354">
        <f t="shared" si="8"/>
        <v>0</v>
      </c>
      <c r="E70" s="217"/>
      <c r="F70" s="445">
        <f t="shared" si="9"/>
        <v>0</v>
      </c>
      <c r="G70" s="446">
        <f t="shared" si="10"/>
        <v>0</v>
      </c>
      <c r="H70" s="217"/>
      <c r="I70" s="239">
        <f t="shared" si="11"/>
        <v>0</v>
      </c>
      <c r="J70" s="217"/>
      <c r="K70" s="245">
        <f t="shared" si="12"/>
        <v>0</v>
      </c>
      <c r="L70" s="447">
        <f t="shared" si="13"/>
        <v>0</v>
      </c>
    </row>
    <row r="71" spans="1:12" x14ac:dyDescent="0.2">
      <c r="A71" s="215">
        <v>44805</v>
      </c>
      <c r="B71" s="279">
        <f t="shared" si="7"/>
        <v>0</v>
      </c>
      <c r="C71" s="217"/>
      <c r="D71" s="354">
        <f t="shared" si="8"/>
        <v>0</v>
      </c>
      <c r="E71" s="217"/>
      <c r="F71" s="445">
        <f t="shared" si="9"/>
        <v>0</v>
      </c>
      <c r="G71" s="446">
        <f t="shared" si="10"/>
        <v>0</v>
      </c>
      <c r="H71" s="217"/>
      <c r="I71" s="239">
        <f t="shared" si="11"/>
        <v>0</v>
      </c>
      <c r="J71" s="217"/>
      <c r="K71" s="245">
        <f t="shared" si="12"/>
        <v>0</v>
      </c>
      <c r="L71" s="447">
        <f t="shared" si="13"/>
        <v>0</v>
      </c>
    </row>
    <row r="72" spans="1:12" x14ac:dyDescent="0.2">
      <c r="A72" s="215">
        <v>44835</v>
      </c>
      <c r="B72" s="279">
        <f t="shared" si="7"/>
        <v>0</v>
      </c>
      <c r="C72" s="217"/>
      <c r="D72" s="354">
        <f t="shared" si="8"/>
        <v>0</v>
      </c>
      <c r="E72" s="217"/>
      <c r="F72" s="445">
        <f t="shared" si="9"/>
        <v>0</v>
      </c>
      <c r="G72" s="446">
        <f t="shared" si="10"/>
        <v>0</v>
      </c>
      <c r="H72" s="217"/>
      <c r="I72" s="239">
        <f t="shared" si="11"/>
        <v>0</v>
      </c>
      <c r="J72" s="217"/>
      <c r="K72" s="245">
        <f t="shared" si="12"/>
        <v>0</v>
      </c>
      <c r="L72" s="447">
        <f t="shared" si="13"/>
        <v>0</v>
      </c>
    </row>
    <row r="73" spans="1:12" x14ac:dyDescent="0.2">
      <c r="A73" s="215">
        <v>44866</v>
      </c>
      <c r="B73" s="279">
        <f t="shared" si="7"/>
        <v>0</v>
      </c>
      <c r="C73" s="217"/>
      <c r="D73" s="354">
        <f t="shared" si="8"/>
        <v>0</v>
      </c>
      <c r="E73" s="217"/>
      <c r="F73" s="445">
        <f t="shared" si="9"/>
        <v>0</v>
      </c>
      <c r="G73" s="446">
        <f t="shared" si="10"/>
        <v>0</v>
      </c>
      <c r="H73" s="217"/>
      <c r="I73" s="239">
        <f t="shared" si="11"/>
        <v>0</v>
      </c>
      <c r="J73" s="217"/>
      <c r="K73" s="245">
        <f t="shared" si="12"/>
        <v>0</v>
      </c>
      <c r="L73" s="447">
        <f t="shared" si="13"/>
        <v>0</v>
      </c>
    </row>
    <row r="74" spans="1:12" x14ac:dyDescent="0.2">
      <c r="A74" s="215">
        <v>44896</v>
      </c>
      <c r="B74" s="279">
        <f t="shared" si="7"/>
        <v>0</v>
      </c>
      <c r="C74" s="217"/>
      <c r="D74" s="354">
        <f t="shared" si="8"/>
        <v>0</v>
      </c>
      <c r="E74" s="217"/>
      <c r="F74" s="445">
        <f t="shared" si="9"/>
        <v>0</v>
      </c>
      <c r="G74" s="446">
        <f t="shared" si="10"/>
        <v>0</v>
      </c>
      <c r="H74" s="217"/>
      <c r="I74" s="239">
        <f t="shared" si="11"/>
        <v>0</v>
      </c>
      <c r="J74" s="217"/>
      <c r="K74" s="245">
        <f t="shared" si="12"/>
        <v>0</v>
      </c>
      <c r="L74" s="447">
        <f t="shared" si="13"/>
        <v>0</v>
      </c>
    </row>
    <row r="75" spans="1:12" ht="13.5" thickBot="1" x14ac:dyDescent="0.25"/>
    <row r="76" spans="1:12" x14ac:dyDescent="0.2">
      <c r="B76" s="976"/>
      <c r="C76" s="977"/>
      <c r="D76" s="977"/>
      <c r="E76" s="978"/>
      <c r="H76" s="976"/>
      <c r="I76" s="977"/>
      <c r="J76" s="977"/>
      <c r="K76" s="977"/>
      <c r="L76" s="978"/>
    </row>
    <row r="77" spans="1:12" x14ac:dyDescent="0.2">
      <c r="B77" s="979"/>
      <c r="C77" s="980"/>
      <c r="D77" s="980"/>
      <c r="E77" s="981"/>
      <c r="H77" s="979"/>
      <c r="I77" s="980"/>
      <c r="J77" s="980"/>
      <c r="K77" s="980"/>
      <c r="L77" s="981"/>
    </row>
    <row r="78" spans="1:12" x14ac:dyDescent="0.2">
      <c r="B78" s="979"/>
      <c r="C78" s="980"/>
      <c r="D78" s="980"/>
      <c r="E78" s="981"/>
      <c r="H78" s="979"/>
      <c r="I78" s="980"/>
      <c r="J78" s="980"/>
      <c r="K78" s="980"/>
      <c r="L78" s="981"/>
    </row>
    <row r="79" spans="1:12" x14ac:dyDescent="0.2">
      <c r="B79" s="979"/>
      <c r="C79" s="980"/>
      <c r="D79" s="980"/>
      <c r="E79" s="981"/>
      <c r="H79" s="979"/>
      <c r="I79" s="980"/>
      <c r="J79" s="980"/>
      <c r="K79" s="980"/>
      <c r="L79" s="981"/>
    </row>
    <row r="80" spans="1:12" x14ac:dyDescent="0.2">
      <c r="B80" s="979"/>
      <c r="C80" s="980"/>
      <c r="D80" s="980"/>
      <c r="E80" s="981"/>
      <c r="H80" s="979"/>
      <c r="I80" s="980"/>
      <c r="J80" s="980"/>
      <c r="K80" s="980"/>
      <c r="L80" s="981"/>
    </row>
    <row r="81" spans="2:12" x14ac:dyDescent="0.2">
      <c r="B81" s="979"/>
      <c r="C81" s="980"/>
      <c r="D81" s="980"/>
      <c r="E81" s="981"/>
      <c r="H81" s="979"/>
      <c r="I81" s="980"/>
      <c r="J81" s="980"/>
      <c r="K81" s="980"/>
      <c r="L81" s="981"/>
    </row>
    <row r="82" spans="2:12" x14ac:dyDescent="0.2">
      <c r="B82" s="979"/>
      <c r="C82" s="980"/>
      <c r="D82" s="980"/>
      <c r="E82" s="981"/>
      <c r="H82" s="979"/>
      <c r="I82" s="980"/>
      <c r="J82" s="980"/>
      <c r="K82" s="980"/>
      <c r="L82" s="981"/>
    </row>
    <row r="83" spans="2:12" x14ac:dyDescent="0.2">
      <c r="B83" s="979"/>
      <c r="C83" s="980"/>
      <c r="D83" s="980"/>
      <c r="E83" s="981"/>
      <c r="H83" s="979"/>
      <c r="I83" s="980"/>
      <c r="J83" s="980"/>
      <c r="K83" s="980"/>
      <c r="L83" s="981"/>
    </row>
    <row r="84" spans="2:12" x14ac:dyDescent="0.2">
      <c r="B84" s="979"/>
      <c r="C84" s="980"/>
      <c r="D84" s="980"/>
      <c r="E84" s="981"/>
      <c r="H84" s="979"/>
      <c r="I84" s="980"/>
      <c r="J84" s="980"/>
      <c r="K84" s="980"/>
      <c r="L84" s="981"/>
    </row>
    <row r="85" spans="2:12" x14ac:dyDescent="0.2">
      <c r="B85" s="979"/>
      <c r="C85" s="980"/>
      <c r="D85" s="980"/>
      <c r="E85" s="981"/>
      <c r="H85" s="979"/>
      <c r="I85" s="980"/>
      <c r="J85" s="980"/>
      <c r="K85" s="980"/>
      <c r="L85" s="981"/>
    </row>
    <row r="86" spans="2:12" x14ac:dyDescent="0.2">
      <c r="B86" s="979"/>
      <c r="C86" s="980"/>
      <c r="D86" s="980"/>
      <c r="E86" s="981"/>
      <c r="H86" s="979"/>
      <c r="I86" s="980"/>
      <c r="J86" s="980"/>
      <c r="K86" s="980"/>
      <c r="L86" s="981"/>
    </row>
    <row r="87" spans="2:12" x14ac:dyDescent="0.2">
      <c r="B87" s="979"/>
      <c r="C87" s="980"/>
      <c r="D87" s="980"/>
      <c r="E87" s="981"/>
      <c r="H87" s="979"/>
      <c r="I87" s="980"/>
      <c r="J87" s="980"/>
      <c r="K87" s="980"/>
      <c r="L87" s="981"/>
    </row>
    <row r="88" spans="2:12" x14ac:dyDescent="0.2">
      <c r="B88" s="979"/>
      <c r="C88" s="980"/>
      <c r="D88" s="980"/>
      <c r="E88" s="981"/>
      <c r="H88" s="979"/>
      <c r="I88" s="980"/>
      <c r="J88" s="980"/>
      <c r="K88" s="980"/>
      <c r="L88" s="981"/>
    </row>
    <row r="89" spans="2:12" x14ac:dyDescent="0.2">
      <c r="B89" s="979"/>
      <c r="C89" s="980"/>
      <c r="D89" s="980"/>
      <c r="E89" s="981"/>
      <c r="H89" s="979"/>
      <c r="I89" s="980"/>
      <c r="J89" s="980"/>
      <c r="K89" s="980"/>
      <c r="L89" s="981"/>
    </row>
    <row r="90" spans="2:12" ht="13.5" thickBot="1" x14ac:dyDescent="0.25">
      <c r="B90" s="982"/>
      <c r="C90" s="983"/>
      <c r="D90" s="983"/>
      <c r="E90" s="984"/>
      <c r="H90" s="982"/>
      <c r="I90" s="983"/>
      <c r="J90" s="983"/>
      <c r="K90" s="983"/>
      <c r="L90" s="984"/>
    </row>
    <row r="91" spans="2:12" x14ac:dyDescent="0.2">
      <c r="B91" s="985" t="s">
        <v>384</v>
      </c>
      <c r="C91" s="986"/>
      <c r="D91" s="986"/>
      <c r="E91" s="987"/>
      <c r="H91" s="985" t="s">
        <v>385</v>
      </c>
      <c r="I91" s="986"/>
      <c r="J91" s="986"/>
      <c r="K91" s="986"/>
      <c r="L91" s="987"/>
    </row>
    <row r="92" spans="2:12" x14ac:dyDescent="0.2">
      <c r="B92" s="988"/>
      <c r="C92" s="989"/>
      <c r="D92" s="989"/>
      <c r="E92" s="990"/>
      <c r="H92" s="988"/>
      <c r="I92" s="989"/>
      <c r="J92" s="989"/>
      <c r="K92" s="989"/>
      <c r="L92" s="990"/>
    </row>
    <row r="93" spans="2:12" ht="13.5" thickBot="1" x14ac:dyDescent="0.25">
      <c r="B93" s="991"/>
      <c r="C93" s="992"/>
      <c r="D93" s="992"/>
      <c r="E93" s="993"/>
      <c r="H93" s="991"/>
      <c r="I93" s="992"/>
      <c r="J93" s="992"/>
      <c r="K93" s="992"/>
      <c r="L93" s="99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35"/>
  <sheetViews>
    <sheetView workbookViewId="0">
      <selection activeCell="J10" sqref="J10"/>
    </sheetView>
  </sheetViews>
  <sheetFormatPr defaultRowHeight="12.75" x14ac:dyDescent="0.2"/>
  <cols>
    <col min="3" max="3" width="18" customWidth="1"/>
    <col min="4" max="10" width="17.5703125" customWidth="1"/>
  </cols>
  <sheetData>
    <row r="1" spans="1:10" ht="26.25" x14ac:dyDescent="0.4">
      <c r="A1" s="994" t="s">
        <v>386</v>
      </c>
      <c r="B1" s="994"/>
      <c r="C1" s="994"/>
      <c r="D1" s="994"/>
      <c r="E1" s="994"/>
      <c r="F1" s="994"/>
      <c r="G1" s="994"/>
      <c r="H1" s="994"/>
      <c r="I1" s="994"/>
      <c r="J1" s="994"/>
    </row>
    <row r="2" spans="1:10" ht="19.5" thickBot="1" x14ac:dyDescent="0.35">
      <c r="A2" s="1003">
        <f>A5</f>
        <v>44378</v>
      </c>
      <c r="B2" s="1004"/>
      <c r="C2" s="1004"/>
      <c r="D2" s="1004"/>
      <c r="E2" s="1004"/>
      <c r="F2" s="1004"/>
      <c r="G2" s="1004"/>
      <c r="H2" s="1004"/>
      <c r="I2" s="1004"/>
      <c r="J2" s="1004"/>
    </row>
    <row r="3" spans="1:10" ht="15.75" thickBot="1" x14ac:dyDescent="0.3">
      <c r="A3" s="995" t="s">
        <v>292</v>
      </c>
      <c r="B3" s="997" t="s">
        <v>387</v>
      </c>
      <c r="C3" s="399"/>
      <c r="D3" s="999" t="s">
        <v>388</v>
      </c>
      <c r="E3" s="1000"/>
      <c r="F3" s="1001" t="s">
        <v>389</v>
      </c>
      <c r="G3" s="1002"/>
      <c r="H3" s="1000"/>
      <c r="I3" s="1001" t="s">
        <v>390</v>
      </c>
      <c r="J3" s="1000"/>
    </row>
    <row r="4" spans="1:10" ht="30" x14ac:dyDescent="0.25">
      <c r="A4" s="996"/>
      <c r="B4" s="998"/>
      <c r="C4" s="404" t="s">
        <v>391</v>
      </c>
      <c r="D4" s="355" t="s">
        <v>392</v>
      </c>
      <c r="E4" s="360" t="s">
        <v>197</v>
      </c>
      <c r="F4" s="355" t="s">
        <v>392</v>
      </c>
      <c r="G4" s="355" t="s">
        <v>393</v>
      </c>
      <c r="H4" s="355" t="s">
        <v>394</v>
      </c>
      <c r="I4" s="355" t="s">
        <v>313</v>
      </c>
      <c r="J4" s="355" t="s">
        <v>395</v>
      </c>
    </row>
    <row r="5" spans="1:10" ht="17.100000000000001" customHeight="1" x14ac:dyDescent="0.25">
      <c r="A5" s="825">
        <f>Gen!A11</f>
        <v>44378</v>
      </c>
      <c r="B5" s="828">
        <f>Gen!B11</f>
        <v>0.3</v>
      </c>
      <c r="C5" s="826">
        <f>Gen!AJ11</f>
        <v>0</v>
      </c>
      <c r="D5" s="403">
        <f>Gen!S11</f>
        <v>1799.58</v>
      </c>
      <c r="E5" s="357">
        <f>Gen!C11</f>
        <v>29939.139999999992</v>
      </c>
      <c r="F5" s="358">
        <f>'Water-Meter'!E6</f>
        <v>109</v>
      </c>
      <c r="G5" s="359">
        <f>'Water-Meter'!AN6</f>
        <v>131</v>
      </c>
      <c r="H5" s="357">
        <f>'Utility report '!AC6</f>
        <v>80</v>
      </c>
      <c r="I5" s="356">
        <f>'Kit report'!F4</f>
        <v>1128180</v>
      </c>
      <c r="J5" s="357">
        <f>'Kit report'!X4</f>
        <v>1647280</v>
      </c>
    </row>
    <row r="6" spans="1:10" ht="17.100000000000001" customHeight="1" x14ac:dyDescent="0.25">
      <c r="A6" s="825">
        <f>Gen!A12</f>
        <v>44379</v>
      </c>
      <c r="B6" s="828">
        <f>Gen!B12</f>
        <v>0.35</v>
      </c>
      <c r="C6" s="826">
        <f>Gen!AJ12</f>
        <v>324.81</v>
      </c>
      <c r="D6" s="403">
        <f>Gen!S12</f>
        <v>1691.9199999999998</v>
      </c>
      <c r="E6" s="357">
        <f>Gen!C12</f>
        <v>28139.55999999999</v>
      </c>
      <c r="F6" s="358">
        <f>'Water-Meter'!E7</f>
        <v>101</v>
      </c>
      <c r="G6" s="359">
        <f>'Water-Meter'!AN7</f>
        <v>156</v>
      </c>
      <c r="H6" s="357">
        <f>'Utility report '!AC7</f>
        <v>60</v>
      </c>
      <c r="I6" s="356">
        <f>'Kit report'!F5</f>
        <v>324.00000000008731</v>
      </c>
      <c r="J6" s="357">
        <f>'Kit report'!X5</f>
        <v>560.00000000021828</v>
      </c>
    </row>
    <row r="7" spans="1:10" ht="17.100000000000001" customHeight="1" x14ac:dyDescent="0.25">
      <c r="A7" s="825">
        <f>Gen!A13</f>
        <v>44380</v>
      </c>
      <c r="B7" s="828">
        <f>Gen!B13</f>
        <v>0.26090000000000002</v>
      </c>
      <c r="C7" s="826">
        <f>Gen!AJ13</f>
        <v>0</v>
      </c>
      <c r="D7" s="403">
        <f>Gen!S13</f>
        <v>1810.5</v>
      </c>
      <c r="E7" s="357">
        <f>Gen!C13</f>
        <v>44122.829999999987</v>
      </c>
      <c r="F7" s="358">
        <f>'Water-Meter'!E8</f>
        <v>94</v>
      </c>
      <c r="G7" s="359">
        <f>'Water-Meter'!AN8</f>
        <v>175</v>
      </c>
      <c r="H7" s="357">
        <f>'Utility report '!AC8</f>
        <v>55</v>
      </c>
      <c r="I7" s="356">
        <f>'Kit report'!F6</f>
        <v>360</v>
      </c>
      <c r="J7" s="357">
        <f>'Kit report'!X6</f>
        <v>539.99999999978172</v>
      </c>
    </row>
    <row r="8" spans="1:10" ht="17.100000000000001" customHeight="1" x14ac:dyDescent="0.25">
      <c r="A8" s="825">
        <f>Gen!A14</f>
        <v>44381</v>
      </c>
      <c r="B8" s="828">
        <f>Gen!B14</f>
        <v>0.18</v>
      </c>
      <c r="C8" s="826">
        <f>Gen!AJ14</f>
        <v>233.22</v>
      </c>
      <c r="D8" s="403">
        <f>Gen!S14</f>
        <v>1652.34</v>
      </c>
      <c r="E8" s="357">
        <f>Gen!C14</f>
        <v>42312.329999999987</v>
      </c>
      <c r="F8" s="358">
        <f>'Water-Meter'!E9</f>
        <v>98</v>
      </c>
      <c r="G8" s="359">
        <f>'Water-Meter'!AN9</f>
        <v>158</v>
      </c>
      <c r="H8" s="357">
        <f>'Utility report '!AC9</f>
        <v>48</v>
      </c>
      <c r="I8" s="356">
        <f>'Kit report'!F7</f>
        <v>323.99999999986903</v>
      </c>
      <c r="J8" s="357">
        <f>'Kit report'!X7</f>
        <v>660.00000000021828</v>
      </c>
    </row>
    <row r="9" spans="1:10" ht="17.100000000000001" customHeight="1" x14ac:dyDescent="0.25">
      <c r="A9" s="825">
        <f>Gen!A15</f>
        <v>44382</v>
      </c>
      <c r="B9" s="828">
        <f>Gen!B15</f>
        <v>0.14000000000000001</v>
      </c>
      <c r="C9" s="826">
        <f>Gen!AJ15</f>
        <v>148.61000000000001</v>
      </c>
      <c r="D9" s="403">
        <f>Gen!S15</f>
        <v>1644.32</v>
      </c>
      <c r="E9" s="357">
        <f>Gen!C15</f>
        <v>40426.76999999999</v>
      </c>
      <c r="F9" s="358">
        <f>'Water-Meter'!E10</f>
        <v>135</v>
      </c>
      <c r="G9" s="359">
        <f>'Water-Meter'!AN10</f>
        <v>131</v>
      </c>
      <c r="H9" s="357">
        <f>'Utility report '!AC10</f>
        <v>50</v>
      </c>
      <c r="I9" s="356">
        <f>'Kit report'!F8</f>
        <v>264.00000000008731</v>
      </c>
      <c r="J9" s="357">
        <f>'Kit report'!X8</f>
        <v>659.99999999985448</v>
      </c>
    </row>
    <row r="10" spans="1:10" ht="17.100000000000001" customHeight="1" x14ac:dyDescent="0.25">
      <c r="A10" s="825">
        <f>Gen!A16</f>
        <v>44383</v>
      </c>
      <c r="B10" s="828">
        <f>Gen!B16</f>
        <v>0.16900000000000001</v>
      </c>
      <c r="C10" s="826">
        <f>Gen!AJ16</f>
        <v>199.93</v>
      </c>
      <c r="D10" s="403">
        <f>Gen!S16</f>
        <v>1669.23</v>
      </c>
      <c r="E10" s="357">
        <f>Gen!C16</f>
        <v>38633.839999999989</v>
      </c>
      <c r="F10" s="358">
        <f>'Water-Meter'!E11</f>
        <v>124</v>
      </c>
      <c r="G10" s="359">
        <f>'Water-Meter'!AN11</f>
        <v>82</v>
      </c>
      <c r="H10" s="357">
        <f>'Utility report '!AC11</f>
        <v>113</v>
      </c>
      <c r="I10" s="356">
        <f>'Kit report'!F9</f>
        <v>275.99999999991269</v>
      </c>
      <c r="J10" s="357">
        <f>'Kit report'!X9</f>
        <v>600</v>
      </c>
    </row>
    <row r="11" spans="1:10" ht="17.100000000000001" customHeight="1" x14ac:dyDescent="0.25">
      <c r="A11" s="825">
        <f>Gen!A17</f>
        <v>44384</v>
      </c>
      <c r="B11" s="828">
        <f>Gen!B17</f>
        <v>0.36399999999999999</v>
      </c>
      <c r="C11" s="826">
        <f>Gen!AJ17</f>
        <v>168.95</v>
      </c>
      <c r="D11" s="403">
        <f>Gen!S17</f>
        <v>1898.91</v>
      </c>
      <c r="E11" s="357">
        <f>Gen!C17</f>
        <v>36764.679999999986</v>
      </c>
      <c r="F11" s="358">
        <f>'Water-Meter'!E12</f>
        <v>114</v>
      </c>
      <c r="G11" s="359">
        <f>'Water-Meter'!AN12</f>
        <v>167</v>
      </c>
      <c r="H11" s="357">
        <f>'Utility report '!AC12</f>
        <v>121</v>
      </c>
      <c r="I11" s="356">
        <f>'Kit report'!F10</f>
        <v>264.00000000008731</v>
      </c>
      <c r="J11" s="357">
        <f>'Kit report'!X10</f>
        <v>800</v>
      </c>
    </row>
    <row r="12" spans="1:10" ht="17.100000000000001" customHeight="1" x14ac:dyDescent="0.25">
      <c r="A12" s="825">
        <f>Gen!A18</f>
        <v>44385</v>
      </c>
      <c r="B12" s="828">
        <f>Gen!B18</f>
        <v>0.45500000000000002</v>
      </c>
      <c r="C12" s="826">
        <f>Gen!AJ18</f>
        <v>47</v>
      </c>
      <c r="D12" s="403">
        <f>Gen!S18</f>
        <v>1865.79</v>
      </c>
      <c r="E12" s="357">
        <f>Gen!C18</f>
        <v>34696.819999999985</v>
      </c>
      <c r="F12" s="358">
        <f>'Water-Meter'!E13</f>
        <v>94</v>
      </c>
      <c r="G12" s="359">
        <f>'Water-Meter'!AN13</f>
        <v>164</v>
      </c>
      <c r="H12" s="357">
        <f>'Utility report '!AC13</f>
        <v>201</v>
      </c>
      <c r="I12" s="356">
        <f>'Kit report'!F11</f>
        <v>252.00000000004366</v>
      </c>
      <c r="J12" s="357">
        <f>'Kit report'!X11</f>
        <v>759.99999999985448</v>
      </c>
    </row>
    <row r="13" spans="1:10" ht="17.100000000000001" customHeight="1" x14ac:dyDescent="0.25">
      <c r="A13" s="825">
        <f>Gen!A19</f>
        <v>44386</v>
      </c>
      <c r="B13" s="828">
        <f>Gen!B19</f>
        <v>0.46800000000000003</v>
      </c>
      <c r="C13" s="826">
        <f>Gen!AJ19</f>
        <v>456</v>
      </c>
      <c r="D13" s="403">
        <f>Gen!S19</f>
        <v>1807.2200000000003</v>
      </c>
      <c r="E13" s="357">
        <f>Gen!C19</f>
        <v>32784.029999999984</v>
      </c>
      <c r="F13" s="358">
        <f>'Water-Meter'!E14</f>
        <v>108</v>
      </c>
      <c r="G13" s="359">
        <f>'Water-Meter'!AN14</f>
        <v>167</v>
      </c>
      <c r="H13" s="357">
        <f>'Utility report '!AC14</f>
        <v>1</v>
      </c>
      <c r="I13" s="356">
        <f>'Kit report'!F12</f>
        <v>287.99999999995634</v>
      </c>
      <c r="J13" s="357">
        <f>'Kit report'!X12</f>
        <v>880.00000000029104</v>
      </c>
    </row>
    <row r="14" spans="1:10" ht="17.100000000000001" customHeight="1" x14ac:dyDescent="0.25">
      <c r="A14" s="825">
        <f>Gen!A20</f>
        <v>44387</v>
      </c>
      <c r="B14" s="828">
        <f>Gen!B20</f>
        <v>0.39</v>
      </c>
      <c r="C14" s="826">
        <f>Gen!AJ20</f>
        <v>644.97</v>
      </c>
      <c r="D14" s="403">
        <f>Gen!S20</f>
        <v>1887.8799999999999</v>
      </c>
      <c r="E14" s="357">
        <f>Gen!C20</f>
        <v>30520.809999999983</v>
      </c>
      <c r="F14" s="358">
        <f>'Water-Meter'!E15</f>
        <v>116</v>
      </c>
      <c r="G14" s="359">
        <f>'Water-Meter'!AN15</f>
        <v>172</v>
      </c>
      <c r="H14" s="357">
        <f>'Utility report '!AC15</f>
        <v>70</v>
      </c>
      <c r="I14" s="356">
        <f>'Kit report'!F13</f>
        <v>240</v>
      </c>
      <c r="J14" s="357">
        <f>'Kit report'!X13</f>
        <v>819.99999999970896</v>
      </c>
    </row>
    <row r="15" spans="1:10" ht="17.100000000000001" customHeight="1" x14ac:dyDescent="0.25">
      <c r="A15" s="825">
        <f>Gen!A21</f>
        <v>44388</v>
      </c>
      <c r="B15" s="828">
        <f>Gen!B21</f>
        <v>0.40300000000000002</v>
      </c>
      <c r="C15" s="826">
        <f>Gen!AJ21</f>
        <v>608.62</v>
      </c>
      <c r="D15" s="403">
        <f>Gen!S21</f>
        <v>1852.6</v>
      </c>
      <c r="E15" s="357">
        <f>Gen!C21</f>
        <v>45987.959999999985</v>
      </c>
      <c r="F15" s="358">
        <f>'Water-Meter'!E16</f>
        <v>116</v>
      </c>
      <c r="G15" s="359">
        <f>'Water-Meter'!AN16</f>
        <v>154</v>
      </c>
      <c r="H15" s="357">
        <f>'Utility report '!AC16</f>
        <v>41</v>
      </c>
      <c r="I15" s="356">
        <f>'Kit report'!F14</f>
        <v>275.99999999991269</v>
      </c>
      <c r="J15" s="357">
        <f>'Kit report'!X14</f>
        <v>900</v>
      </c>
    </row>
    <row r="16" spans="1:10" ht="17.100000000000001" customHeight="1" x14ac:dyDescent="0.25">
      <c r="A16" s="825">
        <f>Gen!A22</f>
        <v>44389</v>
      </c>
      <c r="B16" s="828">
        <f>Gen!B22</f>
        <v>0.39</v>
      </c>
      <c r="C16" s="826">
        <f>Gen!AJ22</f>
        <v>677.99</v>
      </c>
      <c r="D16" s="403">
        <f>Gen!S22</f>
        <v>1662.17</v>
      </c>
      <c r="E16" s="357">
        <f>Gen!C22</f>
        <v>43526.739999999983</v>
      </c>
      <c r="F16" s="358">
        <f>'Water-Meter'!E17</f>
        <v>109</v>
      </c>
      <c r="G16" s="359">
        <f>'Water-Meter'!AN17</f>
        <v>171</v>
      </c>
      <c r="H16" s="357">
        <f>'Utility report '!AC17</f>
        <v>40</v>
      </c>
      <c r="I16" s="356">
        <f>'Kit report'!F15</f>
        <v>264.00000000008731</v>
      </c>
      <c r="J16" s="357">
        <f>'Kit report'!X15</f>
        <v>1020.0000000000728</v>
      </c>
    </row>
    <row r="17" spans="1:10" ht="17.100000000000001" customHeight="1" x14ac:dyDescent="0.25">
      <c r="A17" s="825">
        <f>Gen!A23</f>
        <v>44390</v>
      </c>
      <c r="B17" s="828">
        <f>Gen!B23</f>
        <v>0.221</v>
      </c>
      <c r="C17" s="826">
        <f>Gen!AJ23</f>
        <v>204.13</v>
      </c>
      <c r="D17" s="403">
        <f>Gen!S23</f>
        <v>1844.9099999999999</v>
      </c>
      <c r="E17" s="357">
        <f>Gen!C23</f>
        <v>41186.579999999987</v>
      </c>
      <c r="F17" s="358">
        <f>'Water-Meter'!E18</f>
        <v>105</v>
      </c>
      <c r="G17" s="359">
        <f>'Water-Meter'!AN18</f>
        <v>165</v>
      </c>
      <c r="H17" s="357">
        <f>'Utility report '!AC18</f>
        <v>37</v>
      </c>
      <c r="I17" s="356">
        <f>'Kit report'!F16</f>
        <v>275.99999999991269</v>
      </c>
      <c r="J17" s="357">
        <f>'Kit report'!X16</f>
        <v>960.00000000021828</v>
      </c>
    </row>
    <row r="18" spans="1:10" ht="17.100000000000001" customHeight="1" x14ac:dyDescent="0.25">
      <c r="A18" s="825">
        <f>Gen!A24</f>
        <v>44391</v>
      </c>
      <c r="B18" s="828">
        <f>Gen!B24</f>
        <v>0.19500000000000001</v>
      </c>
      <c r="C18" s="826">
        <f>Gen!AJ24</f>
        <v>1434.84</v>
      </c>
      <c r="D18" s="403">
        <f>Gen!S24</f>
        <v>1650.17</v>
      </c>
      <c r="E18" s="357">
        <f>Gen!C24</f>
        <v>39137.539999999986</v>
      </c>
      <c r="F18" s="358">
        <f>'Water-Meter'!E19</f>
        <v>105</v>
      </c>
      <c r="G18" s="359">
        <f>'Water-Meter'!AN19</f>
        <v>84</v>
      </c>
      <c r="H18" s="357">
        <f>'Utility report '!AC19</f>
        <v>38</v>
      </c>
      <c r="I18" s="356">
        <f>'Kit report'!F17</f>
        <v>287.99999999995634</v>
      </c>
      <c r="J18" s="357">
        <f>'Kit report'!X17</f>
        <v>579.99999999992724</v>
      </c>
    </row>
    <row r="19" spans="1:10" ht="17.100000000000001" customHeight="1" x14ac:dyDescent="0.25">
      <c r="A19" s="825">
        <f>Gen!A25</f>
        <v>44392</v>
      </c>
      <c r="B19" s="828">
        <f>Gen!B25</f>
        <v>0.20799999999999999</v>
      </c>
      <c r="C19" s="826">
        <f>Gen!AJ25</f>
        <v>155.97999999999999</v>
      </c>
      <c r="D19" s="403">
        <f>Gen!S25</f>
        <v>1643.2600000000002</v>
      </c>
      <c r="E19" s="357">
        <f>Gen!C25</f>
        <v>36052.529999999984</v>
      </c>
      <c r="F19" s="358">
        <f>'Water-Meter'!E20</f>
        <v>83</v>
      </c>
      <c r="G19" s="359">
        <f>'Water-Meter'!AN20</f>
        <v>82</v>
      </c>
      <c r="H19" s="357">
        <f>'Utility report '!AC20</f>
        <v>36</v>
      </c>
      <c r="I19" s="356">
        <f>'Kit report'!F18</f>
        <v>288.00000000017462</v>
      </c>
      <c r="J19" s="357">
        <f>'Kit report'!X18</f>
        <v>759.99999999985448</v>
      </c>
    </row>
    <row r="20" spans="1:10" ht="17.100000000000001" customHeight="1" x14ac:dyDescent="0.25">
      <c r="A20" s="825">
        <f>Gen!A26</f>
        <v>44393</v>
      </c>
      <c r="B20" s="828">
        <f>Gen!B26</f>
        <v>0.27</v>
      </c>
      <c r="C20" s="826">
        <f>Gen!AJ26</f>
        <v>85.68</v>
      </c>
      <c r="D20" s="403">
        <f>Gen!S26</f>
        <v>1732.74</v>
      </c>
      <c r="E20" s="357">
        <f>Gen!C26</f>
        <v>34253.289999999986</v>
      </c>
      <c r="F20" s="358">
        <f>'Water-Meter'!E21</f>
        <v>103</v>
      </c>
      <c r="G20" s="359">
        <f>'Water-Meter'!F21</f>
        <v>0</v>
      </c>
      <c r="H20" s="357">
        <f>'Utility report '!AC21</f>
        <v>21</v>
      </c>
      <c r="I20" s="356">
        <f>'Kit report'!F19</f>
        <v>263.99999999986903</v>
      </c>
      <c r="J20" s="357">
        <f>'Kit report'!X19</f>
        <v>679.99999999992724</v>
      </c>
    </row>
    <row r="21" spans="1:10" ht="15" x14ac:dyDescent="0.25">
      <c r="A21" s="825">
        <f>Gen!A27</f>
        <v>44394</v>
      </c>
      <c r="B21" s="828">
        <f>Gen!B27</f>
        <v>0.26</v>
      </c>
      <c r="C21" s="826">
        <f>Gen!AJ27</f>
        <v>496.38</v>
      </c>
      <c r="D21" s="403">
        <f>Gen!S27</f>
        <v>1766.6399999999999</v>
      </c>
      <c r="E21" s="357">
        <f>Gen!C27</f>
        <v>32434.869999999988</v>
      </c>
      <c r="F21" s="358">
        <f>'Water-Meter'!E22</f>
        <v>107</v>
      </c>
      <c r="G21" s="359">
        <f>'Water-Meter'!F22</f>
        <v>0</v>
      </c>
      <c r="H21" s="357">
        <f>'Utility report '!AC22</f>
        <v>35</v>
      </c>
      <c r="I21" s="356">
        <f>'Kit report'!F20</f>
        <v>300</v>
      </c>
      <c r="J21" s="357">
        <f>'Kit report'!X20</f>
        <v>780.00000000029104</v>
      </c>
    </row>
    <row r="22" spans="1:10" ht="15" customHeight="1" x14ac:dyDescent="0.25">
      <c r="A22" s="825">
        <f>Gen!A28</f>
        <v>44395</v>
      </c>
      <c r="B22" s="828">
        <f>Gen!B28</f>
        <v>0.35</v>
      </c>
      <c r="C22" s="826">
        <f>Gen!AJ30</f>
        <v>49.26</v>
      </c>
      <c r="D22" s="403">
        <f>Gen!S30</f>
        <v>2007.64</v>
      </c>
      <c r="E22" s="357">
        <f>Gen!C30</f>
        <v>25973.249999999989</v>
      </c>
      <c r="F22" s="358">
        <f>'Water-Meter'!E23</f>
        <v>128</v>
      </c>
      <c r="G22" s="359">
        <f>'Water-Meter'!AN25</f>
        <v>168</v>
      </c>
      <c r="H22" s="357">
        <f>'Utility report '!AC25</f>
        <v>155</v>
      </c>
      <c r="I22" s="356">
        <f>'Kit report'!F23</f>
        <v>336.00000000013097</v>
      </c>
      <c r="J22" s="357">
        <f>'Kit report'!X23</f>
        <v>700</v>
      </c>
    </row>
    <row r="23" spans="1:10" ht="15" customHeight="1" x14ac:dyDescent="0.25">
      <c r="A23" s="825">
        <f>Gen!A29</f>
        <v>44396</v>
      </c>
      <c r="B23" s="828">
        <f>Gen!B29</f>
        <v>0.39</v>
      </c>
      <c r="C23" s="826">
        <f>Gen!AJ31</f>
        <v>556.39</v>
      </c>
      <c r="D23" s="403">
        <f>Gen!S31</f>
        <v>1992.78</v>
      </c>
      <c r="E23" s="357">
        <f>Gen!C31</f>
        <v>23916.349999999988</v>
      </c>
      <c r="F23" s="358">
        <f>'Water-Meter'!E26</f>
        <v>133</v>
      </c>
      <c r="G23" s="359">
        <f>'Water-Meter'!AN26</f>
        <v>169</v>
      </c>
      <c r="H23" s="357">
        <f>'Utility report '!AC26</f>
        <v>0</v>
      </c>
      <c r="I23" s="356">
        <f>'Kit report'!F24</f>
        <v>300</v>
      </c>
      <c r="J23" s="357">
        <f>'Kit report'!X24</f>
        <v>779.99999999992724</v>
      </c>
    </row>
    <row r="24" spans="1:10" ht="15" customHeight="1" x14ac:dyDescent="0.25">
      <c r="A24" s="825">
        <f>Gen!A30</f>
        <v>44397</v>
      </c>
      <c r="B24" s="828">
        <f>Gen!B30</f>
        <v>0.39</v>
      </c>
      <c r="C24" s="826">
        <f>Gen!AJ32</f>
        <v>494.65</v>
      </c>
      <c r="D24" s="403">
        <f>Gen!S32</f>
        <v>2232.89</v>
      </c>
      <c r="E24" s="357">
        <f>Gen!C32</f>
        <v>21367.179999999986</v>
      </c>
      <c r="F24" s="358">
        <f>'Water-Meter'!E27</f>
        <v>113</v>
      </c>
      <c r="G24" s="359">
        <f>'Water-Meter'!AN27</f>
        <v>139</v>
      </c>
      <c r="H24" s="357">
        <f>'Utility report '!AC27</f>
        <v>167</v>
      </c>
      <c r="I24" s="356">
        <f>'Kit report'!F25</f>
        <v>323.99999999986903</v>
      </c>
      <c r="J24" s="357">
        <f>'Kit report'!X25</f>
        <v>779.99999999992724</v>
      </c>
    </row>
    <row r="25" spans="1:10" ht="15" customHeight="1" x14ac:dyDescent="0.25">
      <c r="A25" s="825">
        <f>Gen!A31</f>
        <v>44398</v>
      </c>
      <c r="B25" s="828">
        <f>Gen!B31</f>
        <v>0.55000000000000004</v>
      </c>
      <c r="C25" s="826">
        <f>Gen!AJ33</f>
        <v>228.3</v>
      </c>
      <c r="D25" s="403">
        <f>Gen!S33</f>
        <v>2090.79</v>
      </c>
      <c r="E25" s="357">
        <f>Gen!C33</f>
        <v>18639.639999999985</v>
      </c>
      <c r="F25" s="358">
        <f>'Water-Meter'!E28</f>
        <v>108</v>
      </c>
      <c r="G25" s="359">
        <f>'Water-Meter'!AN28</f>
        <v>165</v>
      </c>
      <c r="H25" s="357">
        <f>'Utility report '!AC28</f>
        <v>163</v>
      </c>
      <c r="I25" s="356">
        <f>'Kit report'!F26</f>
        <v>348.00000000017462</v>
      </c>
      <c r="J25" s="357">
        <f>'Kit report'!X26</f>
        <v>860.00000000021828</v>
      </c>
    </row>
    <row r="26" spans="1:10" ht="15" customHeight="1" x14ac:dyDescent="0.25">
      <c r="A26" s="825">
        <f>Gen!A32</f>
        <v>44399</v>
      </c>
      <c r="B26" s="828">
        <f>Gen!B32</f>
        <v>0.54500000000000004</v>
      </c>
      <c r="C26" s="826">
        <f>Gen!AJ34</f>
        <v>442.98</v>
      </c>
      <c r="D26" s="403">
        <f>Gen!S34</f>
        <v>2014.73</v>
      </c>
      <c r="E26" s="357">
        <f>Gen!C34</f>
        <v>16320.549999999985</v>
      </c>
      <c r="F26" s="358">
        <f>'Water-Meter'!E29</f>
        <v>106</v>
      </c>
      <c r="G26" s="359">
        <f>'Water-Meter'!AN29</f>
        <v>158</v>
      </c>
      <c r="H26" s="357">
        <f>'Utility report '!AC29</f>
        <v>0</v>
      </c>
      <c r="I26" s="356">
        <f>'Kit report'!F27</f>
        <v>347.99999999995634</v>
      </c>
      <c r="J26" s="357">
        <f>'Kit report'!X27</f>
        <v>739.99999999978172</v>
      </c>
    </row>
    <row r="27" spans="1:10" ht="15" customHeight="1" x14ac:dyDescent="0.25">
      <c r="A27" s="825">
        <f>Gen!A33</f>
        <v>44400</v>
      </c>
      <c r="B27" s="828">
        <f>Gen!B33</f>
        <v>0.45500000000000002</v>
      </c>
      <c r="C27" s="826">
        <f>Gen!AJ35</f>
        <v>259.78999999999996</v>
      </c>
      <c r="D27" s="403">
        <f>Gen!S35</f>
        <v>1869.09</v>
      </c>
      <c r="E27" s="357">
        <f>Gen!C35</f>
        <v>28862.839999999986</v>
      </c>
      <c r="F27" s="358">
        <f>'Water-Meter'!E30</f>
        <v>106</v>
      </c>
      <c r="G27" s="359">
        <f>'Water-Meter'!AN30</f>
        <v>169</v>
      </c>
      <c r="H27" s="357">
        <f>'Utility report '!AC30</f>
        <v>81</v>
      </c>
      <c r="I27" s="356">
        <f>'Kit report'!F28</f>
        <v>360</v>
      </c>
      <c r="J27" s="357">
        <f>'Kit report'!X28</f>
        <v>800</v>
      </c>
    </row>
    <row r="28" spans="1:10" ht="15" customHeight="1" x14ac:dyDescent="0.25">
      <c r="A28" s="825">
        <f>Gen!A34</f>
        <v>44401</v>
      </c>
      <c r="B28" s="828">
        <f>Gen!B34</f>
        <v>0.247</v>
      </c>
      <c r="C28" s="826">
        <f>Gen!AJ36</f>
        <v>70.92</v>
      </c>
      <c r="D28" s="403">
        <f>Gen!S36</f>
        <v>1888.7999999999997</v>
      </c>
      <c r="E28" s="357">
        <f>Gen!C36</f>
        <v>26733.959999999985</v>
      </c>
      <c r="F28" s="358">
        <f>'Water-Meter'!E31</f>
        <v>96</v>
      </c>
      <c r="G28" s="359">
        <f>'Water-Meter'!AN31</f>
        <v>164</v>
      </c>
      <c r="H28" s="357">
        <f>'Utility report '!AC31</f>
        <v>25</v>
      </c>
      <c r="I28" s="356">
        <f>'Kit report'!F29</f>
        <v>275.99999999991269</v>
      </c>
      <c r="J28" s="357">
        <f>'Kit report'!X29</f>
        <v>860.00000000021828</v>
      </c>
    </row>
    <row r="29" spans="1:10" ht="15" customHeight="1" x14ac:dyDescent="0.25">
      <c r="A29" s="825">
        <f>Gen!A35</f>
        <v>44402</v>
      </c>
      <c r="B29" s="828">
        <f>Gen!B35</f>
        <v>0.20799999999999999</v>
      </c>
      <c r="C29" s="826">
        <f>Gen!AJ37</f>
        <v>491.89</v>
      </c>
      <c r="D29" s="403">
        <f>Gen!S37</f>
        <v>1921.29</v>
      </c>
      <c r="E29" s="357">
        <f>Gen!C37</f>
        <v>24774.239999999983</v>
      </c>
      <c r="F29" s="358">
        <f>'Water-Meter'!E32</f>
        <v>103</v>
      </c>
      <c r="G29" s="359">
        <f>'Water-Meter'!AN32</f>
        <v>163</v>
      </c>
      <c r="H29" s="357">
        <f>'Utility report '!AC32</f>
        <v>93</v>
      </c>
      <c r="I29" s="356">
        <f>'Kit report'!F30</f>
        <v>300</v>
      </c>
      <c r="J29" s="357">
        <f>'Kit report'!X30</f>
        <v>700</v>
      </c>
    </row>
    <row r="30" spans="1:10" ht="15" customHeight="1" x14ac:dyDescent="0.25">
      <c r="A30" s="825">
        <f>Gen!A36</f>
        <v>44403</v>
      </c>
      <c r="B30" s="828">
        <f>Gen!B36</f>
        <v>0.156</v>
      </c>
      <c r="C30" s="826">
        <f>Gen!AJ38</f>
        <v>147.47</v>
      </c>
      <c r="D30" s="403">
        <f>Gen!S38</f>
        <v>1696.6200000000001</v>
      </c>
      <c r="E30" s="357">
        <f>Gen!C38</f>
        <v>37361.059999999983</v>
      </c>
      <c r="F30" s="358">
        <f>'Water-Meter'!E33</f>
        <v>115</v>
      </c>
      <c r="G30" s="359">
        <f>'Water-Meter'!AN33</f>
        <v>96</v>
      </c>
      <c r="H30" s="357">
        <f>'Utility report '!AC33</f>
        <v>161</v>
      </c>
      <c r="I30" s="356">
        <f>'Kit report'!F31</f>
        <v>324.00000000008731</v>
      </c>
      <c r="J30" s="357">
        <f>'Kit report'!X31</f>
        <v>679.99999999992724</v>
      </c>
    </row>
    <row r="31" spans="1:10" ht="15" customHeight="1" x14ac:dyDescent="0.25">
      <c r="A31" s="825">
        <f>Gen!A37</f>
        <v>44404</v>
      </c>
      <c r="B31" s="828">
        <f>Gen!B37</f>
        <v>0.29899999999999999</v>
      </c>
      <c r="C31" s="826">
        <f>Gen!AJ39</f>
        <v>246.95</v>
      </c>
      <c r="D31" s="403">
        <f>Gen!S39</f>
        <v>1992.06</v>
      </c>
      <c r="E31" s="357">
        <f>Gen!C39</f>
        <v>35516.969999999987</v>
      </c>
      <c r="F31" s="358">
        <f>'Water-Meter'!E34</f>
        <v>111</v>
      </c>
      <c r="G31" s="359">
        <f>'Water-Meter'!AN34</f>
        <v>153</v>
      </c>
      <c r="H31" s="357">
        <f>'Utility report '!AC34</f>
        <v>109</v>
      </c>
      <c r="I31" s="356">
        <f>'Kit report'!F32</f>
        <v>335.99999999991269</v>
      </c>
      <c r="J31" s="357">
        <f>'Kit report'!X32</f>
        <v>600</v>
      </c>
    </row>
    <row r="32" spans="1:10" ht="15" customHeight="1" x14ac:dyDescent="0.25">
      <c r="A32" s="825">
        <f>Gen!A38</f>
        <v>44405</v>
      </c>
      <c r="B32" s="828">
        <f>Gen!B38</f>
        <v>0.46800000000000003</v>
      </c>
      <c r="C32" s="826">
        <f>Gen!AJ40</f>
        <v>369</v>
      </c>
      <c r="D32" s="403">
        <f>Gen!S40</f>
        <v>1822.57</v>
      </c>
      <c r="E32" s="401">
        <f>Gen!C40</f>
        <v>33277.959999999985</v>
      </c>
      <c r="F32" s="358">
        <f>'Water-Meter'!E35</f>
        <v>105</v>
      </c>
      <c r="G32" s="359">
        <f>'Water-Meter'!AN35</f>
        <v>167</v>
      </c>
      <c r="H32" s="357">
        <f>'Utility report '!AC35</f>
        <v>64</v>
      </c>
      <c r="I32" s="356">
        <f>'Kit report'!F33</f>
        <v>300</v>
      </c>
      <c r="J32" s="357">
        <f>'Kit report'!X33</f>
        <v>659.99999999985448</v>
      </c>
    </row>
    <row r="33" spans="1:10" ht="15" customHeight="1" x14ac:dyDescent="0.25">
      <c r="A33" s="825">
        <f>Gen!A39</f>
        <v>44406</v>
      </c>
      <c r="B33" s="828">
        <f>Gen!B39</f>
        <v>0.51</v>
      </c>
      <c r="C33" s="826">
        <f>Gen!AJ41</f>
        <v>376.24</v>
      </c>
      <c r="D33" s="403">
        <f>Gen!S41</f>
        <v>1680.02</v>
      </c>
      <c r="E33" s="359">
        <f>Gen!C41</f>
        <v>31086.389999999985</v>
      </c>
      <c r="F33" s="358">
        <f>'Water-Meter'!E36</f>
        <v>99</v>
      </c>
      <c r="G33" s="359">
        <f>'Water-Meter'!AN36</f>
        <v>149</v>
      </c>
      <c r="H33" s="357">
        <f>'Utility report '!AC36</f>
        <v>65</v>
      </c>
      <c r="I33" s="356">
        <f>'Kit report'!F34</f>
        <v>336.00000000013097</v>
      </c>
      <c r="J33" s="357">
        <f>'Kit report'!X34</f>
        <v>760.00000000021828</v>
      </c>
    </row>
    <row r="34" spans="1:10" ht="15" x14ac:dyDescent="0.25">
      <c r="A34" s="825">
        <f>Gen!A40</f>
        <v>44407</v>
      </c>
      <c r="B34" s="828">
        <f>Gen!B40</f>
        <v>0.38</v>
      </c>
      <c r="C34" s="826">
        <f>Gen!AK42</f>
        <v>0</v>
      </c>
      <c r="D34" s="403">
        <f>Gen!T42</f>
        <v>0</v>
      </c>
      <c r="E34" s="359">
        <f>Gen!C42</f>
        <v>29030.129999999983</v>
      </c>
      <c r="F34" s="358" t="str">
        <f>'Water-Meter'!E37</f>
        <v>0</v>
      </c>
      <c r="G34" s="359">
        <f>'Water-Meter'!AN37</f>
        <v>0</v>
      </c>
      <c r="H34" s="357">
        <f>'Utility report '!AC37</f>
        <v>-7713</v>
      </c>
      <c r="I34" s="356"/>
      <c r="J34" s="357">
        <f>'Kit report'!X35</f>
        <v>819.99999999970896</v>
      </c>
    </row>
    <row r="35" spans="1:10" ht="15" x14ac:dyDescent="0.25">
      <c r="A35" s="194">
        <f>Gen!A41</f>
        <v>44408</v>
      </c>
      <c r="B35" s="827">
        <f>Gen!B41</f>
        <v>0.15</v>
      </c>
      <c r="C35" s="402">
        <f>Gen!AK43</f>
        <v>0</v>
      </c>
      <c r="D35" s="403">
        <f>Gen!T43</f>
        <v>0</v>
      </c>
      <c r="E35" s="359">
        <f>Gen!C43</f>
        <v>29030.129999999983</v>
      </c>
      <c r="F35" s="358">
        <f>'Water-Meter'!E38</f>
        <v>3372</v>
      </c>
      <c r="G35" s="359">
        <f>'Water-Meter'!AN38</f>
        <v>4507</v>
      </c>
      <c r="H35" s="357">
        <f>'Utility report '!AC38</f>
        <v>0</v>
      </c>
      <c r="I35" s="356">
        <f>'Kit report'!F36</f>
        <v>0</v>
      </c>
      <c r="J35" s="357">
        <f>M25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7CFE40D-3B88-4930-9CD4-D020803B2A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8FC3B6A-F63B-42FE-9A5D-398EE53DE8C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5FF6829-AE3F-474D-8584-53673DD0AD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8562c0-0682-4399-9d35-aea5069ccf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Total</vt:lpstr>
      <vt:lpstr>Submetering</vt:lpstr>
      <vt:lpstr>UTILITY REPORT 1</vt:lpstr>
      <vt:lpstr>Utility summery</vt:lpstr>
      <vt:lpstr>Utility report </vt:lpstr>
      <vt:lpstr>Kit report</vt:lpstr>
      <vt:lpstr>Energy Graph</vt:lpstr>
      <vt:lpstr>Summery Report</vt:lpstr>
      <vt:lpstr>Daily report Gen</vt:lpstr>
      <vt:lpstr>Gen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  <vt:lpstr>Sheet2</vt:lpstr>
    </vt:vector>
  </TitlesOfParts>
  <Manager/>
  <Company>Kilimanjaro Hotel Kempinski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Joe El Khoury</cp:lastModifiedBy>
  <cp:revision/>
  <dcterms:created xsi:type="dcterms:W3CDTF">2009-01-25T09:02:38Z</dcterms:created>
  <dcterms:modified xsi:type="dcterms:W3CDTF">2021-08-12T07:37:38Z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