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F9034D4-0FBF-4C37-9A50-B224680DA829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3" l="1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F2" i="3" l="1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<sst xmlns="http://schemas.openxmlformats.org/spreadsheetml/2006/main" count="77" uniqueCount="40">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</sst>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6"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0</v>
      </c>
      <c r="P2" s="103">
        <f>December!AD2</f>
        <v>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1477</v>
      </c>
      <c r="N3" s="122">
        <v>0.88</v>
      </c>
      <c r="O3" s="103">
        <f>December!AC3</f>
        <v>0</v>
      </c>
      <c r="P3" s="103">
        <f>December!AD3</f>
        <v>0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0</v>
      </c>
      <c r="F4" s="113" t="e">
        <f>(December!C4*0.27)/(December!C4+December!E4)</f>
        <v>#DIV/0!</v>
      </c>
      <c r="G4" s="100" t="str">
        <f>December!U4</f>
        <v>0</v>
      </c>
      <c r="H4" s="116">
        <v>0.62</v>
      </c>
      <c r="I4" s="101" t="str">
        <f>December!W4</f>
        <v>0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0</v>
      </c>
      <c r="P4" s="103">
        <f>December!AD4</f>
        <v>0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0</v>
      </c>
      <c r="F5" s="113" t="e">
        <f>(December!C5*0.27)/(December!C5+December!E5)</f>
        <v>#DIV/0!</v>
      </c>
      <c r="G5" s="100" t="str">
        <f>December!U5</f>
        <v>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0</v>
      </c>
      <c r="P5" s="103">
        <f>December!AD5</f>
        <v>0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0</v>
      </c>
      <c r="F6" s="113" t="e">
        <f>(December!C6*0.27)/(December!C6+December!E6)</f>
        <v>#DIV/0!</v>
      </c>
      <c r="G6" s="100" t="str">
        <f>December!U6</f>
        <v>0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0</v>
      </c>
      <c r="P6" s="103">
        <f>December!AD6</f>
        <v>0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0</v>
      </c>
      <c r="F7" s="113" t="e">
        <f>(December!C7*0.27)/(December!C7+December!E7)</f>
        <v>#DIV/0!</v>
      </c>
      <c r="G7" s="100" t="str">
        <f>December!U7</f>
        <v>0</v>
      </c>
      <c r="H7" s="116">
        <v>0.62</v>
      </c>
      <c r="I7" s="101">
        <f>December!W7</f>
        <v>0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0</v>
      </c>
      <c r="P7" s="103">
        <f>December!AD7</f>
        <v>0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0</v>
      </c>
      <c r="F8" s="113" t="e">
        <f>(December!C8*0.27)/(December!C8+December!E8)</f>
        <v>#DIV/0!</v>
      </c>
      <c r="G8" s="100" t="str">
        <f>December!U8</f>
        <v>0</v>
      </c>
      <c r="H8" s="116">
        <v>0.62</v>
      </c>
      <c r="I8" s="101">
        <f>December!W8</f>
        <v>0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0</v>
      </c>
      <c r="P8" s="103">
        <f>December!AD8</f>
        <v>0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0</v>
      </c>
      <c r="F9" s="113" t="e">
        <f>(December!C9*0.27)/(December!C9+December!E9)</f>
        <v>#DIV/0!</v>
      </c>
      <c r="G9" s="100" t="str">
        <f>December!U9</f>
        <v>0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0</v>
      </c>
      <c r="P9" s="103">
        <f>December!AD9</f>
        <v>0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0</v>
      </c>
      <c r="F10" s="113" t="e">
        <f>(December!C10*0.27)/(December!C10+December!E10)</f>
        <v>#DIV/0!</v>
      </c>
      <c r="G10" s="100" t="str">
        <f>December!U10</f>
        <v>0</v>
      </c>
      <c r="H10" s="116">
        <v>0.62</v>
      </c>
      <c r="I10" s="101">
        <f>December!W10</f>
        <v>0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0</v>
      </c>
      <c r="P10" s="103">
        <f>December!AD10</f>
        <v>0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0</v>
      </c>
      <c r="F11" s="113" t="e">
        <f>(December!C11*0.27)/(December!C11+December!E11)</f>
        <v>#DIV/0!</v>
      </c>
      <c r="G11" s="100" t="str">
        <f>December!U11</f>
        <v>0</v>
      </c>
      <c r="H11" s="116">
        <v>0.62</v>
      </c>
      <c r="I11" s="101">
        <f>December!W11</f>
        <v>0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0</v>
      </c>
      <c r="P11" s="103">
        <f>December!AD11</f>
        <v>0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0</v>
      </c>
      <c r="F12" s="113" t="e">
        <f>(December!C12*0.27)/(December!C12+December!E12)</f>
        <v>#DIV/0!</v>
      </c>
      <c r="G12" s="100" t="str">
        <f>December!U12</f>
        <v>0</v>
      </c>
      <c r="H12" s="116">
        <v>0.62</v>
      </c>
      <c r="I12" s="101">
        <f>December!W12</f>
        <v>0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0</v>
      </c>
      <c r="P12" s="103">
        <f>December!AD12</f>
        <v>0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0</v>
      </c>
      <c r="F13" s="113" t="e">
        <f>(December!C13*0.27)/(December!C13+December!E13)</f>
        <v>#DIV/0!</v>
      </c>
      <c r="G13" s="100" t="str">
        <f>December!U13</f>
        <v>0</v>
      </c>
      <c r="H13" s="116">
        <v>0.62</v>
      </c>
      <c r="I13" s="101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0</v>
      </c>
      <c r="P13" s="103">
        <f>December!AD13</f>
        <v>0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0</v>
      </c>
      <c r="F14" s="113" t="e">
        <f>(December!C14*0.27)/(December!C14+December!E14)</f>
        <v>#DIV/0!</v>
      </c>
      <c r="G14" s="100" t="str">
        <f>December!U14</f>
        <v>0</v>
      </c>
      <c r="H14" s="116">
        <v>0.62</v>
      </c>
      <c r="I14" s="101">
        <f>December!W14</f>
        <v>0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0</v>
      </c>
      <c r="P14" s="103">
        <f>December!AD14</f>
        <v>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0</v>
      </c>
      <c r="F15" s="113" t="e">
        <f>(December!C15*0.27)/(December!C15+December!E15)</f>
        <v>#DIV/0!</v>
      </c>
      <c r="G15" s="100" t="str">
        <f>December!U15</f>
        <v>0</v>
      </c>
      <c r="H15" s="116">
        <v>0.62</v>
      </c>
      <c r="I15" s="101">
        <f>December!W15</f>
        <v>0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0</v>
      </c>
      <c r="P15" s="103">
        <f>December!AD15</f>
        <v>0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0</v>
      </c>
      <c r="F16" s="113" t="e">
        <f>(December!C16*0.27)/(December!C16+December!E16)</f>
        <v>#DIV/0!</v>
      </c>
      <c r="G16" s="100" t="str">
        <f>December!U16</f>
        <v>0</v>
      </c>
      <c r="H16" s="116">
        <v>0.62</v>
      </c>
      <c r="I16" s="101">
        <f>December!W16</f>
        <v>0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0</v>
      </c>
      <c r="P16" s="103">
        <f>December!AD16</f>
        <v>0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0</v>
      </c>
      <c r="F17" s="113" t="e">
        <f>(December!C17*0.27)/(December!C17+December!E17)</f>
        <v>#DIV/0!</v>
      </c>
      <c r="G17" s="100" t="str">
        <f>December!U17</f>
        <v>0</v>
      </c>
      <c r="H17" s="116">
        <v>0.62</v>
      </c>
      <c r="I17" s="101">
        <f>December!W17</f>
        <v>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0</v>
      </c>
      <c r="P17" s="103">
        <f>December!AD17</f>
        <v>0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0</v>
      </c>
      <c r="F18" s="113" t="e">
        <f>(December!C18*0.27)/(December!C18+December!E18)</f>
        <v>#DIV/0!</v>
      </c>
      <c r="G18" s="100" t="str">
        <f>December!U18</f>
        <v>0</v>
      </c>
      <c r="H18" s="116">
        <v>0.62</v>
      </c>
      <c r="I18" s="101">
        <f>December!W18</f>
        <v>0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0</v>
      </c>
      <c r="P18" s="103">
        <f>December!AD18</f>
        <v>0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0</v>
      </c>
      <c r="F19" s="113" t="e">
        <f>(December!C19*0.27)/(December!C19+December!E19)</f>
        <v>#DIV/0!</v>
      </c>
      <c r="G19" s="100" t="str">
        <f>December!U19</f>
        <v>0</v>
      </c>
      <c r="H19" s="116">
        <v>0.62</v>
      </c>
      <c r="I19" s="101">
        <f>December!W19</f>
        <v>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0</v>
      </c>
      <c r="N19" s="122">
        <v>0.88</v>
      </c>
      <c r="O19" s="103">
        <f>December!AC19</f>
        <v>0</v>
      </c>
      <c r="P19" s="103">
        <f>December!AD19</f>
        <v>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0</v>
      </c>
      <c r="F20" s="113" t="e">
        <f>(December!C20*0.27)/(December!C20+December!E20)</f>
        <v>#DIV/0!</v>
      </c>
      <c r="G20" s="100" t="str">
        <f>December!U20</f>
        <v>0</v>
      </c>
      <c r="H20" s="116">
        <v>0.62</v>
      </c>
      <c r="I20" s="101">
        <f>December!W20</f>
        <v>0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0</v>
      </c>
      <c r="P20" s="103">
        <f>December!AD20</f>
        <v>0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85" zoomScaleNormal="85" workbookViewId="0">
      <selection activeCell="B7" sqref="B7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-2308.9700000000084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/>
      <c r="AD2" s="17"/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-42701.26</v>
      </c>
      <c r="J3" s="32">
        <f t="shared" si="0"/>
        <v>-2929.260000000002</v>
      </c>
      <c r="K3" s="20">
        <f t="shared" si="1"/>
        <v>45628</v>
      </c>
      <c r="L3" s="33">
        <v>6296</v>
      </c>
      <c r="M3" s="34">
        <v>1477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/>
      <c r="AD3" s="18"/>
    </row>
    <row r="4" spans="1:30" ht="20.7" customHeight="1" x14ac:dyDescent="0.2">
      <c r="A4" s="19">
        <v>45629</v>
      </c>
      <c r="B4" s="10">
        <v>13296855</v>
      </c>
      <c r="C4" s="14" t="str">
        <f t="shared" si="2"/>
        <v>0</v>
      </c>
      <c r="D4" s="11">
        <v>607983</v>
      </c>
      <c r="E4" s="14" t="str">
        <f t="shared" si="3"/>
        <v>0</v>
      </c>
      <c r="F4" s="27">
        <v>1704</v>
      </c>
      <c r="G4" s="70">
        <f t="shared" si="4"/>
        <v>0</v>
      </c>
      <c r="H4" s="72">
        <f t="shared" si="5"/>
        <v>0</v>
      </c>
      <c r="I4" s="76">
        <f t="shared" si="6"/>
        <v>-45630.520000000004</v>
      </c>
      <c r="J4" s="32">
        <f t="shared" si="0"/>
        <v>0.52000000000407454</v>
      </c>
      <c r="K4" s="20">
        <f t="shared" si="1"/>
        <v>45629</v>
      </c>
      <c r="L4" s="33">
        <v>6046</v>
      </c>
      <c r="M4" s="34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 t="str">
        <f t="shared" si="8"/>
        <v>0</v>
      </c>
      <c r="V4" s="44">
        <v>121782</v>
      </c>
      <c r="W4" s="32" t="str">
        <f t="shared" si="9"/>
        <v>0</v>
      </c>
      <c r="X4" s="47">
        <v>61222</v>
      </c>
      <c r="Y4" s="14" t="str">
        <f t="shared" si="10"/>
        <v>0</v>
      </c>
      <c r="Z4" s="50">
        <v>2400</v>
      </c>
      <c r="AA4" s="55">
        <v>0</v>
      </c>
      <c r="AB4" s="32" t="str">
        <f t="shared" si="11"/>
        <v>0</v>
      </c>
      <c r="AC4" s="13"/>
      <c r="AD4" s="18"/>
    </row>
    <row r="5" spans="1:30" ht="20.7" customHeight="1" x14ac:dyDescent="0.2">
      <c r="A5" s="20">
        <v>45630</v>
      </c>
      <c r="B5" s="10"/>
      <c r="C5" s="14">
        <f t="shared" si="2"/>
        <v>0</v>
      </c>
      <c r="D5" s="11"/>
      <c r="E5" s="14">
        <f t="shared" si="3"/>
        <v>0</v>
      </c>
      <c r="F5" s="27">
        <v>1704</v>
      </c>
      <c r="G5" s="70">
        <f t="shared" si="4"/>
        <v>0</v>
      </c>
      <c r="H5" s="72">
        <f t="shared" si="5"/>
        <v>0</v>
      </c>
      <c r="I5" s="76">
        <f t="shared" si="6"/>
        <v>-45630</v>
      </c>
      <c r="J5" s="32">
        <f t="shared" si="0"/>
        <v>-1</v>
      </c>
      <c r="K5" s="20">
        <f t="shared" si="1"/>
        <v>45630</v>
      </c>
      <c r="L5" s="33"/>
      <c r="M5" s="34">
        <v>0</v>
      </c>
      <c r="N5" s="35">
        <v>0</v>
      </c>
      <c r="O5" s="88"/>
      <c r="P5" s="89"/>
      <c r="Q5" s="88"/>
      <c r="R5" s="89"/>
      <c r="S5" s="39">
        <f t="shared" si="7"/>
        <v>0</v>
      </c>
      <c r="T5" s="126"/>
      <c r="U5" s="32" t="str">
        <f t="shared" si="8"/>
        <v>0</v>
      </c>
      <c r="V5" s="44"/>
      <c r="W5" s="32">
        <f t="shared" si="9"/>
        <v>0</v>
      </c>
      <c r="X5" s="47"/>
      <c r="Y5" s="14">
        <f t="shared" si="10"/>
        <v>0</v>
      </c>
      <c r="Z5" s="50"/>
      <c r="AA5" s="55">
        <v>0</v>
      </c>
      <c r="AB5" s="32" t="str">
        <f t="shared" si="11"/>
        <v>0</v>
      </c>
      <c r="AC5" s="13"/>
      <c r="AD5" s="18"/>
    </row>
    <row r="6" spans="1:30" ht="20.7" customHeight="1" x14ac:dyDescent="0.2">
      <c r="A6" s="19">
        <v>45631</v>
      </c>
      <c r="B6" s="10"/>
      <c r="C6" s="14">
        <f t="shared" si="2"/>
        <v>0</v>
      </c>
      <c r="D6" s="11"/>
      <c r="E6" s="14">
        <f t="shared" si="3"/>
        <v>0</v>
      </c>
      <c r="F6" s="27">
        <v>1704</v>
      </c>
      <c r="G6" s="70">
        <f t="shared" si="4"/>
        <v>0</v>
      </c>
      <c r="H6" s="72">
        <f t="shared" si="5"/>
        <v>0</v>
      </c>
      <c r="I6" s="76">
        <f t="shared" si="6"/>
        <v>-45631</v>
      </c>
      <c r="J6" s="32">
        <f t="shared" si="0"/>
        <v>-1</v>
      </c>
      <c r="K6" s="20">
        <f t="shared" si="1"/>
        <v>45631</v>
      </c>
      <c r="L6" s="33"/>
      <c r="M6" s="34">
        <v>0</v>
      </c>
      <c r="N6" s="35">
        <v>0</v>
      </c>
      <c r="O6" s="88"/>
      <c r="P6" s="89"/>
      <c r="Q6" s="88"/>
      <c r="R6" s="89"/>
      <c r="S6" s="39">
        <f t="shared" si="7"/>
        <v>0</v>
      </c>
      <c r="T6" s="126"/>
      <c r="U6" s="32" t="str">
        <f t="shared" si="8"/>
        <v>0</v>
      </c>
      <c r="V6" s="44"/>
      <c r="W6" s="32">
        <f t="shared" si="9"/>
        <v>0</v>
      </c>
      <c r="X6" s="47"/>
      <c r="Y6" s="14">
        <f t="shared" si="10"/>
        <v>0</v>
      </c>
      <c r="Z6" s="50"/>
      <c r="AA6" s="55">
        <v>0</v>
      </c>
      <c r="AB6" s="32" t="str">
        <f t="shared" si="11"/>
        <v>0</v>
      </c>
      <c r="AC6" s="13"/>
      <c r="AD6" s="18"/>
    </row>
    <row r="7" spans="1:30" ht="20.7" customHeight="1" x14ac:dyDescent="0.2">
      <c r="A7" s="20">
        <v>45632</v>
      </c>
      <c r="B7" s="10"/>
      <c r="C7" s="14">
        <f t="shared" si="2"/>
        <v>0</v>
      </c>
      <c r="D7" s="11"/>
      <c r="E7" s="14">
        <f t="shared" si="3"/>
        <v>0</v>
      </c>
      <c r="F7" s="27">
        <v>1704</v>
      </c>
      <c r="G7" s="70">
        <f t="shared" si="4"/>
        <v>0</v>
      </c>
      <c r="H7" s="72">
        <f t="shared" si="5"/>
        <v>0</v>
      </c>
      <c r="I7" s="76">
        <f t="shared" si="6"/>
        <v>-45632</v>
      </c>
      <c r="J7" s="32">
        <f t="shared" si="0"/>
        <v>-1</v>
      </c>
      <c r="K7" s="20">
        <f t="shared" si="1"/>
        <v>45632</v>
      </c>
      <c r="L7" s="33"/>
      <c r="M7" s="34">
        <v>0</v>
      </c>
      <c r="N7" s="35">
        <v>0</v>
      </c>
      <c r="O7" s="88"/>
      <c r="P7" s="89"/>
      <c r="Q7" s="88"/>
      <c r="R7" s="89"/>
      <c r="S7" s="39">
        <f t="shared" si="7"/>
        <v>0</v>
      </c>
      <c r="T7" s="126"/>
      <c r="U7" s="32" t="str">
        <f t="shared" si="8"/>
        <v>0</v>
      </c>
      <c r="V7" s="44"/>
      <c r="W7" s="32">
        <f t="shared" si="9"/>
        <v>0</v>
      </c>
      <c r="X7" s="47"/>
      <c r="Y7" s="14">
        <f t="shared" si="10"/>
        <v>0</v>
      </c>
      <c r="Z7" s="50"/>
      <c r="AA7" s="55">
        <v>0</v>
      </c>
      <c r="AB7" s="32" t="str">
        <f t="shared" si="11"/>
        <v>0</v>
      </c>
      <c r="AC7" s="13"/>
      <c r="AD7" s="18"/>
    </row>
    <row r="8" spans="1:30" ht="20.7" customHeight="1" x14ac:dyDescent="0.2">
      <c r="A8" s="19">
        <v>45633</v>
      </c>
      <c r="B8" s="10"/>
      <c r="C8" s="14">
        <f t="shared" si="2"/>
        <v>0</v>
      </c>
      <c r="D8" s="11"/>
      <c r="E8" s="14">
        <f t="shared" si="3"/>
        <v>0</v>
      </c>
      <c r="F8" s="27">
        <v>1704</v>
      </c>
      <c r="G8" s="70">
        <f t="shared" si="4"/>
        <v>0</v>
      </c>
      <c r="H8" s="72">
        <f t="shared" si="5"/>
        <v>0</v>
      </c>
      <c r="I8" s="76">
        <f t="shared" si="6"/>
        <v>-45633</v>
      </c>
      <c r="J8" s="32">
        <f t="shared" si="0"/>
        <v>-1</v>
      </c>
      <c r="K8" s="20">
        <f t="shared" si="1"/>
        <v>45633</v>
      </c>
      <c r="L8" s="33"/>
      <c r="M8" s="34">
        <v>0</v>
      </c>
      <c r="N8" s="35">
        <v>0</v>
      </c>
      <c r="O8" s="88"/>
      <c r="P8" s="89"/>
      <c r="Q8" s="88"/>
      <c r="R8" s="89"/>
      <c r="S8" s="39">
        <f t="shared" si="7"/>
        <v>0</v>
      </c>
      <c r="T8" s="126"/>
      <c r="U8" s="32" t="str">
        <f t="shared" si="8"/>
        <v>0</v>
      </c>
      <c r="V8" s="44"/>
      <c r="W8" s="32">
        <f t="shared" si="9"/>
        <v>0</v>
      </c>
      <c r="X8" s="47"/>
      <c r="Y8" s="14">
        <f t="shared" si="10"/>
        <v>0</v>
      </c>
      <c r="Z8" s="50"/>
      <c r="AA8" s="55">
        <v>0</v>
      </c>
      <c r="AB8" s="32" t="str">
        <f t="shared" si="11"/>
        <v>0</v>
      </c>
      <c r="AC8" s="13"/>
      <c r="AD8" s="18"/>
    </row>
    <row r="9" spans="1:30" ht="20.7" customHeight="1" x14ac:dyDescent="0.2">
      <c r="A9" s="20">
        <v>45634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70">
        <f t="shared" si="4"/>
        <v>0</v>
      </c>
      <c r="H9" s="72">
        <f t="shared" si="5"/>
        <v>0</v>
      </c>
      <c r="I9" s="76">
        <f t="shared" si="6"/>
        <v>-45634</v>
      </c>
      <c r="J9" s="32">
        <f t="shared" si="0"/>
        <v>-1</v>
      </c>
      <c r="K9" s="20">
        <f t="shared" si="1"/>
        <v>45634</v>
      </c>
      <c r="L9" s="33"/>
      <c r="M9" s="34">
        <v>0</v>
      </c>
      <c r="N9" s="35">
        <v>0</v>
      </c>
      <c r="O9" s="88"/>
      <c r="P9" s="89"/>
      <c r="Q9" s="88"/>
      <c r="R9" s="89"/>
      <c r="S9" s="39">
        <f t="shared" si="7"/>
        <v>0</v>
      </c>
      <c r="T9" s="126"/>
      <c r="U9" s="32" t="str">
        <f t="shared" si="8"/>
        <v>0</v>
      </c>
      <c r="V9" s="44"/>
      <c r="W9" s="32">
        <f t="shared" si="9"/>
        <v>0</v>
      </c>
      <c r="X9" s="47"/>
      <c r="Y9" s="14">
        <f t="shared" si="10"/>
        <v>0</v>
      </c>
      <c r="Z9" s="50"/>
      <c r="AA9" s="55">
        <v>0</v>
      </c>
      <c r="AB9" s="32" t="str">
        <f t="shared" si="11"/>
        <v>0</v>
      </c>
      <c r="AC9" s="13"/>
      <c r="AD9" s="18"/>
    </row>
    <row r="10" spans="1:30" ht="20.7" customHeight="1" x14ac:dyDescent="0.2">
      <c r="A10" s="19">
        <v>45635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70">
        <f t="shared" si="4"/>
        <v>0</v>
      </c>
      <c r="H10" s="72">
        <f t="shared" si="5"/>
        <v>0</v>
      </c>
      <c r="I10" s="76">
        <f t="shared" si="6"/>
        <v>-45635</v>
      </c>
      <c r="J10" s="32">
        <f t="shared" si="0"/>
        <v>-1</v>
      </c>
      <c r="K10" s="20">
        <f t="shared" si="1"/>
        <v>45635</v>
      </c>
      <c r="L10" s="33"/>
      <c r="M10" s="34">
        <v>0</v>
      </c>
      <c r="N10" s="35">
        <v>0</v>
      </c>
      <c r="O10" s="88"/>
      <c r="P10" s="89"/>
      <c r="Q10" s="88"/>
      <c r="R10" s="89"/>
      <c r="S10" s="39">
        <f t="shared" si="7"/>
        <v>0</v>
      </c>
      <c r="T10" s="126"/>
      <c r="U10" s="32" t="str">
        <f t="shared" si="8"/>
        <v>0</v>
      </c>
      <c r="V10" s="44"/>
      <c r="W10" s="32">
        <f t="shared" si="9"/>
        <v>0</v>
      </c>
      <c r="X10" s="47"/>
      <c r="Y10" s="14">
        <f t="shared" si="10"/>
        <v>0</v>
      </c>
      <c r="Z10" s="50"/>
      <c r="AA10" s="55">
        <v>0</v>
      </c>
      <c r="AB10" s="32" t="str">
        <f t="shared" si="11"/>
        <v>0</v>
      </c>
      <c r="AC10" s="13"/>
      <c r="AD10" s="18"/>
    </row>
    <row r="11" spans="1:30" ht="20.7" customHeight="1" x14ac:dyDescent="0.2">
      <c r="A11" s="20">
        <v>45636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70">
        <f t="shared" si="4"/>
        <v>0</v>
      </c>
      <c r="H11" s="72">
        <f t="shared" si="5"/>
        <v>0</v>
      </c>
      <c r="I11" s="76">
        <f t="shared" si="6"/>
        <v>-45636</v>
      </c>
      <c r="J11" s="32">
        <f t="shared" si="0"/>
        <v>-1</v>
      </c>
      <c r="K11" s="20">
        <f t="shared" si="1"/>
        <v>45636</v>
      </c>
      <c r="L11" s="33"/>
      <c r="M11" s="34">
        <v>0</v>
      </c>
      <c r="N11" s="35">
        <v>0</v>
      </c>
      <c r="O11" s="88"/>
      <c r="P11" s="89"/>
      <c r="Q11" s="88"/>
      <c r="R11" s="89"/>
      <c r="S11" s="39">
        <f t="shared" si="7"/>
        <v>0</v>
      </c>
      <c r="T11" s="126"/>
      <c r="U11" s="32" t="str">
        <f t="shared" si="8"/>
        <v>0</v>
      </c>
      <c r="V11" s="44"/>
      <c r="W11" s="32">
        <f t="shared" si="9"/>
        <v>0</v>
      </c>
      <c r="X11" s="47"/>
      <c r="Y11" s="14">
        <f t="shared" si="10"/>
        <v>0</v>
      </c>
      <c r="Z11" s="50"/>
      <c r="AA11" s="55">
        <v>0</v>
      </c>
      <c r="AB11" s="32" t="str">
        <f t="shared" si="11"/>
        <v>0</v>
      </c>
      <c r="AC11" s="13"/>
      <c r="AD11" s="18"/>
    </row>
    <row r="12" spans="1:30" ht="20.7" customHeight="1" x14ac:dyDescent="0.2">
      <c r="A12" s="19">
        <v>45637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70">
        <f t="shared" si="4"/>
        <v>0</v>
      </c>
      <c r="H12" s="72">
        <f t="shared" si="5"/>
        <v>0</v>
      </c>
      <c r="I12" s="76">
        <f t="shared" si="6"/>
        <v>-45637</v>
      </c>
      <c r="J12" s="32">
        <f t="shared" si="0"/>
        <v>-1</v>
      </c>
      <c r="K12" s="20">
        <f t="shared" si="1"/>
        <v>45637</v>
      </c>
      <c r="L12" s="33"/>
      <c r="M12" s="34">
        <v>0</v>
      </c>
      <c r="N12" s="35">
        <v>0</v>
      </c>
      <c r="O12" s="88"/>
      <c r="P12" s="89"/>
      <c r="Q12" s="88"/>
      <c r="R12" s="89"/>
      <c r="S12" s="39">
        <f t="shared" si="7"/>
        <v>0</v>
      </c>
      <c r="T12" s="126"/>
      <c r="U12" s="32" t="str">
        <f t="shared" si="8"/>
        <v>0</v>
      </c>
      <c r="V12" s="44"/>
      <c r="W12" s="32">
        <f t="shared" si="9"/>
        <v>0</v>
      </c>
      <c r="X12" s="47"/>
      <c r="Y12" s="14">
        <f t="shared" si="10"/>
        <v>0</v>
      </c>
      <c r="Z12" s="50"/>
      <c r="AA12" s="55">
        <v>0</v>
      </c>
      <c r="AB12" s="32" t="str">
        <f t="shared" si="11"/>
        <v>0</v>
      </c>
      <c r="AC12" s="13"/>
      <c r="AD12" s="18"/>
    </row>
    <row r="13" spans="1:30" ht="20.7" customHeight="1" x14ac:dyDescent="0.2">
      <c r="A13" s="20">
        <v>45638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70">
        <f t="shared" si="4"/>
        <v>0</v>
      </c>
      <c r="H13" s="72">
        <f t="shared" si="5"/>
        <v>0</v>
      </c>
      <c r="I13" s="76">
        <f t="shared" si="6"/>
        <v>-45638</v>
      </c>
      <c r="J13" s="32">
        <f t="shared" si="0"/>
        <v>-1</v>
      </c>
      <c r="K13" s="20">
        <f t="shared" si="1"/>
        <v>45638</v>
      </c>
      <c r="L13" s="33"/>
      <c r="M13" s="34">
        <v>0</v>
      </c>
      <c r="N13" s="35">
        <v>0</v>
      </c>
      <c r="O13" s="88"/>
      <c r="P13" s="89"/>
      <c r="Q13" s="88"/>
      <c r="R13" s="89"/>
      <c r="S13" s="39">
        <f t="shared" si="7"/>
        <v>0</v>
      </c>
      <c r="T13" s="126"/>
      <c r="U13" s="32" t="str">
        <f t="shared" si="8"/>
        <v>0</v>
      </c>
      <c r="V13" s="44"/>
      <c r="W13" s="32">
        <f t="shared" si="9"/>
        <v>0</v>
      </c>
      <c r="X13" s="47"/>
      <c r="Y13" s="14">
        <f t="shared" si="10"/>
        <v>0</v>
      </c>
      <c r="Z13" s="50"/>
      <c r="AA13" s="55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19">
        <v>45639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70">
        <f t="shared" si="4"/>
        <v>0</v>
      </c>
      <c r="H14" s="72">
        <f t="shared" si="5"/>
        <v>0</v>
      </c>
      <c r="I14" s="76">
        <f t="shared" si="6"/>
        <v>-45639</v>
      </c>
      <c r="J14" s="32">
        <f t="shared" si="0"/>
        <v>-1</v>
      </c>
      <c r="K14" s="20">
        <f t="shared" si="1"/>
        <v>45639</v>
      </c>
      <c r="L14" s="33"/>
      <c r="M14" s="34">
        <v>0</v>
      </c>
      <c r="N14" s="35">
        <v>0</v>
      </c>
      <c r="O14" s="88"/>
      <c r="P14" s="89"/>
      <c r="Q14" s="88"/>
      <c r="R14" s="89"/>
      <c r="S14" s="39">
        <f t="shared" si="7"/>
        <v>0</v>
      </c>
      <c r="T14" s="126"/>
      <c r="U14" s="32" t="str">
        <f t="shared" si="8"/>
        <v>0</v>
      </c>
      <c r="V14" s="44"/>
      <c r="W14" s="32">
        <f t="shared" si="9"/>
        <v>0</v>
      </c>
      <c r="X14" s="47"/>
      <c r="Y14" s="14">
        <f t="shared" si="10"/>
        <v>0</v>
      </c>
      <c r="Z14" s="50"/>
      <c r="AA14" s="55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45640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70">
        <f t="shared" si="4"/>
        <v>0</v>
      </c>
      <c r="H15" s="72">
        <f t="shared" si="5"/>
        <v>0</v>
      </c>
      <c r="I15" s="76">
        <f t="shared" si="6"/>
        <v>-45640</v>
      </c>
      <c r="J15" s="32">
        <f t="shared" si="0"/>
        <v>-1</v>
      </c>
      <c r="K15" s="20">
        <f t="shared" si="1"/>
        <v>45640</v>
      </c>
      <c r="L15" s="33"/>
      <c r="M15" s="34">
        <v>0</v>
      </c>
      <c r="N15" s="35">
        <v>0</v>
      </c>
      <c r="O15" s="88"/>
      <c r="P15" s="89"/>
      <c r="Q15" s="88"/>
      <c r="R15" s="89"/>
      <c r="S15" s="39">
        <f t="shared" si="7"/>
        <v>0</v>
      </c>
      <c r="T15" s="126"/>
      <c r="U15" s="32" t="str">
        <f t="shared" si="8"/>
        <v>0</v>
      </c>
      <c r="V15" s="44"/>
      <c r="W15" s="32">
        <f t="shared" si="9"/>
        <v>0</v>
      </c>
      <c r="X15" s="47"/>
      <c r="Y15" s="14">
        <f t="shared" si="10"/>
        <v>0</v>
      </c>
      <c r="Z15" s="50"/>
      <c r="AA15" s="55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19">
        <v>45641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70">
        <f t="shared" si="4"/>
        <v>0</v>
      </c>
      <c r="H16" s="72">
        <f t="shared" si="5"/>
        <v>0</v>
      </c>
      <c r="I16" s="76">
        <f t="shared" si="6"/>
        <v>-45641</v>
      </c>
      <c r="J16" s="32">
        <f t="shared" si="0"/>
        <v>-1</v>
      </c>
      <c r="K16" s="20">
        <f t="shared" si="1"/>
        <v>45641</v>
      </c>
      <c r="L16" s="33"/>
      <c r="M16" s="34">
        <v>0</v>
      </c>
      <c r="N16" s="35">
        <v>0</v>
      </c>
      <c r="O16" s="88"/>
      <c r="P16" s="89"/>
      <c r="Q16" s="88"/>
      <c r="R16" s="89"/>
      <c r="S16" s="39">
        <f t="shared" si="7"/>
        <v>0</v>
      </c>
      <c r="T16" s="126"/>
      <c r="U16" s="32" t="str">
        <f t="shared" si="8"/>
        <v>0</v>
      </c>
      <c r="V16" s="44"/>
      <c r="W16" s="32">
        <f t="shared" si="9"/>
        <v>0</v>
      </c>
      <c r="X16" s="47"/>
      <c r="Y16" s="14">
        <f t="shared" si="10"/>
        <v>0</v>
      </c>
      <c r="Z16" s="50"/>
      <c r="AA16" s="55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45642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70">
        <f t="shared" si="4"/>
        <v>0</v>
      </c>
      <c r="H17" s="72">
        <f t="shared" si="5"/>
        <v>0</v>
      </c>
      <c r="I17" s="76">
        <f t="shared" si="6"/>
        <v>-45642</v>
      </c>
      <c r="J17" s="32">
        <f t="shared" si="0"/>
        <v>-1</v>
      </c>
      <c r="K17" s="20">
        <f t="shared" si="1"/>
        <v>45642</v>
      </c>
      <c r="L17" s="33"/>
      <c r="M17" s="34">
        <v>0</v>
      </c>
      <c r="N17" s="35">
        <v>0</v>
      </c>
      <c r="O17" s="88"/>
      <c r="P17" s="89"/>
      <c r="Q17" s="88"/>
      <c r="R17" s="89"/>
      <c r="S17" s="39">
        <f t="shared" si="7"/>
        <v>0</v>
      </c>
      <c r="T17" s="126"/>
      <c r="U17" s="32" t="str">
        <f t="shared" si="8"/>
        <v>0</v>
      </c>
      <c r="V17" s="44"/>
      <c r="W17" s="32">
        <f t="shared" si="9"/>
        <v>0</v>
      </c>
      <c r="X17" s="47"/>
      <c r="Y17" s="14">
        <f t="shared" si="10"/>
        <v>0</v>
      </c>
      <c r="Z17" s="50"/>
      <c r="AA17" s="55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19">
        <v>45643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0">
        <f t="shared" si="4"/>
        <v>0</v>
      </c>
      <c r="H18" s="72">
        <f t="shared" si="5"/>
        <v>0</v>
      </c>
      <c r="I18" s="76">
        <f t="shared" si="6"/>
        <v>-45643</v>
      </c>
      <c r="J18" s="32">
        <f t="shared" si="0"/>
        <v>-1</v>
      </c>
      <c r="K18" s="20">
        <f t="shared" si="1"/>
        <v>45643</v>
      </c>
      <c r="L18" s="33"/>
      <c r="M18" s="34">
        <v>0</v>
      </c>
      <c r="N18" s="35">
        <v>0</v>
      </c>
      <c r="O18" s="88"/>
      <c r="P18" s="89"/>
      <c r="Q18" s="88"/>
      <c r="R18" s="89"/>
      <c r="S18" s="39">
        <f t="shared" si="7"/>
        <v>0</v>
      </c>
      <c r="T18" s="126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5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45644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0">
        <f t="shared" si="4"/>
        <v>0</v>
      </c>
      <c r="H19" s="72">
        <f t="shared" si="5"/>
        <v>0</v>
      </c>
      <c r="I19" s="76">
        <f t="shared" si="6"/>
        <v>-45644</v>
      </c>
      <c r="J19" s="32">
        <f t="shared" si="0"/>
        <v>-1</v>
      </c>
      <c r="K19" s="20">
        <f t="shared" si="1"/>
        <v>45644</v>
      </c>
      <c r="L19" s="33"/>
      <c r="M19" s="34">
        <v>0</v>
      </c>
      <c r="N19" s="35">
        <v>0</v>
      </c>
      <c r="O19" s="88"/>
      <c r="P19" s="89"/>
      <c r="Q19" s="88"/>
      <c r="R19" s="89"/>
      <c r="S19" s="39">
        <f t="shared" si="7"/>
        <v>0</v>
      </c>
      <c r="T19" s="126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5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45645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0">
        <f t="shared" si="4"/>
        <v>0</v>
      </c>
      <c r="H20" s="72">
        <f t="shared" si="5"/>
        <v>0</v>
      </c>
      <c r="I20" s="76">
        <f t="shared" si="6"/>
        <v>-45645</v>
      </c>
      <c r="J20" s="32">
        <f t="shared" si="0"/>
        <v>-1</v>
      </c>
      <c r="K20" s="20">
        <f t="shared" si="1"/>
        <v>45645</v>
      </c>
      <c r="L20" s="33"/>
      <c r="M20" s="34">
        <v>0</v>
      </c>
      <c r="N20" s="35">
        <v>0</v>
      </c>
      <c r="O20" s="88"/>
      <c r="P20" s="89"/>
      <c r="Q20" s="88"/>
      <c r="R20" s="89"/>
      <c r="S20" s="39">
        <f t="shared" si="7"/>
        <v>0</v>
      </c>
      <c r="T20" s="126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5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45646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-45646</v>
      </c>
      <c r="J21" s="32">
        <f t="shared" si="0"/>
        <v>-1</v>
      </c>
      <c r="K21" s="20">
        <f t="shared" si="1"/>
        <v>45646</v>
      </c>
      <c r="L21" s="33"/>
      <c r="M21" s="34">
        <v>0</v>
      </c>
      <c r="N21" s="35">
        <v>0</v>
      </c>
      <c r="O21" s="88"/>
      <c r="P21" s="89"/>
      <c r="Q21" s="88"/>
      <c r="R21" s="89"/>
      <c r="S21" s="40">
        <f t="shared" si="7"/>
        <v>0</v>
      </c>
      <c r="T21" s="126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8282</v>
      </c>
      <c r="D33" s="80"/>
      <c r="E33" s="79">
        <f>SUM(E2:E32)</f>
        <v>1359</v>
      </c>
      <c r="F33" s="81"/>
      <c r="G33" s="79">
        <f>SUM(G2:G32)</f>
        <v>0</v>
      </c>
      <c r="H33" s="80">
        <f>SUM(H2:H32)</f>
        <v>9641</v>
      </c>
      <c r="I33" s="79">
        <f>SUM(I2:I31)</f>
        <v>-1361085.07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1477</v>
      </c>
      <c r="U33" s="79">
        <f>SUM(U2:U32)</f>
        <v>212</v>
      </c>
      <c r="V33" s="78"/>
      <c r="W33" s="79">
        <f>SUM(W2:W32)</f>
        <v>5</v>
      </c>
      <c r="X33" s="78"/>
      <c r="Y33" s="79">
        <f>SUM(Y2:Y32)</f>
        <v>3</v>
      </c>
      <c r="Z33" s="78"/>
      <c r="AA33" s="78">
        <f>SUM(AA2:AA32)</f>
        <v>0</v>
      </c>
      <c r="AB33" s="79">
        <f>SUM(AB2:AB32)</f>
        <v>0</v>
      </c>
      <c r="AC33" s="82">
        <f>SUM(AC2:AC32)</f>
        <v>174</v>
      </c>
      <c r="AD33" s="83">
        <f>SUM(AD2:AD32)</f>
        <v>370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2024-12-03T09:00:35Z</dcterms:modified>
  <cp:category/>
  <cp:contentStatus/>
</cp:coreProperties>
</file>