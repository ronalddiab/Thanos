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8"/>
  <c r="F8" s="1"/>
  <c r="G13" i="15"/>
  <c r="J13" s="1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I39"/>
  <c r="H39"/>
  <c r="A39"/>
  <c r="H38"/>
  <c r="I38" s="1"/>
  <c r="J38" s="1"/>
  <c r="A38"/>
  <c r="H37"/>
  <c r="I37" s="1"/>
  <c r="J37" s="1"/>
  <c r="A37"/>
  <c r="H36"/>
  <c r="I36" s="1"/>
  <c r="A36"/>
  <c r="I35"/>
  <c r="J35" s="1"/>
  <c r="H35"/>
  <c r="A35"/>
  <c r="H34"/>
  <c r="I34" s="1"/>
  <c r="J34" s="1"/>
  <c r="A34"/>
  <c r="I33"/>
  <c r="J33" s="1"/>
  <c r="H33"/>
  <c r="A33"/>
  <c r="H32"/>
  <c r="I32" s="1"/>
  <c r="J32" s="1"/>
  <c r="A32"/>
  <c r="H31"/>
  <c r="I31" s="1"/>
  <c r="A31"/>
  <c r="H30"/>
  <c r="I30" s="1"/>
  <c r="J30" s="1"/>
  <c r="A30"/>
  <c r="H29"/>
  <c r="I29" s="1"/>
  <c r="J29" s="1"/>
  <c r="A29"/>
  <c r="H28"/>
  <c r="I28" s="1"/>
  <c r="J28" s="1"/>
  <c r="A28"/>
  <c r="I27"/>
  <c r="J27" s="1"/>
  <c r="H27"/>
  <c r="A27"/>
  <c r="H26"/>
  <c r="I26" s="1"/>
  <c r="J26" s="1"/>
  <c r="A26"/>
  <c r="I25"/>
  <c r="H25"/>
  <c r="J25"/>
  <c r="A25"/>
  <c r="H24"/>
  <c r="I24" s="1"/>
  <c r="J24" s="1"/>
  <c r="A24"/>
  <c r="I23"/>
  <c r="H23"/>
  <c r="A23"/>
  <c r="H22"/>
  <c r="I22" s="1"/>
  <c r="J22" s="1"/>
  <c r="A22"/>
  <c r="I21"/>
  <c r="J21" s="1"/>
  <c r="H21"/>
  <c r="A21"/>
  <c r="H20"/>
  <c r="I20" s="1"/>
  <c r="J20" s="1"/>
  <c r="A20"/>
  <c r="H19"/>
  <c r="I19" s="1"/>
  <c r="A19"/>
  <c r="H18"/>
  <c r="I18" s="1"/>
  <c r="J18" s="1"/>
  <c r="A18"/>
  <c r="I17"/>
  <c r="J17" s="1"/>
  <c r="H17"/>
  <c r="A17"/>
  <c r="H16"/>
  <c r="I16" s="1"/>
  <c r="J16" s="1"/>
  <c r="A16"/>
  <c r="I15"/>
  <c r="H15"/>
  <c r="A15"/>
  <c r="H14"/>
  <c r="I14" s="1"/>
  <c r="J14" s="1"/>
  <c r="A14"/>
  <c r="I13"/>
  <c r="H13"/>
  <c r="A13"/>
  <c r="H12"/>
  <c r="I12" s="1"/>
  <c r="J12" s="1"/>
  <c r="A12"/>
  <c r="I11"/>
  <c r="J11" s="1"/>
  <c r="H11"/>
  <c r="A11"/>
  <c r="H10"/>
  <c r="I10" s="1"/>
  <c r="A10"/>
  <c r="J15" l="1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0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H22" i="23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<sst xmlns="http://schemas.openxmlformats.org/spreadsheetml/2006/main" count="549" uniqueCount="333">
  <si>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</si>
  <si>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</si>
  <si>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</si>
  <si>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</si>
  <si>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</si>
  <si>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</si>
  <si>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</si>
  <si>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</si>
  <si>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</si>
  <si>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</si>
  <si>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</si>
  <si>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</si>
  <si>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</si>
  <si>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</si>
  <si>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</si>
  <si>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</si>
  <si>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</si>
  <si>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</si>
  <si>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</si>
  <si>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</si>
  <si>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</si>
  <si>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</si>
  <si>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</si>
  <si>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</si>
  <si>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</si>
  <si>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</si>
  <si>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</si>
  <si>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</si>
  <si>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</si>
  <si>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</si>
  <si>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</si>
  <si>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</si>
  <si>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</si>
  <si>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</si>
  <si>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</si>
  <si>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</si>
  <si>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</si>
  <si>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</si>
  <si>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</si>
  <si>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</si>
  <si>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</si>
  <si>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</si>
  <si>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</si>
  <si>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</si>
  <si>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</si>
  <si>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</si>
  <si>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</si>
  <si>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</si>
  <si>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</si>
  <si>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</si>
  <si>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</si>
  <si>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</si>
  <si>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</si>
  <si>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</si>
  <si>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</si>
  <si>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</si>
  <si>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</si>
  <si>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</si>
  <si>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</si>
  <si>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</si>
  <si>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</si>
  <si>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</si>
  <si>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</si>
  <si>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</si>
  <si>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</si>
  <si>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</si>
  <si>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</si>
  <si>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</si>
  <si>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</si>
  <si>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</si>
  <si>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</si>
  <si>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</si>
  <si>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</si>
  <si>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</si>
  <si>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</si>
  <si>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</si>
  <si>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</si>
  <si>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</si>
  <si>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</si>
  <si>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</si>
  <si>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</si>
  <si>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</si>
  <si>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</si>
  <si>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</si>
  <si>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</si>
  <si>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</si>
  <si>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</si>
  <si>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</si>
  <si>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</si>
  <si>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</si>
  <si>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</si>
  <si>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</si>
  <si>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</si>
  <si>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</si>
  <si>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</si>
  <si>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</si>
  <si>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</si>
  <si>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</si>
  <si>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</si>
  <si>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</si>
  <si>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</si>
  <si>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</si>
  <si>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</si>
  <si>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</si>
  <si>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</si>
  <si>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</si>
  <si>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</si>
  <si>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</si>
  <si>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</si>
  <si>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</si>
  <si>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</si>
  <si>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</si>
  <si>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</si>
  <si>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</si>
  <si>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</si>
  <si>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</si>
  <si>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</si>
  <si>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</si>
  <si>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</si>
  <si>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</si>
  <si>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</si>
  <si>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</si>
  <si>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</si>
  <si>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</si>
  <si>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</si>
  <si>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</si>
  <si>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</si>
  <si>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</si>
  <si>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</si>
  <si>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</si>
  <si>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</si>
  <si>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</si>
  <si>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</si>
  <si>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</si>
  <si>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</si>
  <si>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</si>
  <si>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</si>
  <si>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</si>
  <si>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</si>
  <si>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</si>
  <si>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</si>
  <si>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</si>
  <si>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</si>
  <si>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</si>
  <si>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</si>
  <si>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</si>
  <si>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</si>
  <si>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</si>
  <si>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</si>
  <si>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</si>
  <si>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</si>
  <si>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</si>
  <si>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</si>
  <si>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</si>
  <si>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</si>
  <si>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</si>
  <si>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</si>
  <si>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</si>
  <si>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</si>
  <si>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</si>
  <si>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</si>
  <si>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</si>
  <si>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</si>
  <si>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</si>
  <si>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</si>
  <si>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</si>
  <si>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</si>
  <si>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</si>
  <si>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</si>
  <si>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</si>
  <si>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</si>
  <si>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</si>
  <si>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</si>
  <si>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</si>
  <si>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</si>
  <si>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</si>
  <si>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</si>
  <si>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</si>
  <si>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</si>
  <si>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</si>
  <si>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</si>
  <si>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</si>
  <si>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</si>
  <si>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</si>
  <si>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</si>
  <si>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</si>
  <si>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</si>
  <si>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</si>
  <si>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</si>
  <si>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</si>
  <si>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</si>
  <si>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</si>
  <si>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</si>
  <si>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</si>
  <si>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</si>
  <si>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</si>
  <si>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</si>
  <si>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</si>
  <si>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</si>
  <si>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</si>
  <si>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</si>
  <si>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</si>
  <si>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</si>
  <si>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</si>
  <si>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</si>
  <si>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</si>
  <si>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</si>
  <si>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</si>
  <si>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</si>
  <si>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</si>
  <si>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</si>
  <si>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</si>
  <si>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</si>
  <si>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</si>
  <si>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</si>
  <si>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</si>
  <si>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</si>
  <si>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</si>
  <si>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</si>
  <si>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</si>
  <si>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</si>
  <si>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</si>
  <si>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</si>
  <si>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</si>
  <si>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</si>
  <si>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</si>
  <si>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</si>
  <si>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</si>
  <si>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</si>
  <si>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</si>
  <si>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</si>
  <si>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</si>
  <si>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</si>
  <si>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</si>
  <si>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</si>
  <si>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</si>
  <si>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</si>
  <si>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</si>
  <si>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</si>
  <si>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</si>
  <si>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</si>
  <si>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</si>
  <si>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</si>
  <si>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</si>
  <si>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</si>
  <si>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</si>
  <si>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</si>
  <si>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</si>
  <si>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</si>
  <si>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</si>
  <si>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</si>
  <si>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</si>
  <si>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</si>
  <si>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</si>
  <si>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</si>
  <si>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</si>
  <si>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</si>
  <si>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</si>
  <si>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</si>
  <si>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</si>
  <si>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</si>
  <si>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</si>
  <si>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</si>
  <si>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</si>
  <si>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</si>
  <si>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</si>
  <si>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</si>
  <si>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</si>
  <si>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</si>
  <si>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</si>
  <si>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</si>
  <si>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</si>
  <si>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</si>
  <si>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</si>
  <si>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</si>
  <si>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</si>
  <si>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</si>
  <si>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</si>
  <si>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</si>
  <si>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</si>
  <si>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</si>
  <si>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</si>
  <si>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</si>
  <si>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</si>
  <si>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</si>
  <si>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</si>
  <si>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</si>
  <si>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</si>
  <si>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</si>
  <si>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</si>
  <si>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</si>
  <si>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</si>
  <si>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</si>
  <si>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</si>
  <si>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</si>
  <si>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</si>
  <si>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</si>
  <si>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</si>
  <si>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</si>
  <si>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</si>
  <si>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</si>
  <si>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</si>
  <si>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</si>
  <si>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</si>
  <si>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</si>
  <si>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</si>
  <si>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</si>
  <si>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</si>
  <si>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</si>
  <si>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</si>
  <si>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</si>
  <si>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</si>
  <si>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</si>
  <si>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</si>
  <si>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</si>
  <si>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</si>
  <si>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</si>
  <si>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</si>
  <si>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Generator and Diseal Summry Report  December 2020</t>
  </si>
  <si>
    <t>DAILY UTILITY REPORT DECEMBER 2020</t>
  </si>
  <si>
    <t>HLP REPORT JANUARY 2021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</si>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</sst>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5487360"/>
        <c:axId val="1532231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53224704"/>
        <c:axId val="153226240"/>
      </c:lineChart>
      <c:catAx>
        <c:axId val="12548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23168"/>
        <c:crosses val="autoZero"/>
        <c:auto val="1"/>
        <c:lblAlgn val="ctr"/>
        <c:lblOffset val="100"/>
      </c:catAx>
      <c:valAx>
        <c:axId val="1532231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87360"/>
        <c:crosses val="autoZero"/>
        <c:crossBetween val="between"/>
        <c:majorUnit val="200"/>
      </c:valAx>
      <c:catAx>
        <c:axId val="153224704"/>
        <c:scaling>
          <c:orientation val="minMax"/>
        </c:scaling>
        <c:delete val="1"/>
        <c:axPos val="b"/>
        <c:tickLblPos val="none"/>
        <c:crossAx val="153226240"/>
        <c:crosses val="autoZero"/>
        <c:auto val="1"/>
        <c:lblAlgn val="ctr"/>
        <c:lblOffset val="100"/>
      </c:catAx>
      <c:valAx>
        <c:axId val="1532262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24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53264512"/>
        <c:axId val="1532660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53267584"/>
        <c:axId val="153273472"/>
      </c:lineChart>
      <c:catAx>
        <c:axId val="15326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6048"/>
        <c:crosses val="autoZero"/>
        <c:auto val="1"/>
        <c:lblAlgn val="ctr"/>
        <c:lblOffset val="100"/>
      </c:catAx>
      <c:valAx>
        <c:axId val="15326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4512"/>
        <c:crosses val="autoZero"/>
        <c:crossBetween val="between"/>
        <c:majorUnit val="200"/>
      </c:valAx>
      <c:catAx>
        <c:axId val="153267584"/>
        <c:scaling>
          <c:orientation val="minMax"/>
        </c:scaling>
        <c:delete val="1"/>
        <c:axPos val="b"/>
        <c:tickLblPos val="none"/>
        <c:crossAx val="153273472"/>
        <c:crosses val="autoZero"/>
        <c:auto val="1"/>
        <c:lblAlgn val="ctr"/>
        <c:lblOffset val="100"/>
      </c:catAx>
      <c:valAx>
        <c:axId val="153273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67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3683456"/>
        <c:axId val="153684992"/>
      </c:lineChart>
      <c:catAx>
        <c:axId val="15368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84992"/>
        <c:crosses val="autoZero"/>
        <c:auto val="1"/>
        <c:lblAlgn val="ctr"/>
        <c:lblOffset val="200"/>
        <c:tickLblSkip val="1"/>
      </c:catAx>
      <c:valAx>
        <c:axId val="1536849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0.29899999999999999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3709568"/>
        <c:axId val="154673920"/>
      </c:lineChart>
      <c:catAx>
        <c:axId val="153709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73920"/>
        <c:crosses val="autoZero"/>
        <c:auto val="1"/>
        <c:lblAlgn val="ctr"/>
        <c:lblOffset val="100"/>
      </c:catAx>
      <c:valAx>
        <c:axId val="1546739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709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4710784"/>
        <c:axId val="154712704"/>
      </c:lineChart>
      <c:catAx>
        <c:axId val="154710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12704"/>
        <c:crosses val="autoZero"/>
        <c:auto val="1"/>
        <c:lblAlgn val="ctr"/>
        <c:lblOffset val="100"/>
      </c:catAx>
      <c:valAx>
        <c:axId val="1547127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10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4377216"/>
        <c:axId val="154391680"/>
      </c:lineChart>
      <c:catAx>
        <c:axId val="154377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91680"/>
        <c:crosses val="autoZero"/>
        <c:auto val="1"/>
        <c:lblAlgn val="ctr"/>
        <c:lblOffset val="100"/>
      </c:catAx>
      <c:valAx>
        <c:axId val="154391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377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-326363.00400000002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5256320"/>
        <c:axId val="155257856"/>
      </c:lineChart>
      <c:catAx>
        <c:axId val="15525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7856"/>
        <c:crosses val="autoZero"/>
        <c:auto val="1"/>
        <c:lblAlgn val="ctr"/>
        <c:lblOffset val="100"/>
      </c:catAx>
      <c:valAx>
        <c:axId val="155257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5308032"/>
        <c:axId val="155309568"/>
      </c:lineChart>
      <c:catAx>
        <c:axId val="15530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9568"/>
        <c:crosses val="autoZero"/>
        <c:auto val="1"/>
        <c:lblAlgn val="ctr"/>
        <c:lblOffset val="100"/>
      </c:catAx>
      <c:valAx>
        <c:axId val="15530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0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6132480"/>
        <c:axId val="156134016"/>
      </c:lineChart>
      <c:catAx>
        <c:axId val="1561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4016"/>
        <c:crosses val="autoZero"/>
        <c:auto val="1"/>
        <c:lblAlgn val="ctr"/>
        <c:lblOffset val="100"/>
      </c:catAx>
      <c:valAx>
        <c:axId val="15613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349"/>
          <c:y val="7.471324705111645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6162688"/>
        <c:axId val="156303744"/>
      </c:lineChart>
      <c:catAx>
        <c:axId val="15616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03744"/>
        <c:crosses val="autoZero"/>
        <c:auto val="1"/>
        <c:lblAlgn val="ctr"/>
        <c:lblOffset val="200"/>
        <c:tickLblSkip val="1"/>
      </c:catAx>
      <c:valAx>
        <c:axId val="1563037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62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6349184"/>
        <c:axId val="156350720"/>
      </c:lineChart>
      <c:catAx>
        <c:axId val="156349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50720"/>
        <c:crosses val="autoZero"/>
        <c:auto val="1"/>
        <c:lblAlgn val="ctr"/>
        <c:lblOffset val="100"/>
      </c:catAx>
      <c:valAx>
        <c:axId val="156350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4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6363008"/>
        <c:axId val="156868992"/>
      </c:lineChart>
      <c:catAx>
        <c:axId val="156363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68992"/>
        <c:crosses val="autoZero"/>
        <c:auto val="1"/>
        <c:lblAlgn val="ctr"/>
        <c:lblOffset val="100"/>
      </c:catAx>
      <c:valAx>
        <c:axId val="1568689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30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7041408"/>
        <c:axId val="157043328"/>
      </c:lineChart>
      <c:catAx>
        <c:axId val="157041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43328"/>
        <c:crosses val="autoZero"/>
        <c:auto val="1"/>
        <c:lblAlgn val="ctr"/>
        <c:lblOffset val="100"/>
      </c:catAx>
      <c:valAx>
        <c:axId val="1570433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41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7084672"/>
        <c:axId val="156631808"/>
      </c:lineChart>
      <c:catAx>
        <c:axId val="157084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31808"/>
        <c:crosses val="autoZero"/>
        <c:auto val="1"/>
        <c:lblAlgn val="ctr"/>
        <c:lblOffset val="100"/>
      </c:catAx>
      <c:valAx>
        <c:axId val="156631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84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6669440"/>
        <c:axId val="156670976"/>
      </c:lineChart>
      <c:catAx>
        <c:axId val="1566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70976"/>
        <c:crosses val="autoZero"/>
        <c:auto val="1"/>
        <c:lblAlgn val="ctr"/>
        <c:lblOffset val="100"/>
      </c:catAx>
      <c:valAx>
        <c:axId val="156670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7358720"/>
        <c:axId val="157368704"/>
      </c:lineChart>
      <c:catAx>
        <c:axId val="1573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68704"/>
        <c:crosses val="autoZero"/>
        <c:auto val="1"/>
        <c:lblAlgn val="ctr"/>
        <c:lblOffset val="100"/>
      </c:catAx>
      <c:valAx>
        <c:axId val="15736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3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571"/>
          <c:y val="7.471324705111689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8070272"/>
        <c:axId val="15807180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7758208"/>
        <c:axId val="157759744"/>
      </c:lineChart>
      <c:catAx>
        <c:axId val="1580702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71808"/>
        <c:crosses val="autoZero"/>
        <c:lblAlgn val="ctr"/>
        <c:lblOffset val="100"/>
        <c:tickMarkSkip val="1"/>
      </c:catAx>
      <c:valAx>
        <c:axId val="1580718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70272"/>
        <c:crosses val="autoZero"/>
        <c:crossBetween val="between"/>
      </c:valAx>
      <c:catAx>
        <c:axId val="157758208"/>
        <c:scaling>
          <c:orientation val="minMax"/>
        </c:scaling>
        <c:delete val="1"/>
        <c:axPos val="b"/>
        <c:numFmt formatCode="[$-409]d\-mmm\-yy;@" sourceLinked="1"/>
        <c:tickLblPos val="none"/>
        <c:crossAx val="157759744"/>
        <c:crosses val="autoZero"/>
        <c:lblAlgn val="ctr"/>
        <c:lblOffset val="100"/>
      </c:catAx>
      <c:valAx>
        <c:axId val="15775974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58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7796608"/>
        <c:axId val="157876224"/>
      </c:lineChart>
      <c:catAx>
        <c:axId val="157796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76224"/>
        <c:crosses val="autoZero"/>
        <c:auto val="1"/>
        <c:lblAlgn val="ctr"/>
        <c:lblOffset val="100"/>
      </c:catAx>
      <c:valAx>
        <c:axId val="1578762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9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7913088"/>
        <c:axId val="157914624"/>
      </c:lineChart>
      <c:catAx>
        <c:axId val="15791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14624"/>
        <c:crosses val="autoZero"/>
        <c:auto val="1"/>
        <c:lblAlgn val="ctr"/>
        <c:lblOffset val="100"/>
      </c:catAx>
      <c:valAx>
        <c:axId val="1579146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1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9551488"/>
        <c:axId val="1595530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9554560"/>
        <c:axId val="159560448"/>
      </c:lineChart>
      <c:catAx>
        <c:axId val="1595514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3024"/>
        <c:crosses val="autoZero"/>
        <c:lblAlgn val="ctr"/>
        <c:lblOffset val="100"/>
        <c:tickMarkSkip val="1"/>
      </c:catAx>
      <c:valAx>
        <c:axId val="15955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1488"/>
        <c:crosses val="autoZero"/>
        <c:crossBetween val="between"/>
      </c:valAx>
      <c:catAx>
        <c:axId val="159554560"/>
        <c:scaling>
          <c:orientation val="minMax"/>
        </c:scaling>
        <c:delete val="1"/>
        <c:axPos val="b"/>
        <c:numFmt formatCode="General" sourceLinked="1"/>
        <c:tickLblPos val="none"/>
        <c:crossAx val="159560448"/>
        <c:crosses val="autoZero"/>
        <c:lblAlgn val="ctr"/>
        <c:lblOffset val="100"/>
      </c:catAx>
      <c:valAx>
        <c:axId val="159560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4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0195328"/>
        <c:axId val="160196864"/>
      </c:lineChart>
      <c:catAx>
        <c:axId val="16019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6864"/>
        <c:crosses val="autoZero"/>
        <c:auto val="1"/>
        <c:lblAlgn val="ctr"/>
        <c:lblOffset val="100"/>
      </c:catAx>
      <c:valAx>
        <c:axId val="16019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9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5733120"/>
        <c:axId val="160231424"/>
      </c:lineChart>
      <c:catAx>
        <c:axId val="12573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31424"/>
        <c:crosses val="autoZero"/>
        <c:auto val="1"/>
        <c:lblAlgn val="ctr"/>
        <c:lblOffset val="100"/>
      </c:catAx>
      <c:valAx>
        <c:axId val="16023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3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0613888"/>
        <c:axId val="1606154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60625408"/>
        <c:axId val="160626944"/>
      </c:lineChart>
      <c:catAx>
        <c:axId val="1606138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5424"/>
        <c:crosses val="autoZero"/>
        <c:lblAlgn val="ctr"/>
        <c:lblOffset val="100"/>
        <c:tickMarkSkip val="1"/>
      </c:catAx>
      <c:valAx>
        <c:axId val="160615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3888"/>
        <c:crosses val="autoZero"/>
        <c:crossBetween val="between"/>
      </c:valAx>
      <c:catAx>
        <c:axId val="160625408"/>
        <c:scaling>
          <c:orientation val="minMax"/>
        </c:scaling>
        <c:delete val="1"/>
        <c:axPos val="b"/>
        <c:numFmt formatCode="[$-409]d\-mmm\-yy;@" sourceLinked="1"/>
        <c:tickLblPos val="none"/>
        <c:crossAx val="160626944"/>
        <c:crosses val="autoZero"/>
        <c:lblAlgn val="ctr"/>
        <c:lblOffset val="100"/>
      </c:catAx>
      <c:valAx>
        <c:axId val="16062694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254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0538624"/>
        <c:axId val="1605401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0541696"/>
        <c:axId val="160543488"/>
      </c:lineChart>
      <c:catAx>
        <c:axId val="1605386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0160"/>
        <c:crosses val="autoZero"/>
        <c:lblAlgn val="ctr"/>
        <c:lblOffset val="100"/>
        <c:tickMarkSkip val="1"/>
      </c:catAx>
      <c:valAx>
        <c:axId val="160540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38624"/>
        <c:crosses val="autoZero"/>
        <c:crossBetween val="between"/>
      </c:valAx>
      <c:catAx>
        <c:axId val="160541696"/>
        <c:scaling>
          <c:orientation val="minMax"/>
        </c:scaling>
        <c:delete val="1"/>
        <c:axPos val="b"/>
        <c:numFmt formatCode="General" sourceLinked="1"/>
        <c:tickLblPos val="none"/>
        <c:crossAx val="160543488"/>
        <c:crosses val="autoZero"/>
        <c:lblAlgn val="ctr"/>
        <c:lblOffset val="100"/>
      </c:catAx>
      <c:valAx>
        <c:axId val="1605434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1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4933632"/>
        <c:axId val="8493952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4941056"/>
        <c:axId val="84951040"/>
      </c:lineChart>
      <c:catAx>
        <c:axId val="849336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39520"/>
        <c:crosses val="autoZero"/>
        <c:lblAlgn val="ctr"/>
        <c:lblOffset val="100"/>
        <c:tickMarkSkip val="1"/>
      </c:catAx>
      <c:valAx>
        <c:axId val="84939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33632"/>
        <c:crosses val="autoZero"/>
        <c:crossBetween val="between"/>
      </c:valAx>
      <c:catAx>
        <c:axId val="84941056"/>
        <c:scaling>
          <c:orientation val="minMax"/>
        </c:scaling>
        <c:delete val="1"/>
        <c:axPos val="b"/>
        <c:numFmt formatCode="[$-409]d\-mmm\-yy;@" sourceLinked="1"/>
        <c:tickLblPos val="none"/>
        <c:crossAx val="84951040"/>
        <c:crosses val="autoZero"/>
        <c:lblAlgn val="ctr"/>
        <c:lblOffset val="100"/>
      </c:catAx>
      <c:valAx>
        <c:axId val="84951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41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4993536"/>
        <c:axId val="849950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4996864"/>
        <c:axId val="84998400"/>
      </c:lineChart>
      <c:catAx>
        <c:axId val="849935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95072"/>
        <c:crosses val="autoZero"/>
        <c:lblAlgn val="ctr"/>
        <c:lblOffset val="100"/>
        <c:tickMarkSkip val="1"/>
      </c:catAx>
      <c:valAx>
        <c:axId val="84995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93536"/>
        <c:crosses val="autoZero"/>
        <c:crossBetween val="between"/>
      </c:valAx>
      <c:catAx>
        <c:axId val="84996864"/>
        <c:scaling>
          <c:orientation val="minMax"/>
        </c:scaling>
        <c:delete val="1"/>
        <c:axPos val="b"/>
        <c:numFmt formatCode="General" sourceLinked="1"/>
        <c:tickLblPos val="none"/>
        <c:crossAx val="84998400"/>
        <c:crosses val="autoZero"/>
        <c:lblAlgn val="ctr"/>
        <c:lblOffset val="100"/>
      </c:catAx>
      <c:valAx>
        <c:axId val="84998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968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6387328"/>
        <c:axId val="86409984"/>
      </c:lineChart>
      <c:catAx>
        <c:axId val="86387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09984"/>
        <c:crosses val="autoZero"/>
        <c:auto val="1"/>
        <c:lblAlgn val="ctr"/>
        <c:lblOffset val="100"/>
      </c:catAx>
      <c:valAx>
        <c:axId val="86409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73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6422656"/>
        <c:axId val="86424576"/>
      </c:lineChart>
      <c:catAx>
        <c:axId val="86422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4576"/>
        <c:crosses val="autoZero"/>
        <c:auto val="1"/>
        <c:lblAlgn val="ctr"/>
        <c:lblOffset val="100"/>
      </c:catAx>
      <c:valAx>
        <c:axId val="864245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26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6850944"/>
        <c:axId val="86865024"/>
      </c:lineChart>
      <c:catAx>
        <c:axId val="868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5024"/>
        <c:crosses val="autoZero"/>
        <c:auto val="1"/>
        <c:lblAlgn val="ctr"/>
        <c:lblOffset val="200"/>
        <c:tickLblSkip val="1"/>
      </c:catAx>
      <c:valAx>
        <c:axId val="868650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0.29899999999999999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7172224"/>
        <c:axId val="87173760"/>
      </c:lineChart>
      <c:catAx>
        <c:axId val="8717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73760"/>
        <c:crosses val="autoZero"/>
        <c:auto val="1"/>
        <c:lblAlgn val="ctr"/>
        <c:lblOffset val="100"/>
      </c:catAx>
      <c:valAx>
        <c:axId val="871737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7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6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-326363.00400000002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7202432"/>
        <c:axId val="87212416"/>
      </c:lineChart>
      <c:catAx>
        <c:axId val="8720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2416"/>
        <c:crosses val="autoZero"/>
        <c:auto val="1"/>
        <c:lblAlgn val="ctr"/>
        <c:lblOffset val="100"/>
      </c:catAx>
      <c:valAx>
        <c:axId val="872124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0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8113536"/>
        <c:axId val="88115456"/>
      </c:lineChart>
      <c:catAx>
        <c:axId val="881135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5456"/>
        <c:crosses val="autoZero"/>
        <c:auto val="1"/>
        <c:lblAlgn val="ctr"/>
        <c:lblOffset val="100"/>
      </c:catAx>
      <c:valAx>
        <c:axId val="881154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35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8144512"/>
        <c:axId val="88314624"/>
      </c:lineChart>
      <c:catAx>
        <c:axId val="88144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14624"/>
        <c:crosses val="autoZero"/>
        <c:auto val="1"/>
        <c:lblAlgn val="ctr"/>
        <c:lblOffset val="100"/>
      </c:catAx>
      <c:valAx>
        <c:axId val="88314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44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88339584"/>
        <c:axId val="88341120"/>
      </c:lineChart>
      <c:catAx>
        <c:axId val="8833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41120"/>
        <c:crosses val="autoZero"/>
        <c:auto val="1"/>
        <c:lblAlgn val="ctr"/>
        <c:lblOffset val="200"/>
        <c:tickLblSkip val="1"/>
      </c:catAx>
      <c:valAx>
        <c:axId val="883411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3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0.29899999999999999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88894080"/>
        <c:axId val="88908160"/>
      </c:lineChart>
      <c:catAx>
        <c:axId val="8889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08160"/>
        <c:crosses val="autoZero"/>
        <c:auto val="1"/>
        <c:lblAlgn val="ctr"/>
        <c:lblOffset val="100"/>
      </c:catAx>
      <c:valAx>
        <c:axId val="88908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9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6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-326363.00400000002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89407872"/>
        <c:axId val="89409408"/>
      </c:lineChart>
      <c:catAx>
        <c:axId val="894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09408"/>
        <c:crosses val="autoZero"/>
        <c:auto val="1"/>
        <c:lblAlgn val="ctr"/>
        <c:lblOffset val="100"/>
      </c:catAx>
      <c:valAx>
        <c:axId val="894094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89454464"/>
        <c:axId val="89862144"/>
      </c:lineChart>
      <c:catAx>
        <c:axId val="89454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62144"/>
        <c:crosses val="autoZero"/>
        <c:auto val="1"/>
        <c:lblAlgn val="ctr"/>
        <c:lblOffset val="100"/>
      </c:catAx>
      <c:valAx>
        <c:axId val="8986214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45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89887104"/>
        <c:axId val="89889024"/>
      </c:lineChart>
      <c:catAx>
        <c:axId val="89887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89024"/>
        <c:crosses val="autoZero"/>
        <c:auto val="1"/>
        <c:lblAlgn val="ctr"/>
        <c:lblOffset val="100"/>
      </c:catAx>
      <c:valAx>
        <c:axId val="898890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887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0180224"/>
        <c:axId val="90190208"/>
      </c:lineChart>
      <c:catAx>
        <c:axId val="9018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90208"/>
        <c:crosses val="autoZero"/>
        <c:auto val="1"/>
        <c:lblAlgn val="ctr"/>
        <c:lblOffset val="200"/>
        <c:tickLblSkip val="1"/>
      </c:catAx>
      <c:valAx>
        <c:axId val="901902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8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0235264"/>
        <c:axId val="90236800"/>
      </c:lineChart>
      <c:catAx>
        <c:axId val="9023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36800"/>
        <c:crosses val="autoZero"/>
        <c:auto val="1"/>
        <c:lblAlgn val="ctr"/>
        <c:lblOffset val="100"/>
      </c:catAx>
      <c:valAx>
        <c:axId val="9023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23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8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0515328"/>
        <c:axId val="90516864"/>
      </c:lineChart>
      <c:catAx>
        <c:axId val="9051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16864"/>
        <c:crosses val="autoZero"/>
        <c:auto val="1"/>
        <c:lblAlgn val="ctr"/>
        <c:lblOffset val="100"/>
      </c:catAx>
      <c:valAx>
        <c:axId val="9051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1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0561920"/>
        <c:axId val="90732032"/>
      </c:lineChart>
      <c:catAx>
        <c:axId val="90561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32032"/>
        <c:crosses val="autoZero"/>
        <c:auto val="1"/>
        <c:lblAlgn val="ctr"/>
        <c:lblOffset val="100"/>
      </c:catAx>
      <c:valAx>
        <c:axId val="907320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561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0904448"/>
        <c:axId val="90914816"/>
      </c:lineChart>
      <c:catAx>
        <c:axId val="90904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14816"/>
        <c:crosses val="autoZero"/>
        <c:auto val="1"/>
        <c:lblAlgn val="ctr"/>
        <c:lblOffset val="100"/>
      </c:catAx>
      <c:valAx>
        <c:axId val="90914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044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0939776"/>
        <c:axId val="90941312"/>
      </c:lineChart>
      <c:catAx>
        <c:axId val="9093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41312"/>
        <c:crosses val="autoZero"/>
        <c:auto val="1"/>
        <c:lblAlgn val="ctr"/>
        <c:lblOffset val="200"/>
        <c:tickLblSkip val="1"/>
      </c:catAx>
      <c:valAx>
        <c:axId val="90941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3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1236224"/>
        <c:axId val="91237760"/>
      </c:lineChart>
      <c:catAx>
        <c:axId val="91236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7760"/>
        <c:crosses val="autoZero"/>
        <c:auto val="1"/>
        <c:lblAlgn val="ctr"/>
        <c:lblOffset val="100"/>
      </c:catAx>
      <c:valAx>
        <c:axId val="9123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8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1254144"/>
        <c:axId val="91268224"/>
      </c:lineChart>
      <c:catAx>
        <c:axId val="9125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68224"/>
        <c:crosses val="autoZero"/>
        <c:auto val="1"/>
        <c:lblAlgn val="ctr"/>
        <c:lblOffset val="100"/>
      </c:catAx>
      <c:valAx>
        <c:axId val="9126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5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 t="str">
        <f>IF('Utility summery'!M11&lt;0,"0",'Utility summery'!M11)</f>
        <v>0</v>
      </c>
      <c r="H7" s="423">
        <v>0</v>
      </c>
      <c r="I7" s="418" t="str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12</v>
      </c>
      <c r="D2" s="461">
        <v>2020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12</v>
      </c>
      <c r="D3" s="461">
        <v>2020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12</v>
      </c>
      <c r="D4" s="461">
        <v>2020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227.99999999995634</v>
      </c>
      <c r="I4" s="456">
        <f>IF('Kit report'!X6&lt;0,"0",'Kit report'!X6)</f>
        <v>580.00000000010914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12</v>
      </c>
      <c r="D5" s="461">
        <v>2020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240</v>
      </c>
      <c r="I5" s="456">
        <f>IF('Kit report'!X7&lt;0,"0",'Kit report'!X7)</f>
        <v>500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12</v>
      </c>
      <c r="D6" s="461">
        <v>2020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203.99999999986903</v>
      </c>
      <c r="I6" s="456">
        <f>IF('Kit report'!X8&lt;0,"0",'Kit report'!X8)</f>
        <v>639.99999999996362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12</v>
      </c>
      <c r="D7" s="461">
        <v>2020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 t="str">
        <f>IF('Kit report'!F9&lt;0,"0",'Kit report'!F9)</f>
        <v>0</v>
      </c>
      <c r="I7" s="456" t="str">
        <f>IF('Kit report'!X9&lt;0,"0",'Kit report'!X9)</f>
        <v>0</v>
      </c>
      <c r="J7" s="456" t="str">
        <f>IF('Utility summery'!H11&lt;0,"0",'Utility summery'!H11)</f>
        <v>0</v>
      </c>
      <c r="K7" s="457" t="str">
        <f>IF('UTILITY REPORT 1'!H8&lt;0,"0",'UTILITY REPORT 1'!H8)</f>
        <v>0</v>
      </c>
      <c r="L7" s="456" t="str">
        <f>'Water-Meter'!K11</f>
        <v>0</v>
      </c>
      <c r="M7" s="457">
        <f>'Water-Meter'!H11</f>
        <v>0</v>
      </c>
      <c r="N7" s="457" t="str">
        <f>'Water-Meter'!Q11</f>
        <v>0</v>
      </c>
      <c r="O7" s="456" t="e">
        <f>K7*E7+H7*I7+#REF!*#REF!+J7*L7</f>
        <v>#REF!</v>
      </c>
      <c r="P7" s="462" t="str">
        <f>'Water-Meter'!E11</f>
        <v>0</v>
      </c>
      <c r="Q7" s="242" t="str">
        <f>IF('Water-Meter'!U11&lt;0,"0",'Water-Meter'!U11)</f>
        <v>0</v>
      </c>
      <c r="R7" s="242" t="str">
        <f>IF('Water-Meter'!X11&lt;0,"0",'Water-Meter'!X11)</f>
        <v>0</v>
      </c>
      <c r="S7" s="242" t="str">
        <f>IF('Water-Meter'!AA11&lt;0,"0",'Water-Meter'!AA11)</f>
        <v>0</v>
      </c>
      <c r="T7" s="242" t="str">
        <f>IF('Water-Meter'!AD11&lt;0,"0",'Water-Meter'!AD11)</f>
        <v>0</v>
      </c>
      <c r="U7" s="242" t="str">
        <f>IF('Water-Meter'!AG11&lt;0,"0",'Water-Meter'!AG11)</f>
        <v>0</v>
      </c>
      <c r="V7" s="242" t="str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12</v>
      </c>
      <c r="D8" s="461">
        <v>2020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12</v>
      </c>
      <c r="D9" s="461">
        <v>2020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12</v>
      </c>
      <c r="D10" s="461">
        <v>2020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12</v>
      </c>
      <c r="D11" s="461">
        <v>2020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12</v>
      </c>
      <c r="D12" s="461">
        <v>2020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12</v>
      </c>
      <c r="D13" s="461">
        <v>2020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12</v>
      </c>
      <c r="D14" s="461">
        <v>2020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12</v>
      </c>
      <c r="D15" s="461">
        <v>2020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12</v>
      </c>
      <c r="D16" s="461">
        <v>2020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12</v>
      </c>
      <c r="D17" s="461">
        <v>2020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12</v>
      </c>
      <c r="D18" s="461">
        <v>2020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12</v>
      </c>
      <c r="D19" s="461">
        <v>2020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12</v>
      </c>
      <c r="D20" s="461">
        <v>2020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12</v>
      </c>
      <c r="D21" s="461">
        <v>2020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12</v>
      </c>
      <c r="D22" s="461">
        <v>2020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12</v>
      </c>
      <c r="D23" s="461">
        <v>2020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12</v>
      </c>
      <c r="D24" s="461">
        <v>2020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12</v>
      </c>
      <c r="D25" s="461">
        <v>2020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12</v>
      </c>
      <c r="D26" s="461">
        <v>2020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12</v>
      </c>
      <c r="D27" s="461">
        <v>2020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12</v>
      </c>
      <c r="D28" s="461">
        <v>2020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12</v>
      </c>
      <c r="D29" s="461">
        <v>2020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12</v>
      </c>
      <c r="D30" s="461">
        <v>2020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12</v>
      </c>
      <c r="D31" s="461">
        <v>2020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12</v>
      </c>
      <c r="D32" s="461">
        <v>2020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5" t="s">
        <v>314</v>
      </c>
      <c r="B1" s="835"/>
      <c r="C1" s="835"/>
      <c r="D1" s="835"/>
      <c r="E1" s="835"/>
      <c r="F1" s="835"/>
      <c r="G1" s="835"/>
      <c r="H1" s="835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0.29899999999999999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 t="str">
        <f>'Water-Meter'!E11</f>
        <v>0</v>
      </c>
      <c r="H8" s="405">
        <f>'Utility report '!AC11</f>
        <v>-43828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44204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44205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44206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36" t="s">
        <v>135</v>
      </c>
      <c r="E4" s="836"/>
      <c r="F4" s="836"/>
      <c r="G4" s="837" t="s">
        <v>20</v>
      </c>
      <c r="H4" s="837"/>
      <c r="I4" s="837"/>
      <c r="J4" s="838" t="s">
        <v>54</v>
      </c>
      <c r="K4" s="838"/>
      <c r="L4" s="838"/>
      <c r="M4" s="838"/>
      <c r="N4" s="839" t="s">
        <v>143</v>
      </c>
      <c r="O4" s="839"/>
      <c r="P4" s="839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-43828</v>
      </c>
      <c r="H11" s="153">
        <f>'Utility report '!AE11</f>
        <v>-209655</v>
      </c>
      <c r="I11" s="296" t="str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-326363.00400000002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13780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289</v>
      </c>
      <c r="J39" s="453">
        <f t="shared" si="3"/>
        <v>340</v>
      </c>
      <c r="K39" s="453">
        <f t="shared" si="3"/>
        <v>340</v>
      </c>
      <c r="L39" s="453">
        <f t="shared" si="3"/>
        <v>29</v>
      </c>
      <c r="M39" s="453">
        <f t="shared" si="3"/>
        <v>-325797.47200000001</v>
      </c>
      <c r="N39" s="453">
        <f t="shared" si="3"/>
        <v>19292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B13" sqref="AB13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47" t="s">
        <v>319</v>
      </c>
      <c r="B1" s="848"/>
      <c r="C1" s="848"/>
      <c r="D1" s="848"/>
      <c r="E1" s="848"/>
      <c r="F1" s="848"/>
      <c r="G1" s="848"/>
      <c r="H1" s="848"/>
      <c r="I1" s="848"/>
      <c r="J1" s="849"/>
      <c r="K1" s="849"/>
      <c r="L1" s="849"/>
      <c r="M1" s="849"/>
      <c r="N1" s="849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848"/>
      <c r="AC1" s="848"/>
      <c r="AD1" s="848"/>
      <c r="AE1" s="848"/>
      <c r="AF1" s="848"/>
      <c r="AG1" s="848"/>
      <c r="AH1" s="848"/>
      <c r="AI1" s="848"/>
      <c r="AJ1" s="848"/>
      <c r="AK1" s="850"/>
    </row>
    <row r="2" spans="1:37" ht="61.5" customHeight="1" thickBot="1">
      <c r="A2" s="137" t="s">
        <v>98</v>
      </c>
      <c r="B2" s="851" t="s">
        <v>99</v>
      </c>
      <c r="C2" s="852"/>
      <c r="D2" s="853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1" t="s">
        <v>101</v>
      </c>
      <c r="N2" s="284" t="s">
        <v>102</v>
      </c>
      <c r="O2" s="840" t="s">
        <v>103</v>
      </c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284" t="s">
        <v>104</v>
      </c>
      <c r="AB2" s="851" t="s">
        <v>164</v>
      </c>
      <c r="AC2" s="853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4">
        <f>SUM(D3/B3)</f>
        <v>1.3262195121951219</v>
      </c>
      <c r="G3" s="855"/>
      <c r="H3" s="127">
        <f>Gen!C11</f>
        <v>33639.449999999997</v>
      </c>
      <c r="I3" s="622"/>
      <c r="J3" s="755"/>
      <c r="K3" s="756" t="s">
        <v>165</v>
      </c>
      <c r="L3" s="755"/>
      <c r="M3" s="624" t="s">
        <v>111</v>
      </c>
      <c r="N3" s="755"/>
      <c r="O3" s="840" t="s">
        <v>112</v>
      </c>
      <c r="P3" s="840"/>
      <c r="Q3" s="840"/>
      <c r="R3" s="840"/>
      <c r="S3" s="841" t="s">
        <v>113</v>
      </c>
      <c r="T3" s="842"/>
      <c r="U3" s="842"/>
      <c r="V3" s="843"/>
      <c r="W3" s="844" t="s">
        <v>114</v>
      </c>
      <c r="X3" s="845"/>
      <c r="Y3" s="845"/>
      <c r="Z3" s="846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0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0"/>
      <c r="N5" s="759"/>
      <c r="O5" s="702"/>
      <c r="P5" s="721">
        <v>19032</v>
      </c>
      <c r="Q5" s="732"/>
      <c r="R5" s="722"/>
      <c r="S5" s="702"/>
      <c r="T5" s="709">
        <v>17204</v>
      </c>
      <c r="U5" s="702"/>
      <c r="V5" s="722"/>
      <c r="W5" s="702"/>
      <c r="X5" s="714">
        <v>26759</v>
      </c>
      <c r="Y5" s="702"/>
      <c r="Z5" s="707"/>
      <c r="AA5" s="718"/>
      <c r="AB5" s="717">
        <v>43403</v>
      </c>
      <c r="AC5" s="702"/>
      <c r="AD5" s="699">
        <v>209322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44197</v>
      </c>
      <c r="B6" s="425">
        <f>'Summery Report'!E5</f>
        <v>0</v>
      </c>
      <c r="C6" s="766">
        <f>Gen!B11</f>
        <v>0.53200000000000003</v>
      </c>
      <c r="D6" s="728">
        <f>'Summery Report'!E5</f>
        <v>0</v>
      </c>
      <c r="E6" s="728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8">
        <f>Gen!C11</f>
        <v>33639.449999999997</v>
      </c>
      <c r="I6" s="728">
        <f>Gen!E11</f>
        <v>0</v>
      </c>
      <c r="J6" s="767">
        <f>Gen!T11</f>
        <v>3884</v>
      </c>
      <c r="K6" s="772">
        <f>Gen!AK11</f>
        <v>0</v>
      </c>
      <c r="L6" s="763">
        <f t="shared" ref="L6:L13" si="1">SUM(J6:K6)</f>
        <v>3884</v>
      </c>
      <c r="M6" s="448">
        <f>'Water-Meter'!K46</f>
        <v>498.02459294333192</v>
      </c>
      <c r="N6" s="723">
        <f>'Water-Meter'!E6</f>
        <v>84</v>
      </c>
      <c r="O6" s="713"/>
      <c r="P6" s="721">
        <v>19032</v>
      </c>
      <c r="Q6" s="733">
        <f t="shared" ref="Q6:Q36" si="2">SUM(P6-P5)</f>
        <v>0</v>
      </c>
      <c r="R6" s="426">
        <f>SUM(Q6*O6)</f>
        <v>0</v>
      </c>
      <c r="S6" s="708">
        <v>6.7</v>
      </c>
      <c r="T6" s="709">
        <v>17233</v>
      </c>
      <c r="U6" s="733">
        <f>T6-T5</f>
        <v>29</v>
      </c>
      <c r="V6" s="427" t="s">
        <v>246</v>
      </c>
      <c r="W6" s="713"/>
      <c r="X6" s="714">
        <v>26759</v>
      </c>
      <c r="Y6" s="733">
        <f>X6-X5</f>
        <v>0</v>
      </c>
      <c r="Z6" s="716">
        <f t="shared" ref="Z6:AA6" si="3">Y6-Y5</f>
        <v>0</v>
      </c>
      <c r="AA6" s="719">
        <f t="shared" si="3"/>
        <v>0</v>
      </c>
      <c r="AB6" s="717">
        <v>43403</v>
      </c>
      <c r="AC6" s="697">
        <f>AB6-AB5</f>
        <v>0</v>
      </c>
      <c r="AD6" s="699">
        <v>209389</v>
      </c>
      <c r="AE6" s="178">
        <f>AD6-AD5</f>
        <v>67</v>
      </c>
      <c r="AF6" s="727">
        <f>'Lpg (2)'!B10*2000/85</f>
        <v>2000</v>
      </c>
      <c r="AG6" s="266">
        <f>'Lpg (2)'!C10*1000/85</f>
        <v>1000</v>
      </c>
      <c r="AH6" s="740">
        <f>'Lpg (2)'!D10*1000/85</f>
        <v>223.52941176470588</v>
      </c>
      <c r="AI6" s="730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1">
        <f>Gen!A12</f>
        <v>44198</v>
      </c>
      <c r="B7" s="425">
        <f>'Summery Report'!E6</f>
        <v>0</v>
      </c>
      <c r="C7" s="766">
        <f>Gen!B12</f>
        <v>0.29899999999999999</v>
      </c>
      <c r="D7" s="728">
        <f>'Summery Report'!E6</f>
        <v>0</v>
      </c>
      <c r="E7" s="728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8">
        <f>Gen!C12</f>
        <v>31851.749999999996</v>
      </c>
      <c r="I7" s="728">
        <f>Gen!E12</f>
        <v>0</v>
      </c>
      <c r="J7" s="767">
        <f>Gen!T12</f>
        <v>3654</v>
      </c>
      <c r="K7" s="772">
        <f>Gen!AK12</f>
        <v>0</v>
      </c>
      <c r="L7" s="763">
        <f t="shared" si="1"/>
        <v>3654</v>
      </c>
      <c r="M7" s="448">
        <f>'Water-Meter'!K47</f>
        <v>455.22510363910226</v>
      </c>
      <c r="N7" s="723">
        <f>'Water-Meter'!E7</f>
        <v>88</v>
      </c>
      <c r="O7" s="713"/>
      <c r="P7" s="721">
        <v>19032</v>
      </c>
      <c r="Q7" s="733">
        <f t="shared" si="2"/>
        <v>0</v>
      </c>
      <c r="R7" s="426">
        <f t="shared" ref="R7:R36" si="5">SUM(Q7*O7)</f>
        <v>0</v>
      </c>
      <c r="S7" s="708">
        <v>6.7</v>
      </c>
      <c r="T7" s="709">
        <v>17256.79</v>
      </c>
      <c r="U7" s="733">
        <f t="shared" ref="U7:U36" si="6">T7-T6</f>
        <v>23.790000000000873</v>
      </c>
      <c r="V7" s="427">
        <f t="shared" ref="V7:V9" si="7">SUM(U7*S7)</f>
        <v>159.39300000000586</v>
      </c>
      <c r="W7" s="713"/>
      <c r="X7" s="714">
        <v>26759</v>
      </c>
      <c r="Y7" s="733">
        <f t="shared" ref="Y7:Y36" si="8">X7-X6</f>
        <v>0</v>
      </c>
      <c r="Z7" s="712">
        <f t="shared" ref="Z7:Z36" si="9">SUM(Y7*W7)</f>
        <v>0</v>
      </c>
      <c r="AA7" s="720">
        <f t="shared" ref="AA7:AA36" si="10">SUM(Z7*X9)</f>
        <v>0</v>
      </c>
      <c r="AB7" s="717">
        <v>43565</v>
      </c>
      <c r="AC7" s="697">
        <f t="shared" ref="AC7:AC27" si="11">AB7-AB6</f>
        <v>162</v>
      </c>
      <c r="AD7" s="699">
        <v>209433</v>
      </c>
      <c r="AE7" s="178">
        <f>AD7-AD6</f>
        <v>44</v>
      </c>
      <c r="AF7" s="727">
        <f>'Lpg (2)'!B11*2000/85</f>
        <v>2000</v>
      </c>
      <c r="AG7" s="266">
        <f>'Lpg (2)'!C11*1000/85</f>
        <v>1000</v>
      </c>
      <c r="AH7" s="740">
        <f>'Lpg (2)'!D11*1000/85</f>
        <v>176.47058823529412</v>
      </c>
      <c r="AI7" s="730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1">
        <f>Gen!A13</f>
        <v>44199</v>
      </c>
      <c r="B8" s="425">
        <f>'Summery Report'!E7</f>
        <v>0</v>
      </c>
      <c r="C8" s="766">
        <f>Gen!B13</f>
        <v>0</v>
      </c>
      <c r="D8" s="728">
        <f>'Summery Report'!E7</f>
        <v>0</v>
      </c>
      <c r="E8" s="728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8">
        <f>Gen!C13</f>
        <v>48190.89</v>
      </c>
      <c r="I8" s="728">
        <f>Gen!E13</f>
        <v>18000</v>
      </c>
      <c r="J8" s="767">
        <f>Gen!T13</f>
        <v>3471</v>
      </c>
      <c r="K8" s="772">
        <f>Gen!AK13</f>
        <v>0</v>
      </c>
      <c r="L8" s="763">
        <f t="shared" si="1"/>
        <v>3471</v>
      </c>
      <c r="M8" s="448">
        <f>'Water-Meter'!K48</f>
        <v>396.56595598397803</v>
      </c>
      <c r="N8" s="723">
        <f>'Water-Meter'!E8</f>
        <v>68</v>
      </c>
      <c r="O8" s="713"/>
      <c r="P8" s="721">
        <v>19032</v>
      </c>
      <c r="Q8" s="733">
        <f t="shared" si="2"/>
        <v>0</v>
      </c>
      <c r="R8" s="426">
        <f t="shared" si="5"/>
        <v>0</v>
      </c>
      <c r="S8" s="708">
        <v>6.7</v>
      </c>
      <c r="T8" s="709">
        <v>17280</v>
      </c>
      <c r="U8" s="733">
        <f t="shared" si="6"/>
        <v>23.209999999999127</v>
      </c>
      <c r="V8" s="427">
        <f t="shared" si="7"/>
        <v>155.50699999999415</v>
      </c>
      <c r="W8" s="713"/>
      <c r="X8" s="714">
        <v>26759</v>
      </c>
      <c r="Y8" s="733">
        <f t="shared" si="8"/>
        <v>0</v>
      </c>
      <c r="Z8" s="712">
        <f t="shared" si="9"/>
        <v>0</v>
      </c>
      <c r="AA8" s="720">
        <f t="shared" si="10"/>
        <v>0</v>
      </c>
      <c r="AB8" s="717">
        <v>43727</v>
      </c>
      <c r="AC8" s="697">
        <f t="shared" si="11"/>
        <v>162</v>
      </c>
      <c r="AD8" s="699">
        <v>209520</v>
      </c>
      <c r="AE8" s="178">
        <f t="shared" ref="AE8:AE37" si="15">AD8-AD7</f>
        <v>87</v>
      </c>
      <c r="AF8" s="727">
        <f>'Lpg (2)'!B12*2000/85</f>
        <v>2000</v>
      </c>
      <c r="AG8" s="266">
        <f>'Lpg (2)'!C12*1000/85</f>
        <v>1000</v>
      </c>
      <c r="AH8" s="740">
        <f>'Lpg (2)'!D12*1000/85</f>
        <v>117.64705882352941</v>
      </c>
      <c r="AI8" s="730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1">
        <f>Gen!A14</f>
        <v>44200</v>
      </c>
      <c r="B9" s="425">
        <f>'Summery Report'!E8</f>
        <v>0</v>
      </c>
      <c r="C9" s="766">
        <f>Gen!B14</f>
        <v>0</v>
      </c>
      <c r="D9" s="728">
        <f>'Summery Report'!E8</f>
        <v>0</v>
      </c>
      <c r="E9" s="728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8">
        <f>Gen!C14</f>
        <v>46743.22</v>
      </c>
      <c r="I9" s="728">
        <f>Gen!E14</f>
        <v>0</v>
      </c>
      <c r="J9" s="767">
        <f>Gen!T14</f>
        <v>3204</v>
      </c>
      <c r="K9" s="772">
        <f>Gen!AK14</f>
        <v>0</v>
      </c>
      <c r="L9" s="763">
        <f t="shared" si="1"/>
        <v>3204</v>
      </c>
      <c r="M9" s="448">
        <f>'Water-Meter'!K49</f>
        <v>395.41197749873857</v>
      </c>
      <c r="N9" s="723">
        <f>'Water-Meter'!E9</f>
        <v>72</v>
      </c>
      <c r="O9" s="713"/>
      <c r="P9" s="721">
        <v>19032</v>
      </c>
      <c r="Q9" s="733">
        <f t="shared" si="2"/>
        <v>0</v>
      </c>
      <c r="R9" s="426">
        <f t="shared" si="5"/>
        <v>0</v>
      </c>
      <c r="S9" s="708">
        <v>6.7</v>
      </c>
      <c r="T9" s="709">
        <v>17290</v>
      </c>
      <c r="U9" s="733">
        <f t="shared" si="6"/>
        <v>10</v>
      </c>
      <c r="V9" s="427">
        <f t="shared" si="7"/>
        <v>67</v>
      </c>
      <c r="W9" s="713"/>
      <c r="X9" s="714">
        <v>26759</v>
      </c>
      <c r="Y9" s="733">
        <f t="shared" si="8"/>
        <v>0</v>
      </c>
      <c r="Z9" s="712">
        <f t="shared" si="9"/>
        <v>0</v>
      </c>
      <c r="AA9" s="720">
        <f t="shared" si="10"/>
        <v>0</v>
      </c>
      <c r="AB9" s="717">
        <v>43792</v>
      </c>
      <c r="AC9" s="697">
        <f t="shared" si="11"/>
        <v>65</v>
      </c>
      <c r="AD9" s="699">
        <v>209589</v>
      </c>
      <c r="AE9" s="178">
        <f t="shared" si="15"/>
        <v>69</v>
      </c>
      <c r="AF9" s="727">
        <f>'Lpg (2)'!B13*2000/85</f>
        <v>2000</v>
      </c>
      <c r="AG9" s="266">
        <f>'Lpg (2)'!C13*1000/85</f>
        <v>1000</v>
      </c>
      <c r="AH9" s="740">
        <f>'Lpg (2)'!D13*1000/85</f>
        <v>35.294117647058826</v>
      </c>
      <c r="AI9" s="730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1">
        <f>Gen!A15</f>
        <v>44201</v>
      </c>
      <c r="B10" s="425">
        <f>'Summery Report'!E9</f>
        <v>0</v>
      </c>
      <c r="C10" s="766">
        <f>Gen!B15</f>
        <v>0</v>
      </c>
      <c r="D10" s="728">
        <f>'Summery Report'!E9</f>
        <v>0</v>
      </c>
      <c r="E10" s="728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8">
        <f>Gen!C15</f>
        <v>45311.1</v>
      </c>
      <c r="I10" s="728">
        <f>Gen!E15</f>
        <v>0</v>
      </c>
      <c r="J10" s="767">
        <f>Gen!T15</f>
        <v>3451</v>
      </c>
      <c r="K10" s="772">
        <f>Gen!AK15</f>
        <v>0</v>
      </c>
      <c r="L10" s="763">
        <f t="shared" si="1"/>
        <v>3451</v>
      </c>
      <c r="M10" s="448">
        <f>'Water-Meter'!K50</f>
        <v>543.08564523621453</v>
      </c>
      <c r="N10" s="723">
        <f>'Water-Meter'!E10</f>
        <v>61</v>
      </c>
      <c r="O10" s="713"/>
      <c r="P10" s="721">
        <v>19032</v>
      </c>
      <c r="Q10" s="733">
        <f t="shared" si="2"/>
        <v>0</v>
      </c>
      <c r="R10" s="426">
        <f t="shared" si="5"/>
        <v>0</v>
      </c>
      <c r="S10" s="708">
        <v>6.7</v>
      </c>
      <c r="T10" s="709">
        <v>17295</v>
      </c>
      <c r="U10" s="733">
        <f t="shared" si="6"/>
        <v>5</v>
      </c>
      <c r="V10" s="427">
        <f t="shared" ref="V10:V16" si="16">SUM(U10*S10)</f>
        <v>33.5</v>
      </c>
      <c r="W10" s="713"/>
      <c r="X10" s="714">
        <v>26759</v>
      </c>
      <c r="Y10" s="733">
        <f t="shared" si="8"/>
        <v>0</v>
      </c>
      <c r="Z10" s="712">
        <f t="shared" si="9"/>
        <v>0</v>
      </c>
      <c r="AA10" s="720">
        <f t="shared" si="10"/>
        <v>0</v>
      </c>
      <c r="AB10" s="717">
        <v>43828</v>
      </c>
      <c r="AC10" s="697">
        <f t="shared" si="11"/>
        <v>36</v>
      </c>
      <c r="AD10" s="699">
        <v>209655</v>
      </c>
      <c r="AE10" s="178">
        <f t="shared" si="15"/>
        <v>66</v>
      </c>
      <c r="AF10" s="727">
        <f>'Lpg (2)'!B14*2000/85</f>
        <v>2000</v>
      </c>
      <c r="AG10" s="266">
        <f>'Lpg (2)'!C14*1000/85</f>
        <v>1000</v>
      </c>
      <c r="AH10" s="740">
        <f>'Lpg (2)'!D14*1000/85</f>
        <v>11.764705882352942</v>
      </c>
      <c r="AI10" s="730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1">
        <f>Gen!A16</f>
        <v>44202</v>
      </c>
      <c r="B11" s="425">
        <f>'Summery Report'!E10</f>
        <v>0</v>
      </c>
      <c r="C11" s="766">
        <f>Gen!B16</f>
        <v>0</v>
      </c>
      <c r="D11" s="728">
        <f>'Summery Report'!E10</f>
        <v>0</v>
      </c>
      <c r="E11" s="728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8">
        <f>Gen!C16</f>
        <v>43826.78</v>
      </c>
      <c r="I11" s="728">
        <f>Gen!E16</f>
        <v>0</v>
      </c>
      <c r="J11" s="767">
        <f>Gen!T16</f>
        <v>0</v>
      </c>
      <c r="K11" s="772">
        <f>Gen!AK16</f>
        <v>0</v>
      </c>
      <c r="L11" s="763">
        <f t="shared" si="1"/>
        <v>0</v>
      </c>
      <c r="M11" s="448">
        <f>'Water-Meter'!K51</f>
        <v>0</v>
      </c>
      <c r="N11" s="723" t="str">
        <f>'Water-Meter'!E11</f>
        <v>0</v>
      </c>
      <c r="O11" s="713"/>
      <c r="P11" s="721"/>
      <c r="Q11" s="733">
        <f t="shared" si="2"/>
        <v>-19032</v>
      </c>
      <c r="R11" s="426">
        <f t="shared" si="5"/>
        <v>0</v>
      </c>
      <c r="S11" s="708"/>
      <c r="T11" s="709"/>
      <c r="U11" s="733">
        <f t="shared" si="6"/>
        <v>-17295</v>
      </c>
      <c r="V11" s="427">
        <f t="shared" si="16"/>
        <v>0</v>
      </c>
      <c r="W11" s="713"/>
      <c r="X11" s="714"/>
      <c r="Y11" s="733">
        <f t="shared" si="8"/>
        <v>-26759</v>
      </c>
      <c r="Z11" s="712">
        <f t="shared" si="9"/>
        <v>0</v>
      </c>
      <c r="AA11" s="720">
        <f t="shared" si="10"/>
        <v>0</v>
      </c>
      <c r="AB11" s="717"/>
      <c r="AC11" s="697">
        <f t="shared" si="11"/>
        <v>-43828</v>
      </c>
      <c r="AD11" s="699"/>
      <c r="AE11" s="178">
        <f t="shared" si="15"/>
        <v>-209655</v>
      </c>
      <c r="AF11" s="727">
        <f>'Lpg (2)'!B15*2000/85</f>
        <v>0</v>
      </c>
      <c r="AG11" s="266">
        <f>'Lpg (2)'!C15*1000/85</f>
        <v>0</v>
      </c>
      <c r="AH11" s="740">
        <f>'Lpg (2)'!D15*1000/85</f>
        <v>0</v>
      </c>
      <c r="AI11" s="730">
        <f t="shared" si="12"/>
        <v>4000000</v>
      </c>
      <c r="AJ11" s="428">
        <f t="shared" si="4"/>
        <v>1011764.7058823528</v>
      </c>
      <c r="AK11" s="132"/>
    </row>
    <row r="12" spans="1:37" ht="18.75">
      <c r="A12" s="761">
        <f>Gen!A17</f>
        <v>44203</v>
      </c>
      <c r="B12" s="425">
        <f>'Summery Report'!E11</f>
        <v>0</v>
      </c>
      <c r="C12" s="766">
        <f>Gen!B17</f>
        <v>0</v>
      </c>
      <c r="D12" s="728">
        <f>'Summery Report'!E11</f>
        <v>0</v>
      </c>
      <c r="E12" s="728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8">
        <f>Gen!C17</f>
        <v>43826.78</v>
      </c>
      <c r="I12" s="728">
        <f>Gen!E17</f>
        <v>0</v>
      </c>
      <c r="J12" s="767">
        <f>Gen!T17</f>
        <v>0</v>
      </c>
      <c r="K12" s="772">
        <f>Gen!AK17</f>
        <v>0</v>
      </c>
      <c r="L12" s="763">
        <f t="shared" si="1"/>
        <v>0</v>
      </c>
      <c r="M12" s="448">
        <f>'Water-Meter'!K52</f>
        <v>0</v>
      </c>
      <c r="N12" s="723">
        <f>'Water-Meter'!E12</f>
        <v>0</v>
      </c>
      <c r="O12" s="713"/>
      <c r="P12" s="721"/>
      <c r="Q12" s="733">
        <f t="shared" si="2"/>
        <v>0</v>
      </c>
      <c r="R12" s="426">
        <f t="shared" si="5"/>
        <v>0</v>
      </c>
      <c r="S12" s="708"/>
      <c r="T12" s="709"/>
      <c r="U12" s="733">
        <f t="shared" si="6"/>
        <v>0</v>
      </c>
      <c r="V12" s="427">
        <f t="shared" si="16"/>
        <v>0</v>
      </c>
      <c r="W12" s="708"/>
      <c r="X12" s="714"/>
      <c r="Y12" s="733">
        <f t="shared" si="8"/>
        <v>0</v>
      </c>
      <c r="Z12" s="712">
        <f t="shared" si="9"/>
        <v>0</v>
      </c>
      <c r="AA12" s="720">
        <f t="shared" si="10"/>
        <v>0</v>
      </c>
      <c r="AB12" s="717"/>
      <c r="AC12" s="697">
        <f t="shared" si="11"/>
        <v>0</v>
      </c>
      <c r="AD12" s="699"/>
      <c r="AE12" s="178">
        <f t="shared" si="15"/>
        <v>0</v>
      </c>
      <c r="AF12" s="727">
        <f>'Lpg (2)'!B16*2000/85</f>
        <v>0</v>
      </c>
      <c r="AG12" s="266">
        <f>'Lpg (2)'!C16*1000/85</f>
        <v>0</v>
      </c>
      <c r="AH12" s="740">
        <f>'Lpg (2)'!D16*1000/85</f>
        <v>0</v>
      </c>
      <c r="AI12" s="730">
        <f t="shared" si="12"/>
        <v>0</v>
      </c>
      <c r="AJ12" s="428">
        <f t="shared" si="4"/>
        <v>4000000</v>
      </c>
      <c r="AK12" s="132"/>
    </row>
    <row r="13" spans="1:37" ht="18.75">
      <c r="A13" s="761">
        <f>Gen!A18</f>
        <v>44204</v>
      </c>
      <c r="B13" s="425">
        <f>'Summery Report'!E12</f>
        <v>0</v>
      </c>
      <c r="C13" s="766">
        <f>Gen!B18</f>
        <v>0</v>
      </c>
      <c r="D13" s="728">
        <f>'Summery Report'!E12</f>
        <v>0</v>
      </c>
      <c r="E13" s="728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8">
        <f>Gen!C18</f>
        <v>43826.78</v>
      </c>
      <c r="I13" s="728">
        <f>Gen!E18</f>
        <v>0</v>
      </c>
      <c r="J13" s="767">
        <f>Gen!T18</f>
        <v>0</v>
      </c>
      <c r="K13" s="772">
        <f>Gen!AK18</f>
        <v>0</v>
      </c>
      <c r="L13" s="763">
        <f t="shared" si="1"/>
        <v>0</v>
      </c>
      <c r="M13" s="448">
        <f>'Water-Meter'!K53</f>
        <v>0</v>
      </c>
      <c r="N13" s="723">
        <f>'Water-Meter'!E13</f>
        <v>0</v>
      </c>
      <c r="O13" s="713"/>
      <c r="P13" s="721"/>
      <c r="Q13" s="733">
        <f t="shared" si="2"/>
        <v>0</v>
      </c>
      <c r="R13" s="426">
        <f t="shared" si="5"/>
        <v>0</v>
      </c>
      <c r="S13" s="708"/>
      <c r="T13" s="709"/>
      <c r="U13" s="733">
        <f t="shared" si="6"/>
        <v>0</v>
      </c>
      <c r="V13" s="427">
        <f t="shared" si="16"/>
        <v>0</v>
      </c>
      <c r="W13" s="708"/>
      <c r="X13" s="714"/>
      <c r="Y13" s="733">
        <f t="shared" si="8"/>
        <v>0</v>
      </c>
      <c r="Z13" s="712">
        <f t="shared" si="9"/>
        <v>0</v>
      </c>
      <c r="AA13" s="720">
        <f t="shared" si="10"/>
        <v>0</v>
      </c>
      <c r="AB13" s="717"/>
      <c r="AC13" s="697">
        <f t="shared" si="11"/>
        <v>0</v>
      </c>
      <c r="AD13" s="699"/>
      <c r="AE13" s="178">
        <f t="shared" si="15"/>
        <v>0</v>
      </c>
      <c r="AF13" s="727">
        <f>'Lpg (2)'!B17*2000/85</f>
        <v>0</v>
      </c>
      <c r="AG13" s="266">
        <f>'Lpg (2)'!C17*1000/85</f>
        <v>0</v>
      </c>
      <c r="AH13" s="740">
        <f>'Lpg (2)'!D17*1000/85</f>
        <v>0</v>
      </c>
      <c r="AI13" s="730">
        <f t="shared" si="12"/>
        <v>0</v>
      </c>
      <c r="AJ13" s="428">
        <f t="shared" si="4"/>
        <v>0</v>
      </c>
      <c r="AK13" s="132"/>
    </row>
    <row r="14" spans="1:37" ht="18.75">
      <c r="A14" s="761">
        <f>Gen!A19</f>
        <v>44205</v>
      </c>
      <c r="B14" s="425">
        <f>'Summery Report'!E13</f>
        <v>0</v>
      </c>
      <c r="C14" s="766">
        <f>Gen!B19</f>
        <v>0</v>
      </c>
      <c r="D14" s="728">
        <f>'Summery Report'!E13</f>
        <v>0</v>
      </c>
      <c r="E14" s="728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8">
        <f>Gen!C19</f>
        <v>43826.78</v>
      </c>
      <c r="I14" s="728">
        <f>Gen!E19</f>
        <v>0</v>
      </c>
      <c r="J14" s="767">
        <f>Gen!T19</f>
        <v>0</v>
      </c>
      <c r="K14" s="772">
        <f>Gen!AK19</f>
        <v>0</v>
      </c>
      <c r="L14" s="763">
        <f t="shared" ref="L14:L37" si="17">SUM(J14:K14)</f>
        <v>0</v>
      </c>
      <c r="M14" s="448">
        <f>'Water-Meter'!K54</f>
        <v>0</v>
      </c>
      <c r="N14" s="723">
        <f>'Water-Meter'!E14</f>
        <v>0</v>
      </c>
      <c r="O14" s="713"/>
      <c r="P14" s="721"/>
      <c r="Q14" s="733">
        <f t="shared" si="2"/>
        <v>0</v>
      </c>
      <c r="R14" s="426">
        <f t="shared" si="5"/>
        <v>0</v>
      </c>
      <c r="S14" s="708"/>
      <c r="T14" s="709"/>
      <c r="U14" s="733">
        <f t="shared" si="6"/>
        <v>0</v>
      </c>
      <c r="V14" s="427">
        <f t="shared" si="16"/>
        <v>0</v>
      </c>
      <c r="W14" s="708"/>
      <c r="X14" s="714"/>
      <c r="Y14" s="733">
        <f t="shared" si="8"/>
        <v>0</v>
      </c>
      <c r="Z14" s="712">
        <f t="shared" si="9"/>
        <v>0</v>
      </c>
      <c r="AA14" s="720">
        <f t="shared" si="10"/>
        <v>0</v>
      </c>
      <c r="AB14" s="717"/>
      <c r="AC14" s="697">
        <f t="shared" si="11"/>
        <v>0</v>
      </c>
      <c r="AD14" s="699"/>
      <c r="AE14" s="178">
        <f t="shared" si="15"/>
        <v>0</v>
      </c>
      <c r="AF14" s="727">
        <f>'Lpg (2)'!B18*2000/85</f>
        <v>0</v>
      </c>
      <c r="AG14" s="266">
        <f>'Lpg (2)'!C18*1000/85</f>
        <v>0</v>
      </c>
      <c r="AH14" s="740">
        <f>'Lpg (2)'!D18*1000/85</f>
        <v>0</v>
      </c>
      <c r="AI14" s="730">
        <f t="shared" si="12"/>
        <v>0</v>
      </c>
      <c r="AJ14" s="428">
        <f t="shared" si="4"/>
        <v>0</v>
      </c>
      <c r="AK14" s="132"/>
    </row>
    <row r="15" spans="1:37" ht="18.75">
      <c r="A15" s="761">
        <f>Gen!A20</f>
        <v>44206</v>
      </c>
      <c r="B15" s="425">
        <f>'Summery Report'!E14</f>
        <v>0</v>
      </c>
      <c r="C15" s="766">
        <f>Gen!B20</f>
        <v>0</v>
      </c>
      <c r="D15" s="728">
        <f>'Summery Report'!E14</f>
        <v>0</v>
      </c>
      <c r="E15" s="728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8">
        <f>Gen!C20</f>
        <v>43826.78</v>
      </c>
      <c r="I15" s="728">
        <f>Gen!E20</f>
        <v>0</v>
      </c>
      <c r="J15" s="767">
        <f>Gen!T20</f>
        <v>0</v>
      </c>
      <c r="K15" s="772">
        <f>Gen!AK20</f>
        <v>0</v>
      </c>
      <c r="L15" s="763">
        <f t="shared" si="17"/>
        <v>0</v>
      </c>
      <c r="M15" s="448">
        <f>'Water-Meter'!K55</f>
        <v>0</v>
      </c>
      <c r="N15" s="723">
        <f>'Water-Meter'!E15</f>
        <v>0</v>
      </c>
      <c r="O15" s="713"/>
      <c r="P15" s="721"/>
      <c r="Q15" s="733">
        <f t="shared" si="2"/>
        <v>0</v>
      </c>
      <c r="R15" s="426">
        <f t="shared" si="5"/>
        <v>0</v>
      </c>
      <c r="S15" s="708"/>
      <c r="T15" s="709"/>
      <c r="U15" s="733">
        <f t="shared" si="6"/>
        <v>0</v>
      </c>
      <c r="V15" s="427">
        <f t="shared" si="16"/>
        <v>0</v>
      </c>
      <c r="W15" s="708"/>
      <c r="X15" s="714"/>
      <c r="Y15" s="733">
        <f t="shared" si="8"/>
        <v>0</v>
      </c>
      <c r="Z15" s="712">
        <f t="shared" si="9"/>
        <v>0</v>
      </c>
      <c r="AA15" s="720">
        <f t="shared" si="10"/>
        <v>0</v>
      </c>
      <c r="AB15" s="717"/>
      <c r="AC15" s="697">
        <f t="shared" si="11"/>
        <v>0</v>
      </c>
      <c r="AD15" s="699"/>
      <c r="AE15" s="178">
        <f>AD15-AD14</f>
        <v>0</v>
      </c>
      <c r="AF15" s="727">
        <f>'Lpg (2)'!B19*2000/85</f>
        <v>0</v>
      </c>
      <c r="AG15" s="266">
        <f>'Lpg (2)'!C19*1000/85</f>
        <v>0</v>
      </c>
      <c r="AH15" s="740">
        <f>'Lpg (2)'!D19*1000/85</f>
        <v>0</v>
      </c>
      <c r="AI15" s="730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61">
        <f>Gen!A21</f>
        <v>44207</v>
      </c>
      <c r="B16" s="425">
        <f>'Summery Report'!E15</f>
        <v>0</v>
      </c>
      <c r="C16" s="766">
        <f>Gen!B21</f>
        <v>0</v>
      </c>
      <c r="D16" s="728">
        <f>'Summery Report'!E15</f>
        <v>0</v>
      </c>
      <c r="E16" s="728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8">
        <f>Gen!C21</f>
        <v>43826.78</v>
      </c>
      <c r="I16" s="728">
        <f>Gen!E21</f>
        <v>0</v>
      </c>
      <c r="J16" s="767">
        <f>Gen!T21</f>
        <v>0</v>
      </c>
      <c r="K16" s="772">
        <f>Gen!AK21</f>
        <v>0</v>
      </c>
      <c r="L16" s="763">
        <f t="shared" si="17"/>
        <v>0</v>
      </c>
      <c r="M16" s="448">
        <f>'Water-Meter'!K56</f>
        <v>0</v>
      </c>
      <c r="N16" s="723">
        <f>'Water-Meter'!E16</f>
        <v>0</v>
      </c>
      <c r="O16" s="713"/>
      <c r="P16" s="721"/>
      <c r="Q16" s="733">
        <f t="shared" si="2"/>
        <v>0</v>
      </c>
      <c r="R16" s="426">
        <f t="shared" si="5"/>
        <v>0</v>
      </c>
      <c r="S16" s="708"/>
      <c r="T16" s="709"/>
      <c r="U16" s="733">
        <f t="shared" si="6"/>
        <v>0</v>
      </c>
      <c r="V16" s="427">
        <f t="shared" si="16"/>
        <v>0</v>
      </c>
      <c r="W16" s="708"/>
      <c r="X16" s="714"/>
      <c r="Y16" s="733">
        <f t="shared" si="8"/>
        <v>0</v>
      </c>
      <c r="Z16" s="712">
        <f t="shared" si="9"/>
        <v>0</v>
      </c>
      <c r="AA16" s="720">
        <f t="shared" si="10"/>
        <v>0</v>
      </c>
      <c r="AB16" s="717"/>
      <c r="AC16" s="697">
        <f t="shared" si="11"/>
        <v>0</v>
      </c>
      <c r="AD16" s="699"/>
      <c r="AE16" s="178">
        <f t="shared" si="15"/>
        <v>0</v>
      </c>
      <c r="AF16" s="727">
        <f>'Lpg (2)'!B20*2000/85</f>
        <v>0</v>
      </c>
      <c r="AG16" s="266">
        <f>'Lpg (2)'!C20*1000/85</f>
        <v>0</v>
      </c>
      <c r="AH16" s="740">
        <f>'Lpg (2)'!D20*1000/85</f>
        <v>0</v>
      </c>
      <c r="AI16" s="730">
        <f t="shared" si="18"/>
        <v>0</v>
      </c>
      <c r="AJ16" s="428">
        <f t="shared" si="4"/>
        <v>0</v>
      </c>
      <c r="AK16" s="132"/>
    </row>
    <row r="17" spans="1:37" ht="18.75">
      <c r="A17" s="761">
        <f>Gen!A22</f>
        <v>44208</v>
      </c>
      <c r="B17" s="425">
        <f>'Summery Report'!E16</f>
        <v>0</v>
      </c>
      <c r="C17" s="766">
        <f>Gen!B22</f>
        <v>0</v>
      </c>
      <c r="D17" s="728">
        <f>'Summery Report'!E16</f>
        <v>0</v>
      </c>
      <c r="E17" s="728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8">
        <f>Gen!C22</f>
        <v>43826.78</v>
      </c>
      <c r="I17" s="728">
        <f>Gen!E22</f>
        <v>0</v>
      </c>
      <c r="J17" s="767">
        <f>Gen!T22</f>
        <v>0</v>
      </c>
      <c r="K17" s="772">
        <f>Gen!AK22</f>
        <v>0</v>
      </c>
      <c r="L17" s="763">
        <f t="shared" si="17"/>
        <v>0</v>
      </c>
      <c r="M17" s="448">
        <f>'Water-Meter'!K57</f>
        <v>0</v>
      </c>
      <c r="N17" s="723">
        <f>'Water-Meter'!E17</f>
        <v>0</v>
      </c>
      <c r="O17" s="713"/>
      <c r="P17" s="721"/>
      <c r="Q17" s="733">
        <f>SUM(P18-P16)</f>
        <v>0</v>
      </c>
      <c r="R17" s="426">
        <f t="shared" si="5"/>
        <v>0</v>
      </c>
      <c r="S17" s="708"/>
      <c r="T17" s="709"/>
      <c r="U17" s="733">
        <f t="shared" si="6"/>
        <v>0</v>
      </c>
      <c r="V17" s="427">
        <f t="shared" ref="V17:V36" si="19">SUM(U17*S17)</f>
        <v>0</v>
      </c>
      <c r="W17" s="708"/>
      <c r="X17" s="714"/>
      <c r="Y17" s="733">
        <f t="shared" si="8"/>
        <v>0</v>
      </c>
      <c r="Z17" s="712">
        <f t="shared" si="9"/>
        <v>0</v>
      </c>
      <c r="AA17" s="720">
        <f t="shared" si="10"/>
        <v>0</v>
      </c>
      <c r="AB17" s="717"/>
      <c r="AC17" s="697">
        <f t="shared" si="11"/>
        <v>0</v>
      </c>
      <c r="AD17" s="699"/>
      <c r="AE17" s="178">
        <f t="shared" si="15"/>
        <v>0</v>
      </c>
      <c r="AF17" s="727">
        <f>'Lpg (2)'!B21*2000/85</f>
        <v>0</v>
      </c>
      <c r="AG17" s="266">
        <f>'Lpg (2)'!C21*1000/85</f>
        <v>0</v>
      </c>
      <c r="AH17" s="740">
        <f>'Lpg (2)'!D21*1000/85</f>
        <v>0</v>
      </c>
      <c r="AI17" s="730">
        <f t="shared" si="18"/>
        <v>0</v>
      </c>
      <c r="AJ17" s="428">
        <f t="shared" si="4"/>
        <v>0</v>
      </c>
      <c r="AK17" s="132"/>
    </row>
    <row r="18" spans="1:37" ht="18.75">
      <c r="A18" s="761">
        <f>Gen!A23</f>
        <v>44209</v>
      </c>
      <c r="B18" s="425">
        <f>'Summery Report'!E17</f>
        <v>0</v>
      </c>
      <c r="C18" s="766">
        <f>Gen!B23</f>
        <v>0</v>
      </c>
      <c r="D18" s="728">
        <f>'Summery Report'!E17</f>
        <v>0</v>
      </c>
      <c r="E18" s="728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8">
        <f>Gen!C23</f>
        <v>43826.78</v>
      </c>
      <c r="I18" s="728">
        <f>Gen!E23</f>
        <v>0</v>
      </c>
      <c r="J18" s="767">
        <f>Gen!T23</f>
        <v>0</v>
      </c>
      <c r="K18" s="772">
        <f>Gen!AK23</f>
        <v>0</v>
      </c>
      <c r="L18" s="763">
        <f t="shared" si="17"/>
        <v>0</v>
      </c>
      <c r="M18" s="448">
        <f>'Water-Meter'!K58</f>
        <v>0</v>
      </c>
      <c r="N18" s="723">
        <f>'Water-Meter'!E18</f>
        <v>0</v>
      </c>
      <c r="O18" s="713"/>
      <c r="P18" s="721"/>
      <c r="Q18" s="733"/>
      <c r="R18" s="426">
        <f t="shared" si="5"/>
        <v>0</v>
      </c>
      <c r="S18" s="708"/>
      <c r="T18" s="709"/>
      <c r="U18" s="733">
        <f t="shared" si="6"/>
        <v>0</v>
      </c>
      <c r="V18" s="427">
        <f t="shared" si="19"/>
        <v>0</v>
      </c>
      <c r="W18" s="708"/>
      <c r="X18" s="714"/>
      <c r="Y18" s="733">
        <f t="shared" si="8"/>
        <v>0</v>
      </c>
      <c r="Z18" s="712">
        <f t="shared" si="9"/>
        <v>0</v>
      </c>
      <c r="AA18" s="720">
        <f t="shared" si="10"/>
        <v>0</v>
      </c>
      <c r="AB18" s="717"/>
      <c r="AC18" s="697">
        <f t="shared" si="11"/>
        <v>0</v>
      </c>
      <c r="AD18" s="699"/>
      <c r="AE18" s="178">
        <f t="shared" si="15"/>
        <v>0</v>
      </c>
      <c r="AF18" s="727">
        <f>'Lpg (2)'!B22*2000/85</f>
        <v>0</v>
      </c>
      <c r="AG18" s="266">
        <f>'Lpg (2)'!C22*1000/85</f>
        <v>0</v>
      </c>
      <c r="AH18" s="740">
        <f>'Lpg (2)'!D22*1000/85</f>
        <v>0</v>
      </c>
      <c r="AI18" s="730">
        <f t="shared" si="18"/>
        <v>0</v>
      </c>
      <c r="AJ18" s="428">
        <f t="shared" si="4"/>
        <v>0</v>
      </c>
      <c r="AK18" s="132"/>
    </row>
    <row r="19" spans="1:37" ht="18.75">
      <c r="A19" s="761">
        <f>Gen!A24</f>
        <v>44210</v>
      </c>
      <c r="B19" s="425">
        <f>'Summery Report'!E18</f>
        <v>0</v>
      </c>
      <c r="C19" s="766">
        <f>Gen!B24</f>
        <v>0</v>
      </c>
      <c r="D19" s="728">
        <f>'Summery Report'!E18</f>
        <v>0</v>
      </c>
      <c r="E19" s="728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8">
        <f>Gen!C24</f>
        <v>43826.78</v>
      </c>
      <c r="I19" s="728">
        <f>Gen!E24</f>
        <v>0</v>
      </c>
      <c r="J19" s="767">
        <f>Gen!T24</f>
        <v>0</v>
      </c>
      <c r="K19" s="772">
        <f>Gen!AK24</f>
        <v>0</v>
      </c>
      <c r="L19" s="763">
        <f t="shared" si="17"/>
        <v>0</v>
      </c>
      <c r="M19" s="448">
        <f>'Water-Meter'!K59</f>
        <v>0</v>
      </c>
      <c r="N19" s="723">
        <f>'Water-Meter'!E19</f>
        <v>0</v>
      </c>
      <c r="O19" s="713"/>
      <c r="P19" s="721"/>
      <c r="Q19" s="733"/>
      <c r="R19" s="426">
        <f t="shared" si="5"/>
        <v>0</v>
      </c>
      <c r="S19" s="708"/>
      <c r="T19" s="709"/>
      <c r="U19" s="733">
        <f t="shared" si="6"/>
        <v>0</v>
      </c>
      <c r="V19" s="427">
        <f t="shared" si="19"/>
        <v>0</v>
      </c>
      <c r="W19" s="708"/>
      <c r="X19" s="714"/>
      <c r="Y19" s="733">
        <f t="shared" si="8"/>
        <v>0</v>
      </c>
      <c r="Z19" s="712">
        <f t="shared" si="9"/>
        <v>0</v>
      </c>
      <c r="AA19" s="720">
        <f t="shared" si="10"/>
        <v>0</v>
      </c>
      <c r="AB19" s="717"/>
      <c r="AC19" s="697">
        <f t="shared" si="11"/>
        <v>0</v>
      </c>
      <c r="AD19" s="699"/>
      <c r="AE19" s="178">
        <f t="shared" si="15"/>
        <v>0</v>
      </c>
      <c r="AF19" s="727">
        <f>'Lpg (2)'!B23*2000/85</f>
        <v>0</v>
      </c>
      <c r="AG19" s="266">
        <f>'Lpg (2)'!C23*1000/85</f>
        <v>0</v>
      </c>
      <c r="AH19" s="740">
        <f>'Lpg (2)'!D23*1000/85</f>
        <v>0</v>
      </c>
      <c r="AI19" s="730">
        <f t="shared" si="18"/>
        <v>0</v>
      </c>
      <c r="AJ19" s="428">
        <f t="shared" si="4"/>
        <v>0</v>
      </c>
      <c r="AK19" s="132"/>
    </row>
    <row r="20" spans="1:37" ht="18.75">
      <c r="A20" s="761">
        <f>Gen!A25</f>
        <v>44211</v>
      </c>
      <c r="B20" s="425">
        <f>'Summery Report'!E19</f>
        <v>0</v>
      </c>
      <c r="C20" s="766">
        <f>Gen!B25</f>
        <v>0</v>
      </c>
      <c r="D20" s="728">
        <f>'Summery Report'!E19</f>
        <v>0</v>
      </c>
      <c r="E20" s="728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8">
        <f>Gen!C25</f>
        <v>43826.78</v>
      </c>
      <c r="I20" s="728">
        <f>Gen!E25</f>
        <v>0</v>
      </c>
      <c r="J20" s="767">
        <f>Gen!T25</f>
        <v>0</v>
      </c>
      <c r="K20" s="772">
        <f>Gen!AK25</f>
        <v>0</v>
      </c>
      <c r="L20" s="763">
        <f t="shared" si="17"/>
        <v>0</v>
      </c>
      <c r="M20" s="448">
        <f>'Water-Meter'!K60</f>
        <v>0</v>
      </c>
      <c r="N20" s="723">
        <f>'Water-Meter'!E20</f>
        <v>0</v>
      </c>
      <c r="O20" s="713"/>
      <c r="P20" s="721"/>
      <c r="Q20" s="733">
        <f t="shared" si="2"/>
        <v>0</v>
      </c>
      <c r="R20" s="426">
        <f t="shared" si="5"/>
        <v>0</v>
      </c>
      <c r="S20" s="708"/>
      <c r="T20" s="709"/>
      <c r="U20" s="733">
        <f t="shared" si="6"/>
        <v>0</v>
      </c>
      <c r="V20" s="427">
        <f t="shared" si="19"/>
        <v>0</v>
      </c>
      <c r="W20" s="708"/>
      <c r="X20" s="714"/>
      <c r="Y20" s="733">
        <f t="shared" si="8"/>
        <v>0</v>
      </c>
      <c r="Z20" s="712">
        <f t="shared" si="9"/>
        <v>0</v>
      </c>
      <c r="AA20" s="720">
        <f t="shared" si="10"/>
        <v>0</v>
      </c>
      <c r="AB20" s="717"/>
      <c r="AC20" s="697">
        <f t="shared" si="11"/>
        <v>0</v>
      </c>
      <c r="AD20" s="699"/>
      <c r="AE20" s="178">
        <f t="shared" si="15"/>
        <v>0</v>
      </c>
      <c r="AF20" s="727">
        <f>'Lpg (2)'!B24*2000/85</f>
        <v>0</v>
      </c>
      <c r="AG20" s="266">
        <f>'Lpg (2)'!C24*1000/85</f>
        <v>0</v>
      </c>
      <c r="AH20" s="740">
        <f>'Lpg (2)'!D24*1000/85</f>
        <v>0</v>
      </c>
      <c r="AI20" s="730">
        <f t="shared" si="18"/>
        <v>0</v>
      </c>
      <c r="AJ20" s="428">
        <f t="shared" si="4"/>
        <v>0</v>
      </c>
      <c r="AK20" s="132"/>
    </row>
    <row r="21" spans="1:37" ht="18.75">
      <c r="A21" s="761">
        <f>Gen!A26</f>
        <v>44212</v>
      </c>
      <c r="B21" s="425">
        <f>'Summery Report'!E20</f>
        <v>0</v>
      </c>
      <c r="C21" s="766">
        <f>Gen!B26</f>
        <v>0</v>
      </c>
      <c r="D21" s="728">
        <f>'Summery Report'!E20</f>
        <v>0</v>
      </c>
      <c r="E21" s="728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8">
        <f>Gen!C26</f>
        <v>43826.78</v>
      </c>
      <c r="I21" s="728">
        <f>Gen!E26</f>
        <v>0</v>
      </c>
      <c r="J21" s="767">
        <f>Gen!T26</f>
        <v>0</v>
      </c>
      <c r="K21" s="772">
        <f>Gen!AK26</f>
        <v>0</v>
      </c>
      <c r="L21" s="763">
        <f t="shared" si="17"/>
        <v>0</v>
      </c>
      <c r="M21" s="448">
        <f>'Water-Meter'!K61</f>
        <v>0</v>
      </c>
      <c r="N21" s="723">
        <f>'Water-Meter'!E21</f>
        <v>0</v>
      </c>
      <c r="O21" s="713"/>
      <c r="P21" s="721"/>
      <c r="Q21" s="733">
        <f t="shared" si="2"/>
        <v>0</v>
      </c>
      <c r="R21" s="426">
        <f t="shared" si="5"/>
        <v>0</v>
      </c>
      <c r="S21" s="708"/>
      <c r="T21" s="709"/>
      <c r="U21" s="733">
        <f>T22-T20</f>
        <v>0</v>
      </c>
      <c r="V21" s="427">
        <f t="shared" si="19"/>
        <v>0</v>
      </c>
      <c r="W21" s="708"/>
      <c r="X21" s="714"/>
      <c r="Y21" s="733">
        <f t="shared" si="8"/>
        <v>0</v>
      </c>
      <c r="Z21" s="712">
        <f t="shared" si="9"/>
        <v>0</v>
      </c>
      <c r="AA21" s="720">
        <f t="shared" si="10"/>
        <v>0</v>
      </c>
      <c r="AB21" s="717"/>
      <c r="AC21" s="697">
        <f t="shared" si="11"/>
        <v>0</v>
      </c>
      <c r="AD21" s="699"/>
      <c r="AE21" s="178">
        <f t="shared" si="15"/>
        <v>0</v>
      </c>
      <c r="AF21" s="727">
        <f>'Lpg (2)'!B25*2000/85</f>
        <v>0</v>
      </c>
      <c r="AG21" s="266">
        <f>'Lpg (2)'!C25*1000/85</f>
        <v>0</v>
      </c>
      <c r="AH21" s="740">
        <f>'Lpg (2)'!D25*1000/85</f>
        <v>0</v>
      </c>
      <c r="AI21" s="730">
        <f t="shared" si="18"/>
        <v>0</v>
      </c>
      <c r="AJ21" s="428">
        <f t="shared" si="4"/>
        <v>0</v>
      </c>
      <c r="AK21" s="132"/>
    </row>
    <row r="22" spans="1:37" ht="18.75">
      <c r="A22" s="761">
        <f>Gen!A27</f>
        <v>44213</v>
      </c>
      <c r="B22" s="425">
        <f>'Summery Report'!E21</f>
        <v>0</v>
      </c>
      <c r="C22" s="766">
        <f>Gen!B27</f>
        <v>0</v>
      </c>
      <c r="D22" s="728">
        <f>'Summery Report'!E21</f>
        <v>0</v>
      </c>
      <c r="E22" s="728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8">
        <f>Gen!C27</f>
        <v>43826.78</v>
      </c>
      <c r="I22" s="728">
        <f>Gen!E27</f>
        <v>0</v>
      </c>
      <c r="J22" s="767">
        <f>Gen!T27</f>
        <v>0</v>
      </c>
      <c r="K22" s="772">
        <f>Gen!AK27</f>
        <v>0</v>
      </c>
      <c r="L22" s="763">
        <f t="shared" si="17"/>
        <v>0</v>
      </c>
      <c r="M22" s="448">
        <f>'Water-Meter'!K62</f>
        <v>0</v>
      </c>
      <c r="N22" s="723">
        <f>'Water-Meter'!E22</f>
        <v>0</v>
      </c>
      <c r="O22" s="713"/>
      <c r="P22" s="721"/>
      <c r="Q22" s="733">
        <f t="shared" si="2"/>
        <v>0</v>
      </c>
      <c r="R22" s="426">
        <f t="shared" si="5"/>
        <v>0</v>
      </c>
      <c r="S22" s="708"/>
      <c r="T22" s="709"/>
      <c r="U22" s="733">
        <f t="shared" ref="U22:U23" si="20">T23-T21</f>
        <v>0</v>
      </c>
      <c r="V22" s="427">
        <f t="shared" si="19"/>
        <v>0</v>
      </c>
      <c r="W22" s="708"/>
      <c r="X22" s="714"/>
      <c r="Y22" s="733">
        <f t="shared" si="8"/>
        <v>0</v>
      </c>
      <c r="Z22" s="712">
        <f t="shared" si="9"/>
        <v>0</v>
      </c>
      <c r="AA22" s="720">
        <f t="shared" si="10"/>
        <v>0</v>
      </c>
      <c r="AB22" s="717"/>
      <c r="AC22" s="697">
        <f t="shared" si="11"/>
        <v>0</v>
      </c>
      <c r="AD22" s="699"/>
      <c r="AE22" s="178">
        <f t="shared" si="15"/>
        <v>0</v>
      </c>
      <c r="AF22" s="727">
        <f>'Lpg (2)'!B26*2000/85</f>
        <v>0</v>
      </c>
      <c r="AG22" s="266">
        <f>'Lpg (2)'!C26*1000/85</f>
        <v>0</v>
      </c>
      <c r="AH22" s="740">
        <f>'Lpg (2)'!D26*1000/85</f>
        <v>0</v>
      </c>
      <c r="AI22" s="730">
        <f t="shared" si="18"/>
        <v>0</v>
      </c>
      <c r="AJ22" s="428">
        <f t="shared" si="4"/>
        <v>0</v>
      </c>
      <c r="AK22" s="132"/>
    </row>
    <row r="23" spans="1:37" ht="18.75">
      <c r="A23" s="761">
        <f>Gen!A28</f>
        <v>44214</v>
      </c>
      <c r="B23" s="425">
        <f>'Summery Report'!E22</f>
        <v>0</v>
      </c>
      <c r="C23" s="766">
        <f>Gen!B28</f>
        <v>0</v>
      </c>
      <c r="D23" s="728">
        <f>'Summery Report'!E22</f>
        <v>0</v>
      </c>
      <c r="E23" s="728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8">
        <f>Gen!C28</f>
        <v>43826.78</v>
      </c>
      <c r="I23" s="728">
        <f>Gen!E28</f>
        <v>0</v>
      </c>
      <c r="J23" s="767">
        <f>Gen!T28</f>
        <v>0</v>
      </c>
      <c r="K23" s="772">
        <f>Gen!AK28</f>
        <v>0</v>
      </c>
      <c r="L23" s="763">
        <f t="shared" si="17"/>
        <v>0</v>
      </c>
      <c r="M23" s="448">
        <f>'Water-Meter'!K63</f>
        <v>0</v>
      </c>
      <c r="N23" s="723">
        <f>'Water-Meter'!E23</f>
        <v>0</v>
      </c>
      <c r="O23" s="713"/>
      <c r="P23" s="721"/>
      <c r="Q23" s="733">
        <f t="shared" si="2"/>
        <v>0</v>
      </c>
      <c r="R23" s="426">
        <f t="shared" si="5"/>
        <v>0</v>
      </c>
      <c r="S23" s="708"/>
      <c r="T23" s="709"/>
      <c r="U23" s="733">
        <f t="shared" si="20"/>
        <v>0</v>
      </c>
      <c r="V23" s="427">
        <f t="shared" si="19"/>
        <v>0</v>
      </c>
      <c r="W23" s="708"/>
      <c r="X23" s="714"/>
      <c r="Y23" s="733">
        <f t="shared" si="8"/>
        <v>0</v>
      </c>
      <c r="Z23" s="712">
        <f t="shared" si="9"/>
        <v>0</v>
      </c>
      <c r="AA23" s="720">
        <f t="shared" si="10"/>
        <v>0</v>
      </c>
      <c r="AB23" s="717"/>
      <c r="AC23" s="697">
        <f t="shared" si="11"/>
        <v>0</v>
      </c>
      <c r="AD23" s="700"/>
      <c r="AE23" s="178">
        <f t="shared" si="15"/>
        <v>0</v>
      </c>
      <c r="AF23" s="727">
        <f>'Lpg (2)'!B27*2000/85</f>
        <v>0</v>
      </c>
      <c r="AG23" s="266">
        <f>'Lpg (2)'!C27*1000/85</f>
        <v>0</v>
      </c>
      <c r="AH23" s="740">
        <f>'Lpg (2)'!D27*1000/85</f>
        <v>0</v>
      </c>
      <c r="AI23" s="730">
        <f t="shared" si="18"/>
        <v>0</v>
      </c>
      <c r="AJ23" s="428">
        <f t="shared" si="4"/>
        <v>0</v>
      </c>
      <c r="AK23" s="132"/>
    </row>
    <row r="24" spans="1:37" ht="18.75">
      <c r="A24" s="761">
        <f>Gen!A29</f>
        <v>44215</v>
      </c>
      <c r="B24" s="425">
        <f>'Summery Report'!E23</f>
        <v>0</v>
      </c>
      <c r="C24" s="766">
        <f>Gen!B29</f>
        <v>0</v>
      </c>
      <c r="D24" s="728">
        <f>'Summery Report'!E23</f>
        <v>0</v>
      </c>
      <c r="E24" s="728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8">
        <f>Gen!C29</f>
        <v>43826.78</v>
      </c>
      <c r="I24" s="728">
        <f>Gen!E29</f>
        <v>0</v>
      </c>
      <c r="J24" s="767">
        <f>Gen!T29</f>
        <v>0</v>
      </c>
      <c r="K24" s="772">
        <f>Gen!AK29</f>
        <v>0</v>
      </c>
      <c r="L24" s="763">
        <f t="shared" si="17"/>
        <v>0</v>
      </c>
      <c r="M24" s="448">
        <f>'Water-Meter'!K64</f>
        <v>0</v>
      </c>
      <c r="N24" s="723">
        <f>'Water-Meter'!E24</f>
        <v>0</v>
      </c>
      <c r="O24" s="713"/>
      <c r="P24" s="721"/>
      <c r="Q24" s="733">
        <f t="shared" si="2"/>
        <v>0</v>
      </c>
      <c r="R24" s="426">
        <f t="shared" si="5"/>
        <v>0</v>
      </c>
      <c r="S24" s="708"/>
      <c r="T24" s="709"/>
      <c r="U24" s="733">
        <f t="shared" si="6"/>
        <v>0</v>
      </c>
      <c r="V24" s="427">
        <f t="shared" si="19"/>
        <v>0</v>
      </c>
      <c r="W24" s="708"/>
      <c r="X24" s="714"/>
      <c r="Y24" s="733">
        <f t="shared" si="8"/>
        <v>0</v>
      </c>
      <c r="Z24" s="712">
        <f t="shared" si="9"/>
        <v>0</v>
      </c>
      <c r="AA24" s="720">
        <f t="shared" si="10"/>
        <v>0</v>
      </c>
      <c r="AB24" s="717"/>
      <c r="AC24" s="697">
        <f t="shared" si="11"/>
        <v>0</v>
      </c>
      <c r="AD24" s="700"/>
      <c r="AE24" s="178">
        <f t="shared" si="15"/>
        <v>0</v>
      </c>
      <c r="AF24" s="727">
        <f>'Lpg (2)'!B28*2000/85</f>
        <v>0</v>
      </c>
      <c r="AG24" s="266">
        <f>'Lpg (2)'!C28*1000/85</f>
        <v>0</v>
      </c>
      <c r="AH24" s="740">
        <f>'Lpg (2)'!D28*1000/85</f>
        <v>0</v>
      </c>
      <c r="AI24" s="730">
        <f t="shared" si="18"/>
        <v>0</v>
      </c>
      <c r="AJ24" s="428">
        <f t="shared" si="4"/>
        <v>0</v>
      </c>
      <c r="AK24" s="132"/>
    </row>
    <row r="25" spans="1:37" ht="18.75">
      <c r="A25" s="761">
        <f>Gen!A30</f>
        <v>44216</v>
      </c>
      <c r="B25" s="425">
        <f>'Summery Report'!E24</f>
        <v>0</v>
      </c>
      <c r="C25" s="766">
        <f>Gen!B30</f>
        <v>0</v>
      </c>
      <c r="D25" s="728">
        <f>'Summery Report'!E24</f>
        <v>0</v>
      </c>
      <c r="E25" s="728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8">
        <f>Gen!C30</f>
        <v>43826.78</v>
      </c>
      <c r="I25" s="728">
        <f>Gen!E30</f>
        <v>15000</v>
      </c>
      <c r="J25" s="767">
        <f>Gen!T30</f>
        <v>0</v>
      </c>
      <c r="K25" s="772">
        <f>Gen!AK30</f>
        <v>0</v>
      </c>
      <c r="L25" s="763">
        <f t="shared" si="17"/>
        <v>0</v>
      </c>
      <c r="M25" s="448">
        <f>'Water-Meter'!K65</f>
        <v>0</v>
      </c>
      <c r="N25" s="723">
        <f>'Water-Meter'!E25</f>
        <v>0</v>
      </c>
      <c r="O25" s="713"/>
      <c r="P25" s="721"/>
      <c r="Q25" s="733">
        <f t="shared" si="2"/>
        <v>0</v>
      </c>
      <c r="R25" s="426">
        <f t="shared" si="5"/>
        <v>0</v>
      </c>
      <c r="S25" s="708"/>
      <c r="T25" s="709"/>
      <c r="U25" s="733">
        <f t="shared" si="6"/>
        <v>0</v>
      </c>
      <c r="V25" s="427">
        <f t="shared" si="19"/>
        <v>0</v>
      </c>
      <c r="W25" s="708"/>
      <c r="X25" s="714"/>
      <c r="Y25" s="733">
        <f t="shared" si="8"/>
        <v>0</v>
      </c>
      <c r="Z25" s="712">
        <f t="shared" si="9"/>
        <v>0</v>
      </c>
      <c r="AA25" s="720">
        <f t="shared" si="10"/>
        <v>0</v>
      </c>
      <c r="AB25" s="717"/>
      <c r="AC25" s="697">
        <f t="shared" si="11"/>
        <v>0</v>
      </c>
      <c r="AD25" s="700"/>
      <c r="AE25" s="178">
        <f t="shared" si="15"/>
        <v>0</v>
      </c>
      <c r="AF25" s="727">
        <f>'Lpg (2)'!B29*2000/85</f>
        <v>0</v>
      </c>
      <c r="AG25" s="266">
        <f>'Lpg (2)'!C29*1000/85</f>
        <v>0</v>
      </c>
      <c r="AH25" s="740">
        <f>'Lpg (2)'!D29*1000/85</f>
        <v>0</v>
      </c>
      <c r="AI25" s="730">
        <f t="shared" si="18"/>
        <v>0</v>
      </c>
      <c r="AJ25" s="428">
        <f t="shared" si="4"/>
        <v>0</v>
      </c>
      <c r="AK25" s="132"/>
    </row>
    <row r="26" spans="1:37" ht="18.75">
      <c r="A26" s="761">
        <f>Gen!A31</f>
        <v>44217</v>
      </c>
      <c r="B26" s="425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8">
        <f>Gen!C31</f>
        <v>43826.78</v>
      </c>
      <c r="I26" s="728">
        <f>Gen!E31</f>
        <v>0</v>
      </c>
      <c r="J26" s="767">
        <f>Gen!T31</f>
        <v>0</v>
      </c>
      <c r="K26" s="772">
        <f>Gen!AK31</f>
        <v>0</v>
      </c>
      <c r="L26" s="763">
        <f t="shared" si="17"/>
        <v>0</v>
      </c>
      <c r="M26" s="448">
        <f>'Water-Meter'!K66</f>
        <v>0</v>
      </c>
      <c r="N26" s="723">
        <f>'Water-Meter'!E26</f>
        <v>0</v>
      </c>
      <c r="O26" s="713"/>
      <c r="P26" s="721"/>
      <c r="Q26" s="733">
        <f t="shared" si="2"/>
        <v>0</v>
      </c>
      <c r="R26" s="426">
        <f t="shared" si="5"/>
        <v>0</v>
      </c>
      <c r="S26" s="708"/>
      <c r="T26" s="709"/>
      <c r="U26" s="733">
        <f t="shared" si="6"/>
        <v>0</v>
      </c>
      <c r="V26" s="427">
        <f t="shared" si="19"/>
        <v>0</v>
      </c>
      <c r="W26" s="708"/>
      <c r="X26" s="714"/>
      <c r="Y26" s="733">
        <f t="shared" si="8"/>
        <v>0</v>
      </c>
      <c r="Z26" s="712">
        <f t="shared" si="9"/>
        <v>0</v>
      </c>
      <c r="AA26" s="720">
        <f t="shared" si="10"/>
        <v>0</v>
      </c>
      <c r="AB26" s="717"/>
      <c r="AC26" s="697">
        <f t="shared" si="11"/>
        <v>0</v>
      </c>
      <c r="AD26" s="700"/>
      <c r="AE26" s="178">
        <f t="shared" si="15"/>
        <v>0</v>
      </c>
      <c r="AF26" s="727">
        <f>'Lpg (2)'!B30*2000/85</f>
        <v>0</v>
      </c>
      <c r="AG26" s="266">
        <f>'Lpg (2)'!C30*1000/85</f>
        <v>0</v>
      </c>
      <c r="AH26" s="740">
        <f>'Lpg (2)'!D30*1000/85</f>
        <v>0</v>
      </c>
      <c r="AI26" s="730">
        <f t="shared" si="18"/>
        <v>0</v>
      </c>
      <c r="AJ26" s="428">
        <f t="shared" si="4"/>
        <v>0</v>
      </c>
      <c r="AK26" s="132"/>
    </row>
    <row r="27" spans="1:37" ht="18.75">
      <c r="A27" s="761">
        <f>Gen!A32</f>
        <v>44218</v>
      </c>
      <c r="B27" s="425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8">
        <f>Gen!C32</f>
        <v>43826.78</v>
      </c>
      <c r="I27" s="728">
        <f>Gen!E32</f>
        <v>0</v>
      </c>
      <c r="J27" s="767">
        <f>Gen!T32</f>
        <v>0</v>
      </c>
      <c r="K27" s="772">
        <f>Gen!AK32</f>
        <v>0</v>
      </c>
      <c r="L27" s="763">
        <f t="shared" si="17"/>
        <v>0</v>
      </c>
      <c r="M27" s="448">
        <f>'Water-Meter'!K67</f>
        <v>0</v>
      </c>
      <c r="N27" s="723">
        <f>'Water-Meter'!E27</f>
        <v>0</v>
      </c>
      <c r="O27" s="713"/>
      <c r="P27" s="721"/>
      <c r="Q27" s="733">
        <f t="shared" si="2"/>
        <v>0</v>
      </c>
      <c r="R27" s="426">
        <f t="shared" si="5"/>
        <v>0</v>
      </c>
      <c r="S27" s="708"/>
      <c r="T27" s="709"/>
      <c r="U27" s="733">
        <f t="shared" si="6"/>
        <v>0</v>
      </c>
      <c r="V27" s="427">
        <f t="shared" si="19"/>
        <v>0</v>
      </c>
      <c r="W27" s="708"/>
      <c r="X27" s="714"/>
      <c r="Y27" s="733">
        <f t="shared" si="8"/>
        <v>0</v>
      </c>
      <c r="Z27" s="712">
        <f t="shared" si="9"/>
        <v>0</v>
      </c>
      <c r="AA27" s="720">
        <f t="shared" si="10"/>
        <v>0</v>
      </c>
      <c r="AB27" s="717"/>
      <c r="AC27" s="697">
        <f t="shared" si="11"/>
        <v>0</v>
      </c>
      <c r="AD27" s="700"/>
      <c r="AE27" s="178">
        <f t="shared" si="15"/>
        <v>0</v>
      </c>
      <c r="AF27" s="727">
        <f>'Lpg (2)'!B31*2000/85</f>
        <v>0</v>
      </c>
      <c r="AG27" s="266">
        <f>'Lpg (2)'!C31*1000/85</f>
        <v>0</v>
      </c>
      <c r="AH27" s="740">
        <f>'Lpg (2)'!D31*1000/85</f>
        <v>0</v>
      </c>
      <c r="AI27" s="730">
        <f t="shared" si="18"/>
        <v>0</v>
      </c>
      <c r="AJ27" s="428">
        <f t="shared" si="4"/>
        <v>0</v>
      </c>
      <c r="AK27" s="132"/>
    </row>
    <row r="28" spans="1:37" ht="18.75">
      <c r="A28" s="761">
        <f>Gen!A33</f>
        <v>44219</v>
      </c>
      <c r="B28" s="425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8">
        <f>Gen!C33</f>
        <v>43826.78</v>
      </c>
      <c r="I28" s="728">
        <f>Gen!E33</f>
        <v>0</v>
      </c>
      <c r="J28" s="767">
        <f>Gen!T33</f>
        <v>0</v>
      </c>
      <c r="K28" s="772">
        <f>Gen!AK33</f>
        <v>0</v>
      </c>
      <c r="L28" s="763">
        <f t="shared" si="17"/>
        <v>0</v>
      </c>
      <c r="M28" s="448">
        <f>'Water-Meter'!K68</f>
        <v>0</v>
      </c>
      <c r="N28" s="723">
        <f>'Water-Meter'!E28</f>
        <v>0</v>
      </c>
      <c r="O28" s="713"/>
      <c r="P28" s="721"/>
      <c r="Q28" s="733">
        <f t="shared" si="2"/>
        <v>0</v>
      </c>
      <c r="R28" s="426">
        <f t="shared" si="5"/>
        <v>0</v>
      </c>
      <c r="S28" s="708"/>
      <c r="T28" s="709"/>
      <c r="U28" s="733">
        <f t="shared" si="6"/>
        <v>0</v>
      </c>
      <c r="V28" s="427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/>
      <c r="AC28" s="697">
        <f t="shared" ref="AC28:AC37" si="21">SUM(AB28-AB27)</f>
        <v>0</v>
      </c>
      <c r="AD28" s="700"/>
      <c r="AE28" s="178">
        <f t="shared" si="15"/>
        <v>0</v>
      </c>
      <c r="AF28" s="727">
        <f>'Lpg (2)'!B32*2000/85</f>
        <v>0</v>
      </c>
      <c r="AG28" s="266">
        <f>'Lpg (2)'!C32*1000/85</f>
        <v>0</v>
      </c>
      <c r="AH28" s="740">
        <f>'Lpg (2)'!D32*1000/85</f>
        <v>0</v>
      </c>
      <c r="AI28" s="730">
        <f t="shared" si="18"/>
        <v>0</v>
      </c>
      <c r="AJ28" s="428">
        <f t="shared" si="4"/>
        <v>0</v>
      </c>
      <c r="AK28" s="132"/>
    </row>
    <row r="29" spans="1:37" ht="18.75">
      <c r="A29" s="761">
        <f>Gen!A34</f>
        <v>44220</v>
      </c>
      <c r="B29" s="425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8">
        <f>Gen!C34</f>
        <v>43826.78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48">
        <f>'Water-Meter'!K69</f>
        <v>0</v>
      </c>
      <c r="N29" s="723">
        <f>'Water-Meter'!E29</f>
        <v>0</v>
      </c>
      <c r="O29" s="713"/>
      <c r="P29" s="721"/>
      <c r="Q29" s="733">
        <f t="shared" si="2"/>
        <v>0</v>
      </c>
      <c r="R29" s="426">
        <f t="shared" si="5"/>
        <v>0</v>
      </c>
      <c r="S29" s="708"/>
      <c r="T29" s="709"/>
      <c r="U29" s="733">
        <f t="shared" si="6"/>
        <v>0</v>
      </c>
      <c r="V29" s="427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7">
        <f t="shared" si="21"/>
        <v>0</v>
      </c>
      <c r="AD29" s="700"/>
      <c r="AE29" s="178">
        <f t="shared" si="15"/>
        <v>0</v>
      </c>
      <c r="AF29" s="727">
        <f>'Lpg (2)'!B33*2000/85</f>
        <v>0</v>
      </c>
      <c r="AG29" s="266">
        <f>'Lpg (2)'!C33*1000/85</f>
        <v>0</v>
      </c>
      <c r="AH29" s="740">
        <f>'Lpg (2)'!D33*1000/85</f>
        <v>0</v>
      </c>
      <c r="AI29" s="730">
        <f t="shared" si="18"/>
        <v>0</v>
      </c>
      <c r="AJ29" s="428">
        <f t="shared" si="4"/>
        <v>0</v>
      </c>
      <c r="AK29" s="132"/>
    </row>
    <row r="30" spans="1:37" ht="18.75">
      <c r="A30" s="761">
        <f>Gen!A35</f>
        <v>44221</v>
      </c>
      <c r="B30" s="425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8">
        <f>Gen!C35</f>
        <v>43826.78</v>
      </c>
      <c r="I30" s="728">
        <f>Gen!E35</f>
        <v>0</v>
      </c>
      <c r="J30" s="767">
        <f>Gen!T35</f>
        <v>0</v>
      </c>
      <c r="K30" s="772">
        <f>Gen!AK35</f>
        <v>0</v>
      </c>
      <c r="L30" s="763">
        <f t="shared" si="17"/>
        <v>0</v>
      </c>
      <c r="M30" s="448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6">
        <f t="shared" si="5"/>
        <v>0</v>
      </c>
      <c r="S30" s="708"/>
      <c r="T30" s="709"/>
      <c r="U30" s="733">
        <f t="shared" si="6"/>
        <v>0</v>
      </c>
      <c r="V30" s="427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7">
        <f t="shared" si="21"/>
        <v>0</v>
      </c>
      <c r="AD30" s="700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8">
        <f t="shared" si="4"/>
        <v>0</v>
      </c>
      <c r="AK30" s="132"/>
    </row>
    <row r="31" spans="1:37" ht="18.75">
      <c r="A31" s="761">
        <f>Gen!A36</f>
        <v>44222</v>
      </c>
      <c r="B31" s="425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8">
        <f>Gen!C36</f>
        <v>43826.78</v>
      </c>
      <c r="I31" s="728">
        <f>Gen!E36</f>
        <v>0</v>
      </c>
      <c r="J31" s="767">
        <f>Gen!T36</f>
        <v>0</v>
      </c>
      <c r="K31" s="772">
        <f>Gen!AK36</f>
        <v>0</v>
      </c>
      <c r="L31" s="763">
        <f t="shared" si="17"/>
        <v>0</v>
      </c>
      <c r="M31" s="448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6">
        <f t="shared" si="5"/>
        <v>0</v>
      </c>
      <c r="S31" s="708"/>
      <c r="T31" s="709"/>
      <c r="U31" s="733">
        <f t="shared" si="6"/>
        <v>0</v>
      </c>
      <c r="V31" s="427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7">
        <f t="shared" si="21"/>
        <v>0</v>
      </c>
      <c r="AD31" s="700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8">
        <f t="shared" si="4"/>
        <v>0</v>
      </c>
      <c r="AK31" s="132"/>
    </row>
    <row r="32" spans="1:37" ht="18.75">
      <c r="A32" s="761">
        <f>Gen!A37</f>
        <v>44223</v>
      </c>
      <c r="B32" s="425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8">
        <f>Gen!C37</f>
        <v>43826.78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48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6">
        <f t="shared" si="5"/>
        <v>0</v>
      </c>
      <c r="S32" s="708"/>
      <c r="T32" s="709"/>
      <c r="U32" s="733">
        <f t="shared" si="6"/>
        <v>0</v>
      </c>
      <c r="V32" s="427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7">
        <f t="shared" si="21"/>
        <v>0</v>
      </c>
      <c r="AD32" s="700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8">
        <f t="shared" si="4"/>
        <v>0</v>
      </c>
      <c r="AK32" s="132"/>
    </row>
    <row r="33" spans="1:37" ht="18.75">
      <c r="A33" s="761">
        <f>Gen!A38</f>
        <v>44224</v>
      </c>
      <c r="B33" s="425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8">
        <f>Gen!C38</f>
        <v>43826.78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48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6">
        <f t="shared" si="5"/>
        <v>0</v>
      </c>
      <c r="S33" s="708"/>
      <c r="T33" s="709"/>
      <c r="U33" s="733">
        <f t="shared" si="6"/>
        <v>0</v>
      </c>
      <c r="V33" s="427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7">
        <f t="shared" si="21"/>
        <v>0</v>
      </c>
      <c r="AD33" s="700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8">
        <f t="shared" si="4"/>
        <v>0</v>
      </c>
      <c r="AK33" s="132"/>
    </row>
    <row r="34" spans="1:37" ht="18.75">
      <c r="A34" s="761">
        <f>Gen!A39</f>
        <v>44225</v>
      </c>
      <c r="B34" s="425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8">
        <f>Gen!C39</f>
        <v>43826.78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48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6">
        <f t="shared" si="5"/>
        <v>0</v>
      </c>
      <c r="S34" s="708"/>
      <c r="T34" s="709"/>
      <c r="U34" s="733">
        <f t="shared" si="6"/>
        <v>0</v>
      </c>
      <c r="V34" s="427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7">
        <f t="shared" si="21"/>
        <v>0</v>
      </c>
      <c r="AD34" s="700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8">
        <f t="shared" si="4"/>
        <v>0</v>
      </c>
      <c r="AK34" s="132"/>
    </row>
    <row r="35" spans="1:37" ht="18.75">
      <c r="A35" s="761">
        <f>Gen!A40</f>
        <v>44226</v>
      </c>
      <c r="B35" s="425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8">
        <f>Gen!C40</f>
        <v>43826.78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48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6">
        <f t="shared" si="5"/>
        <v>0</v>
      </c>
      <c r="S35" s="708"/>
      <c r="T35" s="709"/>
      <c r="U35" s="733">
        <f t="shared" si="6"/>
        <v>0</v>
      </c>
      <c r="V35" s="427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7">
        <f t="shared" si="21"/>
        <v>0</v>
      </c>
      <c r="AD35" s="700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8">
        <f t="shared" si="4"/>
        <v>0</v>
      </c>
      <c r="AK35" s="132"/>
    </row>
    <row r="36" spans="1:37" ht="18.75">
      <c r="A36" s="761">
        <f>Gen!A41</f>
        <v>44227</v>
      </c>
      <c r="B36" s="425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8">
        <f>Gen!C41</f>
        <v>43826.78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48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6">
        <f t="shared" si="5"/>
        <v>0</v>
      </c>
      <c r="S36" s="708"/>
      <c r="T36" s="709"/>
      <c r="U36" s="733">
        <f t="shared" si="6"/>
        <v>0</v>
      </c>
      <c r="V36" s="427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7">
        <f t="shared" si="21"/>
        <v>0</v>
      </c>
      <c r="AD36" s="700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2">
        <f>Gen!A42</f>
        <v>0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17664</v>
      </c>
      <c r="K37" s="778"/>
      <c r="L37" s="764">
        <f t="shared" si="17"/>
        <v>17664</v>
      </c>
      <c r="M37" s="448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698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2" sqref="W12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6" t="s">
        <v>150</v>
      </c>
      <c r="C1" s="857"/>
      <c r="D1" s="857"/>
      <c r="E1" s="857"/>
      <c r="F1" s="858"/>
      <c r="G1" s="157"/>
      <c r="H1" s="856" t="s">
        <v>151</v>
      </c>
      <c r="I1" s="857"/>
      <c r="J1" s="857"/>
      <c r="K1" s="857"/>
      <c r="L1" s="858"/>
      <c r="M1" s="856" t="s">
        <v>170</v>
      </c>
      <c r="N1" s="857"/>
      <c r="O1" s="857"/>
      <c r="P1" s="857"/>
      <c r="Q1" s="858"/>
      <c r="R1" s="157"/>
      <c r="T1" s="856" t="s">
        <v>166</v>
      </c>
      <c r="U1" s="857"/>
      <c r="V1" s="857"/>
      <c r="W1" s="857"/>
      <c r="X1" s="858"/>
      <c r="Y1" s="856" t="s">
        <v>169</v>
      </c>
      <c r="Z1" s="857"/>
      <c r="AA1" s="857"/>
      <c r="AB1" s="857"/>
      <c r="AC1" s="858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59" t="s">
        <v>156</v>
      </c>
      <c r="C3" s="860"/>
      <c r="D3" s="166"/>
      <c r="E3" s="579">
        <v>9016.1</v>
      </c>
      <c r="F3" s="586" t="s">
        <v>157</v>
      </c>
      <c r="G3" s="587"/>
      <c r="H3" s="859" t="s">
        <v>156</v>
      </c>
      <c r="I3" s="860"/>
      <c r="J3" s="613">
        <f>'Water-Meter'!G5</f>
        <v>0</v>
      </c>
      <c r="K3" s="588">
        <f>'Water-Meter'!G5</f>
        <v>0</v>
      </c>
      <c r="L3" s="241"/>
      <c r="M3" s="859" t="s">
        <v>156</v>
      </c>
      <c r="N3" s="860"/>
      <c r="O3" s="166"/>
      <c r="P3" s="589">
        <f>'Water-Meter'!J5</f>
        <v>8184</v>
      </c>
      <c r="Q3" s="165"/>
      <c r="R3" s="241"/>
      <c r="S3" s="642"/>
      <c r="T3" s="859" t="s">
        <v>156</v>
      </c>
      <c r="U3" s="860"/>
      <c r="V3" s="166"/>
      <c r="W3" s="580">
        <v>7922.6</v>
      </c>
      <c r="X3" s="590">
        <f t="shared" ref="X3:X35" si="0">(W3-V3)*200</f>
        <v>1584520</v>
      </c>
      <c r="Y3" s="859" t="s">
        <v>156</v>
      </c>
      <c r="Z3" s="860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0.29899999999999999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</v>
      </c>
      <c r="B6" s="594">
        <f>Gen!A13</f>
        <v>44199</v>
      </c>
      <c r="C6" s="578"/>
      <c r="D6" s="583">
        <f t="shared" si="1"/>
        <v>9020.2000000000007</v>
      </c>
      <c r="E6" s="579">
        <v>9022.1</v>
      </c>
      <c r="F6" s="583">
        <f t="shared" si="2"/>
        <v>227.99999999995634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25">
        <f t="shared" si="9"/>
        <v>44199</v>
      </c>
      <c r="U6" s="578"/>
      <c r="V6" s="583">
        <f t="shared" si="5"/>
        <v>7931.2</v>
      </c>
      <c r="W6" s="580">
        <v>7934.1</v>
      </c>
      <c r="X6" s="583">
        <f t="shared" si="0"/>
        <v>580.00000000010914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8.75">
      <c r="A7" s="644">
        <f>Gen!B14</f>
        <v>0</v>
      </c>
      <c r="B7" s="594">
        <f>Gen!A14</f>
        <v>44200</v>
      </c>
      <c r="C7" s="578"/>
      <c r="D7" s="583">
        <f t="shared" si="1"/>
        <v>9022.1</v>
      </c>
      <c r="E7" s="579">
        <v>9024.1</v>
      </c>
      <c r="F7" s="583">
        <f t="shared" si="2"/>
        <v>240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25">
        <f t="shared" si="9"/>
        <v>44200</v>
      </c>
      <c r="U7" s="578"/>
      <c r="V7" s="583">
        <f t="shared" si="5"/>
        <v>7934.1</v>
      </c>
      <c r="W7" s="580">
        <v>7936.6</v>
      </c>
      <c r="X7" s="583">
        <f t="shared" si="0"/>
        <v>500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8.75">
      <c r="A8" s="644">
        <f>Gen!B15</f>
        <v>0</v>
      </c>
      <c r="B8" s="594">
        <f>Gen!A15</f>
        <v>44201</v>
      </c>
      <c r="C8" s="578"/>
      <c r="D8" s="583">
        <f t="shared" si="1"/>
        <v>9024.1</v>
      </c>
      <c r="E8" s="579">
        <v>9025.7999999999993</v>
      </c>
      <c r="F8" s="583">
        <f t="shared" si="2"/>
        <v>203.99999999986903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25">
        <f t="shared" si="9"/>
        <v>44201</v>
      </c>
      <c r="U8" s="578"/>
      <c r="V8" s="583">
        <f t="shared" si="5"/>
        <v>7936.6</v>
      </c>
      <c r="W8" s="580">
        <v>7939.8</v>
      </c>
      <c r="X8" s="583">
        <f t="shared" si="0"/>
        <v>639.99999999996362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8.75">
      <c r="A9" s="644">
        <f>Gen!B16</f>
        <v>0</v>
      </c>
      <c r="B9" s="594">
        <f>Gen!A16</f>
        <v>44202</v>
      </c>
      <c r="C9" s="578"/>
      <c r="D9" s="583">
        <f t="shared" si="1"/>
        <v>9025.7999999999993</v>
      </c>
      <c r="E9" s="579"/>
      <c r="F9" s="583">
        <f t="shared" si="2"/>
        <v>-1083096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0</v>
      </c>
      <c r="Q9" s="578">
        <f t="shared" si="8"/>
        <v>0</v>
      </c>
      <c r="R9" s="628">
        <f t="shared" si="4"/>
        <v>0</v>
      </c>
      <c r="S9" s="629">
        <f>Gen!T16</f>
        <v>0</v>
      </c>
      <c r="T9" s="625">
        <f t="shared" si="9"/>
        <v>44202</v>
      </c>
      <c r="U9" s="578"/>
      <c r="V9" s="583">
        <f t="shared" si="5"/>
        <v>7939.8</v>
      </c>
      <c r="W9" s="580"/>
      <c r="X9" s="583">
        <f t="shared" si="0"/>
        <v>-1587960</v>
      </c>
      <c r="Y9" s="625">
        <f t="shared" si="10"/>
        <v>44202</v>
      </c>
      <c r="Z9" s="578"/>
      <c r="AA9" s="578"/>
      <c r="AB9" s="582">
        <f>'Water-Meter'!P11</f>
        <v>0</v>
      </c>
      <c r="AC9" s="635">
        <f t="shared" si="11"/>
        <v>-20759</v>
      </c>
    </row>
    <row r="10" spans="1:29" ht="18.75">
      <c r="A10" s="644">
        <f>Gen!B17</f>
        <v>0</v>
      </c>
      <c r="B10" s="594">
        <f>Gen!A17</f>
        <v>44203</v>
      </c>
      <c r="C10" s="578"/>
      <c r="D10" s="583">
        <f t="shared" si="1"/>
        <v>0</v>
      </c>
      <c r="E10" s="579"/>
      <c r="F10" s="583">
        <f t="shared" si="2"/>
        <v>0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0</v>
      </c>
      <c r="Q10" s="578">
        <f t="shared" si="8"/>
        <v>0</v>
      </c>
      <c r="R10" s="628">
        <f t="shared" si="4"/>
        <v>0</v>
      </c>
      <c r="S10" s="629">
        <f>Gen!T17</f>
        <v>0</v>
      </c>
      <c r="T10" s="625">
        <f t="shared" si="9"/>
        <v>44203</v>
      </c>
      <c r="U10" s="578"/>
      <c r="V10" s="583">
        <f t="shared" si="5"/>
        <v>0</v>
      </c>
      <c r="W10" s="580"/>
      <c r="X10" s="583">
        <f t="shared" si="0"/>
        <v>0</v>
      </c>
      <c r="Y10" s="625">
        <f t="shared" si="10"/>
        <v>44203</v>
      </c>
      <c r="Z10" s="578"/>
      <c r="AA10" s="578"/>
      <c r="AB10" s="582">
        <f>'Water-Meter'!P12</f>
        <v>0</v>
      </c>
      <c r="AC10" s="635">
        <f t="shared" si="11"/>
        <v>0</v>
      </c>
    </row>
    <row r="11" spans="1:29" ht="18.75">
      <c r="A11" s="644">
        <f>Gen!B18</f>
        <v>0</v>
      </c>
      <c r="B11" s="594">
        <f>Gen!A18</f>
        <v>44204</v>
      </c>
      <c r="C11" s="578"/>
      <c r="D11" s="583">
        <f t="shared" si="1"/>
        <v>0</v>
      </c>
      <c r="E11" s="579"/>
      <c r="F11" s="583">
        <f t="shared" si="2"/>
        <v>0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0</v>
      </c>
      <c r="Q11" s="578">
        <f t="shared" si="8"/>
        <v>0</v>
      </c>
      <c r="R11" s="628">
        <f t="shared" si="4"/>
        <v>0</v>
      </c>
      <c r="S11" s="629">
        <f>Gen!T18</f>
        <v>0</v>
      </c>
      <c r="T11" s="625">
        <f t="shared" si="9"/>
        <v>44204</v>
      </c>
      <c r="U11" s="578"/>
      <c r="V11" s="583">
        <f t="shared" si="5"/>
        <v>0</v>
      </c>
      <c r="W11" s="580"/>
      <c r="X11" s="583">
        <f t="shared" si="0"/>
        <v>0</v>
      </c>
      <c r="Y11" s="625">
        <f t="shared" si="10"/>
        <v>44204</v>
      </c>
      <c r="Z11" s="578"/>
      <c r="AA11" s="578"/>
      <c r="AB11" s="582">
        <f>'Water-Meter'!P13</f>
        <v>0</v>
      </c>
      <c r="AC11" s="635">
        <f t="shared" si="11"/>
        <v>0</v>
      </c>
    </row>
    <row r="12" spans="1:29" ht="18.75">
      <c r="A12" s="644">
        <f>Gen!B19</f>
        <v>0</v>
      </c>
      <c r="B12" s="594">
        <f>Gen!A19</f>
        <v>44205</v>
      </c>
      <c r="C12" s="578"/>
      <c r="D12" s="583">
        <f t="shared" si="1"/>
        <v>0</v>
      </c>
      <c r="E12" s="579"/>
      <c r="F12" s="583">
        <f t="shared" si="2"/>
        <v>0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0</v>
      </c>
      <c r="Q12" s="578">
        <f t="shared" si="8"/>
        <v>0</v>
      </c>
      <c r="R12" s="628">
        <f t="shared" si="4"/>
        <v>0</v>
      </c>
      <c r="S12" s="629">
        <f>Gen!T19</f>
        <v>0</v>
      </c>
      <c r="T12" s="625">
        <f t="shared" si="9"/>
        <v>44205</v>
      </c>
      <c r="U12" s="578"/>
      <c r="V12" s="583">
        <f t="shared" si="5"/>
        <v>0</v>
      </c>
      <c r="W12" s="580"/>
      <c r="X12" s="583">
        <f t="shared" si="0"/>
        <v>0</v>
      </c>
      <c r="Y12" s="625">
        <f t="shared" si="10"/>
        <v>44205</v>
      </c>
      <c r="Z12" s="578"/>
      <c r="AA12" s="578"/>
      <c r="AB12" s="582">
        <f>'Water-Meter'!P14</f>
        <v>0</v>
      </c>
      <c r="AC12" s="635">
        <f t="shared" si="11"/>
        <v>0</v>
      </c>
    </row>
    <row r="13" spans="1:29" ht="18.75">
      <c r="A13" s="644">
        <f>Gen!B20</f>
        <v>0</v>
      </c>
      <c r="B13" s="594">
        <f>Gen!A20</f>
        <v>44206</v>
      </c>
      <c r="C13" s="578"/>
      <c r="D13" s="583">
        <f t="shared" si="1"/>
        <v>0</v>
      </c>
      <c r="E13" s="579"/>
      <c r="F13" s="583">
        <f t="shared" si="2"/>
        <v>0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0</v>
      </c>
      <c r="Q13" s="578">
        <f t="shared" si="8"/>
        <v>0</v>
      </c>
      <c r="R13" s="628">
        <f t="shared" si="4"/>
        <v>0</v>
      </c>
      <c r="S13" s="629">
        <f>Gen!T20</f>
        <v>0</v>
      </c>
      <c r="T13" s="625">
        <f t="shared" si="9"/>
        <v>44206</v>
      </c>
      <c r="U13" s="578"/>
      <c r="V13" s="583">
        <f t="shared" si="5"/>
        <v>0</v>
      </c>
      <c r="W13" s="580"/>
      <c r="X13" s="583">
        <f t="shared" si="0"/>
        <v>0</v>
      </c>
      <c r="Y13" s="625">
        <f t="shared" si="10"/>
        <v>44206</v>
      </c>
      <c r="Z13" s="578"/>
      <c r="AA13" s="578"/>
      <c r="AB13" s="582">
        <f>'Water-Meter'!P15</f>
        <v>0</v>
      </c>
      <c r="AC13" s="635">
        <f t="shared" si="11"/>
        <v>0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0</v>
      </c>
      <c r="E14" s="579"/>
      <c r="F14" s="583">
        <f t="shared" si="2"/>
        <v>0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0</v>
      </c>
      <c r="Q14" s="578">
        <v>8095</v>
      </c>
      <c r="R14" s="628">
        <f t="shared" si="4"/>
        <v>5.0123839009287927</v>
      </c>
      <c r="S14" s="629">
        <f>Gen!T21</f>
        <v>0</v>
      </c>
      <c r="T14" s="625">
        <f t="shared" si="9"/>
        <v>44207</v>
      </c>
      <c r="U14" s="578"/>
      <c r="V14" s="583">
        <f t="shared" si="5"/>
        <v>0</v>
      </c>
      <c r="W14" s="580"/>
      <c r="X14" s="583">
        <f t="shared" si="0"/>
        <v>0</v>
      </c>
      <c r="Y14" s="625">
        <f t="shared" si="10"/>
        <v>44207</v>
      </c>
      <c r="Z14" s="578"/>
      <c r="AA14" s="578"/>
      <c r="AB14" s="582">
        <f>'Water-Meter'!P16</f>
        <v>0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0</v>
      </c>
      <c r="E15" s="579"/>
      <c r="F15" s="583">
        <f t="shared" si="2"/>
        <v>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0</v>
      </c>
      <c r="Q15" s="578">
        <f t="shared" si="8"/>
        <v>0</v>
      </c>
      <c r="R15" s="628">
        <f t="shared" si="4"/>
        <v>0</v>
      </c>
      <c r="S15" s="629">
        <f>Gen!T22</f>
        <v>0</v>
      </c>
      <c r="T15" s="625">
        <f t="shared" si="9"/>
        <v>44208</v>
      </c>
      <c r="U15" s="578"/>
      <c r="V15" s="583">
        <f t="shared" si="5"/>
        <v>0</v>
      </c>
      <c r="W15" s="580"/>
      <c r="X15" s="583">
        <f t="shared" si="0"/>
        <v>0</v>
      </c>
      <c r="Y15" s="625">
        <f t="shared" si="10"/>
        <v>44208</v>
      </c>
      <c r="Z15" s="578"/>
      <c r="AA15" s="578"/>
      <c r="AB15" s="582">
        <f>'Water-Meter'!P17</f>
        <v>0</v>
      </c>
      <c r="AC15" s="635">
        <f t="shared" si="11"/>
        <v>0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0</v>
      </c>
      <c r="E16" s="579"/>
      <c r="F16" s="583">
        <f>SUM(E16-D16)*120</f>
        <v>0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0</v>
      </c>
      <c r="Q16" s="578">
        <f t="shared" si="8"/>
        <v>0</v>
      </c>
      <c r="R16" s="628">
        <f t="shared" si="4"/>
        <v>0</v>
      </c>
      <c r="S16" s="629">
        <f>Gen!T23</f>
        <v>0</v>
      </c>
      <c r="T16" s="625">
        <f t="shared" si="9"/>
        <v>44209</v>
      </c>
      <c r="U16" s="578"/>
      <c r="V16" s="583">
        <f t="shared" si="5"/>
        <v>0</v>
      </c>
      <c r="W16" s="580"/>
      <c r="X16" s="583">
        <f t="shared" si="0"/>
        <v>0</v>
      </c>
      <c r="Y16" s="625">
        <f t="shared" si="10"/>
        <v>44209</v>
      </c>
      <c r="Z16" s="578"/>
      <c r="AA16" s="578"/>
      <c r="AB16" s="582">
        <f>'Water-Meter'!P18</f>
        <v>0</v>
      </c>
      <c r="AC16" s="635">
        <f t="shared" si="11"/>
        <v>0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0</v>
      </c>
      <c r="E17" s="579"/>
      <c r="F17" s="583">
        <f>SUM(E17-D17)*120</f>
        <v>0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0</v>
      </c>
      <c r="Q17" s="578">
        <f t="shared" si="8"/>
        <v>0</v>
      </c>
      <c r="R17" s="628">
        <f t="shared" si="4"/>
        <v>0</v>
      </c>
      <c r="S17" s="629">
        <f>Gen!T24</f>
        <v>0</v>
      </c>
      <c r="T17" s="625">
        <f t="shared" si="9"/>
        <v>44210</v>
      </c>
      <c r="U17" s="578"/>
      <c r="V17" s="583">
        <f t="shared" si="5"/>
        <v>0</v>
      </c>
      <c r="W17" s="580"/>
      <c r="X17" s="583">
        <f t="shared" si="0"/>
        <v>0</v>
      </c>
      <c r="Y17" s="625">
        <f t="shared" si="10"/>
        <v>44210</v>
      </c>
      <c r="Z17" s="578"/>
      <c r="AA17" s="578"/>
      <c r="AB17" s="582">
        <f>'Water-Meter'!P19</f>
        <v>0</v>
      </c>
      <c r="AC17" s="635">
        <f t="shared" si="11"/>
        <v>0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0</v>
      </c>
      <c r="E18" s="579"/>
      <c r="F18" s="583">
        <f t="shared" ref="F18:F22" si="12">SUM(E18-D18)*120</f>
        <v>0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0</v>
      </c>
      <c r="P18" s="582">
        <f>'Water-Meter'!J20</f>
        <v>0</v>
      </c>
      <c r="Q18" s="578">
        <f t="shared" si="8"/>
        <v>0</v>
      </c>
      <c r="R18" s="628">
        <f t="shared" si="4"/>
        <v>0</v>
      </c>
      <c r="S18" s="629">
        <f>Gen!T25</f>
        <v>0</v>
      </c>
      <c r="T18" s="625">
        <f t="shared" si="9"/>
        <v>44211</v>
      </c>
      <c r="U18" s="578"/>
      <c r="V18" s="583">
        <f t="shared" si="5"/>
        <v>0</v>
      </c>
      <c r="W18" s="580"/>
      <c r="X18" s="583">
        <f t="shared" si="0"/>
        <v>0</v>
      </c>
      <c r="Y18" s="625">
        <f t="shared" si="10"/>
        <v>44211</v>
      </c>
      <c r="Z18" s="578"/>
      <c r="AA18" s="578"/>
      <c r="AB18" s="582">
        <f>'Water-Meter'!P20</f>
        <v>0</v>
      </c>
      <c r="AC18" s="635">
        <f t="shared" si="11"/>
        <v>0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0</v>
      </c>
      <c r="E19" s="579"/>
      <c r="F19" s="583">
        <f t="shared" si="12"/>
        <v>0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0</v>
      </c>
      <c r="P19" s="582">
        <f>'Water-Meter'!J21</f>
        <v>0</v>
      </c>
      <c r="Q19" s="578">
        <f t="shared" si="8"/>
        <v>0</v>
      </c>
      <c r="R19" s="628">
        <f t="shared" si="4"/>
        <v>0</v>
      </c>
      <c r="S19" s="629">
        <f>Gen!T26</f>
        <v>0</v>
      </c>
      <c r="T19" s="625">
        <f t="shared" si="9"/>
        <v>44212</v>
      </c>
      <c r="U19" s="581"/>
      <c r="V19" s="583">
        <f t="shared" si="5"/>
        <v>0</v>
      </c>
      <c r="W19" s="580"/>
      <c r="X19" s="583">
        <f t="shared" si="0"/>
        <v>0</v>
      </c>
      <c r="Y19" s="625">
        <f t="shared" si="10"/>
        <v>44212</v>
      </c>
      <c r="Z19" s="581"/>
      <c r="AA19" s="578"/>
      <c r="AB19" s="582">
        <f>'Water-Meter'!P21</f>
        <v>0</v>
      </c>
      <c r="AC19" s="635">
        <f t="shared" si="11"/>
        <v>0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0</v>
      </c>
      <c r="E20" s="579"/>
      <c r="F20" s="583">
        <f t="shared" si="12"/>
        <v>0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0</v>
      </c>
      <c r="P20" s="582">
        <f>'Water-Meter'!J22</f>
        <v>0</v>
      </c>
      <c r="Q20" s="578">
        <f t="shared" si="8"/>
        <v>0</v>
      </c>
      <c r="R20" s="628">
        <f t="shared" si="4"/>
        <v>0</v>
      </c>
      <c r="S20" s="629">
        <f>Gen!T27</f>
        <v>0</v>
      </c>
      <c r="T20" s="625">
        <f t="shared" si="9"/>
        <v>44213</v>
      </c>
      <c r="U20" s="581"/>
      <c r="V20" s="583">
        <f t="shared" si="5"/>
        <v>0</v>
      </c>
      <c r="W20" s="580"/>
      <c r="X20" s="583">
        <f t="shared" si="0"/>
        <v>0</v>
      </c>
      <c r="Y20" s="625">
        <f t="shared" si="10"/>
        <v>44213</v>
      </c>
      <c r="Z20" s="581"/>
      <c r="AA20" s="578"/>
      <c r="AB20" s="582">
        <f>'Water-Meter'!P22</f>
        <v>0</v>
      </c>
      <c r="AC20" s="635">
        <f t="shared" si="11"/>
        <v>0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0</v>
      </c>
      <c r="E21" s="579"/>
      <c r="F21" s="583">
        <f t="shared" si="12"/>
        <v>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0</v>
      </c>
      <c r="P21" s="582">
        <f>'Water-Meter'!J23</f>
        <v>0</v>
      </c>
      <c r="Q21" s="578">
        <f t="shared" ref="Q21:Q35" si="13">N21-O20</f>
        <v>0</v>
      </c>
      <c r="R21" s="628">
        <f t="shared" ref="R21:R35" si="14">SUM(Q21/1615)</f>
        <v>0</v>
      </c>
      <c r="S21" s="629">
        <f>Gen!T28</f>
        <v>0</v>
      </c>
      <c r="T21" s="625">
        <f t="shared" si="9"/>
        <v>44214</v>
      </c>
      <c r="U21" s="581"/>
      <c r="V21" s="583">
        <f t="shared" si="5"/>
        <v>0</v>
      </c>
      <c r="W21" s="580"/>
      <c r="X21" s="583">
        <f t="shared" si="0"/>
        <v>0</v>
      </c>
      <c r="Y21" s="625">
        <f t="shared" si="10"/>
        <v>44214</v>
      </c>
      <c r="Z21" s="581"/>
      <c r="AA21" s="578"/>
      <c r="AB21" s="582">
        <f>'Water-Meter'!P23</f>
        <v>0</v>
      </c>
      <c r="AC21" s="635">
        <f t="shared" si="11"/>
        <v>0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0</v>
      </c>
      <c r="E22" s="579"/>
      <c r="F22" s="583">
        <f t="shared" si="12"/>
        <v>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0</v>
      </c>
      <c r="R22" s="628">
        <f t="shared" si="14"/>
        <v>0</v>
      </c>
      <c r="S22" s="629">
        <f>Gen!T29</f>
        <v>0</v>
      </c>
      <c r="T22" s="625">
        <f t="shared" si="9"/>
        <v>44215</v>
      </c>
      <c r="U22" s="578"/>
      <c r="V22" s="583">
        <f t="shared" si="5"/>
        <v>0</v>
      </c>
      <c r="W22" s="580"/>
      <c r="X22" s="583">
        <f t="shared" si="0"/>
        <v>0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0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0</v>
      </c>
      <c r="E23" s="579"/>
      <c r="F23" s="583">
        <f t="shared" ref="F23:F34" si="15">SUM(E23-D23)*120</f>
        <v>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0</v>
      </c>
      <c r="W23" s="580"/>
      <c r="X23" s="583">
        <f t="shared" si="0"/>
        <v>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720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2300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X18" sqref="X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1" t="s">
        <v>318</v>
      </c>
      <c r="B2" s="862"/>
      <c r="C2" s="862"/>
      <c r="D2" s="862"/>
      <c r="E2" s="863"/>
      <c r="F2" s="118"/>
      <c r="G2" s="118"/>
      <c r="H2" s="118"/>
      <c r="I2" s="118"/>
      <c r="J2" s="118"/>
      <c r="K2" s="118"/>
      <c r="L2" s="666"/>
    </row>
    <row r="3" spans="1:13" ht="50.25" customHeight="1" thickBot="1">
      <c r="A3" s="667"/>
      <c r="B3" s="668"/>
      <c r="C3" s="75"/>
      <c r="D3" s="75"/>
      <c r="E3" s="75"/>
      <c r="F3" s="75"/>
      <c r="G3" s="75"/>
      <c r="H3" s="75"/>
      <c r="I3" s="75"/>
      <c r="J3" s="75"/>
      <c r="K3" s="75"/>
      <c r="L3" s="669"/>
    </row>
    <row r="4" spans="1:13" s="50" customFormat="1" ht="50.25" customHeight="1" thickBot="1">
      <c r="A4" s="670" t="s">
        <v>0</v>
      </c>
      <c r="B4" s="671" t="s">
        <v>66</v>
      </c>
      <c r="C4" s="672" t="s">
        <v>50</v>
      </c>
      <c r="D4" s="673" t="s">
        <v>64</v>
      </c>
      <c r="E4" s="673" t="s">
        <v>65</v>
      </c>
      <c r="F4" s="674" t="s">
        <v>42</v>
      </c>
      <c r="G4" s="673" t="s">
        <v>203</v>
      </c>
      <c r="H4" s="673" t="s">
        <v>206</v>
      </c>
      <c r="I4" s="673" t="s">
        <v>204</v>
      </c>
      <c r="J4" s="673" t="s">
        <v>205</v>
      </c>
      <c r="K4" s="674" t="s">
        <v>51</v>
      </c>
      <c r="L4" s="675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0.29899999999999999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-156837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 t="str">
        <f>'Water-Meter'!E11</f>
        <v>0</v>
      </c>
      <c r="L10" s="655">
        <f>'Lpg (2)'!G15</f>
        <v>-326363.00400000002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43826.78</v>
      </c>
      <c r="K11" s="295">
        <f>'Water-Meter'!E12</f>
        <v>0</v>
      </c>
      <c r="L11" s="655">
        <f>'Lpg (2)'!G16</f>
        <v>0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43826.78</v>
      </c>
      <c r="K12" s="295">
        <f>'Water-Meter'!E13</f>
        <v>0</v>
      </c>
      <c r="L12" s="655">
        <f>'Lpg (2)'!G17</f>
        <v>0</v>
      </c>
      <c r="M12" s="79" t="e">
        <f>SUM(#REF!-#REF!)</f>
        <v>#REF!</v>
      </c>
    </row>
    <row r="13" spans="1:13">
      <c r="A13" s="664">
        <f>Gen!A19</f>
        <v>44205</v>
      </c>
      <c r="B13" s="654">
        <f>'Daily report Gen'!Z14</f>
        <v>0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43826.78</v>
      </c>
      <c r="K13" s="295">
        <f>'Water-Meter'!E14</f>
        <v>0</v>
      </c>
      <c r="L13" s="655">
        <f>'Lpg (2)'!G18</f>
        <v>0</v>
      </c>
      <c r="M13" s="79" t="e">
        <f>SUM(#REF!-#REF!)</f>
        <v>#REF!</v>
      </c>
    </row>
    <row r="14" spans="1:13">
      <c r="A14" s="664">
        <f>Gen!A20</f>
        <v>44206</v>
      </c>
      <c r="B14" s="654">
        <f>'Daily report Gen'!Z15</f>
        <v>0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43826.78</v>
      </c>
      <c r="K14" s="295">
        <f>'Water-Meter'!E15</f>
        <v>0</v>
      </c>
      <c r="L14" s="655">
        <f>'Lpg (2)'!G19</f>
        <v>0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43826.78</v>
      </c>
      <c r="K15" s="295">
        <f>'Water-Meter'!E16</f>
        <v>0</v>
      </c>
      <c r="L15" s="655">
        <f>'Lpg (2)'!G20</f>
        <v>0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43826.78</v>
      </c>
      <c r="K16" s="295">
        <f>'Water-Meter'!E17</f>
        <v>0</v>
      </c>
      <c r="L16" s="655">
        <f>'Lpg (2)'!G21</f>
        <v>0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43826.78</v>
      </c>
      <c r="K17" s="295">
        <f>'Water-Meter'!E18</f>
        <v>0</v>
      </c>
      <c r="L17" s="655">
        <f>'Lpg (2)'!G22</f>
        <v>0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43826.78</v>
      </c>
      <c r="K18" s="295">
        <f>'Water-Meter'!E19</f>
        <v>0</v>
      </c>
      <c r="L18" s="655">
        <f>'Lpg (2)'!G23</f>
        <v>0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43826.78</v>
      </c>
      <c r="K19" s="295">
        <f>'Water-Meter'!E20</f>
        <v>0</v>
      </c>
      <c r="L19" s="655">
        <f>'Lpg (2)'!G24</f>
        <v>0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43826.78</v>
      </c>
      <c r="K20" s="295">
        <f>'Water-Meter'!E21</f>
        <v>0</v>
      </c>
      <c r="L20" s="655">
        <f>'Lpg (2)'!G25</f>
        <v>0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43826.78</v>
      </c>
      <c r="K21" s="295">
        <f>'Water-Meter'!E22</f>
        <v>0</v>
      </c>
      <c r="L21" s="655">
        <f>'Lpg (2)'!G26</f>
        <v>0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43826.78</v>
      </c>
      <c r="K22" s="295">
        <f>'Water-Meter'!E23</f>
        <v>0</v>
      </c>
      <c r="L22" s="655">
        <f>'Lpg (2)'!G27</f>
        <v>0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43826.78</v>
      </c>
      <c r="K23" s="295">
        <f>'Water-Meter'!E24</f>
        <v>0</v>
      </c>
      <c r="L23" s="655">
        <f>'Lpg (2)'!G28</f>
        <v>0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43826.78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43826.78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43826.78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43826.78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43826.78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43826.78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43826.78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43826.78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43826.78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43826.78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43826.78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43826.78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43826.78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G1" activePane="topRight" state="frozen"/>
      <selection pane="topRight" activeCell="AA15" sqref="AA1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4">
        <f>A6</f>
        <v>44197</v>
      </c>
      <c r="B1" s="865"/>
      <c r="C1" s="865"/>
      <c r="D1" s="865"/>
      <c r="E1" s="865"/>
      <c r="F1" s="865"/>
      <c r="G1" s="865"/>
      <c r="H1" s="865"/>
      <c r="I1" s="865"/>
      <c r="J1" s="865"/>
      <c r="K1" s="865"/>
      <c r="L1" s="865"/>
      <c r="M1" s="865"/>
      <c r="N1" s="865"/>
      <c r="O1" s="865"/>
      <c r="P1" s="865"/>
      <c r="Q1" s="865"/>
      <c r="R1" s="865"/>
      <c r="S1" s="865"/>
      <c r="T1" s="865"/>
      <c r="U1" s="865"/>
      <c r="V1" s="865"/>
      <c r="W1" s="865"/>
      <c r="X1" s="865"/>
      <c r="Y1" s="865"/>
      <c r="Z1" s="865"/>
      <c r="AA1" s="865"/>
      <c r="AB1" s="865"/>
      <c r="AC1" s="19"/>
    </row>
    <row r="2" spans="1:29" ht="12" customHeight="1" thickBot="1">
      <c r="A2" s="865"/>
      <c r="B2" s="865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Y2" s="865"/>
      <c r="Z2" s="865"/>
      <c r="AA2" s="865"/>
      <c r="AB2" s="86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6" t="s">
        <v>298</v>
      </c>
      <c r="L3" s="867"/>
      <c r="M3" s="868"/>
      <c r="N3" s="866" t="s">
        <v>299</v>
      </c>
      <c r="O3" s="867"/>
      <c r="P3" s="868"/>
      <c r="Q3" s="866" t="s">
        <v>300</v>
      </c>
      <c r="R3" s="867"/>
      <c r="S3" s="868"/>
      <c r="T3" s="866" t="s">
        <v>301</v>
      </c>
      <c r="U3" s="867"/>
      <c r="V3" s="868"/>
      <c r="W3" s="866" t="s">
        <v>302</v>
      </c>
      <c r="X3" s="867"/>
      <c r="Y3" s="86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2" t="s">
        <v>191</v>
      </c>
      <c r="R4" s="339" t="s">
        <v>192</v>
      </c>
      <c r="S4" s="833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3"/>
      <c r="B5" s="676"/>
      <c r="C5" s="797">
        <v>14708.63</v>
      </c>
      <c r="D5" s="677">
        <v>18930.82</v>
      </c>
      <c r="E5" s="678"/>
      <c r="F5" s="678"/>
      <c r="G5" s="678"/>
      <c r="H5" s="678"/>
      <c r="I5" s="305">
        <v>31415.9</v>
      </c>
      <c r="J5" s="680">
        <v>20906.8</v>
      </c>
      <c r="K5" s="686"/>
      <c r="L5" s="305">
        <v>35536</v>
      </c>
      <c r="M5" s="687"/>
      <c r="N5" s="677"/>
      <c r="O5" s="831">
        <v>30626</v>
      </c>
      <c r="P5" s="688"/>
      <c r="Q5" s="677"/>
      <c r="R5" s="305">
        <v>35879</v>
      </c>
      <c r="S5" s="688"/>
      <c r="T5" s="677"/>
      <c r="U5" s="831">
        <v>33003</v>
      </c>
      <c r="V5" s="688"/>
      <c r="W5" s="677"/>
      <c r="X5" s="677">
        <v>21648</v>
      </c>
      <c r="Y5" s="688"/>
      <c r="Z5" s="688"/>
      <c r="AA5" s="677"/>
      <c r="AB5" s="677"/>
      <c r="AC5" s="689"/>
    </row>
    <row r="6" spans="1:29" ht="20.100000000000001" customHeight="1">
      <c r="A6" s="684">
        <f>Gen!A11</f>
        <v>44197</v>
      </c>
      <c r="B6" s="679">
        <f>Gen!B11</f>
        <v>0.53200000000000003</v>
      </c>
      <c r="C6" s="797">
        <v>14708.63</v>
      </c>
      <c r="D6" s="677">
        <v>18930.82</v>
      </c>
      <c r="E6" s="491"/>
      <c r="F6" s="305"/>
      <c r="G6" s="305">
        <v>150.83000000000001</v>
      </c>
      <c r="H6" s="305"/>
      <c r="I6" s="305">
        <v>31415.9</v>
      </c>
      <c r="J6" s="680">
        <v>20906.8</v>
      </c>
      <c r="K6" s="690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1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7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1">
        <f>Gen!AR11</f>
        <v>1787.6999999999998</v>
      </c>
    </row>
    <row r="7" spans="1:29" ht="20.100000000000001" customHeight="1">
      <c r="A7" s="684">
        <f>Gen!A12</f>
        <v>44198</v>
      </c>
      <c r="B7" s="679">
        <f>Gen!B12</f>
        <v>0.29899999999999999</v>
      </c>
      <c r="C7" s="797">
        <v>14708.63</v>
      </c>
      <c r="D7" s="798">
        <v>17143.12</v>
      </c>
      <c r="E7" s="491"/>
      <c r="F7" s="305"/>
      <c r="G7" s="305">
        <v>76.53</v>
      </c>
      <c r="H7" s="305"/>
      <c r="I7" s="305">
        <v>31423.3</v>
      </c>
      <c r="J7" s="680">
        <v>20910.900000000001</v>
      </c>
      <c r="K7" s="690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1">
        <f>Gen!AR12</f>
        <v>1660.86</v>
      </c>
    </row>
    <row r="8" spans="1:29" ht="20.100000000000001" customHeight="1">
      <c r="A8" s="684">
        <f>Gen!A13</f>
        <v>44199</v>
      </c>
      <c r="B8" s="679">
        <f>Gen!B13</f>
        <v>0</v>
      </c>
      <c r="C8" s="797">
        <v>13047.77</v>
      </c>
      <c r="D8" s="798">
        <v>17143.12</v>
      </c>
      <c r="E8" s="491"/>
      <c r="F8" s="797">
        <v>14708.63</v>
      </c>
      <c r="G8" s="305"/>
      <c r="H8" s="305"/>
      <c r="I8" s="305">
        <v>31430.1</v>
      </c>
      <c r="J8" s="680">
        <v>20914.900000000001</v>
      </c>
      <c r="K8" s="690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1">
        <f>Gen!AR13</f>
        <v>1447.67</v>
      </c>
    </row>
    <row r="9" spans="1:29" ht="20.100000000000001" customHeight="1">
      <c r="A9" s="684">
        <f>Gen!A14</f>
        <v>44200</v>
      </c>
      <c r="B9" s="679">
        <f>Gen!B14</f>
        <v>0</v>
      </c>
      <c r="C9" s="797">
        <v>29600.11</v>
      </c>
      <c r="D9" s="798">
        <v>17143.12</v>
      </c>
      <c r="E9" s="491"/>
      <c r="F9" s="798">
        <v>17143.12</v>
      </c>
      <c r="G9" s="305"/>
      <c r="H9" s="305"/>
      <c r="I9" s="305">
        <v>31436.400000000001</v>
      </c>
      <c r="J9" s="680">
        <v>20918.900000000001</v>
      </c>
      <c r="K9" s="690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1">
        <f>Gen!AR14</f>
        <v>1432.12</v>
      </c>
    </row>
    <row r="10" spans="1:29" ht="20.100000000000001" customHeight="1">
      <c r="A10" s="684">
        <f>Gen!A15</f>
        <v>44201</v>
      </c>
      <c r="B10" s="679">
        <f>Gen!B15</f>
        <v>0</v>
      </c>
      <c r="C10" s="797">
        <v>28167.98</v>
      </c>
      <c r="D10" s="798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80">
        <v>20922.599999999999</v>
      </c>
      <c r="K10" s="690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1">
        <f>Gen!AR15</f>
        <v>1484.32</v>
      </c>
    </row>
    <row r="11" spans="1:29" ht="20.100000000000001" customHeight="1">
      <c r="A11" s="684">
        <f>Gen!A16</f>
        <v>44202</v>
      </c>
      <c r="B11" s="679">
        <f>Gen!B16</f>
        <v>0</v>
      </c>
      <c r="C11" s="797">
        <v>26683.66</v>
      </c>
      <c r="D11" s="798">
        <v>17143.12</v>
      </c>
      <c r="E11" s="491"/>
      <c r="F11" s="305"/>
      <c r="G11" s="305"/>
      <c r="H11" s="305"/>
      <c r="I11" s="305">
        <v>31448.1</v>
      </c>
      <c r="J11" s="680">
        <v>20926.7</v>
      </c>
      <c r="K11" s="690">
        <f t="shared" si="0"/>
        <v>35583</v>
      </c>
      <c r="L11" s="305"/>
      <c r="M11" s="304">
        <f t="shared" si="1"/>
        <v>-35583</v>
      </c>
      <c r="N11" s="306">
        <f t="shared" si="2"/>
        <v>30628</v>
      </c>
      <c r="O11" s="305"/>
      <c r="P11" s="304">
        <f t="shared" si="3"/>
        <v>-30628</v>
      </c>
      <c r="Q11" s="304">
        <f t="shared" si="4"/>
        <v>35892</v>
      </c>
      <c r="R11" s="125"/>
      <c r="S11" s="304">
        <f t="shared" si="5"/>
        <v>-35892</v>
      </c>
      <c r="T11" s="304">
        <f t="shared" si="6"/>
        <v>33038</v>
      </c>
      <c r="U11" s="305"/>
      <c r="V11" s="304">
        <f t="shared" si="7"/>
        <v>-33038</v>
      </c>
      <c r="W11" s="306">
        <f t="shared" si="8"/>
        <v>21696</v>
      </c>
      <c r="X11" s="305"/>
      <c r="Y11" s="304">
        <f t="shared" si="9"/>
        <v>-21696</v>
      </c>
      <c r="Z11" s="307">
        <f t="shared" si="10"/>
        <v>-156837</v>
      </c>
      <c r="AA11" s="125"/>
      <c r="AB11" s="125"/>
      <c r="AC11" s="691">
        <f>Gen!AR16</f>
        <v>0</v>
      </c>
    </row>
    <row r="12" spans="1:29" ht="20.100000000000001" customHeight="1">
      <c r="A12" s="684">
        <f>Gen!A17</f>
        <v>44203</v>
      </c>
      <c r="B12" s="679">
        <f>Gen!B17</f>
        <v>0</v>
      </c>
      <c r="C12" s="797"/>
      <c r="D12" s="798"/>
      <c r="E12" s="491"/>
      <c r="F12" s="305"/>
      <c r="G12" s="305"/>
      <c r="H12" s="305"/>
      <c r="I12" s="305"/>
      <c r="J12" s="680"/>
      <c r="K12" s="690">
        <f t="shared" si="0"/>
        <v>0</v>
      </c>
      <c r="L12" s="305"/>
      <c r="M12" s="304">
        <f t="shared" si="1"/>
        <v>0</v>
      </c>
      <c r="N12" s="306">
        <f t="shared" si="2"/>
        <v>0</v>
      </c>
      <c r="O12" s="305"/>
      <c r="P12" s="304">
        <f t="shared" si="3"/>
        <v>0</v>
      </c>
      <c r="Q12" s="304">
        <f t="shared" si="4"/>
        <v>0</v>
      </c>
      <c r="R12" s="125"/>
      <c r="S12" s="304">
        <f t="shared" si="5"/>
        <v>0</v>
      </c>
      <c r="T12" s="304">
        <f t="shared" si="6"/>
        <v>0</v>
      </c>
      <c r="U12" s="305"/>
      <c r="V12" s="304">
        <f t="shared" si="7"/>
        <v>0</v>
      </c>
      <c r="W12" s="306">
        <f t="shared" si="8"/>
        <v>0</v>
      </c>
      <c r="X12" s="305"/>
      <c r="Y12" s="304">
        <f t="shared" si="9"/>
        <v>0</v>
      </c>
      <c r="Z12" s="307">
        <f t="shared" si="10"/>
        <v>0</v>
      </c>
      <c r="AA12" s="125"/>
      <c r="AB12" s="125"/>
      <c r="AC12" s="691">
        <f>Gen!AR17</f>
        <v>0</v>
      </c>
    </row>
    <row r="13" spans="1:29" ht="20.100000000000001" customHeight="1">
      <c r="A13" s="684">
        <f>Gen!A18</f>
        <v>44204</v>
      </c>
      <c r="B13" s="679">
        <f>Gen!B18</f>
        <v>0</v>
      </c>
      <c r="C13" s="797"/>
      <c r="D13" s="798"/>
      <c r="E13" s="491"/>
      <c r="F13" s="305"/>
      <c r="G13" s="305"/>
      <c r="H13" s="305"/>
      <c r="I13" s="305"/>
      <c r="J13" s="680"/>
      <c r="K13" s="690">
        <f t="shared" si="0"/>
        <v>0</v>
      </c>
      <c r="L13" s="305"/>
      <c r="M13" s="304">
        <f t="shared" si="1"/>
        <v>0</v>
      </c>
      <c r="N13" s="306">
        <f t="shared" si="2"/>
        <v>0</v>
      </c>
      <c r="O13" s="305"/>
      <c r="P13" s="304">
        <f t="shared" si="3"/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91">
        <f>Gen!AR18</f>
        <v>0</v>
      </c>
    </row>
    <row r="14" spans="1:29" ht="20.100000000000001" customHeight="1">
      <c r="A14" s="684">
        <f>Gen!A19</f>
        <v>44205</v>
      </c>
      <c r="B14" s="679">
        <f>Gen!B19</f>
        <v>0</v>
      </c>
      <c r="C14" s="797"/>
      <c r="D14" s="798"/>
      <c r="E14" s="491"/>
      <c r="F14" s="305"/>
      <c r="G14" s="305"/>
      <c r="H14" s="305"/>
      <c r="I14" s="305"/>
      <c r="J14" s="680"/>
      <c r="K14" s="690">
        <f t="shared" si="0"/>
        <v>0</v>
      </c>
      <c r="L14" s="305"/>
      <c r="M14" s="304">
        <f t="shared" si="1"/>
        <v>0</v>
      </c>
      <c r="N14" s="306">
        <f t="shared" si="2"/>
        <v>0</v>
      </c>
      <c r="O14" s="305"/>
      <c r="P14" s="304">
        <f t="shared" si="3"/>
        <v>0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>
        <f t="shared" si="10"/>
        <v>0</v>
      </c>
      <c r="AA14" s="125"/>
      <c r="AB14" s="125"/>
      <c r="AC14" s="691">
        <f>Gen!AR19</f>
        <v>0</v>
      </c>
    </row>
    <row r="15" spans="1:29" ht="20.100000000000001" customHeight="1">
      <c r="A15" s="684">
        <f>Gen!A20</f>
        <v>44206</v>
      </c>
      <c r="B15" s="679">
        <f>Gen!B20</f>
        <v>0</v>
      </c>
      <c r="C15" s="797"/>
      <c r="D15" s="798"/>
      <c r="E15" s="491"/>
      <c r="F15" s="305"/>
      <c r="G15" s="305"/>
      <c r="H15" s="305"/>
      <c r="I15" s="305"/>
      <c r="J15" s="680"/>
      <c r="K15" s="690">
        <f t="shared" si="0"/>
        <v>0</v>
      </c>
      <c r="L15" s="305"/>
      <c r="M15" s="304">
        <f t="shared" si="1"/>
        <v>0</v>
      </c>
      <c r="N15" s="306">
        <f t="shared" si="2"/>
        <v>0</v>
      </c>
      <c r="O15" s="305"/>
      <c r="P15" s="304">
        <f t="shared" si="3"/>
        <v>0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>
        <f t="shared" si="10"/>
        <v>0</v>
      </c>
      <c r="AA15" s="125"/>
      <c r="AB15" s="125"/>
      <c r="AC15" s="691">
        <f>Gen!AR20</f>
        <v>0</v>
      </c>
    </row>
    <row r="16" spans="1:29" ht="20.100000000000001" customHeight="1">
      <c r="A16" s="684">
        <f>Gen!A21</f>
        <v>44207</v>
      </c>
      <c r="B16" s="679">
        <f>Gen!B21</f>
        <v>0</v>
      </c>
      <c r="C16" s="797"/>
      <c r="D16" s="798"/>
      <c r="E16" s="491"/>
      <c r="F16" s="305"/>
      <c r="G16" s="305"/>
      <c r="H16" s="305"/>
      <c r="I16" s="305"/>
      <c r="J16" s="680"/>
      <c r="K16" s="690">
        <f t="shared" si="0"/>
        <v>0</v>
      </c>
      <c r="L16" s="305"/>
      <c r="M16" s="304">
        <f>L16-K16</f>
        <v>0</v>
      </c>
      <c r="N16" s="306">
        <f t="shared" si="2"/>
        <v>0</v>
      </c>
      <c r="O16" s="30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91">
        <f>Gen!AR21</f>
        <v>0</v>
      </c>
    </row>
    <row r="17" spans="1:29" ht="20.100000000000001" customHeight="1">
      <c r="A17" s="684">
        <f>Gen!A22</f>
        <v>44208</v>
      </c>
      <c r="B17" s="679">
        <f>Gen!B22</f>
        <v>0</v>
      </c>
      <c r="C17" s="797"/>
      <c r="D17" s="798"/>
      <c r="E17" s="491"/>
      <c r="F17" s="305"/>
      <c r="G17" s="305"/>
      <c r="H17" s="305"/>
      <c r="I17" s="305"/>
      <c r="J17" s="680"/>
      <c r="K17" s="690">
        <f>L16</f>
        <v>0</v>
      </c>
      <c r="L17" s="305"/>
      <c r="M17" s="304">
        <f>L17-K17</f>
        <v>0</v>
      </c>
      <c r="N17" s="306">
        <f t="shared" si="2"/>
        <v>0</v>
      </c>
      <c r="O17" s="30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91">
        <f>Gen!AR22</f>
        <v>0</v>
      </c>
    </row>
    <row r="18" spans="1:29" ht="20.100000000000001" customHeight="1">
      <c r="A18" s="684">
        <f>Gen!A23</f>
        <v>44209</v>
      </c>
      <c r="B18" s="679">
        <f>Gen!B23</f>
        <v>0</v>
      </c>
      <c r="C18" s="797"/>
      <c r="D18" s="798"/>
      <c r="E18" s="305"/>
      <c r="F18" s="305"/>
      <c r="G18" s="305"/>
      <c r="H18" s="305"/>
      <c r="I18" s="305"/>
      <c r="J18" s="680"/>
      <c r="K18" s="690">
        <f>L17</f>
        <v>0</v>
      </c>
      <c r="L18" s="305"/>
      <c r="M18" s="304">
        <f t="shared" si="1"/>
        <v>0</v>
      </c>
      <c r="N18" s="306">
        <f t="shared" si="2"/>
        <v>0</v>
      </c>
      <c r="O18" s="30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91">
        <f>Gen!AR23</f>
        <v>0</v>
      </c>
    </row>
    <row r="19" spans="1:29" ht="20.100000000000001" customHeight="1">
      <c r="A19" s="684">
        <f>Gen!A24</f>
        <v>44210</v>
      </c>
      <c r="B19" s="679">
        <f>Gen!B24</f>
        <v>0</v>
      </c>
      <c r="C19" s="797"/>
      <c r="D19" s="798"/>
      <c r="E19" s="305"/>
      <c r="F19" s="305"/>
      <c r="G19" s="305"/>
      <c r="H19" s="305"/>
      <c r="I19" s="305"/>
      <c r="J19" s="680"/>
      <c r="K19" s="690">
        <f t="shared" si="0"/>
        <v>0</v>
      </c>
      <c r="L19" s="305"/>
      <c r="M19" s="304">
        <f t="shared" si="1"/>
        <v>0</v>
      </c>
      <c r="N19" s="306">
        <f t="shared" si="2"/>
        <v>0</v>
      </c>
      <c r="O19" s="30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91">
        <f>Gen!AR24</f>
        <v>0</v>
      </c>
    </row>
    <row r="20" spans="1:29" ht="20.100000000000001" customHeight="1">
      <c r="A20" s="684">
        <f>Gen!A25</f>
        <v>44211</v>
      </c>
      <c r="B20" s="679">
        <f>Gen!B25</f>
        <v>0</v>
      </c>
      <c r="C20" s="797"/>
      <c r="D20" s="798"/>
      <c r="E20" s="305"/>
      <c r="F20" s="305"/>
      <c r="G20" s="305"/>
      <c r="H20" s="305"/>
      <c r="I20" s="305"/>
      <c r="J20" s="680"/>
      <c r="K20" s="690">
        <f t="shared" si="0"/>
        <v>0</v>
      </c>
      <c r="L20" s="305"/>
      <c r="M20" s="304">
        <f t="shared" si="1"/>
        <v>0</v>
      </c>
      <c r="N20" s="306">
        <f t="shared" si="2"/>
        <v>0</v>
      </c>
      <c r="O20" s="30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91">
        <f>Gen!AR25</f>
        <v>0</v>
      </c>
    </row>
    <row r="21" spans="1:29" ht="20.100000000000001" customHeight="1">
      <c r="A21" s="684">
        <f>Gen!A26</f>
        <v>44212</v>
      </c>
      <c r="B21" s="679">
        <f>Gen!B26</f>
        <v>0</v>
      </c>
      <c r="C21" s="797"/>
      <c r="D21" s="798"/>
      <c r="E21" s="305"/>
      <c r="F21" s="305"/>
      <c r="G21" s="305"/>
      <c r="H21" s="305"/>
      <c r="I21" s="305"/>
      <c r="J21" s="680"/>
      <c r="K21" s="690">
        <f t="shared" si="0"/>
        <v>0</v>
      </c>
      <c r="L21" s="305"/>
      <c r="M21" s="304">
        <f t="shared" si="1"/>
        <v>0</v>
      </c>
      <c r="N21" s="306">
        <f t="shared" si="2"/>
        <v>0</v>
      </c>
      <c r="O21" s="30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91">
        <f>Gen!AR26</f>
        <v>0</v>
      </c>
    </row>
    <row r="22" spans="1:29" ht="18.75" customHeight="1">
      <c r="A22" s="684">
        <f>Gen!A27</f>
        <v>44213</v>
      </c>
      <c r="B22" s="679">
        <f>Gen!B27</f>
        <v>0</v>
      </c>
      <c r="C22" s="797"/>
      <c r="D22" s="798"/>
      <c r="E22" s="305"/>
      <c r="F22" s="305"/>
      <c r="G22" s="305"/>
      <c r="H22" s="305"/>
      <c r="I22" s="305"/>
      <c r="J22" s="680"/>
      <c r="K22" s="690">
        <f t="shared" si="0"/>
        <v>0</v>
      </c>
      <c r="L22" s="305"/>
      <c r="M22" s="304">
        <f t="shared" si="1"/>
        <v>0</v>
      </c>
      <c r="N22" s="306">
        <f t="shared" si="2"/>
        <v>0</v>
      </c>
      <c r="O22" s="30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91">
        <f>Gen!AR27</f>
        <v>0</v>
      </c>
    </row>
    <row r="23" spans="1:29" ht="20.100000000000001" customHeight="1">
      <c r="A23" s="684">
        <f>Gen!A28</f>
        <v>44214</v>
      </c>
      <c r="B23" s="679">
        <f>Gen!B28</f>
        <v>0</v>
      </c>
      <c r="C23" s="797"/>
      <c r="D23" s="798"/>
      <c r="E23" s="491"/>
      <c r="F23" s="305"/>
      <c r="G23" s="305"/>
      <c r="H23" s="305"/>
      <c r="I23" s="305"/>
      <c r="J23" s="680"/>
      <c r="K23" s="690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1">
        <f>Gen!AR28</f>
        <v>0</v>
      </c>
    </row>
    <row r="24" spans="1:29" ht="20.100000000000001" customHeight="1">
      <c r="A24" s="684">
        <f>Gen!A29</f>
        <v>44215</v>
      </c>
      <c r="B24" s="679">
        <f>Gen!B29</f>
        <v>0</v>
      </c>
      <c r="C24" s="797"/>
      <c r="D24" s="798"/>
      <c r="E24" s="305"/>
      <c r="F24" s="305"/>
      <c r="G24" s="305"/>
      <c r="H24" s="305"/>
      <c r="I24" s="305"/>
      <c r="J24" s="680"/>
      <c r="K24" s="690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1">
        <f>Gen!AR29</f>
        <v>0</v>
      </c>
    </row>
    <row r="25" spans="1:29" ht="18.75" customHeight="1">
      <c r="A25" s="684">
        <f>Gen!A30</f>
        <v>44216</v>
      </c>
      <c r="B25" s="679">
        <f>Gen!B30</f>
        <v>0</v>
      </c>
      <c r="C25" s="797"/>
      <c r="D25" s="798"/>
      <c r="E25" s="305"/>
      <c r="F25" s="305"/>
      <c r="G25" s="305"/>
      <c r="H25" s="305"/>
      <c r="I25" s="305"/>
      <c r="J25" s="680"/>
      <c r="K25" s="690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1">
        <f>Gen!AR30</f>
        <v>0</v>
      </c>
    </row>
    <row r="26" spans="1:29" ht="20.100000000000001" customHeight="1">
      <c r="A26" s="684">
        <f>Gen!A31</f>
        <v>44217</v>
      </c>
      <c r="B26" s="679">
        <f>Gen!B31</f>
        <v>0</v>
      </c>
      <c r="C26" s="797"/>
      <c r="D26" s="798"/>
      <c r="E26" s="305"/>
      <c r="F26" s="305"/>
      <c r="G26" s="305"/>
      <c r="H26" s="305"/>
      <c r="I26" s="305"/>
      <c r="J26" s="680"/>
      <c r="K26" s="690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1">
        <f>Gen!AR31</f>
        <v>0</v>
      </c>
    </row>
    <row r="27" spans="1:29" ht="20.100000000000001" customHeight="1">
      <c r="A27" s="684">
        <f>Gen!A32</f>
        <v>44218</v>
      </c>
      <c r="B27" s="679">
        <f>Gen!B32</f>
        <v>0</v>
      </c>
      <c r="C27" s="797"/>
      <c r="D27" s="798"/>
      <c r="E27" s="305"/>
      <c r="F27" s="305"/>
      <c r="G27" s="305"/>
      <c r="H27" s="305"/>
      <c r="I27" s="305"/>
      <c r="J27" s="680"/>
      <c r="K27" s="690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1">
        <f>Gen!AR32</f>
        <v>0</v>
      </c>
    </row>
    <row r="28" spans="1:29" ht="20.100000000000001" customHeight="1">
      <c r="A28" s="684">
        <f>Gen!A33</f>
        <v>44219</v>
      </c>
      <c r="B28" s="679">
        <f>Gen!B33</f>
        <v>0</v>
      </c>
      <c r="C28" s="797"/>
      <c r="D28" s="798"/>
      <c r="E28" s="305"/>
      <c r="F28" s="305"/>
      <c r="G28" s="305"/>
      <c r="H28" s="305"/>
      <c r="I28" s="305"/>
      <c r="J28" s="680"/>
      <c r="K28" s="690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1">
        <f>Gen!AR33</f>
        <v>0</v>
      </c>
    </row>
    <row r="29" spans="1:29" ht="20.100000000000001" customHeight="1">
      <c r="A29" s="684">
        <f>Gen!A34</f>
        <v>44220</v>
      </c>
      <c r="B29" s="679">
        <f>Gen!B34</f>
        <v>0</v>
      </c>
      <c r="C29" s="797"/>
      <c r="D29" s="798"/>
      <c r="E29" s="305"/>
      <c r="F29" s="305"/>
      <c r="G29" s="305"/>
      <c r="H29" s="305"/>
      <c r="I29" s="305"/>
      <c r="J29" s="680"/>
      <c r="K29" s="690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1">
        <f>Gen!AR34</f>
        <v>0</v>
      </c>
    </row>
    <row r="30" spans="1:29" ht="20.100000000000001" customHeight="1">
      <c r="A30" s="684">
        <f>Gen!A35</f>
        <v>44221</v>
      </c>
      <c r="B30" s="679">
        <f>Gen!B35</f>
        <v>0</v>
      </c>
      <c r="C30" s="797"/>
      <c r="D30" s="798"/>
      <c r="E30" s="305"/>
      <c r="F30" s="305"/>
      <c r="G30" s="305"/>
      <c r="H30" s="305"/>
      <c r="I30" s="305"/>
      <c r="J30" s="680"/>
      <c r="K30" s="690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1">
        <f>Gen!AR35</f>
        <v>0</v>
      </c>
    </row>
    <row r="31" spans="1:29" ht="20.100000000000001" customHeight="1">
      <c r="A31" s="684">
        <f>Gen!A36</f>
        <v>44222</v>
      </c>
      <c r="B31" s="679">
        <f>Gen!B36</f>
        <v>0</v>
      </c>
      <c r="C31" s="797"/>
      <c r="D31" s="798"/>
      <c r="E31" s="305"/>
      <c r="F31" s="305"/>
      <c r="G31" s="305"/>
      <c r="H31" s="305"/>
      <c r="I31" s="305"/>
      <c r="J31" s="680"/>
      <c r="K31" s="690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1">
        <f>Gen!AR36</f>
        <v>0</v>
      </c>
    </row>
    <row r="32" spans="1:29" ht="20.100000000000001" customHeight="1">
      <c r="A32" s="684">
        <f>Gen!A37</f>
        <v>44223</v>
      </c>
      <c r="B32" s="679">
        <f>Gen!B37</f>
        <v>0</v>
      </c>
      <c r="C32" s="797"/>
      <c r="D32" s="798"/>
      <c r="E32" s="305"/>
      <c r="F32" s="305"/>
      <c r="G32" s="305"/>
      <c r="H32" s="305"/>
      <c r="I32" s="305"/>
      <c r="J32" s="680"/>
      <c r="K32" s="690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1">
        <f>Gen!AR37</f>
        <v>0</v>
      </c>
    </row>
    <row r="33" spans="1:29" ht="20.100000000000001" customHeight="1">
      <c r="A33" s="684">
        <f>Gen!A38</f>
        <v>44224</v>
      </c>
      <c r="B33" s="679">
        <f>Gen!B38</f>
        <v>0</v>
      </c>
      <c r="C33" s="797"/>
      <c r="D33" s="798"/>
      <c r="E33" s="305"/>
      <c r="F33" s="305"/>
      <c r="G33" s="305"/>
      <c r="H33" s="305"/>
      <c r="I33" s="305"/>
      <c r="J33" s="680"/>
      <c r="K33" s="690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1">
        <f>Gen!AR38</f>
        <v>0</v>
      </c>
    </row>
    <row r="34" spans="1:29" ht="20.100000000000001" customHeight="1">
      <c r="A34" s="684">
        <f>Gen!A39</f>
        <v>44225</v>
      </c>
      <c r="B34" s="679">
        <f>Gen!B39</f>
        <v>0</v>
      </c>
      <c r="C34" s="797"/>
      <c r="D34" s="798"/>
      <c r="E34" s="305"/>
      <c r="F34" s="305"/>
      <c r="G34" s="305"/>
      <c r="H34" s="305"/>
      <c r="I34" s="305"/>
      <c r="J34" s="680"/>
      <c r="K34" s="690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1">
        <f>Gen!AR39</f>
        <v>0</v>
      </c>
    </row>
    <row r="35" spans="1:29" ht="20.100000000000001" customHeight="1">
      <c r="A35" s="684">
        <f>Gen!A40</f>
        <v>44226</v>
      </c>
      <c r="B35" s="679">
        <f>Gen!B40</f>
        <v>0</v>
      </c>
      <c r="C35" s="797"/>
      <c r="D35" s="798"/>
      <c r="E35" s="305"/>
      <c r="F35" s="305"/>
      <c r="G35" s="305"/>
      <c r="H35" s="305"/>
      <c r="I35" s="305"/>
      <c r="J35" s="680"/>
      <c r="K35" s="690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1">
        <f>Gen!AR40</f>
        <v>0</v>
      </c>
    </row>
    <row r="36" spans="1:29" ht="20.100000000000001" customHeight="1" thickBot="1">
      <c r="A36" s="685">
        <f>Gen!A41</f>
        <v>44227</v>
      </c>
      <c r="B36" s="679">
        <f>Gen!B41</f>
        <v>0</v>
      </c>
      <c r="C36" s="797"/>
      <c r="D36" s="798"/>
      <c r="E36" s="305"/>
      <c r="F36" s="305"/>
      <c r="G36" s="305"/>
      <c r="H36" s="305"/>
      <c r="I36" s="305"/>
      <c r="J36" s="680"/>
      <c r="K36" s="690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1">
        <f>Gen!AR41</f>
        <v>0</v>
      </c>
    </row>
    <row r="37" spans="1:29" ht="21" customHeight="1" thickBot="1">
      <c r="A37" s="685">
        <f>Gen!A42</f>
        <v>0</v>
      </c>
      <c r="B37" s="679">
        <f>Gen!B42</f>
        <v>0</v>
      </c>
      <c r="C37" s="681"/>
      <c r="D37" s="681"/>
      <c r="E37" s="681"/>
      <c r="F37" s="681"/>
      <c r="G37" s="681"/>
      <c r="H37" s="681"/>
      <c r="I37" s="681"/>
      <c r="J37" s="682"/>
      <c r="K37" s="692">
        <f t="shared" si="0"/>
        <v>0</v>
      </c>
      <c r="L37" s="681"/>
      <c r="M37" s="693">
        <f t="shared" si="1"/>
        <v>0</v>
      </c>
      <c r="N37" s="694">
        <f t="shared" si="2"/>
        <v>0</v>
      </c>
      <c r="O37" s="681"/>
      <c r="P37" s="693">
        <f t="shared" si="3"/>
        <v>0</v>
      </c>
      <c r="Q37" s="693">
        <f t="shared" si="4"/>
        <v>0</v>
      </c>
      <c r="R37" s="681"/>
      <c r="S37" s="693">
        <f t="shared" si="5"/>
        <v>0</v>
      </c>
      <c r="T37" s="693">
        <f t="shared" si="6"/>
        <v>0</v>
      </c>
      <c r="U37" s="681"/>
      <c r="V37" s="693">
        <f t="shared" si="7"/>
        <v>0</v>
      </c>
      <c r="W37" s="694">
        <f t="shared" si="8"/>
        <v>0</v>
      </c>
      <c r="X37" s="681"/>
      <c r="Y37" s="693">
        <f t="shared" si="9"/>
        <v>0</v>
      </c>
      <c r="Z37" s="695">
        <f t="shared" si="11"/>
        <v>0</v>
      </c>
      <c r="AA37" s="696"/>
      <c r="AB37" s="696"/>
      <c r="AC37" s="691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B1" activePane="topRight" state="frozen"/>
      <selection pane="topRight" activeCell="D64" sqref="D64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" style="799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28515625" style="799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8"/>
      <c r="B1" s="878"/>
    </row>
    <row r="2" spans="1:46" ht="26.25">
      <c r="A2" s="878"/>
      <c r="B2" s="878"/>
      <c r="D2" s="879" t="s">
        <v>320</v>
      </c>
      <c r="E2" s="879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0"/>
      <c r="AE2" s="880"/>
      <c r="AF2" s="880"/>
      <c r="AG2" s="880"/>
      <c r="AH2" s="880"/>
      <c r="AI2" s="880"/>
      <c r="AJ2" s="880"/>
      <c r="AK2" s="880"/>
      <c r="AL2" s="880"/>
      <c r="AM2" s="880"/>
      <c r="AN2" s="880"/>
      <c r="AO2" s="880"/>
      <c r="AP2" s="880"/>
      <c r="AQ2" s="880"/>
      <c r="AR2" s="880"/>
      <c r="AS2" s="880"/>
      <c r="AT2" s="880"/>
    </row>
    <row r="3" spans="1:46" ht="12.75" customHeight="1">
      <c r="A3" s="878"/>
      <c r="B3" s="878"/>
      <c r="H3" s="881"/>
      <c r="I3" s="881"/>
      <c r="J3" s="881"/>
      <c r="K3" s="181"/>
      <c r="Q3" s="181"/>
    </row>
    <row r="4" spans="1:46" ht="11.25" customHeight="1">
      <c r="A4" s="878"/>
      <c r="B4" s="878"/>
      <c r="H4" s="881"/>
      <c r="I4" s="881"/>
      <c r="J4" s="881"/>
      <c r="K4" s="181"/>
      <c r="Q4" s="181"/>
    </row>
    <row r="5" spans="1:46" ht="12" thickBot="1">
      <c r="A5" s="878"/>
      <c r="B5" s="87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8"/>
      <c r="B6" s="878"/>
      <c r="C6" s="186"/>
      <c r="F6" s="882" t="s">
        <v>57</v>
      </c>
      <c r="G6" s="883"/>
      <c r="H6" s="883"/>
      <c r="I6" s="883"/>
      <c r="J6" s="883"/>
      <c r="K6" s="883"/>
      <c r="L6" s="88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5" t="s">
        <v>201</v>
      </c>
      <c r="G7" s="886"/>
      <c r="H7" s="886"/>
      <c r="I7" s="886"/>
      <c r="J7" s="886"/>
      <c r="K7" s="886"/>
      <c r="L7" s="887"/>
      <c r="M7" s="888" t="s">
        <v>40</v>
      </c>
      <c r="N7" s="889"/>
      <c r="O7" s="889"/>
      <c r="P7" s="889"/>
      <c r="Q7" s="889"/>
      <c r="R7" s="89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4">
        <v>33639.449999999997</v>
      </c>
      <c r="D9" s="803"/>
      <c r="E9" s="804"/>
      <c r="F9" s="805"/>
      <c r="G9" s="806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>
      <c r="A10" s="494"/>
      <c r="B10" s="574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575">
        <v>0.53200000000000003</v>
      </c>
      <c r="C11" s="811">
        <f>SUM(C9+D11)</f>
        <v>33639.449999999997</v>
      </c>
      <c r="D11" s="812"/>
      <c r="E11" s="809"/>
      <c r="F11" s="299"/>
      <c r="G11" s="810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575">
        <v>0.29899999999999999</v>
      </c>
      <c r="C12" s="811">
        <f t="shared" ref="C12:C43" si="6">SUM(C11-AR11+D12)</f>
        <v>31851.749999999996</v>
      </c>
      <c r="D12" s="812"/>
      <c r="E12" s="809"/>
      <c r="F12" s="526"/>
      <c r="G12" s="810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575"/>
      <c r="C13" s="811">
        <f t="shared" si="6"/>
        <v>48190.89</v>
      </c>
      <c r="D13" s="812">
        <v>18000</v>
      </c>
      <c r="E13" s="809">
        <v>18000</v>
      </c>
      <c r="F13" s="829" t="s">
        <v>321</v>
      </c>
      <c r="G13" s="810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575"/>
      <c r="C14" s="811">
        <f t="shared" si="6"/>
        <v>46743.22</v>
      </c>
      <c r="D14" s="812"/>
      <c r="E14" s="809"/>
      <c r="F14" s="813"/>
      <c r="G14" s="810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575"/>
      <c r="C15" s="811">
        <f t="shared" si="6"/>
        <v>45311.1</v>
      </c>
      <c r="D15" s="812"/>
      <c r="E15" s="809"/>
      <c r="F15" s="813"/>
      <c r="G15" s="810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575"/>
      <c r="C16" s="811">
        <f t="shared" si="6"/>
        <v>43826.78</v>
      </c>
      <c r="D16" s="812"/>
      <c r="E16" s="809"/>
      <c r="F16" s="813"/>
      <c r="G16" s="810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575"/>
      <c r="C17" s="811">
        <f t="shared" si="6"/>
        <v>43826.78</v>
      </c>
      <c r="D17" s="812"/>
      <c r="E17" s="809"/>
      <c r="F17" s="813"/>
      <c r="G17" s="810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43826.78</v>
      </c>
    </row>
    <row r="18" spans="1:46" ht="13.5" customHeight="1">
      <c r="A18" s="577">
        <v>44204</v>
      </c>
      <c r="B18" s="575"/>
      <c r="C18" s="811">
        <f t="shared" si="6"/>
        <v>43826.78</v>
      </c>
      <c r="D18" s="812"/>
      <c r="E18" s="809"/>
      <c r="F18" s="813"/>
      <c r="G18" s="810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43826.78</v>
      </c>
    </row>
    <row r="19" spans="1:46" ht="13.5" customHeight="1">
      <c r="A19" s="577">
        <v>44205</v>
      </c>
      <c r="B19" s="575"/>
      <c r="C19" s="811">
        <f t="shared" si="6"/>
        <v>43826.78</v>
      </c>
      <c r="D19" s="812"/>
      <c r="E19" s="809"/>
      <c r="F19" s="813"/>
      <c r="G19" s="810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43826.78</v>
      </c>
    </row>
    <row r="20" spans="1:46" ht="14.25">
      <c r="A20" s="577">
        <v>44206</v>
      </c>
      <c r="B20" s="575"/>
      <c r="C20" s="811">
        <f t="shared" si="6"/>
        <v>43826.78</v>
      </c>
      <c r="D20" s="812"/>
      <c r="E20" s="809"/>
      <c r="F20" s="813"/>
      <c r="G20" s="810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43826.78</v>
      </c>
    </row>
    <row r="21" spans="1:46" ht="14.25">
      <c r="A21" s="577">
        <v>44207</v>
      </c>
      <c r="B21" s="575"/>
      <c r="C21" s="811">
        <f t="shared" si="6"/>
        <v>43826.78</v>
      </c>
      <c r="D21" s="812"/>
      <c r="E21" s="809"/>
      <c r="F21" s="813"/>
      <c r="G21" s="810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43826.78</v>
      </c>
    </row>
    <row r="22" spans="1:46" ht="14.25">
      <c r="A22" s="577">
        <v>44208</v>
      </c>
      <c r="B22" s="575"/>
      <c r="C22" s="811">
        <f t="shared" si="6"/>
        <v>43826.78</v>
      </c>
      <c r="D22" s="812"/>
      <c r="E22" s="809"/>
      <c r="F22" s="814"/>
      <c r="G22" s="810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43826.78</v>
      </c>
    </row>
    <row r="23" spans="1:46" ht="14.25">
      <c r="A23" s="577">
        <v>44209</v>
      </c>
      <c r="B23" s="575"/>
      <c r="C23" s="811">
        <f t="shared" si="6"/>
        <v>43826.78</v>
      </c>
      <c r="D23" s="812"/>
      <c r="E23" s="809"/>
      <c r="F23" s="814"/>
      <c r="G23" s="810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43826.78</v>
      </c>
    </row>
    <row r="24" spans="1:46" ht="14.25">
      <c r="A24" s="577">
        <v>44210</v>
      </c>
      <c r="B24" s="575"/>
      <c r="C24" s="811">
        <f t="shared" si="6"/>
        <v>43826.78</v>
      </c>
      <c r="D24" s="815"/>
      <c r="E24" s="809"/>
      <c r="F24" s="813"/>
      <c r="G24" s="810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43826.78</v>
      </c>
    </row>
    <row r="25" spans="1:46" ht="14.25">
      <c r="A25" s="577">
        <v>44211</v>
      </c>
      <c r="B25" s="575"/>
      <c r="C25" s="811">
        <f t="shared" si="6"/>
        <v>43826.78</v>
      </c>
      <c r="D25" s="812"/>
      <c r="E25" s="809"/>
      <c r="F25" s="813"/>
      <c r="G25" s="810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43826.78</v>
      </c>
    </row>
    <row r="26" spans="1:46" ht="14.25">
      <c r="A26" s="577">
        <v>44212</v>
      </c>
      <c r="B26" s="575"/>
      <c r="C26" s="811">
        <f t="shared" si="6"/>
        <v>43826.78</v>
      </c>
      <c r="D26" s="812"/>
      <c r="E26" s="809"/>
      <c r="F26" s="814"/>
      <c r="G26" s="810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43826.78</v>
      </c>
    </row>
    <row r="27" spans="1:46" ht="14.25">
      <c r="A27" s="577">
        <v>44213</v>
      </c>
      <c r="B27" s="575"/>
      <c r="C27" s="811">
        <f t="shared" si="6"/>
        <v>43826.78</v>
      </c>
      <c r="D27" s="812"/>
      <c r="E27" s="809"/>
      <c r="F27" s="813"/>
      <c r="G27" s="810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43826.78</v>
      </c>
    </row>
    <row r="28" spans="1:46" ht="14.25">
      <c r="A28" s="577">
        <v>44214</v>
      </c>
      <c r="B28" s="575"/>
      <c r="C28" s="811">
        <f t="shared" si="6"/>
        <v>43826.78</v>
      </c>
      <c r="D28" s="812"/>
      <c r="E28" s="809"/>
      <c r="F28" s="813"/>
      <c r="G28" s="810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43826.78</v>
      </c>
    </row>
    <row r="29" spans="1:46" ht="14.25">
      <c r="A29" s="577">
        <v>44215</v>
      </c>
      <c r="B29" s="575"/>
      <c r="C29" s="811">
        <f t="shared" si="6"/>
        <v>43826.78</v>
      </c>
      <c r="D29" s="812"/>
      <c r="E29" s="809"/>
      <c r="F29" s="813"/>
      <c r="G29" s="810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43826.78</v>
      </c>
    </row>
    <row r="30" spans="1:46" ht="14.25">
      <c r="A30" s="577">
        <v>44216</v>
      </c>
      <c r="B30" s="575"/>
      <c r="C30" s="811">
        <f t="shared" si="6"/>
        <v>43826.78</v>
      </c>
      <c r="D30" s="812"/>
      <c r="E30" s="809">
        <v>15000</v>
      </c>
      <c r="F30" s="830" t="s">
        <v>322</v>
      </c>
      <c r="G30" s="810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43826.78</v>
      </c>
    </row>
    <row r="31" spans="1:46" ht="14.25">
      <c r="A31" s="577">
        <v>44217</v>
      </c>
      <c r="B31" s="575"/>
      <c r="C31" s="811">
        <f t="shared" si="6"/>
        <v>43826.78</v>
      </c>
      <c r="D31" s="812"/>
      <c r="E31" s="809"/>
      <c r="F31" s="813"/>
      <c r="G31" s="810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43826.78</v>
      </c>
    </row>
    <row r="32" spans="1:46" ht="14.25">
      <c r="A32" s="577">
        <v>44218</v>
      </c>
      <c r="B32" s="575"/>
      <c r="C32" s="811">
        <f t="shared" si="6"/>
        <v>43826.78</v>
      </c>
      <c r="D32" s="812"/>
      <c r="E32" s="809"/>
      <c r="F32" s="813"/>
      <c r="G32" s="810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43826.78</v>
      </c>
    </row>
    <row r="33" spans="1:46" ht="14.25">
      <c r="A33" s="577">
        <v>44219</v>
      </c>
      <c r="B33" s="575"/>
      <c r="C33" s="811">
        <f t="shared" si="6"/>
        <v>43826.78</v>
      </c>
      <c r="D33" s="812"/>
      <c r="E33" s="809"/>
      <c r="F33" s="813"/>
      <c r="G33" s="810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43826.78</v>
      </c>
    </row>
    <row r="34" spans="1:46" ht="14.25">
      <c r="A34" s="577">
        <v>44220</v>
      </c>
      <c r="B34" s="575"/>
      <c r="C34" s="811">
        <f t="shared" si="6"/>
        <v>43826.78</v>
      </c>
      <c r="D34" s="812"/>
      <c r="E34" s="809"/>
      <c r="F34" s="813"/>
      <c r="G34" s="810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43826.78</v>
      </c>
    </row>
    <row r="35" spans="1:46" ht="14.25">
      <c r="A35" s="577">
        <v>44221</v>
      </c>
      <c r="B35" s="575"/>
      <c r="C35" s="811">
        <f t="shared" si="6"/>
        <v>43826.78</v>
      </c>
      <c r="D35" s="812"/>
      <c r="E35" s="809"/>
      <c r="F35" s="813"/>
      <c r="G35" s="810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43826.78</v>
      </c>
    </row>
    <row r="36" spans="1:46" ht="14.25">
      <c r="A36" s="577">
        <v>44222</v>
      </c>
      <c r="B36" s="575"/>
      <c r="C36" s="811">
        <f t="shared" si="6"/>
        <v>43826.78</v>
      </c>
      <c r="D36" s="812"/>
      <c r="E36" s="809"/>
      <c r="F36" s="813"/>
      <c r="G36" s="810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43826.78</v>
      </c>
    </row>
    <row r="37" spans="1:46" ht="14.25">
      <c r="A37" s="577">
        <v>44223</v>
      </c>
      <c r="B37" s="575"/>
      <c r="C37" s="811">
        <f t="shared" si="6"/>
        <v>43826.78</v>
      </c>
      <c r="D37" s="812"/>
      <c r="E37" s="809"/>
      <c r="F37" s="526"/>
      <c r="G37" s="810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43826.78</v>
      </c>
    </row>
    <row r="38" spans="1:46" ht="14.25">
      <c r="A38" s="577">
        <v>44224</v>
      </c>
      <c r="B38" s="575"/>
      <c r="C38" s="811">
        <f t="shared" si="6"/>
        <v>43826.78</v>
      </c>
      <c r="D38" s="812"/>
      <c r="E38" s="809"/>
      <c r="F38" s="526"/>
      <c r="G38" s="810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43826.78</v>
      </c>
    </row>
    <row r="39" spans="1:46" ht="14.25">
      <c r="A39" s="577">
        <v>44225</v>
      </c>
      <c r="B39" s="575"/>
      <c r="C39" s="811">
        <f t="shared" si="6"/>
        <v>43826.78</v>
      </c>
      <c r="D39" s="812"/>
      <c r="E39" s="809"/>
      <c r="F39" s="526"/>
      <c r="G39" s="810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43826.78</v>
      </c>
    </row>
    <row r="40" spans="1:46" ht="14.25">
      <c r="A40" s="577">
        <v>44226</v>
      </c>
      <c r="B40" s="575"/>
      <c r="C40" s="811">
        <f t="shared" si="6"/>
        <v>43826.78</v>
      </c>
      <c r="D40" s="812"/>
      <c r="E40" s="809"/>
      <c r="F40" s="299"/>
      <c r="G40" s="810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43826.78</v>
      </c>
    </row>
    <row r="41" spans="1:46" ht="14.25">
      <c r="A41" s="577">
        <v>44227</v>
      </c>
      <c r="B41" s="575"/>
      <c r="C41" s="811">
        <f t="shared" si="6"/>
        <v>43826.78</v>
      </c>
      <c r="D41" s="812"/>
      <c r="E41" s="809"/>
      <c r="F41" s="299"/>
      <c r="G41" s="810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43826.78</v>
      </c>
    </row>
    <row r="42" spans="1:46" ht="14.25">
      <c r="A42" s="577"/>
      <c r="B42" s="576"/>
      <c r="C42" s="811">
        <f t="shared" si="6"/>
        <v>43826.78</v>
      </c>
      <c r="D42" s="816"/>
      <c r="E42" s="809"/>
      <c r="F42" s="299"/>
      <c r="G42" s="810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43826.78</v>
      </c>
    </row>
    <row r="43" spans="1:46" ht="14.25">
      <c r="A43" s="496" t="s">
        <v>25</v>
      </c>
      <c r="B43" s="469">
        <f>AVERAGE(B11:B42)</f>
        <v>0.41549999999999998</v>
      </c>
      <c r="C43" s="807">
        <f t="shared" si="6"/>
        <v>43826.78</v>
      </c>
      <c r="D43" s="816"/>
      <c r="E43" s="809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43826.78</v>
      </c>
    </row>
    <row r="44" spans="1:46" ht="15" thickBot="1">
      <c r="A44" s="497"/>
      <c r="B44" s="498"/>
      <c r="C44" s="817"/>
      <c r="D44" s="818"/>
      <c r="E44" s="819"/>
      <c r="F44" s="820"/>
      <c r="G44" s="821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2"/>
      <c r="D45" s="308">
        <f>SUM(D11:D44)</f>
        <v>18000</v>
      </c>
      <c r="E45" s="313">
        <f>SUM(E11:E42)</f>
        <v>33000</v>
      </c>
      <c r="F45" s="823">
        <f t="shared" ref="F45:O45" si="8">SUM(F11:F44)</f>
        <v>0</v>
      </c>
      <c r="G45" s="313">
        <f t="shared" si="8"/>
        <v>2154.1999999999998</v>
      </c>
      <c r="H45" s="308">
        <f t="shared" si="8"/>
        <v>0</v>
      </c>
      <c r="I45" s="313">
        <f t="shared" si="8"/>
        <v>0</v>
      </c>
      <c r="J45" s="308">
        <f t="shared" si="8"/>
        <v>1937.92</v>
      </c>
      <c r="K45" s="313">
        <f t="shared" si="8"/>
        <v>618.09</v>
      </c>
      <c r="L45" s="308">
        <f t="shared" si="8"/>
        <v>2646.5</v>
      </c>
      <c r="M45" s="313">
        <f t="shared" si="8"/>
        <v>5058</v>
      </c>
      <c r="N45" s="554">
        <f t="shared" si="8"/>
        <v>0</v>
      </c>
      <c r="O45" s="313">
        <f t="shared" si="8"/>
        <v>0</v>
      </c>
      <c r="P45" s="308">
        <f>SUM(P11:P43)</f>
        <v>4749</v>
      </c>
      <c r="Q45" s="313">
        <f>SUM(Q11:Q44)</f>
        <v>1483</v>
      </c>
      <c r="R45" s="308">
        <f>SUM(R11:R44)</f>
        <v>6374</v>
      </c>
      <c r="S45" s="552">
        <f>SUM(G45:L45)</f>
        <v>7356.71</v>
      </c>
      <c r="T45" s="308">
        <f>SUM(M45:R45)</f>
        <v>17664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0</v>
      </c>
      <c r="Y45" s="234">
        <f t="shared" si="9"/>
        <v>0</v>
      </c>
      <c r="Z45" s="547">
        <f t="shared" si="9"/>
        <v>177.13</v>
      </c>
      <c r="AA45" s="234">
        <f t="shared" si="9"/>
        <v>0</v>
      </c>
      <c r="AB45" s="547">
        <f t="shared" si="9"/>
        <v>0</v>
      </c>
      <c r="AC45" s="234">
        <f>SUM(AC10:AC44)</f>
        <v>0</v>
      </c>
      <c r="AD45" s="547">
        <f>SUM(AD10:AD44)</f>
        <v>0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98</v>
      </c>
      <c r="AI45" s="234">
        <f>SUM(AI9:AI39)</f>
        <v>141</v>
      </c>
      <c r="AJ45" s="547">
        <f>SUM(AJ9:AJ44)</f>
        <v>455.96000000000004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7812.6699999999992</v>
      </c>
      <c r="AS45" s="550">
        <f>SUM(AS11:AS44)</f>
        <v>0</v>
      </c>
      <c r="AT45" s="551"/>
    </row>
    <row r="46" spans="1:46" ht="14.25" thickBot="1">
      <c r="A46" s="799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237.31322580645158</v>
      </c>
      <c r="T47" s="316">
        <f>S45*2315</f>
        <v>17030783.649999999</v>
      </c>
      <c r="U47" s="317" t="s">
        <v>244</v>
      </c>
      <c r="AR47" s="523">
        <f>AR45*2143</f>
        <v>16742551.809999999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7440.27245522062</v>
      </c>
      <c r="U48" s="317" t="s">
        <v>245</v>
      </c>
      <c r="W48" s="191"/>
      <c r="X48" s="191"/>
      <c r="Y48" s="191"/>
      <c r="Z48" s="191"/>
      <c r="AA48" s="191"/>
      <c r="AR48" s="316">
        <f>AR47/2289</f>
        <v>7314.3520358235028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1" t="s">
        <v>241</v>
      </c>
      <c r="C50" s="892"/>
      <c r="D50" s="892"/>
      <c r="E50" s="892"/>
      <c r="F50" s="893"/>
      <c r="H50" s="869" t="s">
        <v>213</v>
      </c>
      <c r="I50" s="870"/>
      <c r="J50" s="870"/>
      <c r="K50" s="870"/>
      <c r="L50" s="871"/>
      <c r="N50" s="872" t="s">
        <v>309</v>
      </c>
      <c r="O50" s="873"/>
      <c r="P50" s="873"/>
      <c r="Q50" s="873"/>
      <c r="R50" s="874"/>
      <c r="T50" s="875" t="s">
        <v>226</v>
      </c>
      <c r="U50" s="876"/>
      <c r="V50" s="876"/>
      <c r="W50" s="876"/>
      <c r="X50" s="876"/>
      <c r="Y50" s="87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328</v>
      </c>
      <c r="D52" s="501">
        <v>42</v>
      </c>
      <c r="E52" s="500" t="s">
        <v>329</v>
      </c>
      <c r="F52" s="527" t="s">
        <v>330</v>
      </c>
      <c r="H52" s="530"/>
      <c r="I52" s="507"/>
      <c r="J52" s="507"/>
      <c r="K52" s="507"/>
      <c r="L52" s="531"/>
      <c r="N52" s="348">
        <v>44197</v>
      </c>
      <c r="O52" s="507" t="s">
        <v>323</v>
      </c>
      <c r="P52" s="525">
        <v>31</v>
      </c>
      <c r="Q52" s="525" t="s">
        <v>324</v>
      </c>
      <c r="R52" s="511" t="s">
        <v>325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331</v>
      </c>
      <c r="D53" s="501">
        <v>56</v>
      </c>
      <c r="E53" s="500" t="s">
        <v>332</v>
      </c>
      <c r="F53" s="527" t="s">
        <v>330</v>
      </c>
      <c r="H53" s="825"/>
      <c r="I53" s="826"/>
      <c r="J53" s="826"/>
      <c r="K53" s="826"/>
      <c r="L53" s="527"/>
      <c r="N53" s="499">
        <v>44197</v>
      </c>
      <c r="O53" s="826" t="s">
        <v>326</v>
      </c>
      <c r="P53" s="827">
        <v>80</v>
      </c>
      <c r="Q53" s="827" t="s">
        <v>327</v>
      </c>
      <c r="R53" s="511" t="s">
        <v>325</v>
      </c>
      <c r="T53" s="499"/>
      <c r="U53" s="200"/>
      <c r="V53" s="614"/>
      <c r="W53" s="500"/>
      <c r="X53" s="500"/>
      <c r="Y53" s="828"/>
    </row>
    <row r="54" spans="2:46" ht="11.25" customHeight="1">
      <c r="B54" s="499"/>
      <c r="C54" s="499"/>
      <c r="D54" s="501"/>
      <c r="E54" s="500"/>
      <c r="F54" s="527"/>
      <c r="H54" s="516"/>
      <c r="I54" s="265"/>
      <c r="J54" s="265"/>
      <c r="K54" s="265"/>
      <c r="L54" s="527"/>
      <c r="N54" s="341">
        <v>44199</v>
      </c>
      <c r="O54" s="265" t="s">
        <v>326</v>
      </c>
      <c r="P54" s="420">
        <v>30</v>
      </c>
      <c r="Q54" s="420" t="s">
        <v>327</v>
      </c>
      <c r="R54" s="512" t="s">
        <v>325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19" sqref="F1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5"/>
      <c r="D6" s="896"/>
      <c r="E6" s="897"/>
      <c r="F6" s="897"/>
      <c r="G6" s="48" t="s">
        <v>4</v>
      </c>
      <c r="H6" s="46" t="s">
        <v>14</v>
      </c>
      <c r="I6" s="41"/>
      <c r="J6" s="113"/>
    </row>
    <row r="7" spans="1:15" ht="18" customHeight="1">
      <c r="A7" s="898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9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/>
      <c r="C15" s="268"/>
      <c r="D15" s="268"/>
      <c r="E15" s="268"/>
      <c r="F15" s="268"/>
      <c r="G15" s="268">
        <f t="shared" si="0"/>
        <v>-326363.00400000002</v>
      </c>
      <c r="H15" s="111">
        <f>[4]Gen!B16</f>
        <v>0.01</v>
      </c>
      <c r="I15" s="6">
        <f t="shared" si="2"/>
        <v>0</v>
      </c>
      <c r="J15" s="116" t="e">
        <f t="shared" si="1"/>
        <v>#DIV/0!</v>
      </c>
      <c r="M15" s="156"/>
      <c r="N15" s="156"/>
    </row>
    <row r="16" spans="1:15" ht="18.75">
      <c r="A16" s="94">
        <f>[4]Gen!A17</f>
        <v>44172</v>
      </c>
      <c r="B16" s="268"/>
      <c r="C16" s="268"/>
      <c r="D16" s="268"/>
      <c r="E16" s="268"/>
      <c r="F16" s="268"/>
      <c r="G16" s="268">
        <f t="shared" si="0"/>
        <v>0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/>
      <c r="C17" s="268"/>
      <c r="D17" s="268"/>
      <c r="E17" s="268"/>
      <c r="F17" s="268"/>
      <c r="G17" s="268">
        <f t="shared" si="0"/>
        <v>0</v>
      </c>
      <c r="H17" s="111">
        <f>[4]Gen!B18</f>
        <v>0.01</v>
      </c>
      <c r="I17" s="6">
        <f t="shared" si="2"/>
        <v>0</v>
      </c>
      <c r="J17" s="116" t="e">
        <f t="shared" si="1"/>
        <v>#DIV/0!</v>
      </c>
      <c r="M17" s="156"/>
      <c r="N17" s="156"/>
    </row>
    <row r="18" spans="1:14" ht="18.75">
      <c r="A18" s="94">
        <f>[4]Gen!A19</f>
        <v>44174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6">
        <f t="shared" si="2"/>
        <v>0</v>
      </c>
      <c r="J18" s="116" t="e">
        <f t="shared" si="1"/>
        <v>#DIV/0!</v>
      </c>
      <c r="M18" s="156"/>
      <c r="N18" s="156"/>
    </row>
    <row r="19" spans="1:14" ht="18.75">
      <c r="A19" s="94">
        <f>[4]Gen!A20</f>
        <v>44175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6">
        <f t="shared" si="2"/>
        <v>0</v>
      </c>
      <c r="J19" s="116" t="e">
        <f t="shared" si="1"/>
        <v>#DIV/0!</v>
      </c>
      <c r="M19" s="156"/>
      <c r="N19" s="156"/>
    </row>
    <row r="20" spans="1:14" ht="18.75">
      <c r="A20" s="94">
        <f>[4]Gen!A21</f>
        <v>44176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6">
        <f t="shared" si="2"/>
        <v>0</v>
      </c>
      <c r="J20" s="116" t="e">
        <f t="shared" si="1"/>
        <v>#DIV/0!</v>
      </c>
    </row>
    <row r="21" spans="1:14" ht="18.75">
      <c r="A21" s="94">
        <f>[4]Gen!A22</f>
        <v>44177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6">
        <f t="shared" si="2"/>
        <v>0</v>
      </c>
      <c r="J21" s="116" t="e">
        <f t="shared" si="1"/>
        <v>#DIV/0!</v>
      </c>
    </row>
    <row r="22" spans="1:14" ht="18.75">
      <c r="A22" s="94">
        <f>[4]Gen!A23</f>
        <v>44178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6">
        <f t="shared" si="2"/>
        <v>0</v>
      </c>
      <c r="J22" s="116" t="e">
        <f t="shared" si="1"/>
        <v>#DIV/0!</v>
      </c>
    </row>
    <row r="23" spans="1:14" ht="18.75">
      <c r="A23" s="94">
        <f>[4]Gen!A24</f>
        <v>44179</v>
      </c>
      <c r="B23" s="268"/>
      <c r="C23" s="268"/>
      <c r="D23" s="268"/>
      <c r="E23" s="268"/>
      <c r="F23" s="268"/>
      <c r="G23" s="268">
        <f t="shared" si="0"/>
        <v>0</v>
      </c>
      <c r="H23" s="111">
        <f>[4]Gen!B24</f>
        <v>0.23</v>
      </c>
      <c r="I23" s="6">
        <f t="shared" si="2"/>
        <v>0</v>
      </c>
      <c r="J23" s="116" t="e">
        <f t="shared" si="1"/>
        <v>#DIV/0!</v>
      </c>
    </row>
    <row r="24" spans="1:14" ht="18.75">
      <c r="A24" s="94">
        <f>[4]Gen!A25</f>
        <v>44180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6">
        <f t="shared" si="2"/>
        <v>0</v>
      </c>
      <c r="J24" s="116" t="e">
        <f t="shared" si="1"/>
        <v>#DIV/0!</v>
      </c>
    </row>
    <row r="25" spans="1:14" ht="18.75">
      <c r="A25" s="94">
        <f>[4]Gen!A26</f>
        <v>44181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[4]Gen!A27</f>
        <v>44182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[4]Gen!A28</f>
        <v>44183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[4]Gen!A29</f>
        <v>44184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4" t="s">
        <v>6</v>
      </c>
      <c r="D42" s="894"/>
      <c r="E42" s="2">
        <f t="shared" ref="E42:F42" si="3">SUM(E10:E40)</f>
        <v>0</v>
      </c>
      <c r="F42" s="2">
        <f t="shared" si="3"/>
        <v>370554.70999999996</v>
      </c>
      <c r="G42" s="101">
        <f>SUM(G10:G40)</f>
        <v>1.1641532182693481E-10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R1" activePane="topRight" state="frozen"/>
      <selection pane="topRight" activeCell="AI12" sqref="AI1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4" t="s">
        <v>315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9"/>
      <c r="B2" s="29"/>
      <c r="C2" s="901" t="s">
        <v>52</v>
      </c>
      <c r="D2" s="901"/>
      <c r="E2" s="901"/>
      <c r="F2" s="901" t="s">
        <v>17</v>
      </c>
      <c r="G2" s="901"/>
      <c r="H2" s="901"/>
      <c r="I2" s="901" t="s">
        <v>131</v>
      </c>
      <c r="J2" s="901"/>
      <c r="K2" s="901"/>
      <c r="L2" s="901" t="s">
        <v>134</v>
      </c>
      <c r="M2" s="901"/>
      <c r="N2" s="901"/>
      <c r="O2" s="901" t="s">
        <v>132</v>
      </c>
      <c r="P2" s="901"/>
      <c r="Q2" s="901"/>
      <c r="R2" s="252"/>
      <c r="S2" s="912" t="s">
        <v>181</v>
      </c>
      <c r="T2" s="913"/>
      <c r="U2" s="914"/>
      <c r="V2" s="912" t="s">
        <v>182</v>
      </c>
      <c r="W2" s="913"/>
      <c r="X2" s="914"/>
      <c r="Y2" s="912" t="s">
        <v>183</v>
      </c>
      <c r="Z2" s="913"/>
      <c r="AA2" s="914"/>
      <c r="AB2" s="912" t="s">
        <v>184</v>
      </c>
      <c r="AC2" s="913"/>
      <c r="AD2" s="914"/>
      <c r="AE2" s="906" t="s">
        <v>239</v>
      </c>
      <c r="AF2" s="907"/>
      <c r="AG2" s="918"/>
      <c r="AH2" s="906" t="s">
        <v>243</v>
      </c>
      <c r="AI2" s="907"/>
      <c r="AJ2" s="918"/>
      <c r="AK2" s="906" t="s">
        <v>240</v>
      </c>
      <c r="AL2" s="907"/>
      <c r="AM2" s="907"/>
      <c r="AN2" s="910" t="s">
        <v>189</v>
      </c>
    </row>
    <row r="3" spans="1:40" ht="21.75" customHeight="1" thickBot="1">
      <c r="A3" s="902" t="s">
        <v>7</v>
      </c>
      <c r="B3" s="29"/>
      <c r="C3" s="901" t="s">
        <v>133</v>
      </c>
      <c r="D3" s="901" t="s">
        <v>15</v>
      </c>
      <c r="E3" s="901" t="s">
        <v>16</v>
      </c>
      <c r="F3" s="901" t="s">
        <v>133</v>
      </c>
      <c r="G3" s="901" t="s">
        <v>15</v>
      </c>
      <c r="H3" s="901" t="s">
        <v>16</v>
      </c>
      <c r="I3" s="901" t="s">
        <v>133</v>
      </c>
      <c r="J3" s="901" t="s">
        <v>15</v>
      </c>
      <c r="K3" s="901" t="s">
        <v>16</v>
      </c>
      <c r="L3" s="901" t="s">
        <v>133</v>
      </c>
      <c r="M3" s="901" t="s">
        <v>15</v>
      </c>
      <c r="N3" s="901" t="s">
        <v>16</v>
      </c>
      <c r="O3" s="901" t="s">
        <v>133</v>
      </c>
      <c r="P3" s="901" t="s">
        <v>15</v>
      </c>
      <c r="Q3" s="901" t="s">
        <v>16</v>
      </c>
      <c r="R3" s="920" t="s">
        <v>185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3"/>
      <c r="B4" s="244"/>
      <c r="C4" s="901"/>
      <c r="D4" s="901"/>
      <c r="E4" s="901"/>
      <c r="F4" s="901"/>
      <c r="G4" s="901"/>
      <c r="H4" s="901"/>
      <c r="I4" s="901"/>
      <c r="J4" s="901"/>
      <c r="K4" s="901"/>
      <c r="L4" s="901"/>
      <c r="M4" s="901"/>
      <c r="N4" s="901"/>
      <c r="O4" s="901"/>
      <c r="P4" s="901"/>
      <c r="Q4" s="901"/>
      <c r="R4" s="920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/>
      <c r="E11" s="58" t="str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/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/>
      <c r="Q11" s="474" t="str">
        <f t="shared" si="7"/>
        <v>0</v>
      </c>
      <c r="R11" s="250"/>
      <c r="S11" s="245">
        <f t="shared" si="15"/>
        <v>63364</v>
      </c>
      <c r="T11" s="384"/>
      <c r="U11" s="475" t="str">
        <f t="shared" si="16"/>
        <v>0</v>
      </c>
      <c r="V11" s="245">
        <f t="shared" si="8"/>
        <v>73031</v>
      </c>
      <c r="W11" s="384"/>
      <c r="X11" s="475" t="str">
        <f t="shared" si="17"/>
        <v>0</v>
      </c>
      <c r="Y11" s="245">
        <f t="shared" si="9"/>
        <v>88503</v>
      </c>
      <c r="Z11" s="384"/>
      <c r="AA11" s="475" t="str">
        <f t="shared" si="18"/>
        <v>0</v>
      </c>
      <c r="AB11" s="608">
        <f t="shared" si="22"/>
        <v>17400</v>
      </c>
      <c r="AC11" s="609"/>
      <c r="AD11" s="611" t="str">
        <f t="shared" si="23"/>
        <v>0</v>
      </c>
      <c r="AE11" s="245">
        <f>AF11</f>
        <v>0</v>
      </c>
      <c r="AF11" s="385"/>
      <c r="AG11" s="475" t="str">
        <f t="shared" si="19"/>
        <v>0</v>
      </c>
      <c r="AH11" s="245">
        <f t="shared" si="11"/>
        <v>28107</v>
      </c>
      <c r="AI11" s="385"/>
      <c r="AJ11" s="475" t="str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44203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8">
        <f t="shared" si="22"/>
        <v>0</v>
      </c>
      <c r="AC12" s="609"/>
      <c r="AD12" s="611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44204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8">
        <f t="shared" si="22"/>
        <v>0</v>
      </c>
      <c r="AC13" s="609"/>
      <c r="AD13" s="611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44205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si="26"/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8">
        <f t="shared" si="22"/>
        <v>0</v>
      </c>
      <c r="AC14" s="612"/>
      <c r="AD14" s="611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44206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6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8">
        <f t="shared" si="22"/>
        <v>0</v>
      </c>
      <c r="AC15" s="612"/>
      <c r="AD15" s="611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44207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6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8">
        <f t="shared" si="22"/>
        <v>0</v>
      </c>
      <c r="AC16" s="612"/>
      <c r="AD16" s="611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44208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6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8">
        <f t="shared" si="22"/>
        <v>0</v>
      </c>
      <c r="AC17" s="612"/>
      <c r="AD17" s="611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44209</v>
      </c>
      <c r="B18" s="4"/>
      <c r="C18" s="95">
        <f t="shared" si="0"/>
        <v>0</v>
      </c>
      <c r="D18" s="1"/>
      <c r="E18" s="474">
        <f t="shared" ref="E18:E37" si="28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6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8">
        <f t="shared" si="22"/>
        <v>0</v>
      </c>
      <c r="AC18" s="612"/>
      <c r="AD18" s="611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44210</v>
      </c>
      <c r="B19" s="4"/>
      <c r="C19" s="95">
        <f t="shared" si="0"/>
        <v>0</v>
      </c>
      <c r="D19" s="1"/>
      <c r="E19" s="474">
        <f t="shared" si="28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6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8">
        <f t="shared" si="22"/>
        <v>0</v>
      </c>
      <c r="AC19" s="612"/>
      <c r="AD19" s="611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0</v>
      </c>
    </row>
    <row r="20" spans="1:40" ht="23.1" customHeight="1">
      <c r="A20" s="57">
        <f>Gen!A25</f>
        <v>44211</v>
      </c>
      <c r="B20" s="4"/>
      <c r="C20" s="95">
        <f t="shared" si="0"/>
        <v>0</v>
      </c>
      <c r="D20" s="1"/>
      <c r="E20" s="474">
        <f t="shared" si="28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6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8">
        <f t="shared" si="22"/>
        <v>0</v>
      </c>
      <c r="AC20" s="612"/>
      <c r="AD20" s="611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0</v>
      </c>
    </row>
    <row r="21" spans="1:40" ht="23.1" customHeight="1">
      <c r="A21" s="57">
        <f>Gen!A26</f>
        <v>44212</v>
      </c>
      <c r="B21" s="4"/>
      <c r="C21" s="95">
        <f t="shared" si="0"/>
        <v>0</v>
      </c>
      <c r="D21" s="1"/>
      <c r="E21" s="474">
        <f t="shared" si="28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6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7" si="30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8">
        <f t="shared" si="22"/>
        <v>0</v>
      </c>
      <c r="AC21" s="612"/>
      <c r="AD21" s="611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0</v>
      </c>
    </row>
    <row r="22" spans="1:40" ht="23.1" customHeight="1">
      <c r="A22" s="57">
        <f>Gen!A27</f>
        <v>44213</v>
      </c>
      <c r="B22" s="4"/>
      <c r="C22" s="95">
        <f t="shared" si="0"/>
        <v>0</v>
      </c>
      <c r="D22" s="1"/>
      <c r="E22" s="474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0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8">
        <f t="shared" si="22"/>
        <v>0</v>
      </c>
      <c r="AC22" s="612"/>
      <c r="AD22" s="611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44214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8">
        <f t="shared" si="22"/>
        <v>0</v>
      </c>
      <c r="AC23" s="609"/>
      <c r="AD23" s="611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44215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8">
        <f t="shared" si="22"/>
        <v>0</v>
      </c>
      <c r="AC24" s="609"/>
      <c r="AD24" s="611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101</v>
      </c>
    </row>
    <row r="38" spans="1:41" ht="18.75">
      <c r="A38" s="57"/>
      <c r="B38" s="21"/>
      <c r="C38" s="900" t="s">
        <v>6</v>
      </c>
      <c r="D38" s="900"/>
      <c r="E38" s="22">
        <f>SUM(E6:E36)</f>
        <v>373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26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373</v>
      </c>
      <c r="S38" s="247"/>
      <c r="T38" s="247"/>
      <c r="U38" s="257">
        <f>SUM(U6:U37)</f>
        <v>101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101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6"/>
      <c r="B42" s="277"/>
      <c r="C42" s="923" t="s">
        <v>222</v>
      </c>
      <c r="D42" s="924"/>
      <c r="E42" s="924"/>
      <c r="F42" s="924"/>
      <c r="G42" s="924"/>
      <c r="H42" s="924"/>
      <c r="I42" s="924"/>
      <c r="J42" s="924"/>
      <c r="K42" s="925"/>
      <c r="R42" s="19"/>
    </row>
    <row r="43" spans="1:41" ht="24.75" customHeight="1">
      <c r="A43" s="927"/>
      <c r="B43" s="19"/>
      <c r="C43" s="929" t="s">
        <v>216</v>
      </c>
      <c r="D43" s="930"/>
      <c r="E43" s="931" t="s">
        <v>237</v>
      </c>
      <c r="F43" s="932"/>
      <c r="G43" s="933" t="s">
        <v>217</v>
      </c>
      <c r="H43" s="934"/>
      <c r="I43" s="933" t="s">
        <v>238</v>
      </c>
      <c r="J43" s="934"/>
      <c r="K43" s="921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7"/>
      <c r="B44" s="19"/>
      <c r="C44" s="935" t="s">
        <v>218</v>
      </c>
      <c r="D44" s="936"/>
      <c r="E44" s="935" t="s">
        <v>219</v>
      </c>
      <c r="F44" s="936"/>
      <c r="G44" s="935" t="s">
        <v>220</v>
      </c>
      <c r="H44" s="936"/>
      <c r="I44" s="935" t="s">
        <v>221</v>
      </c>
      <c r="J44" s="936"/>
      <c r="K44" s="922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8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/>
      <c r="D51" s="325">
        <f t="shared" si="48"/>
        <v>0</v>
      </c>
      <c r="E51" s="6"/>
      <c r="F51" s="325">
        <f t="shared" si="49"/>
        <v>0</v>
      </c>
      <c r="G51" s="477"/>
      <c r="H51" s="325">
        <f t="shared" si="50"/>
        <v>0</v>
      </c>
      <c r="I51" s="6"/>
      <c r="J51" s="325">
        <f t="shared" si="51"/>
        <v>0</v>
      </c>
      <c r="K51" s="331">
        <f t="shared" si="52"/>
        <v>0</v>
      </c>
    </row>
    <row r="52" spans="1:15" ht="13.5">
      <c r="A52" s="293">
        <f>Gen!A17</f>
        <v>44203</v>
      </c>
      <c r="B52" s="19"/>
      <c r="C52" s="62"/>
      <c r="D52" s="325">
        <f t="shared" si="48"/>
        <v>0</v>
      </c>
      <c r="E52" s="6"/>
      <c r="F52" s="325">
        <f t="shared" si="49"/>
        <v>0</v>
      </c>
      <c r="G52" s="477"/>
      <c r="H52" s="325">
        <f t="shared" si="50"/>
        <v>0</v>
      </c>
      <c r="I52" s="6"/>
      <c r="J52" s="325">
        <f t="shared" si="51"/>
        <v>0</v>
      </c>
      <c r="K52" s="331">
        <f t="shared" si="52"/>
        <v>0</v>
      </c>
    </row>
    <row r="53" spans="1:15" ht="13.5">
      <c r="A53" s="293">
        <f>Gen!A18</f>
        <v>44204</v>
      </c>
      <c r="B53" s="19"/>
      <c r="C53" s="62"/>
      <c r="D53" s="325">
        <f t="shared" si="48"/>
        <v>0</v>
      </c>
      <c r="E53" s="6"/>
      <c r="F53" s="325">
        <f t="shared" si="49"/>
        <v>0</v>
      </c>
      <c r="G53" s="477"/>
      <c r="H53" s="325">
        <f t="shared" si="50"/>
        <v>0</v>
      </c>
      <c r="I53" s="6"/>
      <c r="J53" s="325">
        <f t="shared" si="51"/>
        <v>0</v>
      </c>
      <c r="K53" s="331">
        <f t="shared" si="52"/>
        <v>0</v>
      </c>
    </row>
    <row r="54" spans="1:15" ht="13.5">
      <c r="A54" s="293">
        <f>Gen!A19</f>
        <v>44205</v>
      </c>
      <c r="B54" s="19"/>
      <c r="C54" s="62"/>
      <c r="D54" s="325">
        <f t="shared" si="48"/>
        <v>0</v>
      </c>
      <c r="E54" s="6"/>
      <c r="F54" s="325">
        <f t="shared" si="49"/>
        <v>0</v>
      </c>
      <c r="G54" s="477"/>
      <c r="H54" s="325">
        <f t="shared" si="50"/>
        <v>0</v>
      </c>
      <c r="I54" s="6"/>
      <c r="J54" s="325">
        <f t="shared" si="51"/>
        <v>0</v>
      </c>
      <c r="K54" s="331">
        <f t="shared" si="52"/>
        <v>0</v>
      </c>
    </row>
    <row r="55" spans="1:15" ht="13.5">
      <c r="A55" s="293">
        <f>Gen!A20</f>
        <v>44206</v>
      </c>
      <c r="B55" s="19"/>
      <c r="C55" s="62"/>
      <c r="D55" s="325">
        <f t="shared" si="48"/>
        <v>0</v>
      </c>
      <c r="E55" s="6"/>
      <c r="F55" s="325">
        <f t="shared" si="49"/>
        <v>0</v>
      </c>
      <c r="G55" s="477"/>
      <c r="H55" s="325">
        <f t="shared" si="50"/>
        <v>0</v>
      </c>
      <c r="I55" s="6"/>
      <c r="J55" s="325">
        <f t="shared" si="51"/>
        <v>0</v>
      </c>
      <c r="K55" s="331">
        <f t="shared" si="52"/>
        <v>0</v>
      </c>
    </row>
    <row r="56" spans="1:15" ht="13.5">
      <c r="A56" s="293">
        <f>Gen!A21</f>
        <v>44207</v>
      </c>
      <c r="B56" s="19"/>
      <c r="C56" s="62"/>
      <c r="D56" s="325">
        <f t="shared" si="48"/>
        <v>0</v>
      </c>
      <c r="E56" s="6"/>
      <c r="F56" s="325">
        <f t="shared" si="49"/>
        <v>0</v>
      </c>
      <c r="G56" s="477"/>
      <c r="H56" s="325">
        <f t="shared" si="50"/>
        <v>0</v>
      </c>
      <c r="I56" s="6"/>
      <c r="J56" s="325">
        <f t="shared" si="51"/>
        <v>0</v>
      </c>
      <c r="K56" s="331">
        <f t="shared" si="52"/>
        <v>0</v>
      </c>
    </row>
    <row r="57" spans="1:15" ht="13.5">
      <c r="A57" s="293">
        <f>Gen!A22</f>
        <v>44208</v>
      </c>
      <c r="B57" s="19"/>
      <c r="C57" s="62"/>
      <c r="D57" s="325">
        <f t="shared" si="48"/>
        <v>0</v>
      </c>
      <c r="E57" s="6"/>
      <c r="F57" s="325">
        <f t="shared" si="49"/>
        <v>0</v>
      </c>
      <c r="G57" s="477"/>
      <c r="H57" s="325">
        <f t="shared" si="50"/>
        <v>0</v>
      </c>
      <c r="I57" s="6"/>
      <c r="J57" s="325">
        <f t="shared" si="51"/>
        <v>0</v>
      </c>
      <c r="K57" s="331">
        <f t="shared" si="52"/>
        <v>0</v>
      </c>
    </row>
    <row r="58" spans="1:15" ht="13.5">
      <c r="A58" s="293">
        <f>Gen!A23</f>
        <v>44209</v>
      </c>
      <c r="B58" s="19"/>
      <c r="C58" s="62"/>
      <c r="D58" s="325">
        <f t="shared" si="48"/>
        <v>0</v>
      </c>
      <c r="E58" s="6"/>
      <c r="F58" s="325">
        <f t="shared" si="49"/>
        <v>0</v>
      </c>
      <c r="G58" s="477"/>
      <c r="H58" s="325">
        <f t="shared" si="50"/>
        <v>0</v>
      </c>
      <c r="I58" s="6"/>
      <c r="J58" s="325">
        <f t="shared" si="51"/>
        <v>0</v>
      </c>
      <c r="K58" s="331">
        <f t="shared" si="52"/>
        <v>0</v>
      </c>
    </row>
    <row r="59" spans="1:15" ht="13.5">
      <c r="A59" s="293">
        <f>Gen!A24</f>
        <v>44210</v>
      </c>
      <c r="B59" s="19"/>
      <c r="C59" s="62"/>
      <c r="D59" s="325">
        <f t="shared" si="48"/>
        <v>0</v>
      </c>
      <c r="E59" s="6"/>
      <c r="F59" s="325">
        <f t="shared" si="49"/>
        <v>0</v>
      </c>
      <c r="G59" s="477"/>
      <c r="H59" s="325">
        <f t="shared" si="50"/>
        <v>0</v>
      </c>
      <c r="I59" s="6"/>
      <c r="J59" s="325">
        <f t="shared" si="51"/>
        <v>0</v>
      </c>
      <c r="K59" s="331">
        <f t="shared" si="52"/>
        <v>0</v>
      </c>
    </row>
    <row r="60" spans="1:15" ht="13.5">
      <c r="A60" s="293">
        <f>Gen!A25</f>
        <v>44211</v>
      </c>
      <c r="B60" s="19"/>
      <c r="C60" s="62"/>
      <c r="D60" s="325">
        <f t="shared" si="48"/>
        <v>0</v>
      </c>
      <c r="E60" s="6"/>
      <c r="F60" s="325">
        <f t="shared" si="49"/>
        <v>0</v>
      </c>
      <c r="G60" s="477"/>
      <c r="H60" s="325">
        <f t="shared" si="50"/>
        <v>0</v>
      </c>
      <c r="I60" s="6"/>
      <c r="J60" s="325">
        <f t="shared" si="51"/>
        <v>0</v>
      </c>
      <c r="K60" s="331">
        <f t="shared" si="52"/>
        <v>0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/>
      <c r="D61" s="325">
        <f t="shared" si="48"/>
        <v>0</v>
      </c>
      <c r="E61" s="6"/>
      <c r="F61" s="325">
        <f t="shared" si="49"/>
        <v>0</v>
      </c>
      <c r="G61" s="477"/>
      <c r="H61" s="325">
        <f t="shared" si="50"/>
        <v>0</v>
      </c>
      <c r="I61" s="6"/>
      <c r="J61" s="325">
        <f t="shared" si="51"/>
        <v>0</v>
      </c>
      <c r="K61" s="331">
        <f t="shared" si="52"/>
        <v>0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7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44214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44215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1" t="s">
        <v>316</v>
      </c>
      <c r="B2" s="862"/>
      <c r="C2" s="862"/>
      <c r="D2" s="862"/>
      <c r="E2" s="863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0.29899999999999999</v>
      </c>
      <c r="D6" s="434">
        <f t="shared" ref="D6:D35" si="2">SUM(77*C6)</f>
        <v>23.023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</v>
      </c>
      <c r="D7" s="434">
        <f t="shared" si="2"/>
        <v>0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</v>
      </c>
      <c r="D8" s="434">
        <f t="shared" si="2"/>
        <v>0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</v>
      </c>
      <c r="D9" s="434">
        <f t="shared" si="2"/>
        <v>0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 t="e">
        <f t="shared" si="3"/>
        <v>#DIV/0!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 t="str">
        <f>'Water-Meter'!E11</f>
        <v>0</v>
      </c>
      <c r="L10" s="447">
        <f>'Lpg (2)'!G15</f>
        <v>-326363.00400000002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-404451.12174999999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373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7" t="s">
        <v>180</v>
      </c>
      <c r="B1" s="938"/>
      <c r="C1" s="938"/>
      <c r="D1" s="938"/>
      <c r="E1" s="938"/>
      <c r="F1" s="938"/>
      <c r="G1" s="939"/>
    </row>
    <row r="2" spans="1:7" ht="13.5" thickBot="1">
      <c r="A2" s="300"/>
      <c r="B2" s="940" t="s">
        <v>175</v>
      </c>
      <c r="C2" s="941"/>
      <c r="D2" s="942"/>
      <c r="E2" s="940" t="s">
        <v>176</v>
      </c>
      <c r="F2" s="941"/>
      <c r="G2" s="94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7" t="s">
        <v>230</v>
      </c>
      <c r="B1" s="938"/>
      <c r="C1" s="938"/>
      <c r="D1" s="93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88">
        <f t="shared" si="2"/>
        <v>0.34000000000014552</v>
      </c>
      <c r="G36" s="489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3"/>
      <c r="C76" s="944"/>
      <c r="D76" s="944"/>
      <c r="E76" s="945"/>
      <c r="H76" s="943"/>
      <c r="I76" s="944"/>
      <c r="J76" s="944"/>
      <c r="K76" s="944"/>
      <c r="L76" s="945"/>
    </row>
    <row r="77" spans="1:12">
      <c r="B77" s="946"/>
      <c r="C77" s="947"/>
      <c r="D77" s="947"/>
      <c r="E77" s="948"/>
      <c r="H77" s="946"/>
      <c r="I77" s="947"/>
      <c r="J77" s="947"/>
      <c r="K77" s="947"/>
      <c r="L77" s="948"/>
    </row>
    <row r="78" spans="1:12">
      <c r="B78" s="946"/>
      <c r="C78" s="947"/>
      <c r="D78" s="947"/>
      <c r="E78" s="948"/>
      <c r="H78" s="946"/>
      <c r="I78" s="947"/>
      <c r="J78" s="947"/>
      <c r="K78" s="947"/>
      <c r="L78" s="948"/>
    </row>
    <row r="79" spans="1:12">
      <c r="B79" s="946"/>
      <c r="C79" s="947"/>
      <c r="D79" s="947"/>
      <c r="E79" s="948"/>
      <c r="H79" s="946"/>
      <c r="I79" s="947"/>
      <c r="J79" s="947"/>
      <c r="K79" s="947"/>
      <c r="L79" s="948"/>
    </row>
    <row r="80" spans="1:12">
      <c r="B80" s="946"/>
      <c r="C80" s="947"/>
      <c r="D80" s="947"/>
      <c r="E80" s="948"/>
      <c r="H80" s="946"/>
      <c r="I80" s="947"/>
      <c r="J80" s="947"/>
      <c r="K80" s="947"/>
      <c r="L80" s="948"/>
    </row>
    <row r="81" spans="2:12">
      <c r="B81" s="946"/>
      <c r="C81" s="947"/>
      <c r="D81" s="947"/>
      <c r="E81" s="948"/>
      <c r="H81" s="946"/>
      <c r="I81" s="947"/>
      <c r="J81" s="947"/>
      <c r="K81" s="947"/>
      <c r="L81" s="948"/>
    </row>
    <row r="82" spans="2:12">
      <c r="B82" s="946"/>
      <c r="C82" s="947"/>
      <c r="D82" s="947"/>
      <c r="E82" s="948"/>
      <c r="H82" s="946"/>
      <c r="I82" s="947"/>
      <c r="J82" s="947"/>
      <c r="K82" s="947"/>
      <c r="L82" s="948"/>
    </row>
    <row r="83" spans="2:12">
      <c r="B83" s="946"/>
      <c r="C83" s="947"/>
      <c r="D83" s="947"/>
      <c r="E83" s="948"/>
      <c r="H83" s="946"/>
      <c r="I83" s="947"/>
      <c r="J83" s="947"/>
      <c r="K83" s="947"/>
      <c r="L83" s="948"/>
    </row>
    <row r="84" spans="2:12">
      <c r="B84" s="946"/>
      <c r="C84" s="947"/>
      <c r="D84" s="947"/>
      <c r="E84" s="948"/>
      <c r="H84" s="946"/>
      <c r="I84" s="947"/>
      <c r="J84" s="947"/>
      <c r="K84" s="947"/>
      <c r="L84" s="948"/>
    </row>
    <row r="85" spans="2:12">
      <c r="B85" s="946"/>
      <c r="C85" s="947"/>
      <c r="D85" s="947"/>
      <c r="E85" s="948"/>
      <c r="H85" s="946"/>
      <c r="I85" s="947"/>
      <c r="J85" s="947"/>
      <c r="K85" s="947"/>
      <c r="L85" s="948"/>
    </row>
    <row r="86" spans="2:12">
      <c r="B86" s="946"/>
      <c r="C86" s="947"/>
      <c r="D86" s="947"/>
      <c r="E86" s="948"/>
      <c r="H86" s="946"/>
      <c r="I86" s="947"/>
      <c r="J86" s="947"/>
      <c r="K86" s="947"/>
      <c r="L86" s="948"/>
    </row>
    <row r="87" spans="2:12">
      <c r="B87" s="946"/>
      <c r="C87" s="947"/>
      <c r="D87" s="947"/>
      <c r="E87" s="948"/>
      <c r="H87" s="946"/>
      <c r="I87" s="947"/>
      <c r="J87" s="947"/>
      <c r="K87" s="947"/>
      <c r="L87" s="948"/>
    </row>
    <row r="88" spans="2:12">
      <c r="B88" s="946"/>
      <c r="C88" s="947"/>
      <c r="D88" s="947"/>
      <c r="E88" s="948"/>
      <c r="H88" s="946"/>
      <c r="I88" s="947"/>
      <c r="J88" s="947"/>
      <c r="K88" s="947"/>
      <c r="L88" s="948"/>
    </row>
    <row r="89" spans="2:12">
      <c r="B89" s="946"/>
      <c r="C89" s="947"/>
      <c r="D89" s="947"/>
      <c r="E89" s="948"/>
      <c r="H89" s="946"/>
      <c r="I89" s="947"/>
      <c r="J89" s="947"/>
      <c r="K89" s="947"/>
      <c r="L89" s="948"/>
    </row>
    <row r="90" spans="2:12" ht="13.5" thickBot="1">
      <c r="B90" s="949"/>
      <c r="C90" s="950"/>
      <c r="D90" s="950"/>
      <c r="E90" s="951"/>
      <c r="H90" s="949"/>
      <c r="I90" s="950"/>
      <c r="J90" s="950"/>
      <c r="K90" s="950"/>
      <c r="L90" s="951"/>
    </row>
    <row r="91" spans="2:12">
      <c r="B91" s="952" t="s">
        <v>312</v>
      </c>
      <c r="C91" s="953"/>
      <c r="D91" s="953"/>
      <c r="E91" s="954"/>
      <c r="H91" s="952" t="s">
        <v>313</v>
      </c>
      <c r="I91" s="953"/>
      <c r="J91" s="953"/>
      <c r="K91" s="953"/>
      <c r="L91" s="954"/>
    </row>
    <row r="92" spans="2:12">
      <c r="B92" s="955"/>
      <c r="C92" s="956"/>
      <c r="D92" s="956"/>
      <c r="E92" s="957"/>
      <c r="H92" s="955"/>
      <c r="I92" s="956"/>
      <c r="J92" s="956"/>
      <c r="K92" s="956"/>
      <c r="L92" s="957"/>
    </row>
    <row r="93" spans="2:12" ht="13.5" thickBot="1">
      <c r="B93" s="958"/>
      <c r="C93" s="959"/>
      <c r="D93" s="959"/>
      <c r="E93" s="960"/>
      <c r="H93" s="958"/>
      <c r="I93" s="959"/>
      <c r="J93" s="959"/>
      <c r="K93" s="959"/>
      <c r="L93" s="96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D13" sqref="D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1" t="s">
        <v>254</v>
      </c>
      <c r="B1" s="961"/>
      <c r="C1" s="961"/>
      <c r="D1" s="961"/>
      <c r="E1" s="961"/>
      <c r="F1" s="961"/>
      <c r="G1" s="961"/>
      <c r="H1" s="961"/>
      <c r="I1" s="961"/>
      <c r="J1" s="961"/>
    </row>
    <row r="2" spans="1:10" ht="19.5" thickBot="1">
      <c r="A2" s="970">
        <f>A5</f>
        <v>44197</v>
      </c>
      <c r="B2" s="971"/>
      <c r="C2" s="971"/>
      <c r="D2" s="971"/>
      <c r="E2" s="971"/>
      <c r="F2" s="971"/>
      <c r="G2" s="971"/>
      <c r="H2" s="971"/>
      <c r="I2" s="971"/>
      <c r="J2" s="971"/>
    </row>
    <row r="3" spans="1:10" ht="15.75" thickBot="1">
      <c r="A3" s="962" t="s">
        <v>7</v>
      </c>
      <c r="B3" s="964" t="s">
        <v>255</v>
      </c>
      <c r="C3" s="440"/>
      <c r="D3" s="966" t="s">
        <v>256</v>
      </c>
      <c r="E3" s="967"/>
      <c r="F3" s="968" t="s">
        <v>257</v>
      </c>
      <c r="G3" s="969"/>
      <c r="H3" s="967"/>
      <c r="I3" s="968" t="s">
        <v>258</v>
      </c>
      <c r="J3" s="967"/>
    </row>
    <row r="4" spans="1:10" ht="30.75" thickBot="1">
      <c r="A4" s="963"/>
      <c r="B4" s="96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0.29899999999999999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227.99999999995634</v>
      </c>
      <c r="J7" s="395">
        <f>'Kit report'!X6</f>
        <v>580.00000000010914</v>
      </c>
    </row>
    <row r="8" spans="1:10" ht="17.100000000000001" customHeight="1" thickBot="1">
      <c r="A8" s="217">
        <f>Gen!A14</f>
        <v>44200</v>
      </c>
      <c r="B8" s="399">
        <f>Gen!B14</f>
        <v>0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240</v>
      </c>
      <c r="J8" s="395">
        <f>'Kit report'!X7</f>
        <v>500</v>
      </c>
    </row>
    <row r="9" spans="1:10" ht="17.100000000000001" customHeight="1" thickBot="1">
      <c r="A9" s="217">
        <f>Gen!A15</f>
        <v>44201</v>
      </c>
      <c r="B9" s="399">
        <f>Gen!B15</f>
        <v>0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203.99999999986903</v>
      </c>
      <c r="J9" s="395">
        <f>'Kit report'!X8</f>
        <v>639.99999999996362</v>
      </c>
    </row>
    <row r="10" spans="1:10" ht="17.100000000000001" customHeight="1" thickBot="1">
      <c r="A10" s="217">
        <f>Gen!A16</f>
        <v>44202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43826.78</v>
      </c>
      <c r="F10" s="396" t="str">
        <f>'Water-Meter'!E11</f>
        <v>0</v>
      </c>
      <c r="G10" s="397">
        <f>'Water-Meter'!AN11</f>
        <v>0</v>
      </c>
      <c r="H10" s="395">
        <f>'Utility report '!AC11</f>
        <v>-43828</v>
      </c>
      <c r="I10" s="394">
        <f>'Kit report'!F9</f>
        <v>-1083096</v>
      </c>
      <c r="J10" s="395">
        <f>'Kit report'!X9</f>
        <v>-1587960</v>
      </c>
    </row>
    <row r="11" spans="1:10" ht="17.100000000000001" customHeight="1" thickBot="1">
      <c r="A11" s="217">
        <f>Gen!A17</f>
        <v>44203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43826.78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44204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43826.78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44205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43826.78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44206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43826.78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43826.78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43826.78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43826.78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43826.78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43826.78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43826.78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43826.78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43826.78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43826.78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43826.78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43826.78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43826.78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43826.78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43826.78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43826.78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43826.78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43826.78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43826.78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43826.78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43826.78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43826.78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43826.78</v>
      </c>
      <c r="F36" s="396">
        <f>'Water-Meter'!E37</f>
        <v>0</v>
      </c>
      <c r="G36" s="397">
        <f>'Water-Meter'!AN37</f>
        <v>101</v>
      </c>
      <c r="H36" s="395">
        <f>'Utility report '!AC37</f>
        <v>0</v>
      </c>
      <c r="I36" s="394">
        <f>'Kit report'!F35</f>
        <v>720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2021-01-06T04:14:58Z</dcterms:modified>
</cp:coreProperties>
</file>