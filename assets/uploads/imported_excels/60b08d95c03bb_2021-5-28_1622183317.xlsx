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G150" i="1" l="1"/>
  <c r="G151" i="1"/>
  <c r="G152" i="1"/>
  <c r="G153" i="1"/>
  <c r="G154" i="1"/>
  <c r="G155" i="1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52" i="4" l="1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L130" i="4"/>
  <c r="L131" i="4"/>
  <c r="L132" i="4"/>
  <c r="M132" i="4" s="1"/>
  <c r="L133" i="4"/>
  <c r="M133" i="4" s="1"/>
  <c r="L134" i="4"/>
  <c r="M134" i="4" s="1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L143" i="4"/>
  <c r="L144" i="4"/>
  <c r="L145" i="4"/>
  <c r="M145" i="4" s="1"/>
  <c r="L146" i="4"/>
  <c r="M146" i="4" s="1"/>
  <c r="L147" i="4"/>
  <c r="L148" i="4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K134" i="4" s="1"/>
  <c r="J135" i="4"/>
  <c r="J136" i="4"/>
  <c r="J137" i="4"/>
  <c r="J138" i="4"/>
  <c r="J139" i="4"/>
  <c r="J140" i="4"/>
  <c r="J141" i="4"/>
  <c r="J142" i="4"/>
  <c r="J143" i="4"/>
  <c r="J144" i="4"/>
  <c r="J145" i="4"/>
  <c r="J146" i="4"/>
  <c r="K146" i="4" s="1"/>
  <c r="J147" i="4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49" i="4" l="1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I150" i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I152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9" i="1"/>
  <c r="K151" i="3"/>
  <c r="J151" i="3"/>
  <c r="I151" i="3"/>
  <c r="H151" i="3"/>
  <c r="K150" i="3"/>
  <c r="J150" i="3"/>
  <c r="I150" i="3"/>
  <c r="H150" i="3"/>
  <c r="I147" i="1"/>
  <c r="K149" i="3"/>
  <c r="J149" i="3"/>
  <c r="I149" i="3"/>
  <c r="H149" i="3"/>
  <c r="I146" i="1"/>
  <c r="K148" i="3"/>
  <c r="J148" i="3"/>
  <c r="I148" i="3"/>
  <c r="H148" i="3"/>
  <c r="I145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2" i="1"/>
  <c r="K144" i="3"/>
  <c r="J144" i="3"/>
  <c r="I144" i="3"/>
  <c r="H144" i="3"/>
  <c r="I141" i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E301" i="1"/>
  <c r="F301" i="1" s="1"/>
  <c r="F314" i="1"/>
  <c r="E122" i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E167" i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E161" i="1"/>
  <c r="E166" i="1"/>
  <c r="E171" i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E155" i="1"/>
  <c r="E160" i="1"/>
  <c r="E165" i="1"/>
  <c r="E170" i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E164" i="1"/>
  <c r="E169" i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E209" i="1"/>
  <c r="F209" i="1" s="1"/>
  <c r="E19" i="1"/>
  <c r="E69" i="1"/>
  <c r="F69" i="1" s="1"/>
  <c r="E136" i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E127" i="1"/>
  <c r="E131" i="1"/>
  <c r="E135" i="1"/>
  <c r="E139" i="1"/>
  <c r="E151" i="1"/>
  <c r="E64" i="1"/>
  <c r="F64" i="1" s="1"/>
  <c r="M81" i="4"/>
  <c r="E80" i="1"/>
  <c r="E124" i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E130" i="1"/>
  <c r="E134" i="1"/>
  <c r="E138" i="1"/>
  <c r="P146" i="4"/>
  <c r="E150" i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M363" i="4"/>
  <c r="E362" i="1"/>
  <c r="F362" i="1" s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E129" i="1"/>
  <c r="E133" i="1"/>
  <c r="E137" i="1"/>
  <c r="E147" i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E153" i="1"/>
  <c r="Q333" i="4"/>
  <c r="Q337" i="4" s="1"/>
  <c r="G4" i="1"/>
  <c r="G20" i="1"/>
  <c r="Q112" i="3"/>
  <c r="I110" i="1"/>
  <c r="M175" i="3"/>
  <c r="G173" i="1" s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M138" i="3"/>
  <c r="G136" i="1" s="1"/>
  <c r="M141" i="3"/>
  <c r="G139" i="1" s="1"/>
  <c r="M144" i="3"/>
  <c r="G142" i="1" s="1"/>
  <c r="M151" i="3"/>
  <c r="G149" i="1" s="1"/>
  <c r="M154" i="3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G127" i="1" s="1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<sst xmlns="http://schemas.openxmlformats.org/spreadsheetml/2006/main" count="606" uniqueCount="76">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</sst>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142" workbookViewId="0">
      <selection activeCell="Q152" sqref="Q15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>
        <f>'Electricity '!I120+'Electricity '!O120</f>
        <v>21043.619999999992</v>
      </c>
      <c r="F119" s="154">
        <v>0.67</v>
      </c>
      <c r="G119" s="4">
        <f>'Gas Water'!M121</f>
        <v>2034</v>
      </c>
      <c r="H119" s="154">
        <v>1.77</v>
      </c>
      <c r="I119" s="2">
        <f>'Gas Water'!L121</f>
        <v>104</v>
      </c>
      <c r="J119" s="154">
        <v>12.93</v>
      </c>
      <c r="K119" s="5">
        <v>44</v>
      </c>
      <c r="L119" s="5">
        <v>79</v>
      </c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>
        <f>'Electricity '!I121+'Electricity '!O121</f>
        <v>22082.760000000013</v>
      </c>
      <c r="F120" s="154">
        <v>0.67</v>
      </c>
      <c r="G120" s="4">
        <f>'Gas Water'!M122</f>
        <v>2005</v>
      </c>
      <c r="H120" s="154">
        <v>1.77</v>
      </c>
      <c r="I120" s="2">
        <f>'Gas Water'!L122</f>
        <v>94</v>
      </c>
      <c r="J120" s="154">
        <v>12.93</v>
      </c>
      <c r="K120" s="5">
        <v>46</v>
      </c>
      <c r="L120" s="5">
        <v>83</v>
      </c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>
        <f>'Electricity '!I122+'Electricity '!O122</f>
        <v>20443.320000000069</v>
      </c>
      <c r="F121" s="154">
        <v>0.67</v>
      </c>
      <c r="G121" s="4">
        <f>'Gas Water'!M123</f>
        <v>1781</v>
      </c>
      <c r="H121" s="154">
        <v>1.77</v>
      </c>
      <c r="I121" s="2">
        <f>'Gas Water'!L123</f>
        <v>151</v>
      </c>
      <c r="J121" s="154">
        <v>12.93</v>
      </c>
      <c r="K121" s="5">
        <v>50</v>
      </c>
      <c r="L121" s="5">
        <v>98</v>
      </c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>
        <f>'Electricity '!I123+'Electricity '!O123</f>
        <v>21668.759999999918</v>
      </c>
      <c r="F122" s="154">
        <v>0.67</v>
      </c>
      <c r="G122" s="4">
        <f>'Gas Water'!M124</f>
        <v>1497</v>
      </c>
      <c r="H122" s="154">
        <v>1.77</v>
      </c>
      <c r="I122" s="2">
        <f>'Gas Water'!L124</f>
        <v>126</v>
      </c>
      <c r="J122" s="154">
        <v>12.93</v>
      </c>
      <c r="K122" s="5">
        <v>34</v>
      </c>
      <c r="L122" s="5">
        <v>66</v>
      </c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>
        <f>'Electricity '!I124+'Electricity '!O124</f>
        <v>21821.940000000061</v>
      </c>
      <c r="F123" s="154">
        <v>0.67</v>
      </c>
      <c r="G123" s="4">
        <f>'Gas Water'!M125</f>
        <v>1421</v>
      </c>
      <c r="H123" s="154">
        <v>1.77</v>
      </c>
      <c r="I123" s="2">
        <f>'Gas Water'!L125</f>
        <v>156</v>
      </c>
      <c r="J123" s="154">
        <v>12.93</v>
      </c>
      <c r="K123" s="5">
        <v>20</v>
      </c>
      <c r="L123" s="5">
        <v>40</v>
      </c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>
        <f>'Electricity '!I125+'Electricity '!O125</f>
        <v>21321.000000000022</v>
      </c>
      <c r="F124" s="154">
        <v>0.67</v>
      </c>
      <c r="G124" s="4">
        <f>'Gas Water'!M126</f>
        <v>1499</v>
      </c>
      <c r="H124" s="154">
        <v>1.77</v>
      </c>
      <c r="I124" s="2">
        <f>'Gas Water'!L126</f>
        <v>133</v>
      </c>
      <c r="J124" s="154">
        <v>12.93</v>
      </c>
      <c r="K124" s="5">
        <v>21</v>
      </c>
      <c r="L124" s="5">
        <v>43</v>
      </c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>
        <f>'Electricity '!I126+'Electricity '!O126</f>
        <v>21863.340000000026</v>
      </c>
      <c r="F125" s="154">
        <v>0.67</v>
      </c>
      <c r="G125" s="4">
        <f>'Gas Water'!M127</f>
        <v>1683</v>
      </c>
      <c r="H125" s="154">
        <v>1.77</v>
      </c>
      <c r="I125" s="2">
        <f>'Gas Water'!L127</f>
        <v>129</v>
      </c>
      <c r="J125" s="154">
        <v>12.93</v>
      </c>
      <c r="K125" s="5">
        <v>15</v>
      </c>
      <c r="L125" s="5">
        <v>30</v>
      </c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>
        <f>'Electricity '!I127+'Electricity '!O127</f>
        <v>20741.399999999961</v>
      </c>
      <c r="F126" s="154">
        <v>0.67</v>
      </c>
      <c r="G126" s="4">
        <f>'Gas Water'!M128</f>
        <v>1510</v>
      </c>
      <c r="H126" s="154">
        <v>1.77</v>
      </c>
      <c r="I126" s="2">
        <f>'Gas Water'!L128</f>
        <v>137</v>
      </c>
      <c r="J126" s="154">
        <v>12.93</v>
      </c>
      <c r="K126" s="5">
        <v>19</v>
      </c>
      <c r="L126" s="5">
        <v>29</v>
      </c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>
        <f>'Electricity '!I128+'Electricity '!O128</f>
        <v>20435.04000000003</v>
      </c>
      <c r="F127" s="154">
        <v>0.67</v>
      </c>
      <c r="G127" s="4">
        <f>'Gas Water'!M129</f>
        <v>1661</v>
      </c>
      <c r="H127" s="154">
        <v>1.77</v>
      </c>
      <c r="I127" s="2">
        <f>'Gas Water'!L129</f>
        <v>141</v>
      </c>
      <c r="J127" s="154">
        <v>12.93</v>
      </c>
      <c r="K127" s="5">
        <v>24</v>
      </c>
      <c r="L127" s="5">
        <v>41</v>
      </c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>
        <f>'Electricity '!I129+'Electricity '!O129</f>
        <v>22380.839999999906</v>
      </c>
      <c r="F128" s="154">
        <v>0.67</v>
      </c>
      <c r="G128" s="4">
        <f>'Gas Water'!M130</f>
        <v>1261</v>
      </c>
      <c r="H128" s="154">
        <v>1.77</v>
      </c>
      <c r="I128" s="2">
        <f>'Gas Water'!L130</f>
        <v>167</v>
      </c>
      <c r="J128" s="154">
        <v>12.93</v>
      </c>
      <c r="K128" s="5">
        <v>26</v>
      </c>
      <c r="L128" s="5">
        <v>47</v>
      </c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>
        <f>'Electricity '!I130+'Electricity '!O130</f>
        <v>20803.500000000142</v>
      </c>
      <c r="F129" s="154">
        <v>0.67</v>
      </c>
      <c r="G129" s="4">
        <f>'Gas Water'!M131</f>
        <v>1684</v>
      </c>
      <c r="H129" s="154">
        <v>1.77</v>
      </c>
      <c r="I129" s="2">
        <f>'Gas Water'!L131</f>
        <v>163</v>
      </c>
      <c r="J129" s="154">
        <v>12.93</v>
      </c>
      <c r="K129" s="5">
        <v>25</v>
      </c>
      <c r="L129" s="5">
        <v>46</v>
      </c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>
        <f>'Electricity '!I131+'Electricity '!O131</f>
        <v>18700.379999999983</v>
      </c>
      <c r="F130" s="154">
        <v>0.67</v>
      </c>
      <c r="G130" s="4">
        <f>'Gas Water'!M132</f>
        <v>1989</v>
      </c>
      <c r="H130" s="154">
        <v>1.77</v>
      </c>
      <c r="I130" s="2">
        <f>'Gas Water'!L132</f>
        <v>61</v>
      </c>
      <c r="J130" s="154">
        <v>12.93</v>
      </c>
      <c r="K130" s="5">
        <v>26</v>
      </c>
      <c r="L130" s="5">
        <v>49</v>
      </c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>
        <f>'Electricity '!I132+'Electricity '!O132</f>
        <v>19482.839999999836</v>
      </c>
      <c r="F131" s="154">
        <v>0.67</v>
      </c>
      <c r="G131" s="4">
        <f>'Gas Water'!M133</f>
        <v>1868</v>
      </c>
      <c r="H131" s="154">
        <v>1.77</v>
      </c>
      <c r="I131" s="2">
        <f>'Gas Water'!L133</f>
        <v>182</v>
      </c>
      <c r="J131" s="154">
        <v>12.93</v>
      </c>
      <c r="K131" s="5">
        <v>30</v>
      </c>
      <c r="L131" s="5">
        <v>55</v>
      </c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>
        <f>'Electricity '!I133+'Electricity '!O133</f>
        <v>20733.120000000159</v>
      </c>
      <c r="F132" s="154">
        <v>0.67</v>
      </c>
      <c r="G132" s="4">
        <f>'Gas Water'!M134</f>
        <v>1876</v>
      </c>
      <c r="H132" s="154">
        <v>1.77</v>
      </c>
      <c r="I132" s="2">
        <f>'Gas Water'!L134</f>
        <v>129</v>
      </c>
      <c r="J132" s="154">
        <v>12.93</v>
      </c>
      <c r="K132" s="5">
        <v>24</v>
      </c>
      <c r="L132" s="5">
        <v>42</v>
      </c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>
        <f>'Electricity '!I134+'Electricity '!O134</f>
        <v>19449.719999999914</v>
      </c>
      <c r="F133" s="154">
        <v>0.67</v>
      </c>
      <c r="G133" s="4">
        <f>'Gas Water'!M135</f>
        <v>1696</v>
      </c>
      <c r="H133" s="154">
        <v>1.77</v>
      </c>
      <c r="I133" s="2">
        <f>'Gas Water'!L135</f>
        <v>153</v>
      </c>
      <c r="J133" s="154">
        <v>12.93</v>
      </c>
      <c r="K133" s="5">
        <v>21</v>
      </c>
      <c r="L133" s="5">
        <v>39</v>
      </c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>
        <f>'Electricity '!I135+'Electricity '!O135</f>
        <v>19275.840000000026</v>
      </c>
      <c r="F134" s="154">
        <v>0.67</v>
      </c>
      <c r="G134" s="4">
        <f>'Gas Water'!M136</f>
        <v>1558</v>
      </c>
      <c r="H134" s="154">
        <v>1.77</v>
      </c>
      <c r="I134" s="2">
        <f>'Gas Water'!L136</f>
        <v>119</v>
      </c>
      <c r="J134" s="154">
        <v>12.93</v>
      </c>
      <c r="K134" s="5">
        <v>22</v>
      </c>
      <c r="L134" s="5">
        <v>46</v>
      </c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>
        <f>'Electricity '!I136+'Electricity '!O136</f>
        <v>22591.979999999974</v>
      </c>
      <c r="F135" s="154">
        <v>0.67</v>
      </c>
      <c r="G135" s="4">
        <f>'Gas Water'!M137</f>
        <v>1491</v>
      </c>
      <c r="H135" s="154">
        <v>1.77</v>
      </c>
      <c r="I135" s="2">
        <f>'Gas Water'!L137</f>
        <v>151</v>
      </c>
      <c r="J135" s="154">
        <v>12.93</v>
      </c>
      <c r="K135" s="5">
        <v>31</v>
      </c>
      <c r="L135" s="5">
        <v>58</v>
      </c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>
        <f>'Electricity '!I137+'Electricity '!O137</f>
        <v>21639.779999999897</v>
      </c>
      <c r="F136" s="154">
        <v>0.67</v>
      </c>
      <c r="G136" s="4">
        <f>'Gas Water'!M138</f>
        <v>1324</v>
      </c>
      <c r="H136" s="154">
        <v>1.77</v>
      </c>
      <c r="I136" s="2">
        <f>'Gas Water'!L138</f>
        <v>135</v>
      </c>
      <c r="J136" s="154">
        <v>12.93</v>
      </c>
      <c r="K136" s="5">
        <v>29</v>
      </c>
      <c r="L136" s="5">
        <v>52</v>
      </c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>
        <f>'Electricity '!I138+'Electricity '!O138</f>
        <v>19756.080000000198</v>
      </c>
      <c r="F137" s="154">
        <v>0.67</v>
      </c>
      <c r="G137" s="4">
        <f>'Gas Water'!M139</f>
        <v>1519</v>
      </c>
      <c r="H137" s="154">
        <v>1.77</v>
      </c>
      <c r="I137" s="2">
        <f>'Gas Water'!L139</f>
        <v>153</v>
      </c>
      <c r="J137" s="154">
        <v>12.93</v>
      </c>
      <c r="K137" s="5">
        <v>37</v>
      </c>
      <c r="L137" s="5">
        <v>62</v>
      </c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>
        <f>'Electricity '!I139+'Electricity '!O139</f>
        <v>22873.499999999905</v>
      </c>
      <c r="F138" s="154">
        <v>0.67</v>
      </c>
      <c r="G138" s="4">
        <f>'Gas Water'!M140</f>
        <v>1512</v>
      </c>
      <c r="H138" s="154">
        <v>1.77</v>
      </c>
      <c r="I138" s="2">
        <f>'Gas Water'!L140</f>
        <v>139</v>
      </c>
      <c r="J138" s="154">
        <v>12.93</v>
      </c>
      <c r="K138" s="5">
        <v>56</v>
      </c>
      <c r="L138" s="5">
        <v>90</v>
      </c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>
        <f>'Electricity '!I140+'Electricity '!O140</f>
        <v>22099.320000000091</v>
      </c>
      <c r="F139" s="154">
        <v>0.67</v>
      </c>
      <c r="G139" s="4">
        <f>'Gas Water'!M141</f>
        <v>1612</v>
      </c>
      <c r="H139" s="154">
        <v>1.77</v>
      </c>
      <c r="I139" s="2">
        <f>'Gas Water'!L141</f>
        <v>132</v>
      </c>
      <c r="J139" s="154">
        <v>12.93</v>
      </c>
      <c r="K139" s="5">
        <v>81</v>
      </c>
      <c r="L139" s="5">
        <v>129</v>
      </c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>
        <f>'Electricity '!I141+'Electricity '!O141</f>
        <v>21142.97999999988</v>
      </c>
      <c r="F140" s="154">
        <v>0.67</v>
      </c>
      <c r="G140" s="4">
        <f>'Gas Water'!M142</f>
        <v>1483</v>
      </c>
      <c r="H140" s="154">
        <v>1.77</v>
      </c>
      <c r="I140" s="2">
        <f>'Gas Water'!L142</f>
        <v>146</v>
      </c>
      <c r="J140" s="154">
        <v>12.93</v>
      </c>
      <c r="K140" s="5">
        <v>77</v>
      </c>
      <c r="L140" s="5">
        <v>129</v>
      </c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>
        <f>'Electricity '!I142+'Electricity '!O142</f>
        <v>24566.760000000108</v>
      </c>
      <c r="F141" s="154">
        <v>0.67</v>
      </c>
      <c r="G141" s="4">
        <f>'Gas Water'!M143</f>
        <v>1470</v>
      </c>
      <c r="H141" s="154">
        <v>1.77</v>
      </c>
      <c r="I141" s="2">
        <f>'Gas Water'!L143</f>
        <v>147</v>
      </c>
      <c r="J141" s="154">
        <v>12.93</v>
      </c>
      <c r="K141" s="5">
        <v>70</v>
      </c>
      <c r="L141" s="5">
        <v>122</v>
      </c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>
        <f>'Electricity '!I143+'Electricity '!O143</f>
        <v>21292.019999999884</v>
      </c>
      <c r="F142" s="154">
        <v>0.67</v>
      </c>
      <c r="G142" s="4">
        <f>'Gas Water'!M144</f>
        <v>2037</v>
      </c>
      <c r="H142" s="154">
        <v>1.77</v>
      </c>
      <c r="I142" s="2">
        <f>'Gas Water'!L144</f>
        <v>141</v>
      </c>
      <c r="J142" s="154">
        <v>12.93</v>
      </c>
      <c r="K142" s="5">
        <v>87</v>
      </c>
      <c r="L142" s="5">
        <v>160</v>
      </c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>
        <f>'Electricity '!I144+'Electricity '!O144</f>
        <v>21478.319999999952</v>
      </c>
      <c r="F143" s="154">
        <v>0.67</v>
      </c>
      <c r="G143" s="4">
        <f>'Gas Water'!M145</f>
        <v>1745</v>
      </c>
      <c r="H143" s="154">
        <v>1.77</v>
      </c>
      <c r="I143" s="2">
        <f>'Gas Water'!L145</f>
        <v>144</v>
      </c>
      <c r="J143" s="154">
        <v>12.93</v>
      </c>
      <c r="K143" s="5">
        <v>83</v>
      </c>
      <c r="L143" s="5">
        <v>153</v>
      </c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>
        <f>'Electricity '!I145+'Electricity '!O145</f>
        <v>21279.60000000018</v>
      </c>
      <c r="F144" s="154">
        <v>0.67</v>
      </c>
      <c r="G144" s="4">
        <f>'Gas Water'!M146</f>
        <v>1580</v>
      </c>
      <c r="H144" s="154">
        <v>1.77</v>
      </c>
      <c r="I144" s="2">
        <f>'Gas Water'!L146</f>
        <v>119</v>
      </c>
      <c r="J144" s="154">
        <v>12.93</v>
      </c>
      <c r="K144" s="5">
        <v>85</v>
      </c>
      <c r="L144" s="5">
        <v>152</v>
      </c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>
        <f>'Electricity '!I146+'Electricity '!O146</f>
        <v>22840.379999999983</v>
      </c>
      <c r="F145" s="154">
        <v>0.67</v>
      </c>
      <c r="G145" s="4">
        <f>'Gas Water'!M147</f>
        <v>1472</v>
      </c>
      <c r="H145" s="154">
        <v>1.77</v>
      </c>
      <c r="I145" s="2">
        <f>'Gas Water'!L147</f>
        <v>185</v>
      </c>
      <c r="J145" s="154">
        <v>12.93</v>
      </c>
      <c r="K145" s="5">
        <v>91</v>
      </c>
      <c r="L145" s="5">
        <v>162</v>
      </c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>
        <f>'Electricity '!I147+'Electricity '!O147</f>
        <v>24161.039999999819</v>
      </c>
      <c r="F146" s="154">
        <v>0.67</v>
      </c>
      <c r="G146" s="4">
        <f>'Gas Water'!M148</f>
        <v>1469</v>
      </c>
      <c r="H146" s="154">
        <v>1.77</v>
      </c>
      <c r="I146" s="2">
        <f>'Gas Water'!L148</f>
        <v>208</v>
      </c>
      <c r="J146" s="154">
        <v>12.93</v>
      </c>
      <c r="K146" s="5">
        <v>99</v>
      </c>
      <c r="L146" s="5">
        <v>178</v>
      </c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>
        <f>'Electricity '!I148+'Electricity '!O148</f>
        <v>25730.100000000133</v>
      </c>
      <c r="F147" s="154">
        <v>0.67</v>
      </c>
      <c r="G147" s="4">
        <f>'Gas Water'!M149</f>
        <v>1777</v>
      </c>
      <c r="H147" s="154">
        <v>1.77</v>
      </c>
      <c r="I147" s="2">
        <f>'Gas Water'!L149</f>
        <v>190</v>
      </c>
      <c r="J147" s="154">
        <v>12.93</v>
      </c>
      <c r="K147" s="5">
        <v>118</v>
      </c>
      <c r="L147" s="5">
        <v>187</v>
      </c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>
        <f>'Electricity '!I149+'Electricity '!O149</f>
        <v>23511.059999999892</v>
      </c>
      <c r="F148" s="154">
        <v>0.67</v>
      </c>
      <c r="G148" s="4">
        <f>'Gas Water'!M150</f>
        <v>1565</v>
      </c>
      <c r="H148" s="154">
        <v>1.77</v>
      </c>
      <c r="I148" s="2">
        <f>'Gas Water'!L150</f>
        <v>134</v>
      </c>
      <c r="J148" s="154">
        <v>12.93</v>
      </c>
      <c r="K148" s="5">
        <v>139</v>
      </c>
      <c r="L148" s="5">
        <v>224</v>
      </c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>
        <v>0.67</v>
      </c>
      <c r="G149" s="4" t="str">
        <f>'Gas Water'!M151</f>
        <v/>
      </c>
      <c r="H149" s="154">
        <v>1.77</v>
      </c>
      <c r="I149" s="2" t="str">
        <f>'Gas Water'!L151</f>
        <v/>
      </c>
      <c r="J149" s="154">
        <v>12.93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>
        <v>0.67</v>
      </c>
      <c r="G150" s="4" t="str">
        <f>'Gas Water'!M152</f>
        <v/>
      </c>
      <c r="H150" s="154">
        <v>1.77</v>
      </c>
      <c r="I150" s="2" t="str">
        <f>'Gas Water'!L152</f>
        <v/>
      </c>
      <c r="J150" s="154">
        <v>12.93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>
        <v>0.67</v>
      </c>
      <c r="G151" s="4" t="str">
        <f>'Gas Water'!M153</f>
        <v/>
      </c>
      <c r="H151" s="154">
        <v>1.77</v>
      </c>
      <c r="I151" s="2" t="str">
        <f>'Gas Water'!L153</f>
        <v/>
      </c>
      <c r="J151" s="154">
        <v>12.93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>
        <v>0.67</v>
      </c>
      <c r="G152" s="4" t="str">
        <f>'Gas Water'!M154</f>
        <v/>
      </c>
      <c r="H152" s="154">
        <v>1.77</v>
      </c>
      <c r="I152" s="2" t="str">
        <f>'Gas Water'!L154</f>
        <v/>
      </c>
      <c r="J152" s="154">
        <v>12.93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>
        <v>0.67</v>
      </c>
      <c r="G153" s="4" t="str">
        <f>'Gas Water'!M155</f>
        <v/>
      </c>
      <c r="H153" s="154">
        <v>1.77</v>
      </c>
      <c r="I153" s="2" t="str">
        <f>'Gas Water'!L155</f>
        <v/>
      </c>
      <c r="J153" s="154">
        <v>12.93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>
        <v>0.67</v>
      </c>
      <c r="G154" s="4" t="str">
        <f>'Gas Water'!M156</f>
        <v/>
      </c>
      <c r="H154" s="154">
        <v>1.77</v>
      </c>
      <c r="I154" s="2" t="str">
        <f>'Gas Water'!L156</f>
        <v/>
      </c>
      <c r="J154" s="154">
        <v>12.93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>
        <v>0.67</v>
      </c>
      <c r="G155" s="4" t="str">
        <f>'Gas Water'!M157</f>
        <v/>
      </c>
      <c r="H155" s="154">
        <v>1.77</v>
      </c>
      <c r="I155" s="2" t="str">
        <f>'Gas Water'!L157</f>
        <v/>
      </c>
      <c r="J155" s="154">
        <v>12.93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>
        <v>0.67</v>
      </c>
      <c r="G156" s="4" t="str">
        <f>'Gas Water'!M158</f>
        <v/>
      </c>
      <c r="H156" s="154">
        <v>1.77</v>
      </c>
      <c r="I156" s="2" t="str">
        <f>'Gas Water'!L158</f>
        <v/>
      </c>
      <c r="J156" s="154">
        <v>12.93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>
        <v>0.67</v>
      </c>
      <c r="G157" s="4" t="str">
        <f>'Gas Water'!M159</f>
        <v/>
      </c>
      <c r="H157" s="154">
        <v>1.77</v>
      </c>
      <c r="I157" s="2" t="str">
        <f>'Gas Water'!L159</f>
        <v/>
      </c>
      <c r="J157" s="154">
        <v>12.93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>
        <v>0.67</v>
      </c>
      <c r="G158" s="4" t="str">
        <f>'Gas Water'!M160</f>
        <v/>
      </c>
      <c r="H158" s="154">
        <v>1.77</v>
      </c>
      <c r="I158" s="2" t="str">
        <f>'Gas Water'!L160</f>
        <v/>
      </c>
      <c r="J158" s="154">
        <v>12.93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>
        <v>0.67</v>
      </c>
      <c r="G159" s="4" t="str">
        <f>'Gas Water'!M161</f>
        <v/>
      </c>
      <c r="H159" s="154">
        <v>1.77</v>
      </c>
      <c r="I159" s="2" t="str">
        <f>'Gas Water'!L161</f>
        <v/>
      </c>
      <c r="J159" s="154">
        <v>12.93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>
        <v>0.67</v>
      </c>
      <c r="G160" s="4" t="str">
        <f>'Gas Water'!M162</f>
        <v/>
      </c>
      <c r="H160" s="154">
        <v>1.77</v>
      </c>
      <c r="I160" s="2" t="str">
        <f>'Gas Water'!L162</f>
        <v/>
      </c>
      <c r="J160" s="154">
        <v>12.93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>
        <v>0.67</v>
      </c>
      <c r="G161" s="4" t="str">
        <f>'Gas Water'!M163</f>
        <v/>
      </c>
      <c r="H161" s="154">
        <v>1.77</v>
      </c>
      <c r="I161" s="2" t="str">
        <f>'Gas Water'!L163</f>
        <v/>
      </c>
      <c r="J161" s="154">
        <v>12.93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>
        <v>0.67</v>
      </c>
      <c r="G162" s="4" t="str">
        <f>'Gas Water'!M164</f>
        <v/>
      </c>
      <c r="H162" s="154">
        <v>1.77</v>
      </c>
      <c r="I162" s="2" t="str">
        <f>'Gas Water'!L164</f>
        <v/>
      </c>
      <c r="J162" s="154">
        <v>12.93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>
        <v>0.67</v>
      </c>
      <c r="G163" s="4" t="str">
        <f>'Gas Water'!M165</f>
        <v/>
      </c>
      <c r="H163" s="154">
        <v>1.77</v>
      </c>
      <c r="I163" s="2" t="str">
        <f>'Gas Water'!L165</f>
        <v/>
      </c>
      <c r="J163" s="154">
        <v>12.93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>
        <v>0.67</v>
      </c>
      <c r="G164" s="4" t="str">
        <f>'Gas Water'!M166</f>
        <v/>
      </c>
      <c r="H164" s="154">
        <v>1.77</v>
      </c>
      <c r="I164" s="2" t="str">
        <f>'Gas Water'!L166</f>
        <v/>
      </c>
      <c r="J164" s="154">
        <v>12.93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>
        <v>0.67</v>
      </c>
      <c r="G165" s="4" t="str">
        <f>'Gas Water'!M167</f>
        <v/>
      </c>
      <c r="H165" s="154">
        <v>1.77</v>
      </c>
      <c r="I165" s="2" t="str">
        <f>'Gas Water'!L167</f>
        <v/>
      </c>
      <c r="J165" s="154">
        <v>12.93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>
        <v>0.67</v>
      </c>
      <c r="G166" s="4" t="str">
        <f>'Gas Water'!M168</f>
        <v/>
      </c>
      <c r="H166" s="154">
        <v>1.77</v>
      </c>
      <c r="I166" s="2" t="str">
        <f>'Gas Water'!L168</f>
        <v/>
      </c>
      <c r="J166" s="154">
        <v>12.93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>
        <v>0.67</v>
      </c>
      <c r="G167" s="4" t="str">
        <f>'Gas Water'!M169</f>
        <v/>
      </c>
      <c r="H167" s="154">
        <v>1.77</v>
      </c>
      <c r="I167" s="2" t="str">
        <f>'Gas Water'!L169</f>
        <v/>
      </c>
      <c r="J167" s="154">
        <v>12.93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>
        <v>0.67</v>
      </c>
      <c r="G168" s="4" t="str">
        <f>'Gas Water'!M170</f>
        <v/>
      </c>
      <c r="H168" s="154">
        <v>1.77</v>
      </c>
      <c r="I168" s="2" t="str">
        <f>'Gas Water'!L170</f>
        <v/>
      </c>
      <c r="J168" s="154">
        <v>12.93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>
        <v>0.67</v>
      </c>
      <c r="G169" s="4" t="str">
        <f>'Gas Water'!M171</f>
        <v/>
      </c>
      <c r="H169" s="154">
        <v>1.77</v>
      </c>
      <c r="I169" s="2" t="str">
        <f>'Gas Water'!L171</f>
        <v/>
      </c>
      <c r="J169" s="154">
        <v>12.93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>
        <v>0.67</v>
      </c>
      <c r="G170" s="4" t="str">
        <f>'Gas Water'!M172</f>
        <v/>
      </c>
      <c r="H170" s="154">
        <v>1.77</v>
      </c>
      <c r="I170" s="2" t="str">
        <f>'Gas Water'!L172</f>
        <v/>
      </c>
      <c r="J170" s="154">
        <v>12.93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>
        <v>0.67</v>
      </c>
      <c r="G171" s="4" t="str">
        <f>'Gas Water'!M173</f>
        <v/>
      </c>
      <c r="H171" s="154">
        <v>1.77</v>
      </c>
      <c r="I171" s="2" t="str">
        <f>'Gas Water'!L173</f>
        <v/>
      </c>
      <c r="J171" s="154">
        <v>12.93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>
        <v>0.67</v>
      </c>
      <c r="G172" s="4" t="str">
        <f>'Gas Water'!M174</f>
        <v/>
      </c>
      <c r="H172" s="154">
        <v>1.77</v>
      </c>
      <c r="I172" s="2" t="str">
        <f>'Gas Water'!L174</f>
        <v/>
      </c>
      <c r="J172" s="154">
        <v>12.93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>
        <v>0.67</v>
      </c>
      <c r="G173" s="4" t="str">
        <f>'Gas Water'!M175</f>
        <v/>
      </c>
      <c r="H173" s="154">
        <v>1.77</v>
      </c>
      <c r="I173" s="2" t="str">
        <f>'Gas Water'!L175</f>
        <v/>
      </c>
      <c r="J173" s="154">
        <v>12.93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121" workbookViewId="0">
      <selection activeCell="G151" sqref="G151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4431</v>
      </c>
      <c r="O117" s="32">
        <f>SUM(M95:M124)</f>
        <v>74704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147.69999999999999</v>
      </c>
      <c r="O120" s="32">
        <f>AVERAGE(M95:M124)</f>
        <v>2490.1333333333332</v>
      </c>
      <c r="Q120" s="20">
        <f t="shared" si="1"/>
        <v>0</v>
      </c>
    </row>
    <row r="121" spans="2:17" ht="12.95" customHeight="1" x14ac:dyDescent="0.2">
      <c r="B121" s="22">
        <v>44314</v>
      </c>
      <c r="C121" s="23">
        <v>16228335</v>
      </c>
      <c r="D121" s="24">
        <v>4785437</v>
      </c>
      <c r="E121" s="25">
        <v>294086</v>
      </c>
      <c r="F121" s="26">
        <v>591822</v>
      </c>
      <c r="G121" s="27">
        <v>241353</v>
      </c>
      <c r="H121" s="28">
        <f t="shared" si="2"/>
        <v>0</v>
      </c>
      <c r="I121" s="28">
        <f t="shared" si="2"/>
        <v>1808</v>
      </c>
      <c r="J121" s="28">
        <f t="shared" si="2"/>
        <v>130</v>
      </c>
      <c r="K121" s="28">
        <f t="shared" si="2"/>
        <v>96</v>
      </c>
      <c r="L121" s="29">
        <f t="shared" si="4"/>
        <v>104</v>
      </c>
      <c r="M121" s="30">
        <f t="shared" si="3"/>
        <v>2034</v>
      </c>
      <c r="O121" s="20">
        <f>IF(L121="",1,0)</f>
        <v>0</v>
      </c>
    </row>
    <row r="122" spans="2:17" ht="12.95" customHeight="1" x14ac:dyDescent="0.2">
      <c r="B122" s="22">
        <v>44315</v>
      </c>
      <c r="C122" s="23">
        <v>16228335</v>
      </c>
      <c r="D122" s="24">
        <v>4787177</v>
      </c>
      <c r="E122" s="25">
        <v>294224</v>
      </c>
      <c r="F122" s="26">
        <v>591949</v>
      </c>
      <c r="G122" s="27">
        <v>241447</v>
      </c>
      <c r="H122" s="28">
        <f t="shared" si="2"/>
        <v>0</v>
      </c>
      <c r="I122" s="28">
        <f t="shared" si="2"/>
        <v>1740</v>
      </c>
      <c r="J122" s="28">
        <f t="shared" si="2"/>
        <v>138</v>
      </c>
      <c r="K122" s="28">
        <f>IF(F122="","",+(F122-F121))</f>
        <v>127</v>
      </c>
      <c r="L122" s="29">
        <f t="shared" si="4"/>
        <v>94</v>
      </c>
      <c r="M122" s="30">
        <f t="shared" si="3"/>
        <v>2005</v>
      </c>
      <c r="O122" s="20">
        <f>IF(L122="",1,0)</f>
        <v>0</v>
      </c>
    </row>
    <row r="123" spans="2:17" ht="12.95" customHeight="1" x14ac:dyDescent="0.2">
      <c r="B123" s="22">
        <v>44316</v>
      </c>
      <c r="C123" s="23">
        <v>16228335</v>
      </c>
      <c r="D123" s="24">
        <v>4788702</v>
      </c>
      <c r="E123" s="25">
        <v>294358</v>
      </c>
      <c r="F123" s="26">
        <v>592071</v>
      </c>
      <c r="G123" s="27">
        <v>241598</v>
      </c>
      <c r="H123" s="28">
        <f t="shared" si="2"/>
        <v>0</v>
      </c>
      <c r="I123" s="28">
        <f>IF(D123="","",+(D123-D122))</f>
        <v>1525</v>
      </c>
      <c r="J123" s="28">
        <f t="shared" si="2"/>
        <v>134</v>
      </c>
      <c r="K123" s="28">
        <f t="shared" si="2"/>
        <v>122</v>
      </c>
      <c r="L123" s="29">
        <f t="shared" si="4"/>
        <v>151</v>
      </c>
      <c r="M123" s="30">
        <f t="shared" si="3"/>
        <v>1781</v>
      </c>
      <c r="O123" s="20">
        <f>IF(L123="",1,0)</f>
        <v>0</v>
      </c>
      <c r="P123" s="40"/>
    </row>
    <row r="124" spans="2:17" ht="12.95" customHeight="1" x14ac:dyDescent="0.2">
      <c r="B124" s="22">
        <v>44317</v>
      </c>
      <c r="C124" s="23">
        <v>16228335</v>
      </c>
      <c r="D124" s="33">
        <v>4789938</v>
      </c>
      <c r="E124" s="33">
        <v>294486</v>
      </c>
      <c r="F124" s="33">
        <v>592204</v>
      </c>
      <c r="G124" s="33">
        <v>241724</v>
      </c>
      <c r="H124" s="35">
        <f t="shared" si="2"/>
        <v>0</v>
      </c>
      <c r="I124" s="35">
        <f>IF(D124="","",+(D124-D123))</f>
        <v>1236</v>
      </c>
      <c r="J124" s="35">
        <f t="shared" si="2"/>
        <v>128</v>
      </c>
      <c r="K124" s="35">
        <f t="shared" si="2"/>
        <v>133</v>
      </c>
      <c r="L124" s="29">
        <f t="shared" si="4"/>
        <v>126</v>
      </c>
      <c r="M124" s="35">
        <f t="shared" si="3"/>
        <v>1497</v>
      </c>
      <c r="Q124" s="20">
        <f t="shared" si="1"/>
        <v>0</v>
      </c>
    </row>
    <row r="125" spans="2:17" ht="12.95" customHeight="1" x14ac:dyDescent="0.2">
      <c r="B125" s="22">
        <v>44318</v>
      </c>
      <c r="C125" s="23">
        <v>16228335</v>
      </c>
      <c r="D125" s="24">
        <v>4791150</v>
      </c>
      <c r="E125" s="25">
        <v>294604</v>
      </c>
      <c r="F125" s="26">
        <v>592295</v>
      </c>
      <c r="G125" s="27">
        <v>241880</v>
      </c>
      <c r="H125" s="28">
        <f t="shared" si="2"/>
        <v>0</v>
      </c>
      <c r="I125" s="28">
        <f>IF(D125="","",+(D125-D124))</f>
        <v>1212</v>
      </c>
      <c r="J125" s="28">
        <f t="shared" si="2"/>
        <v>118</v>
      </c>
      <c r="K125" s="28">
        <f t="shared" si="2"/>
        <v>91</v>
      </c>
      <c r="L125" s="29">
        <f t="shared" si="4"/>
        <v>156</v>
      </c>
      <c r="M125" s="30">
        <f t="shared" si="3"/>
        <v>1421</v>
      </c>
      <c r="Q125" s="20">
        <f t="shared" si="1"/>
        <v>0</v>
      </c>
    </row>
    <row r="126" spans="2:17" ht="12.95" customHeight="1" x14ac:dyDescent="0.2">
      <c r="B126" s="22">
        <v>44319</v>
      </c>
      <c r="C126" s="23">
        <v>16228335</v>
      </c>
      <c r="D126" s="24">
        <v>4792383</v>
      </c>
      <c r="E126" s="25">
        <v>294749</v>
      </c>
      <c r="F126" s="26">
        <v>592416</v>
      </c>
      <c r="G126" s="27">
        <v>242013</v>
      </c>
      <c r="H126" s="38">
        <f t="shared" si="2"/>
        <v>0</v>
      </c>
      <c r="I126" s="28">
        <f t="shared" si="2"/>
        <v>1233</v>
      </c>
      <c r="J126" s="28">
        <f t="shared" si="2"/>
        <v>145</v>
      </c>
      <c r="K126" s="28">
        <f t="shared" si="2"/>
        <v>121</v>
      </c>
      <c r="L126" s="29">
        <f t="shared" si="4"/>
        <v>133</v>
      </c>
      <c r="M126" s="30">
        <f t="shared" si="3"/>
        <v>1499</v>
      </c>
      <c r="Q126" s="20">
        <f t="shared" si="1"/>
        <v>0</v>
      </c>
    </row>
    <row r="127" spans="2:17" ht="12.95" customHeight="1" x14ac:dyDescent="0.2">
      <c r="B127" s="22">
        <v>44320</v>
      </c>
      <c r="C127" s="23">
        <v>16228335</v>
      </c>
      <c r="D127" s="24">
        <v>4793840</v>
      </c>
      <c r="E127" s="25">
        <v>294915</v>
      </c>
      <c r="F127" s="26">
        <v>592476</v>
      </c>
      <c r="G127" s="27">
        <v>242142</v>
      </c>
      <c r="H127" s="28">
        <f t="shared" si="2"/>
        <v>0</v>
      </c>
      <c r="I127" s="28">
        <f t="shared" si="2"/>
        <v>1457</v>
      </c>
      <c r="J127" s="28">
        <f t="shared" si="2"/>
        <v>166</v>
      </c>
      <c r="K127" s="28">
        <f t="shared" si="2"/>
        <v>60</v>
      </c>
      <c r="L127" s="29">
        <f t="shared" si="4"/>
        <v>129</v>
      </c>
      <c r="M127" s="30">
        <f t="shared" si="3"/>
        <v>1683</v>
      </c>
      <c r="Q127" s="20">
        <f t="shared" si="1"/>
        <v>0</v>
      </c>
    </row>
    <row r="128" spans="2:17" ht="12.95" customHeight="1" x14ac:dyDescent="0.2">
      <c r="B128" s="22">
        <v>44321</v>
      </c>
      <c r="C128" s="23">
        <v>16228335</v>
      </c>
      <c r="D128" s="24">
        <v>4795154</v>
      </c>
      <c r="E128" s="25">
        <v>295047</v>
      </c>
      <c r="F128" s="26">
        <v>592540</v>
      </c>
      <c r="G128" s="27">
        <v>242279</v>
      </c>
      <c r="H128" s="38">
        <f t="shared" si="2"/>
        <v>0</v>
      </c>
      <c r="I128" s="28">
        <f t="shared" si="2"/>
        <v>1314</v>
      </c>
      <c r="J128" s="28">
        <f t="shared" si="2"/>
        <v>132</v>
      </c>
      <c r="K128" s="28">
        <f t="shared" si="2"/>
        <v>64</v>
      </c>
      <c r="L128" s="29">
        <f t="shared" si="4"/>
        <v>137</v>
      </c>
      <c r="M128" s="30">
        <f t="shared" si="3"/>
        <v>1510</v>
      </c>
      <c r="Q128" s="20">
        <f t="shared" si="1"/>
        <v>0</v>
      </c>
    </row>
    <row r="129" spans="2:17" ht="12.95" customHeight="1" x14ac:dyDescent="0.2">
      <c r="B129" s="22">
        <v>44322</v>
      </c>
      <c r="C129" s="23">
        <v>16228335</v>
      </c>
      <c r="D129" s="24">
        <v>4796523</v>
      </c>
      <c r="E129" s="25">
        <v>295214</v>
      </c>
      <c r="F129" s="26">
        <v>592665</v>
      </c>
      <c r="G129" s="27">
        <v>242420</v>
      </c>
      <c r="H129" s="28">
        <f t="shared" si="2"/>
        <v>0</v>
      </c>
      <c r="I129" s="28">
        <f t="shared" si="2"/>
        <v>1369</v>
      </c>
      <c r="J129" s="28">
        <f t="shared" si="2"/>
        <v>167</v>
      </c>
      <c r="K129" s="28">
        <f t="shared" si="2"/>
        <v>125</v>
      </c>
      <c r="L129" s="29">
        <f t="shared" si="4"/>
        <v>141</v>
      </c>
      <c r="M129" s="30">
        <f t="shared" si="3"/>
        <v>1661</v>
      </c>
      <c r="Q129" s="20">
        <f t="shared" si="1"/>
        <v>0</v>
      </c>
    </row>
    <row r="130" spans="2:17" ht="12.95" customHeight="1" x14ac:dyDescent="0.2">
      <c r="B130" s="22">
        <v>44323</v>
      </c>
      <c r="C130" s="23">
        <v>16228335</v>
      </c>
      <c r="D130" s="24">
        <v>4797664</v>
      </c>
      <c r="E130" s="25">
        <v>295304</v>
      </c>
      <c r="F130" s="26">
        <v>592695</v>
      </c>
      <c r="G130" s="27">
        <v>242587</v>
      </c>
      <c r="H130" s="28">
        <f t="shared" si="2"/>
        <v>0</v>
      </c>
      <c r="I130" s="28">
        <f t="shared" si="2"/>
        <v>1141</v>
      </c>
      <c r="J130" s="28">
        <f t="shared" si="2"/>
        <v>90</v>
      </c>
      <c r="K130" s="28">
        <f t="shared" si="2"/>
        <v>30</v>
      </c>
      <c r="L130" s="29">
        <f t="shared" si="4"/>
        <v>167</v>
      </c>
      <c r="M130" s="30">
        <f t="shared" si="3"/>
        <v>1261</v>
      </c>
      <c r="Q130" s="20">
        <f t="shared" si="1"/>
        <v>0</v>
      </c>
    </row>
    <row r="131" spans="2:17" ht="12.95" customHeight="1" x14ac:dyDescent="0.2">
      <c r="B131" s="22">
        <v>44324</v>
      </c>
      <c r="C131" s="23">
        <v>16228335</v>
      </c>
      <c r="D131" s="24">
        <v>4799171</v>
      </c>
      <c r="E131" s="25">
        <v>295419</v>
      </c>
      <c r="F131" s="26">
        <v>592757</v>
      </c>
      <c r="G131" s="27">
        <v>242750</v>
      </c>
      <c r="H131" s="28">
        <f t="shared" si="2"/>
        <v>0</v>
      </c>
      <c r="I131" s="28">
        <f t="shared" si="2"/>
        <v>1507</v>
      </c>
      <c r="J131" s="28">
        <f t="shared" si="2"/>
        <v>115</v>
      </c>
      <c r="K131" s="28">
        <f t="shared" si="2"/>
        <v>62</v>
      </c>
      <c r="L131" s="29">
        <f t="shared" si="4"/>
        <v>163</v>
      </c>
      <c r="M131" s="30">
        <f t="shared" si="3"/>
        <v>1684</v>
      </c>
      <c r="Q131" s="20">
        <f t="shared" si="1"/>
        <v>0</v>
      </c>
    </row>
    <row r="132" spans="2:17" ht="12.95" customHeight="1" x14ac:dyDescent="0.2">
      <c r="B132" s="22">
        <v>44325</v>
      </c>
      <c r="C132" s="23">
        <v>16228335</v>
      </c>
      <c r="D132" s="24">
        <v>4800949</v>
      </c>
      <c r="E132" s="25">
        <v>295542</v>
      </c>
      <c r="F132" s="26">
        <v>592845</v>
      </c>
      <c r="G132" s="27">
        <v>242811</v>
      </c>
      <c r="H132" s="28">
        <f t="shared" si="2"/>
        <v>0</v>
      </c>
      <c r="I132" s="28">
        <f t="shared" si="2"/>
        <v>1778</v>
      </c>
      <c r="J132" s="28">
        <f t="shared" si="2"/>
        <v>123</v>
      </c>
      <c r="K132" s="28">
        <f t="shared" si="2"/>
        <v>88</v>
      </c>
      <c r="L132" s="29">
        <f t="shared" si="4"/>
        <v>61</v>
      </c>
      <c r="M132" s="30">
        <f t="shared" si="3"/>
        <v>1989</v>
      </c>
      <c r="Q132" s="20">
        <f t="shared" si="1"/>
        <v>0</v>
      </c>
    </row>
    <row r="133" spans="2:17" ht="12.95" customHeight="1" x14ac:dyDescent="0.2">
      <c r="B133" s="22">
        <v>44326</v>
      </c>
      <c r="C133" s="41">
        <v>16228335</v>
      </c>
      <c r="D133" s="24">
        <v>4802645</v>
      </c>
      <c r="E133" s="25">
        <v>295664</v>
      </c>
      <c r="F133" s="26">
        <v>592895</v>
      </c>
      <c r="G133" s="27">
        <v>242993</v>
      </c>
      <c r="H133" s="28">
        <f t="shared" si="2"/>
        <v>0</v>
      </c>
      <c r="I133" s="28">
        <f t="shared" si="2"/>
        <v>1696</v>
      </c>
      <c r="J133" s="28">
        <f t="shared" si="2"/>
        <v>122</v>
      </c>
      <c r="K133" s="28">
        <f t="shared" si="2"/>
        <v>50</v>
      </c>
      <c r="L133" s="29">
        <f t="shared" si="4"/>
        <v>182</v>
      </c>
      <c r="M133" s="30">
        <f t="shared" si="3"/>
        <v>1868</v>
      </c>
      <c r="Q133" s="20">
        <f t="shared" si="1"/>
        <v>0</v>
      </c>
    </row>
    <row r="134" spans="2:17" ht="12.95" customHeight="1" x14ac:dyDescent="0.2">
      <c r="B134" s="22">
        <v>44327</v>
      </c>
      <c r="C134" s="41">
        <v>16228335</v>
      </c>
      <c r="D134" s="24">
        <v>4804310</v>
      </c>
      <c r="E134" s="25">
        <v>295792</v>
      </c>
      <c r="F134" s="26">
        <v>592978</v>
      </c>
      <c r="G134" s="27">
        <v>243122</v>
      </c>
      <c r="H134" s="28">
        <f t="shared" ref="H134:K185" si="10">IF(C134="","",+(C134-C133))</f>
        <v>0</v>
      </c>
      <c r="I134" s="28">
        <f t="shared" si="10"/>
        <v>1665</v>
      </c>
      <c r="J134" s="28">
        <f t="shared" si="10"/>
        <v>128</v>
      </c>
      <c r="K134" s="28">
        <f t="shared" si="10"/>
        <v>83</v>
      </c>
      <c r="L134" s="29">
        <f t="shared" si="4"/>
        <v>129</v>
      </c>
      <c r="M134" s="30">
        <f t="shared" ref="M134:M197" si="11">IF(H134="","",+(H134+I134+J134+K134))</f>
        <v>1876</v>
      </c>
      <c r="Q134" s="20">
        <f t="shared" ref="Q134:Q197" si="12">IF(L134="",1,0)</f>
        <v>0</v>
      </c>
    </row>
    <row r="135" spans="2:17" ht="12.95" customHeight="1" x14ac:dyDescent="0.2">
      <c r="B135" s="22">
        <v>44328</v>
      </c>
      <c r="C135" s="41">
        <v>16228335</v>
      </c>
      <c r="D135" s="24">
        <v>4805826</v>
      </c>
      <c r="E135" s="25">
        <v>295913</v>
      </c>
      <c r="F135" s="26">
        <v>593037</v>
      </c>
      <c r="G135" s="27">
        <v>243275</v>
      </c>
      <c r="H135" s="28">
        <f t="shared" si="10"/>
        <v>0</v>
      </c>
      <c r="I135" s="28">
        <f t="shared" si="10"/>
        <v>1516</v>
      </c>
      <c r="J135" s="28">
        <f t="shared" si="10"/>
        <v>121</v>
      </c>
      <c r="K135" s="28">
        <f t="shared" si="10"/>
        <v>59</v>
      </c>
      <c r="L135" s="29">
        <f t="shared" si="4"/>
        <v>153</v>
      </c>
      <c r="M135" s="30">
        <f t="shared" si="11"/>
        <v>1696</v>
      </c>
      <c r="Q135" s="20">
        <f t="shared" si="12"/>
        <v>0</v>
      </c>
    </row>
    <row r="136" spans="2:17" ht="12.95" customHeight="1" x14ac:dyDescent="0.2">
      <c r="B136" s="22">
        <v>44329</v>
      </c>
      <c r="C136" s="41">
        <v>16228335</v>
      </c>
      <c r="D136" s="24">
        <v>4807191</v>
      </c>
      <c r="E136" s="25">
        <v>296017</v>
      </c>
      <c r="F136" s="26">
        <v>593126</v>
      </c>
      <c r="G136" s="27">
        <v>243394</v>
      </c>
      <c r="H136" s="28">
        <f t="shared" si="10"/>
        <v>0</v>
      </c>
      <c r="I136" s="28">
        <f t="shared" si="10"/>
        <v>1365</v>
      </c>
      <c r="J136" s="28">
        <f t="shared" si="10"/>
        <v>104</v>
      </c>
      <c r="K136" s="28">
        <f t="shared" si="10"/>
        <v>89</v>
      </c>
      <c r="L136" s="29">
        <f t="shared" si="4"/>
        <v>119</v>
      </c>
      <c r="M136" s="30">
        <f t="shared" si="11"/>
        <v>1558</v>
      </c>
      <c r="Q136" s="20">
        <f t="shared" si="12"/>
        <v>0</v>
      </c>
    </row>
    <row r="137" spans="2:17" ht="12.95" customHeight="1" x14ac:dyDescent="0.2">
      <c r="B137" s="22">
        <v>44330</v>
      </c>
      <c r="C137" s="41">
        <v>16228335</v>
      </c>
      <c r="D137" s="24">
        <v>4808477</v>
      </c>
      <c r="E137" s="25">
        <v>296130</v>
      </c>
      <c r="F137" s="26">
        <v>593218</v>
      </c>
      <c r="G137" s="27">
        <v>243545</v>
      </c>
      <c r="H137" s="28">
        <f t="shared" si="10"/>
        <v>0</v>
      </c>
      <c r="I137" s="28">
        <f t="shared" si="10"/>
        <v>1286</v>
      </c>
      <c r="J137" s="28">
        <f t="shared" si="10"/>
        <v>113</v>
      </c>
      <c r="K137" s="28">
        <f t="shared" si="10"/>
        <v>92</v>
      </c>
      <c r="L137" s="29">
        <f t="shared" si="4"/>
        <v>151</v>
      </c>
      <c r="M137" s="30">
        <f t="shared" si="11"/>
        <v>1491</v>
      </c>
      <c r="Q137" s="20">
        <f t="shared" si="12"/>
        <v>0</v>
      </c>
    </row>
    <row r="138" spans="2:17" ht="12.95" customHeight="1" x14ac:dyDescent="0.2">
      <c r="B138" s="22">
        <v>44331</v>
      </c>
      <c r="C138" s="41">
        <v>16228335</v>
      </c>
      <c r="D138" s="24">
        <v>4809619</v>
      </c>
      <c r="E138" s="25">
        <v>296239</v>
      </c>
      <c r="F138" s="26">
        <v>593291</v>
      </c>
      <c r="G138" s="27">
        <v>243680</v>
      </c>
      <c r="H138" s="28">
        <f t="shared" si="10"/>
        <v>0</v>
      </c>
      <c r="I138" s="28">
        <f t="shared" si="10"/>
        <v>1142</v>
      </c>
      <c r="J138" s="28">
        <f t="shared" si="10"/>
        <v>109</v>
      </c>
      <c r="K138" s="28">
        <f t="shared" si="10"/>
        <v>73</v>
      </c>
      <c r="L138" s="29">
        <f t="shared" si="4"/>
        <v>135</v>
      </c>
      <c r="M138" s="30">
        <f t="shared" si="11"/>
        <v>1324</v>
      </c>
      <c r="Q138" s="20">
        <f t="shared" si="12"/>
        <v>0</v>
      </c>
    </row>
    <row r="139" spans="2:17" ht="12.95" customHeight="1" x14ac:dyDescent="0.2">
      <c r="B139" s="22">
        <v>44332</v>
      </c>
      <c r="C139" s="41">
        <v>16228335</v>
      </c>
      <c r="D139" s="24">
        <v>4810961</v>
      </c>
      <c r="E139" s="25">
        <v>296336</v>
      </c>
      <c r="F139" s="26">
        <v>593371</v>
      </c>
      <c r="G139" s="27">
        <v>243833</v>
      </c>
      <c r="H139" s="28">
        <f t="shared" si="10"/>
        <v>0</v>
      </c>
      <c r="I139" s="28">
        <f t="shared" si="10"/>
        <v>1342</v>
      </c>
      <c r="J139" s="28">
        <f t="shared" si="10"/>
        <v>97</v>
      </c>
      <c r="K139" s="28">
        <f t="shared" si="10"/>
        <v>80</v>
      </c>
      <c r="L139" s="29">
        <f t="shared" si="4"/>
        <v>153</v>
      </c>
      <c r="M139" s="30">
        <f t="shared" si="11"/>
        <v>1519</v>
      </c>
      <c r="Q139" s="20">
        <f t="shared" si="12"/>
        <v>0</v>
      </c>
    </row>
    <row r="140" spans="2:17" ht="12.95" customHeight="1" x14ac:dyDescent="0.2">
      <c r="B140" s="22">
        <v>44333</v>
      </c>
      <c r="C140" s="41">
        <v>16228335</v>
      </c>
      <c r="D140" s="24">
        <v>4812267</v>
      </c>
      <c r="E140" s="25">
        <v>296445</v>
      </c>
      <c r="F140" s="26">
        <v>593468</v>
      </c>
      <c r="G140" s="27">
        <v>243972</v>
      </c>
      <c r="H140" s="28">
        <f t="shared" si="10"/>
        <v>0</v>
      </c>
      <c r="I140" s="28">
        <f t="shared" si="10"/>
        <v>1306</v>
      </c>
      <c r="J140" s="28">
        <f t="shared" si="10"/>
        <v>109</v>
      </c>
      <c r="K140" s="28">
        <f t="shared" si="10"/>
        <v>97</v>
      </c>
      <c r="L140" s="29">
        <f t="shared" si="4"/>
        <v>139</v>
      </c>
      <c r="M140" s="30">
        <f t="shared" si="11"/>
        <v>1512</v>
      </c>
      <c r="Q140" s="20">
        <f t="shared" si="12"/>
        <v>0</v>
      </c>
    </row>
    <row r="141" spans="2:17" ht="12.95" customHeight="1" x14ac:dyDescent="0.2">
      <c r="B141" s="22">
        <v>44334</v>
      </c>
      <c r="C141" s="41">
        <v>16228335</v>
      </c>
      <c r="D141" s="24">
        <v>4813662</v>
      </c>
      <c r="E141" s="25">
        <v>296565</v>
      </c>
      <c r="F141" s="26">
        <v>593565</v>
      </c>
      <c r="G141" s="27">
        <v>244104</v>
      </c>
      <c r="H141" s="28">
        <f t="shared" si="10"/>
        <v>0</v>
      </c>
      <c r="I141" s="28">
        <f t="shared" si="10"/>
        <v>1395</v>
      </c>
      <c r="J141" s="28">
        <f t="shared" si="10"/>
        <v>120</v>
      </c>
      <c r="K141" s="28">
        <f t="shared" si="10"/>
        <v>97</v>
      </c>
      <c r="L141" s="29">
        <f t="shared" si="4"/>
        <v>132</v>
      </c>
      <c r="M141" s="30">
        <f t="shared" si="11"/>
        <v>1612</v>
      </c>
      <c r="Q141" s="20">
        <f t="shared" si="12"/>
        <v>0</v>
      </c>
    </row>
    <row r="142" spans="2:17" ht="12.95" customHeight="1" x14ac:dyDescent="0.2">
      <c r="B142" s="22">
        <v>44335</v>
      </c>
      <c r="C142" s="41">
        <v>16228335</v>
      </c>
      <c r="D142" s="24">
        <v>4814901</v>
      </c>
      <c r="E142" s="25">
        <v>296689</v>
      </c>
      <c r="F142" s="26">
        <v>593685</v>
      </c>
      <c r="G142" s="27">
        <v>244250</v>
      </c>
      <c r="H142" s="28">
        <f t="shared" si="10"/>
        <v>0</v>
      </c>
      <c r="I142" s="28">
        <f t="shared" si="10"/>
        <v>1239</v>
      </c>
      <c r="J142" s="28">
        <f t="shared" si="10"/>
        <v>124</v>
      </c>
      <c r="K142" s="28">
        <f t="shared" si="10"/>
        <v>120</v>
      </c>
      <c r="L142" s="29">
        <f t="shared" si="4"/>
        <v>146</v>
      </c>
      <c r="M142" s="30">
        <f t="shared" si="11"/>
        <v>1483</v>
      </c>
      <c r="Q142" s="20">
        <f t="shared" si="12"/>
        <v>0</v>
      </c>
    </row>
    <row r="143" spans="2:17" ht="12.95" customHeight="1" x14ac:dyDescent="0.2">
      <c r="B143" s="22">
        <v>44336</v>
      </c>
      <c r="C143" s="41">
        <v>16228335</v>
      </c>
      <c r="D143" s="24">
        <v>4816126</v>
      </c>
      <c r="E143" s="25">
        <v>296810</v>
      </c>
      <c r="F143" s="26">
        <v>593809</v>
      </c>
      <c r="G143" s="27">
        <v>244397</v>
      </c>
      <c r="H143" s="28">
        <f t="shared" si="10"/>
        <v>0</v>
      </c>
      <c r="I143" s="28">
        <f t="shared" si="10"/>
        <v>1225</v>
      </c>
      <c r="J143" s="28">
        <f t="shared" si="10"/>
        <v>121</v>
      </c>
      <c r="K143" s="28">
        <f t="shared" si="10"/>
        <v>124</v>
      </c>
      <c r="L143" s="29">
        <f t="shared" si="4"/>
        <v>147</v>
      </c>
      <c r="M143" s="30">
        <f t="shared" si="11"/>
        <v>1470</v>
      </c>
      <c r="O143" s="9" t="s">
        <v>28</v>
      </c>
      <c r="Q143" s="20">
        <f t="shared" si="12"/>
        <v>0</v>
      </c>
    </row>
    <row r="144" spans="2:17" ht="12.95" customHeight="1" thickBot="1" x14ac:dyDescent="0.25">
      <c r="B144" s="22">
        <v>44337</v>
      </c>
      <c r="C144" s="41">
        <v>16228335</v>
      </c>
      <c r="D144" s="24">
        <v>4817880</v>
      </c>
      <c r="E144" s="25">
        <v>296954</v>
      </c>
      <c r="F144" s="26">
        <v>593948</v>
      </c>
      <c r="G144" s="27">
        <v>244538</v>
      </c>
      <c r="H144" s="28">
        <f t="shared" si="10"/>
        <v>0</v>
      </c>
      <c r="I144" s="28">
        <f t="shared" si="10"/>
        <v>1754</v>
      </c>
      <c r="J144" s="28">
        <f t="shared" si="10"/>
        <v>144</v>
      </c>
      <c r="K144" s="28">
        <f t="shared" si="10"/>
        <v>139</v>
      </c>
      <c r="L144" s="29">
        <f t="shared" si="4"/>
        <v>141</v>
      </c>
      <c r="M144" s="30">
        <f t="shared" si="11"/>
        <v>2037</v>
      </c>
      <c r="Q144" s="20">
        <f t="shared" si="12"/>
        <v>0</v>
      </c>
    </row>
    <row r="145" spans="2:18" ht="12.95" customHeight="1" x14ac:dyDescent="0.2">
      <c r="B145" s="22">
        <v>44338</v>
      </c>
      <c r="C145" s="41">
        <v>16228335</v>
      </c>
      <c r="D145" s="24">
        <v>4819347</v>
      </c>
      <c r="E145" s="25">
        <v>297101</v>
      </c>
      <c r="F145" s="26">
        <v>594079</v>
      </c>
      <c r="G145" s="27">
        <v>244682</v>
      </c>
      <c r="H145" s="28">
        <f t="shared" si="10"/>
        <v>0</v>
      </c>
      <c r="I145" s="28">
        <f t="shared" si="10"/>
        <v>1467</v>
      </c>
      <c r="J145" s="28">
        <f t="shared" si="10"/>
        <v>147</v>
      </c>
      <c r="K145" s="28">
        <f>IF(F145="","",+(F145-F144))</f>
        <v>131</v>
      </c>
      <c r="L145" s="29">
        <f t="shared" ref="L145:L154" si="13">IF(G145="","",+(G145-G144))</f>
        <v>144</v>
      </c>
      <c r="M145" s="30">
        <f t="shared" si="11"/>
        <v>1745</v>
      </c>
      <c r="N145" s="197" t="s">
        <v>21</v>
      </c>
      <c r="O145" s="197" t="s">
        <v>22</v>
      </c>
      <c r="Q145" s="20">
        <f t="shared" si="12"/>
        <v>0</v>
      </c>
    </row>
    <row r="146" spans="2:18" ht="12.95" customHeight="1" x14ac:dyDescent="0.2">
      <c r="B146" s="22">
        <v>44339</v>
      </c>
      <c r="C146" s="41">
        <v>16228335</v>
      </c>
      <c r="D146" s="24">
        <v>4820658</v>
      </c>
      <c r="E146" s="25">
        <v>297232</v>
      </c>
      <c r="F146" s="26">
        <v>594217</v>
      </c>
      <c r="G146" s="27">
        <v>244801</v>
      </c>
      <c r="H146" s="28">
        <f t="shared" si="10"/>
        <v>0</v>
      </c>
      <c r="I146" s="28">
        <f t="shared" si="10"/>
        <v>1311</v>
      </c>
      <c r="J146" s="28">
        <f t="shared" si="10"/>
        <v>131</v>
      </c>
      <c r="K146" s="28">
        <f>IF(F146="","",+(F146-F145))</f>
        <v>138</v>
      </c>
      <c r="L146" s="29">
        <f t="shared" si="13"/>
        <v>119</v>
      </c>
      <c r="M146" s="30">
        <f t="shared" si="11"/>
        <v>1580</v>
      </c>
      <c r="N146" s="198"/>
      <c r="O146" s="198"/>
      <c r="Q146" s="20">
        <f t="shared" si="12"/>
        <v>0</v>
      </c>
    </row>
    <row r="147" spans="2:18" ht="12.95" customHeight="1" thickBot="1" x14ac:dyDescent="0.25">
      <c r="B147" s="22">
        <v>44340</v>
      </c>
      <c r="C147" s="41">
        <v>16228335</v>
      </c>
      <c r="D147" s="24">
        <v>4821839</v>
      </c>
      <c r="E147" s="25">
        <v>297376</v>
      </c>
      <c r="F147" s="26">
        <v>594364</v>
      </c>
      <c r="G147" s="27">
        <v>244986</v>
      </c>
      <c r="H147" s="28">
        <f t="shared" si="10"/>
        <v>0</v>
      </c>
      <c r="I147" s="28">
        <f t="shared" si="10"/>
        <v>1181</v>
      </c>
      <c r="J147" s="28">
        <f t="shared" si="10"/>
        <v>144</v>
      </c>
      <c r="K147" s="28">
        <f t="shared" si="10"/>
        <v>147</v>
      </c>
      <c r="L147" s="29">
        <f t="shared" si="13"/>
        <v>185</v>
      </c>
      <c r="M147" s="30">
        <f>IF(H147="","",+(H147+I147+J147+K147))</f>
        <v>1472</v>
      </c>
      <c r="N147" s="199"/>
      <c r="O147" s="199"/>
      <c r="Q147" s="20">
        <f>IF(L147="",1,0)</f>
        <v>0</v>
      </c>
    </row>
    <row r="148" spans="2:18" ht="12.95" customHeight="1" thickBot="1" x14ac:dyDescent="0.25">
      <c r="B148" s="22">
        <v>44341</v>
      </c>
      <c r="C148" s="41">
        <v>16228335</v>
      </c>
      <c r="D148" s="24">
        <v>4823039</v>
      </c>
      <c r="E148" s="25">
        <v>297509</v>
      </c>
      <c r="F148" s="26">
        <v>594500</v>
      </c>
      <c r="G148" s="27">
        <v>245194</v>
      </c>
      <c r="H148" s="28">
        <f t="shared" si="10"/>
        <v>0</v>
      </c>
      <c r="I148" s="28">
        <f t="shared" si="10"/>
        <v>1200</v>
      </c>
      <c r="J148" s="28">
        <f t="shared" si="10"/>
        <v>133</v>
      </c>
      <c r="K148" s="28">
        <f t="shared" si="10"/>
        <v>136</v>
      </c>
      <c r="L148" s="29">
        <f t="shared" si="13"/>
        <v>208</v>
      </c>
      <c r="M148" s="30">
        <f>IF(H148="","",+(H148+I148+J148+K148))</f>
        <v>1469</v>
      </c>
      <c r="N148" s="32">
        <f>SUM(L125:L155)</f>
        <v>3794</v>
      </c>
      <c r="O148" s="32">
        <f>SUM(M12:M155)</f>
        <v>386705</v>
      </c>
      <c r="Q148" s="20">
        <f>IF(L148="",1,0)</f>
        <v>0</v>
      </c>
    </row>
    <row r="149" spans="2:18" ht="12.95" customHeight="1" x14ac:dyDescent="0.2">
      <c r="B149" s="22">
        <v>44342</v>
      </c>
      <c r="C149" s="41">
        <v>16228335</v>
      </c>
      <c r="D149" s="24">
        <v>4824512</v>
      </c>
      <c r="E149" s="25">
        <v>297657</v>
      </c>
      <c r="F149" s="26">
        <v>594656</v>
      </c>
      <c r="G149" s="27">
        <v>245384</v>
      </c>
      <c r="H149" s="28">
        <f t="shared" si="10"/>
        <v>0</v>
      </c>
      <c r="I149" s="28">
        <f t="shared" si="10"/>
        <v>1473</v>
      </c>
      <c r="J149" s="28">
        <f t="shared" si="10"/>
        <v>148</v>
      </c>
      <c r="K149" s="28">
        <f t="shared" si="10"/>
        <v>156</v>
      </c>
      <c r="L149" s="29">
        <f t="shared" si="13"/>
        <v>190</v>
      </c>
      <c r="M149" s="30">
        <f>IF(H149="","",+(H149+I149+J149+K149))</f>
        <v>1777</v>
      </c>
      <c r="N149" s="197" t="s">
        <v>23</v>
      </c>
      <c r="O149" s="197" t="s">
        <v>24</v>
      </c>
      <c r="Q149" s="20">
        <f>IF(L149="",1,0)</f>
        <v>0</v>
      </c>
    </row>
    <row r="150" spans="2:18" ht="12.95" customHeight="1" thickBot="1" x14ac:dyDescent="0.25">
      <c r="B150" s="22">
        <v>44343</v>
      </c>
      <c r="C150" s="41">
        <v>16228335</v>
      </c>
      <c r="D150" s="24">
        <v>4825764</v>
      </c>
      <c r="E150" s="25">
        <v>297805</v>
      </c>
      <c r="F150" s="26">
        <v>594821</v>
      </c>
      <c r="G150" s="27">
        <v>245518</v>
      </c>
      <c r="H150" s="28">
        <f t="shared" si="10"/>
        <v>0</v>
      </c>
      <c r="I150" s="28">
        <f t="shared" si="10"/>
        <v>1252</v>
      </c>
      <c r="J150" s="28">
        <f t="shared" si="10"/>
        <v>148</v>
      </c>
      <c r="K150" s="28">
        <f t="shared" si="10"/>
        <v>165</v>
      </c>
      <c r="L150" s="29">
        <f t="shared" si="13"/>
        <v>134</v>
      </c>
      <c r="M150" s="30">
        <f>IF(H150="","",+(H150+I150+J150+K150))</f>
        <v>1565</v>
      </c>
      <c r="N150" s="199"/>
      <c r="O150" s="199"/>
      <c r="Q150" s="20">
        <f>IF(L150="",1,0)</f>
        <v>0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 t="shared" si="13"/>
        <v/>
      </c>
      <c r="M151" s="30" t="str">
        <f>IF(H151="","",+(H151+I151+J151+K151))</f>
        <v/>
      </c>
      <c r="N151" s="32">
        <f>AVERAGE(L125:L155)</f>
        <v>145.92307692307693</v>
      </c>
      <c r="O151" s="32">
        <f>AVERAGE(M125:M155)</f>
        <v>1606.2307692307693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 t="shared" si="13"/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3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3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ref="L155:L196" si="14">IF(G155="","",+(G154-G155))</f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364276</v>
      </c>
      <c r="J371" s="40">
        <f t="shared" si="29"/>
        <v>20451</v>
      </c>
      <c r="K371" s="40">
        <f t="shared" si="29"/>
        <v>19031</v>
      </c>
      <c r="L371" s="40">
        <f t="shared" si="29"/>
        <v>19960</v>
      </c>
      <c r="M371" s="40">
        <f t="shared" si="29"/>
        <v>403758</v>
      </c>
    </row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124" workbookViewId="0">
      <selection activeCell="J151" sqref="J151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4.0658511789591067E-2</v>
      </c>
      <c r="Q114" s="71">
        <f>IF(L94="",0,+SUM(L94:L123)/SUM(I94:I123))</f>
        <v>4.0658511789591067E-2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>
        <v>0.14199999999999999</v>
      </c>
      <c r="E120" s="58">
        <v>214.78899999999999</v>
      </c>
      <c r="F120" s="59">
        <v>8.1790000000000003</v>
      </c>
      <c r="G120" s="60"/>
      <c r="H120" s="60">
        <v>4140</v>
      </c>
      <c r="I120" s="60">
        <f t="shared" si="14"/>
        <v>21043.619999999992</v>
      </c>
      <c r="J120" s="60">
        <f t="shared" si="15"/>
        <v>782.46000000000026</v>
      </c>
      <c r="K120" s="61">
        <f t="shared" si="10"/>
        <v>3.7182766083021866E-2</v>
      </c>
      <c r="L120" s="60">
        <f t="shared" si="11"/>
        <v>782.46000000000026</v>
      </c>
      <c r="M120" s="61">
        <f t="shared" si="12"/>
        <v>3.7182766083021866E-2</v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>
        <v>0.14199999999999999</v>
      </c>
      <c r="E121" s="58">
        <v>220.12299999999999</v>
      </c>
      <c r="F121" s="59">
        <v>8.4190000000000005</v>
      </c>
      <c r="G121" s="60"/>
      <c r="H121" s="60">
        <v>4140</v>
      </c>
      <c r="I121" s="60">
        <f t="shared" si="14"/>
        <v>22082.760000000013</v>
      </c>
      <c r="J121" s="60">
        <f t="shared" si="15"/>
        <v>993.60000000000093</v>
      </c>
      <c r="K121" s="61">
        <f t="shared" si="10"/>
        <v>4.4994375703037139E-2</v>
      </c>
      <c r="L121" s="60">
        <f t="shared" si="11"/>
        <v>993.60000000000093</v>
      </c>
      <c r="M121" s="61">
        <f t="shared" si="12"/>
        <v>4.4994375703037139E-2</v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>
        <v>0.14199999999999999</v>
      </c>
      <c r="E122" s="58">
        <v>225.06100000000001</v>
      </c>
      <c r="F122" s="59">
        <v>8.6669999999999998</v>
      </c>
      <c r="G122" s="60"/>
      <c r="H122" s="60">
        <v>4140</v>
      </c>
      <c r="I122" s="60">
        <f t="shared" si="14"/>
        <v>20443.320000000069</v>
      </c>
      <c r="J122" s="60">
        <f t="shared" si="15"/>
        <v>1026.7199999999973</v>
      </c>
      <c r="K122" s="61">
        <f t="shared" si="10"/>
        <v>5.0222762251923556E-2</v>
      </c>
      <c r="L122" s="60">
        <f t="shared" si="11"/>
        <v>1026.7199999999973</v>
      </c>
      <c r="M122" s="61">
        <f t="shared" si="12"/>
        <v>5.0222762251923556E-2</v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57">
        <v>0.14199999999999999</v>
      </c>
      <c r="E123" s="58">
        <v>230.29499999999999</v>
      </c>
      <c r="F123" s="59">
        <v>8.9</v>
      </c>
      <c r="G123" s="91"/>
      <c r="H123" s="60">
        <v>4140</v>
      </c>
      <c r="I123" s="60">
        <f t="shared" si="14"/>
        <v>21668.759999999918</v>
      </c>
      <c r="J123" s="60">
        <f t="shared" si="15"/>
        <v>964.62000000000228</v>
      </c>
      <c r="K123" s="61">
        <f t="shared" si="10"/>
        <v>4.4516622086358697E-2</v>
      </c>
      <c r="L123" s="60">
        <f t="shared" si="11"/>
        <v>964.62000000000228</v>
      </c>
      <c r="M123" s="61">
        <f t="shared" si="12"/>
        <v>4.4516622086358697E-2</v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>
        <v>0.14199999999999999</v>
      </c>
      <c r="E124" s="58">
        <v>235.566</v>
      </c>
      <c r="F124" s="59">
        <v>9.0809999999999995</v>
      </c>
      <c r="G124" s="60"/>
      <c r="H124" s="60">
        <v>4140</v>
      </c>
      <c r="I124" s="60">
        <f t="shared" si="14"/>
        <v>21821.940000000061</v>
      </c>
      <c r="J124" s="60">
        <f t="shared" si="15"/>
        <v>749.33999999999651</v>
      </c>
      <c r="K124" s="61">
        <f t="shared" si="10"/>
        <v>3.433883513564763E-2</v>
      </c>
      <c r="L124" s="60">
        <f t="shared" si="11"/>
        <v>749.33999999999651</v>
      </c>
      <c r="M124" s="61">
        <f t="shared" si="12"/>
        <v>3.433883513564763E-2</v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>
        <v>0.14199999999999999</v>
      </c>
      <c r="E125" s="58">
        <v>240.71600000000001</v>
      </c>
      <c r="F125" s="59">
        <v>9.2680000000000007</v>
      </c>
      <c r="G125" s="60"/>
      <c r="H125" s="60">
        <v>4140</v>
      </c>
      <c r="I125" s="60">
        <f t="shared" si="14"/>
        <v>21321.000000000022</v>
      </c>
      <c r="J125" s="60">
        <f t="shared" si="15"/>
        <v>774.18000000000484</v>
      </c>
      <c r="K125" s="61">
        <f t="shared" si="10"/>
        <v>3.6310679611650673E-2</v>
      </c>
      <c r="L125" s="60">
        <f t="shared" si="11"/>
        <v>774.18000000000484</v>
      </c>
      <c r="M125" s="61">
        <f t="shared" si="12"/>
        <v>3.6310679611650673E-2</v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>
        <v>0.14199999999999999</v>
      </c>
      <c r="E126" s="58">
        <v>245.99700000000001</v>
      </c>
      <c r="F126" s="59">
        <v>9.4809999999999999</v>
      </c>
      <c r="G126" s="60"/>
      <c r="H126" s="60">
        <v>4140</v>
      </c>
      <c r="I126" s="60">
        <f t="shared" si="14"/>
        <v>21863.340000000026</v>
      </c>
      <c r="J126" s="60">
        <f t="shared" si="15"/>
        <v>881.81999999999664</v>
      </c>
      <c r="K126" s="61">
        <f t="shared" si="10"/>
        <v>4.0333270213974426E-2</v>
      </c>
      <c r="L126" s="60">
        <f t="shared" si="11"/>
        <v>881.81999999999664</v>
      </c>
      <c r="M126" s="61">
        <f t="shared" si="12"/>
        <v>4.0333270213974426E-2</v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>
        <v>0.14199999999999999</v>
      </c>
      <c r="E127" s="58">
        <v>251.00700000000001</v>
      </c>
      <c r="F127" s="59">
        <v>9.673</v>
      </c>
      <c r="G127" s="60"/>
      <c r="H127" s="60">
        <v>4140</v>
      </c>
      <c r="I127" s="60">
        <f t="shared" si="14"/>
        <v>20741.399999999961</v>
      </c>
      <c r="J127" s="60">
        <f t="shared" si="15"/>
        <v>794.88000000000068</v>
      </c>
      <c r="K127" s="61">
        <f t="shared" si="10"/>
        <v>3.8323353293413277E-2</v>
      </c>
      <c r="L127" s="60">
        <f t="shared" si="11"/>
        <v>794.88000000000068</v>
      </c>
      <c r="M127" s="61">
        <f t="shared" si="12"/>
        <v>3.8323353293413277E-2</v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>
        <v>0.14199999999999999</v>
      </c>
      <c r="E128" s="58">
        <v>255.94300000000001</v>
      </c>
      <c r="F128" s="59">
        <v>9.9130000000000003</v>
      </c>
      <c r="G128" s="60"/>
      <c r="H128" s="60">
        <v>4140</v>
      </c>
      <c r="I128" s="60">
        <f t="shared" si="14"/>
        <v>20435.04000000003</v>
      </c>
      <c r="J128" s="60">
        <f t="shared" si="15"/>
        <v>993.60000000000093</v>
      </c>
      <c r="K128" s="61">
        <f t="shared" si="10"/>
        <v>4.8622366288492681E-2</v>
      </c>
      <c r="L128" s="60">
        <f t="shared" si="11"/>
        <v>993.60000000000093</v>
      </c>
      <c r="M128" s="61">
        <f t="shared" si="12"/>
        <v>4.8622366288492681E-2</v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>
        <v>0.14199999999999999</v>
      </c>
      <c r="E129" s="58">
        <v>261.34899999999999</v>
      </c>
      <c r="F129" s="59">
        <v>10.148</v>
      </c>
      <c r="G129" s="60"/>
      <c r="H129" s="60">
        <v>4140</v>
      </c>
      <c r="I129" s="60">
        <f t="shared" si="14"/>
        <v>22380.839999999906</v>
      </c>
      <c r="J129" s="60">
        <f t="shared" si="15"/>
        <v>972.89999999999759</v>
      </c>
      <c r="K129" s="61">
        <f t="shared" si="10"/>
        <v>4.3470218275989715E-2</v>
      </c>
      <c r="L129" s="60">
        <f t="shared" si="11"/>
        <v>972.89999999999759</v>
      </c>
      <c r="M129" s="61">
        <f t="shared" si="12"/>
        <v>4.3470218275989715E-2</v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>
        <v>0.14199999999999999</v>
      </c>
      <c r="E130" s="58">
        <v>266.37400000000002</v>
      </c>
      <c r="F130" s="59">
        <v>10.279</v>
      </c>
      <c r="G130" s="60"/>
      <c r="H130" s="60">
        <v>4140</v>
      </c>
      <c r="I130" s="60">
        <f t="shared" si="14"/>
        <v>20803.500000000142</v>
      </c>
      <c r="J130" s="60">
        <f t="shared" si="15"/>
        <v>542.34000000000094</v>
      </c>
      <c r="K130" s="61">
        <f t="shared" si="10"/>
        <v>2.6069651741293401E-2</v>
      </c>
      <c r="L130" s="60">
        <f t="shared" si="11"/>
        <v>542.34000000000094</v>
      </c>
      <c r="M130" s="61">
        <f t="shared" si="12"/>
        <v>2.6069651741293401E-2</v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>
        <v>0.14199999999999999</v>
      </c>
      <c r="E131" s="58">
        <v>270.89100000000002</v>
      </c>
      <c r="F131" s="59">
        <v>10.429</v>
      </c>
      <c r="G131" s="60"/>
      <c r="H131" s="60">
        <v>4140</v>
      </c>
      <c r="I131" s="60">
        <f t="shared" si="14"/>
        <v>18700.379999999983</v>
      </c>
      <c r="J131" s="60">
        <f t="shared" si="15"/>
        <v>621.00000000000148</v>
      </c>
      <c r="K131" s="61">
        <f t="shared" si="10"/>
        <v>3.32078813371708E-2</v>
      </c>
      <c r="L131" s="60">
        <f t="shared" si="11"/>
        <v>621.00000000000148</v>
      </c>
      <c r="M131" s="61">
        <f t="shared" si="12"/>
        <v>3.32078813371708E-2</v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>
        <v>0.14199999999999999</v>
      </c>
      <c r="E132" s="58">
        <v>275.59699999999998</v>
      </c>
      <c r="F132" s="59">
        <v>10.613</v>
      </c>
      <c r="G132" s="60"/>
      <c r="H132" s="60">
        <v>4140</v>
      </c>
      <c r="I132" s="60">
        <f t="shared" si="14"/>
        <v>19482.839999999836</v>
      </c>
      <c r="J132" s="60">
        <f t="shared" si="15"/>
        <v>761.75999999999704</v>
      </c>
      <c r="K132" s="61">
        <f t="shared" si="10"/>
        <v>3.9099022524437067E-2</v>
      </c>
      <c r="L132" s="60">
        <f t="shared" si="11"/>
        <v>761.75999999999704</v>
      </c>
      <c r="M132" s="61">
        <f t="shared" si="12"/>
        <v>3.9099022524437067E-2</v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>
        <v>0.14199999999999999</v>
      </c>
      <c r="E133" s="58">
        <v>280.60500000000002</v>
      </c>
      <c r="F133" s="59">
        <v>10.787000000000001</v>
      </c>
      <c r="G133" s="60"/>
      <c r="H133" s="60">
        <v>4140</v>
      </c>
      <c r="I133" s="60">
        <f t="shared" si="14"/>
        <v>20733.120000000159</v>
      </c>
      <c r="J133" s="60">
        <f t="shared" si="15"/>
        <v>720.36000000000524</v>
      </c>
      <c r="K133" s="61">
        <f t="shared" si="10"/>
        <v>3.4744408945686887E-2</v>
      </c>
      <c r="L133" s="60">
        <f t="shared" si="11"/>
        <v>720.36000000000524</v>
      </c>
      <c r="M133" s="61">
        <f t="shared" si="12"/>
        <v>3.4744408945686887E-2</v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>
        <v>0.14199999999999999</v>
      </c>
      <c r="E134" s="58">
        <v>285.303</v>
      </c>
      <c r="F134" s="59">
        <v>10.965999999999999</v>
      </c>
      <c r="G134" s="60"/>
      <c r="H134" s="60">
        <v>4140</v>
      </c>
      <c r="I134" s="60">
        <f t="shared" si="14"/>
        <v>19449.719999999914</v>
      </c>
      <c r="J134" s="60">
        <f t="shared" si="15"/>
        <v>741.05999999999381</v>
      </c>
      <c r="K134" s="61">
        <f t="shared" si="10"/>
        <v>3.8101319710514961E-2</v>
      </c>
      <c r="L134" s="60">
        <f t="shared" si="11"/>
        <v>741.05999999999381</v>
      </c>
      <c r="M134" s="61">
        <f t="shared" si="12"/>
        <v>3.8101319710514961E-2</v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>
        <v>0.14199999999999999</v>
      </c>
      <c r="E135" s="58">
        <v>289.959</v>
      </c>
      <c r="F135" s="59">
        <v>11.135999999999999</v>
      </c>
      <c r="G135" s="60"/>
      <c r="H135" s="60">
        <v>4140</v>
      </c>
      <c r="I135" s="60">
        <f t="shared" si="14"/>
        <v>19275.840000000026</v>
      </c>
      <c r="J135" s="60">
        <f t="shared" si="15"/>
        <v>703.79999999999973</v>
      </c>
      <c r="K135" s="61">
        <f t="shared" si="10"/>
        <v>3.6512027491408874E-2</v>
      </c>
      <c r="L135" s="60">
        <f t="shared" si="11"/>
        <v>703.79999999999973</v>
      </c>
      <c r="M135" s="61">
        <f t="shared" si="12"/>
        <v>3.6512027491408874E-2</v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>
        <v>0.14199999999999999</v>
      </c>
      <c r="E136" s="58">
        <v>295.416</v>
      </c>
      <c r="F136" s="59">
        <v>11.331</v>
      </c>
      <c r="G136" s="60"/>
      <c r="H136" s="60">
        <v>4140</v>
      </c>
      <c r="I136" s="60">
        <f t="shared" si="14"/>
        <v>22591.979999999974</v>
      </c>
      <c r="J136" s="60">
        <f t="shared" si="15"/>
        <v>807.30000000000121</v>
      </c>
      <c r="K136" s="61">
        <f t="shared" si="10"/>
        <v>3.5733919736118842E-2</v>
      </c>
      <c r="L136" s="60">
        <f t="shared" si="11"/>
        <v>807.30000000000121</v>
      </c>
      <c r="M136" s="61">
        <f t="shared" si="12"/>
        <v>3.5733919736118842E-2</v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>
        <v>0.14199999999999999</v>
      </c>
      <c r="E137" s="58">
        <v>300.64299999999997</v>
      </c>
      <c r="F137" s="59">
        <v>11.541</v>
      </c>
      <c r="G137" s="60"/>
      <c r="H137" s="60">
        <v>4140</v>
      </c>
      <c r="I137" s="60">
        <f t="shared" si="14"/>
        <v>21639.779999999897</v>
      </c>
      <c r="J137" s="60">
        <f t="shared" si="15"/>
        <v>869.4000000000035</v>
      </c>
      <c r="K137" s="61">
        <f t="shared" si="10"/>
        <v>4.0176009183088168E-2</v>
      </c>
      <c r="L137" s="60">
        <f t="shared" si="11"/>
        <v>869.4000000000035</v>
      </c>
      <c r="M137" s="61">
        <f t="shared" si="12"/>
        <v>4.0176009183088168E-2</v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>
        <v>0.14199999999999999</v>
      </c>
      <c r="E138" s="58">
        <v>305.41500000000002</v>
      </c>
      <c r="F138" s="59">
        <v>11.718</v>
      </c>
      <c r="G138" s="60"/>
      <c r="H138" s="60">
        <v>4140</v>
      </c>
      <c r="I138" s="60">
        <f t="shared" si="14"/>
        <v>19756.080000000198</v>
      </c>
      <c r="J138" s="60">
        <f t="shared" si="15"/>
        <v>732.77999999999838</v>
      </c>
      <c r="K138" s="61">
        <f t="shared" si="10"/>
        <v>3.7091366303436263E-2</v>
      </c>
      <c r="L138" s="60">
        <f t="shared" si="11"/>
        <v>732.77999999999838</v>
      </c>
      <c r="M138" s="61">
        <f t="shared" si="12"/>
        <v>3.7091366303436263E-2</v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>
        <v>0.14199999999999999</v>
      </c>
      <c r="E139" s="58">
        <v>310.94</v>
      </c>
      <c r="F139" s="59">
        <v>11.944000000000001</v>
      </c>
      <c r="G139" s="60"/>
      <c r="H139" s="60">
        <v>4140</v>
      </c>
      <c r="I139" s="60">
        <f t="shared" si="14"/>
        <v>22873.499999999905</v>
      </c>
      <c r="J139" s="60">
        <f t="shared" si="15"/>
        <v>935.64000000000362</v>
      </c>
      <c r="K139" s="61">
        <f t="shared" si="10"/>
        <v>4.0904977375565942E-2</v>
      </c>
      <c r="L139" s="60">
        <f t="shared" si="11"/>
        <v>935.64000000000362</v>
      </c>
      <c r="M139" s="61">
        <f t="shared" si="12"/>
        <v>4.0904977375565942E-2</v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>
        <v>0.14199999999999999</v>
      </c>
      <c r="E140" s="58">
        <v>316.27800000000002</v>
      </c>
      <c r="F140" s="59">
        <v>12.167999999999999</v>
      </c>
      <c r="G140" s="60"/>
      <c r="H140" s="60">
        <v>4140</v>
      </c>
      <c r="I140" s="60">
        <f t="shared" si="14"/>
        <v>22099.320000000091</v>
      </c>
      <c r="J140" s="60">
        <f t="shared" si="15"/>
        <v>927.35999999999342</v>
      </c>
      <c r="K140" s="61">
        <f t="shared" si="10"/>
        <v>4.1963282128137408E-2</v>
      </c>
      <c r="L140" s="60">
        <f t="shared" si="11"/>
        <v>927.35999999999342</v>
      </c>
      <c r="M140" s="61">
        <f t="shared" si="12"/>
        <v>4.1963282128137408E-2</v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>
        <v>0.14199999999999999</v>
      </c>
      <c r="E141" s="58">
        <v>321.38499999999999</v>
      </c>
      <c r="F141" s="59">
        <v>12.362</v>
      </c>
      <c r="G141" s="60"/>
      <c r="H141" s="60">
        <v>4140</v>
      </c>
      <c r="I141" s="60">
        <f t="shared" si="14"/>
        <v>21142.97999999988</v>
      </c>
      <c r="J141" s="60">
        <f t="shared" si="15"/>
        <v>803.16000000000349</v>
      </c>
      <c r="K141" s="61">
        <f t="shared" ref="K141:K204" si="19">IF(J141="","",+(J141/I141))</f>
        <v>3.7987076561582525E-2</v>
      </c>
      <c r="L141" s="60">
        <f t="shared" ref="L141:L204" si="20">IF(F141="","",+(F141-F140)*4140)</f>
        <v>803.16000000000349</v>
      </c>
      <c r="M141" s="61">
        <f t="shared" ref="M141:M204" si="21">IF(L141="","",(L141/I141))</f>
        <v>3.7987076561582525E-2</v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>
        <v>0.14199999999999999</v>
      </c>
      <c r="E142" s="58">
        <v>327.31900000000002</v>
      </c>
      <c r="F142" s="59">
        <v>12.587999999999999</v>
      </c>
      <c r="G142" s="60"/>
      <c r="H142" s="60">
        <v>4140</v>
      </c>
      <c r="I142" s="60">
        <f t="shared" si="14"/>
        <v>24566.760000000108</v>
      </c>
      <c r="J142" s="60">
        <f t="shared" si="15"/>
        <v>935.63999999999623</v>
      </c>
      <c r="K142" s="61">
        <f t="shared" si="19"/>
        <v>3.8085608358611071E-2</v>
      </c>
      <c r="L142" s="60">
        <f t="shared" si="20"/>
        <v>935.63999999999623</v>
      </c>
      <c r="M142" s="61">
        <f t="shared" si="21"/>
        <v>3.8085608358611071E-2</v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>
        <v>0.14199999999999999</v>
      </c>
      <c r="E143" s="58">
        <v>332.46199999999999</v>
      </c>
      <c r="F143" s="59">
        <v>13.85</v>
      </c>
      <c r="G143" s="60"/>
      <c r="H143" s="60">
        <v>4140</v>
      </c>
      <c r="I143" s="60">
        <f t="shared" si="14"/>
        <v>21292.019999999884</v>
      </c>
      <c r="J143" s="60">
        <f t="shared" si="15"/>
        <v>5224.6800000000021</v>
      </c>
      <c r="K143" s="61">
        <f t="shared" si="19"/>
        <v>0.24538207272020365</v>
      </c>
      <c r="L143" s="60">
        <f t="shared" si="20"/>
        <v>5224.6800000000021</v>
      </c>
      <c r="M143" s="61">
        <f t="shared" si="21"/>
        <v>0.24538207272020365</v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>
        <v>0.14199999999999999</v>
      </c>
      <c r="E144" s="58">
        <v>337.65</v>
      </c>
      <c r="F144" s="59">
        <v>13.911</v>
      </c>
      <c r="G144" s="60"/>
      <c r="H144" s="60">
        <v>4140</v>
      </c>
      <c r="I144" s="60">
        <f t="shared" ref="I144:J159" si="22">IF(D144="","",+(E144-E143)*4140)</f>
        <v>21478.319999999952</v>
      </c>
      <c r="J144" s="60">
        <f t="shared" si="22"/>
        <v>252.53999999999976</v>
      </c>
      <c r="K144" s="61">
        <f t="shared" si="19"/>
        <v>1.17579028527371E-2</v>
      </c>
      <c r="L144" s="60">
        <f t="shared" si="20"/>
        <v>252.53999999999976</v>
      </c>
      <c r="M144" s="61">
        <f t="shared" si="21"/>
        <v>1.17579028527371E-2</v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>
        <v>0.14199999999999999</v>
      </c>
      <c r="E145" s="58">
        <v>342.79</v>
      </c>
      <c r="F145" s="59">
        <v>14.000999999999999</v>
      </c>
      <c r="G145" s="60"/>
      <c r="H145" s="60">
        <v>4140</v>
      </c>
      <c r="I145" s="60">
        <f t="shared" si="22"/>
        <v>21279.60000000018</v>
      </c>
      <c r="J145" s="60">
        <f t="shared" si="22"/>
        <v>372.5999999999994</v>
      </c>
      <c r="K145" s="61">
        <f t="shared" si="19"/>
        <v>1.7509727626458967E-2</v>
      </c>
      <c r="L145" s="60">
        <f t="shared" si="20"/>
        <v>372.5999999999994</v>
      </c>
      <c r="M145" s="61">
        <f t="shared" si="21"/>
        <v>1.7509727626458967E-2</v>
      </c>
      <c r="N145" s="62">
        <v>66068309</v>
      </c>
      <c r="O145" s="62">
        <f t="shared" si="17"/>
        <v>0</v>
      </c>
      <c r="P145" s="71">
        <f>IF(J124="",0,+SUM(J124:J154)/SUM(I124:I154))</f>
        <v>4.3936290904804699E-2</v>
      </c>
      <c r="Q145" s="71">
        <f>IF(L124="",0,+SUM(L124:L154)/SUM(I124:I154))</f>
        <v>4.3936290904804699E-2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>
        <v>0.14199999999999999</v>
      </c>
      <c r="E146" s="58">
        <v>348.30700000000002</v>
      </c>
      <c r="F146" s="59">
        <v>14.26</v>
      </c>
      <c r="G146" s="60"/>
      <c r="H146" s="60">
        <v>4140</v>
      </c>
      <c r="I146" s="60">
        <f t="shared" si="22"/>
        <v>22840.379999999983</v>
      </c>
      <c r="J146" s="60">
        <f t="shared" si="22"/>
        <v>1072.2600000000014</v>
      </c>
      <c r="K146" s="61">
        <f t="shared" si="19"/>
        <v>4.6945803878919799E-2</v>
      </c>
      <c r="L146" s="60">
        <f t="shared" si="20"/>
        <v>1072.2600000000014</v>
      </c>
      <c r="M146" s="61">
        <f t="shared" si="21"/>
        <v>4.6945803878919799E-2</v>
      </c>
      <c r="N146" s="62">
        <v>66068309</v>
      </c>
      <c r="O146" s="62">
        <f t="shared" si="17"/>
        <v>0</v>
      </c>
      <c r="P146" s="72" t="e">
        <f>IF(J124="",0,+(+(LOOKUP(9.99999999999999E+307,E124:E154)-E123))/(+(LOOKUP(9.99999999999999E+307,D124:D154)-D123)))</f>
        <v>#DIV/0!</v>
      </c>
      <c r="Q146" s="72" t="e">
        <f>IF(L124="",0,+(+(LOOKUP(9.99999999999999E+307,F124:F154)-F123))/(+(LOOKUP(9.99999999999999E+307,D124:D154)-D123)))</f>
        <v>#DIV/0!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>
        <v>0.14199999999999999</v>
      </c>
      <c r="E147" s="58">
        <v>354.14299999999997</v>
      </c>
      <c r="F147" s="59">
        <v>14.481</v>
      </c>
      <c r="G147" s="60"/>
      <c r="H147" s="60">
        <v>4140</v>
      </c>
      <c r="I147" s="60">
        <f t="shared" si="22"/>
        <v>24161.039999999819</v>
      </c>
      <c r="J147" s="60">
        <f t="shared" si="22"/>
        <v>914.9400000000004</v>
      </c>
      <c r="K147" s="61">
        <f t="shared" si="19"/>
        <v>3.7868403015764524E-2</v>
      </c>
      <c r="L147" s="60">
        <f t="shared" si="20"/>
        <v>914.9400000000004</v>
      </c>
      <c r="M147" s="61">
        <f t="shared" si="21"/>
        <v>3.7868403015764524E-2</v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>
        <v>0.14199999999999999</v>
      </c>
      <c r="E148" s="58">
        <v>360.358</v>
      </c>
      <c r="F148" s="59">
        <v>14.698</v>
      </c>
      <c r="G148" s="60"/>
      <c r="H148" s="60">
        <v>4140</v>
      </c>
      <c r="I148" s="60">
        <f t="shared" si="22"/>
        <v>25730.100000000133</v>
      </c>
      <c r="J148" s="60">
        <f t="shared" si="22"/>
        <v>898.38000000000216</v>
      </c>
      <c r="K148" s="61">
        <f t="shared" si="19"/>
        <v>3.4915526950925084E-2</v>
      </c>
      <c r="L148" s="60">
        <f t="shared" si="20"/>
        <v>898.38000000000216</v>
      </c>
      <c r="M148" s="61">
        <f t="shared" si="21"/>
        <v>3.4915526950925084E-2</v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>
        <v>0.14199999999999999</v>
      </c>
      <c r="E149" s="58">
        <v>366.03699999999998</v>
      </c>
      <c r="F149" s="59">
        <v>14.864000000000001</v>
      </c>
      <c r="G149" s="60"/>
      <c r="H149" s="60">
        <v>4140</v>
      </c>
      <c r="I149" s="60">
        <f t="shared" si="22"/>
        <v>23511.059999999892</v>
      </c>
      <c r="J149" s="60">
        <f t="shared" si="22"/>
        <v>687.24000000000149</v>
      </c>
      <c r="K149" s="61">
        <f t="shared" si="19"/>
        <v>2.9230498327170475E-2</v>
      </c>
      <c r="L149" s="60">
        <f t="shared" si="20"/>
        <v>687.24000000000149</v>
      </c>
      <c r="M149" s="61">
        <f t="shared" si="21"/>
        <v>2.9230498327170475E-2</v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3104010.0599999954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2021-05-28T06:28:06Z</dcterms:modified>
  <cp:category/>
  <cp:contentStatus/>
</cp:coreProperties>
</file>