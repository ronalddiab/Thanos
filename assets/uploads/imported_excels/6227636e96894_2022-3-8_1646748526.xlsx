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95C2BB1C-8F54-40BE-ADA6-30117D0AE8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" sheetId="11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6" l="1"/>
  <c r="E29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2" i="6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2" i="6"/>
  <c r="E2" i="6"/>
  <c r="C30" i="10"/>
  <c r="C31" i="10"/>
  <c r="C32" i="10"/>
  <c r="I21" i="11"/>
  <c r="I22" i="11"/>
  <c r="I23" i="11"/>
  <c r="I24" i="11"/>
  <c r="I25" i="11"/>
  <c r="I26" i="11"/>
  <c r="H31" i="11"/>
  <c r="I31" i="11"/>
  <c r="I32" i="11"/>
  <c r="I33" i="11"/>
  <c r="I34" i="11"/>
  <c r="I35" i="11"/>
  <c r="I20" i="11"/>
  <c r="H35" i="11"/>
  <c r="E35" i="11"/>
  <c r="H34" i="11"/>
  <c r="E34" i="11"/>
  <c r="H33" i="11"/>
  <c r="E33" i="11"/>
  <c r="H32" i="11"/>
  <c r="E32" i="11"/>
  <c r="E31" i="11"/>
  <c r="H30" i="11"/>
  <c r="I30" i="11"/>
  <c r="E30" i="11"/>
  <c r="H29" i="11"/>
  <c r="I29" i="11"/>
  <c r="E29" i="11"/>
  <c r="H28" i="11"/>
  <c r="I28" i="11"/>
  <c r="E28" i="11"/>
  <c r="H27" i="11"/>
  <c r="E27" i="11"/>
  <c r="H26" i="11"/>
  <c r="E26" i="11"/>
  <c r="H25" i="11"/>
  <c r="E25" i="11"/>
  <c r="H24" i="11"/>
  <c r="E24" i="11"/>
  <c r="H23" i="11"/>
  <c r="E23" i="11"/>
  <c r="H22" i="11"/>
  <c r="E22" i="11"/>
  <c r="H21" i="11"/>
  <c r="E21" i="11"/>
  <c r="H20" i="11"/>
  <c r="E20" i="11"/>
  <c r="H19" i="11"/>
  <c r="E19" i="11"/>
  <c r="H18" i="11"/>
  <c r="E18" i="11"/>
  <c r="H17" i="11"/>
  <c r="E17" i="11"/>
  <c r="H16" i="11"/>
  <c r="E16" i="11"/>
  <c r="H15" i="11"/>
  <c r="E15" i="11"/>
  <c r="H14" i="11"/>
  <c r="E14" i="11"/>
  <c r="H13" i="11"/>
  <c r="E13" i="11"/>
  <c r="H12" i="11"/>
  <c r="E12" i="11"/>
  <c r="H11" i="11"/>
  <c r="E11" i="11"/>
  <c r="H10" i="11"/>
  <c r="E10" i="11"/>
  <c r="H9" i="11"/>
  <c r="E9" i="11"/>
  <c r="H8" i="11"/>
  <c r="E8" i="11"/>
  <c r="H7" i="11"/>
  <c r="E7" i="11"/>
  <c r="H6" i="11"/>
  <c r="E6" i="11"/>
  <c r="H5" i="11"/>
  <c r="E5" i="11"/>
  <c r="H4" i="11"/>
  <c r="E4" i="11"/>
  <c r="C26" i="8"/>
  <c r="C27" i="8"/>
  <c r="C27" i="10"/>
  <c r="C25" i="10"/>
  <c r="C24" i="10"/>
  <c r="E15" i="9"/>
  <c r="E14" i="9"/>
  <c r="C11" i="1"/>
  <c r="E34" i="1"/>
  <c r="C34" i="1"/>
  <c r="I34" i="1"/>
  <c r="E33" i="1"/>
  <c r="C33" i="1"/>
  <c r="I33" i="1"/>
  <c r="E32" i="1"/>
  <c r="C32" i="1"/>
  <c r="I32" i="1"/>
  <c r="E31" i="1"/>
  <c r="C31" i="1"/>
  <c r="I31" i="1"/>
  <c r="E30" i="1"/>
  <c r="C30" i="1"/>
  <c r="I30" i="1"/>
  <c r="E29" i="1"/>
  <c r="C29" i="1"/>
  <c r="I29" i="1"/>
  <c r="E28" i="1"/>
  <c r="C28" i="1"/>
  <c r="I28" i="1"/>
  <c r="E27" i="1"/>
  <c r="C27" i="1"/>
  <c r="I27" i="1"/>
  <c r="E26" i="1"/>
  <c r="C26" i="1"/>
  <c r="I26" i="1"/>
  <c r="E25" i="1"/>
  <c r="C25" i="1"/>
  <c r="I25" i="1"/>
  <c r="E24" i="1"/>
  <c r="C24" i="1"/>
  <c r="I24" i="1"/>
  <c r="E23" i="1"/>
  <c r="C23" i="1"/>
  <c r="I23" i="1"/>
  <c r="E22" i="1"/>
  <c r="C22" i="1"/>
  <c r="I22" i="1"/>
  <c r="E21" i="1"/>
  <c r="C21" i="1"/>
  <c r="I21" i="1"/>
  <c r="E20" i="1"/>
  <c r="C20" i="1"/>
  <c r="I20" i="1"/>
  <c r="E19" i="1"/>
  <c r="C19" i="1"/>
  <c r="I19" i="1"/>
  <c r="E18" i="1"/>
  <c r="C18" i="1"/>
  <c r="I18" i="1"/>
  <c r="E17" i="1"/>
  <c r="C17" i="1"/>
  <c r="I17" i="1"/>
  <c r="E16" i="1"/>
  <c r="C16" i="1"/>
  <c r="I16" i="1"/>
  <c r="E15" i="1"/>
  <c r="C15" i="1"/>
  <c r="I15" i="1"/>
  <c r="E14" i="1"/>
  <c r="C14" i="1"/>
  <c r="I14" i="1"/>
  <c r="E13" i="1"/>
  <c r="C13" i="1"/>
  <c r="I13" i="1"/>
  <c r="E12" i="1"/>
  <c r="C12" i="1"/>
  <c r="I12" i="1"/>
  <c r="E11" i="1"/>
  <c r="I11" i="1"/>
  <c r="E10" i="1"/>
  <c r="C10" i="1"/>
  <c r="I10" i="1"/>
  <c r="E9" i="1"/>
  <c r="C9" i="1"/>
  <c r="I9" i="1"/>
  <c r="E8" i="1"/>
  <c r="C8" i="1"/>
  <c r="I8" i="1"/>
  <c r="E7" i="1"/>
  <c r="C7" i="1"/>
  <c r="I7" i="1"/>
  <c r="E6" i="1"/>
  <c r="C6" i="1"/>
  <c r="I6" i="1"/>
  <c r="E5" i="1"/>
  <c r="C5" i="1"/>
  <c r="I5" i="1"/>
  <c r="E4" i="1"/>
  <c r="C4" i="1"/>
  <c r="A37" i="8"/>
  <c r="F36" i="8"/>
  <c r="J35" i="8"/>
  <c r="I35" i="8"/>
  <c r="J34" i="8"/>
  <c r="I34" i="8"/>
  <c r="E33" i="8"/>
  <c r="C33" i="8"/>
  <c r="J33" i="8"/>
  <c r="E32" i="8"/>
  <c r="C32" i="8"/>
  <c r="J32" i="8"/>
  <c r="E31" i="8"/>
  <c r="C31" i="8"/>
  <c r="J31" i="8"/>
  <c r="E30" i="8"/>
  <c r="C30" i="8"/>
  <c r="J30" i="8"/>
  <c r="E29" i="8"/>
  <c r="C29" i="8"/>
  <c r="J29" i="8"/>
  <c r="E28" i="8"/>
  <c r="C28" i="8"/>
  <c r="J28" i="8"/>
  <c r="E27" i="8"/>
  <c r="J27" i="8"/>
  <c r="E26" i="8"/>
  <c r="J26" i="8"/>
  <c r="E25" i="8"/>
  <c r="C25" i="8"/>
  <c r="J25" i="8"/>
  <c r="E24" i="8"/>
  <c r="C24" i="8"/>
  <c r="J24" i="8"/>
  <c r="E23" i="8"/>
  <c r="C23" i="8"/>
  <c r="J23" i="8"/>
  <c r="E22" i="8"/>
  <c r="C22" i="8"/>
  <c r="J22" i="8"/>
  <c r="E21" i="8"/>
  <c r="C21" i="8"/>
  <c r="J21" i="8"/>
  <c r="E20" i="8"/>
  <c r="C20" i="8"/>
  <c r="J20" i="8"/>
  <c r="E19" i="8"/>
  <c r="C19" i="8"/>
  <c r="J19" i="8"/>
  <c r="E18" i="8"/>
  <c r="C18" i="8"/>
  <c r="J18" i="8"/>
  <c r="E17" i="8"/>
  <c r="C17" i="8"/>
  <c r="J17" i="8"/>
  <c r="E16" i="8"/>
  <c r="C16" i="8"/>
  <c r="J16" i="8"/>
  <c r="E15" i="8"/>
  <c r="C15" i="8"/>
  <c r="J15" i="8"/>
  <c r="E14" i="8"/>
  <c r="C14" i="8"/>
  <c r="J14" i="8"/>
  <c r="E13" i="8"/>
  <c r="C13" i="8"/>
  <c r="J13" i="8"/>
  <c r="E12" i="8"/>
  <c r="C12" i="8"/>
  <c r="J12" i="8"/>
  <c r="E11" i="8"/>
  <c r="C11" i="8"/>
  <c r="J11" i="8"/>
  <c r="E10" i="8"/>
  <c r="C10" i="8"/>
  <c r="J10" i="8"/>
  <c r="E9" i="8"/>
  <c r="C9" i="8"/>
  <c r="J9" i="8"/>
  <c r="E8" i="8"/>
  <c r="C8" i="8"/>
  <c r="J8" i="8"/>
  <c r="E7" i="8"/>
  <c r="C7" i="8"/>
  <c r="J7" i="8"/>
  <c r="E6" i="8"/>
  <c r="C6" i="8"/>
  <c r="J6" i="8"/>
  <c r="E5" i="8"/>
  <c r="C5" i="8"/>
  <c r="J5" i="8"/>
  <c r="E4" i="8"/>
  <c r="C4" i="8"/>
  <c r="A37" i="9"/>
  <c r="F36" i="9"/>
  <c r="J35" i="9"/>
  <c r="I35" i="9"/>
  <c r="J34" i="9"/>
  <c r="I34" i="9"/>
  <c r="E33" i="9"/>
  <c r="C33" i="9"/>
  <c r="J33" i="9"/>
  <c r="E32" i="9"/>
  <c r="C32" i="9"/>
  <c r="J32" i="9"/>
  <c r="E31" i="9"/>
  <c r="C31" i="9"/>
  <c r="J31" i="9"/>
  <c r="E30" i="9"/>
  <c r="C30" i="9"/>
  <c r="J30" i="9"/>
  <c r="E29" i="9"/>
  <c r="C29" i="9"/>
  <c r="J29" i="9"/>
  <c r="E28" i="9"/>
  <c r="C28" i="9"/>
  <c r="J28" i="9"/>
  <c r="E27" i="9"/>
  <c r="C27" i="9"/>
  <c r="J27" i="9"/>
  <c r="E26" i="9"/>
  <c r="C26" i="9"/>
  <c r="J26" i="9"/>
  <c r="E25" i="9"/>
  <c r="C25" i="9"/>
  <c r="J25" i="9"/>
  <c r="E24" i="9"/>
  <c r="C24" i="9"/>
  <c r="J24" i="9"/>
  <c r="E23" i="9"/>
  <c r="C23" i="9"/>
  <c r="J23" i="9"/>
  <c r="E22" i="9"/>
  <c r="C22" i="9"/>
  <c r="J22" i="9"/>
  <c r="E21" i="9"/>
  <c r="C21" i="9"/>
  <c r="J21" i="9"/>
  <c r="E20" i="9"/>
  <c r="C20" i="9"/>
  <c r="J20" i="9"/>
  <c r="E19" i="9"/>
  <c r="C19" i="9"/>
  <c r="J19" i="9"/>
  <c r="E18" i="9"/>
  <c r="C18" i="9"/>
  <c r="J18" i="9"/>
  <c r="E17" i="9"/>
  <c r="C17" i="9"/>
  <c r="J17" i="9"/>
  <c r="E16" i="9"/>
  <c r="C16" i="9"/>
  <c r="J16" i="9"/>
  <c r="C15" i="9"/>
  <c r="J15" i="9"/>
  <c r="C14" i="9"/>
  <c r="J14" i="9"/>
  <c r="E13" i="9"/>
  <c r="C13" i="9"/>
  <c r="J13" i="9"/>
  <c r="E12" i="9"/>
  <c r="C12" i="9"/>
  <c r="J12" i="9"/>
  <c r="E11" i="9"/>
  <c r="C11" i="9"/>
  <c r="J11" i="9"/>
  <c r="E10" i="9"/>
  <c r="C10" i="9"/>
  <c r="J10" i="9"/>
  <c r="E9" i="9"/>
  <c r="C9" i="9"/>
  <c r="J9" i="9"/>
  <c r="E8" i="9"/>
  <c r="C8" i="9"/>
  <c r="J8" i="9"/>
  <c r="E7" i="9"/>
  <c r="C7" i="9"/>
  <c r="J7" i="9"/>
  <c r="E6" i="9"/>
  <c r="C6" i="9"/>
  <c r="J6" i="9"/>
  <c r="E5" i="9"/>
  <c r="C5" i="9"/>
  <c r="J5" i="9"/>
  <c r="E4" i="9"/>
  <c r="C4" i="9"/>
  <c r="A37" i="10"/>
  <c r="F36" i="10"/>
  <c r="J35" i="10"/>
  <c r="I35" i="10"/>
  <c r="C34" i="10"/>
  <c r="J34" i="10"/>
  <c r="E33" i="10"/>
  <c r="C33" i="10"/>
  <c r="J33" i="10"/>
  <c r="E32" i="10"/>
  <c r="J32" i="10"/>
  <c r="J31" i="10"/>
  <c r="E30" i="10"/>
  <c r="J30" i="10"/>
  <c r="E29" i="10"/>
  <c r="C29" i="10"/>
  <c r="J29" i="10"/>
  <c r="E28" i="10"/>
  <c r="C28" i="10"/>
  <c r="J28" i="10"/>
  <c r="E27" i="10"/>
  <c r="J27" i="10"/>
  <c r="E26" i="10"/>
  <c r="C26" i="10"/>
  <c r="J26" i="10"/>
  <c r="E25" i="10"/>
  <c r="J25" i="10"/>
  <c r="E24" i="10"/>
  <c r="J24" i="10"/>
  <c r="E23" i="10"/>
  <c r="C23" i="10"/>
  <c r="J23" i="10"/>
  <c r="E22" i="10"/>
  <c r="C22" i="10"/>
  <c r="J22" i="10"/>
  <c r="E21" i="10"/>
  <c r="C21" i="10"/>
  <c r="J21" i="10"/>
  <c r="E20" i="10"/>
  <c r="C20" i="10"/>
  <c r="J20" i="10"/>
  <c r="E19" i="10"/>
  <c r="C19" i="10"/>
  <c r="J19" i="10"/>
  <c r="E18" i="10"/>
  <c r="C18" i="10"/>
  <c r="J18" i="10"/>
  <c r="E17" i="10"/>
  <c r="C17" i="10"/>
  <c r="J17" i="10"/>
  <c r="E16" i="10"/>
  <c r="C16" i="10"/>
  <c r="J16" i="10"/>
  <c r="E15" i="10"/>
  <c r="C15" i="10"/>
  <c r="J15" i="10"/>
  <c r="E14" i="10"/>
  <c r="C14" i="10"/>
  <c r="J14" i="10"/>
  <c r="E13" i="10"/>
  <c r="C13" i="10"/>
  <c r="J13" i="10"/>
  <c r="E12" i="10"/>
  <c r="C12" i="10"/>
  <c r="J12" i="10"/>
  <c r="E11" i="10"/>
  <c r="C11" i="10"/>
  <c r="J11" i="10"/>
  <c r="E10" i="10"/>
  <c r="C10" i="10"/>
  <c r="J10" i="10"/>
  <c r="E9" i="10"/>
  <c r="C9" i="10"/>
  <c r="J9" i="10"/>
  <c r="E8" i="10"/>
  <c r="C8" i="10"/>
  <c r="J8" i="10"/>
  <c r="E7" i="10"/>
  <c r="C7" i="10"/>
  <c r="J7" i="10"/>
  <c r="E6" i="10"/>
  <c r="C6" i="10"/>
  <c r="J6" i="10"/>
  <c r="E5" i="10"/>
  <c r="C5" i="10"/>
  <c r="J5" i="10"/>
  <c r="E4" i="10"/>
  <c r="C4" i="10"/>
  <c r="H31" i="6"/>
  <c r="H30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G30" i="6"/>
  <c r="G31" i="6"/>
  <c r="C35" i="1"/>
  <c r="I4" i="1"/>
  <c r="E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C37" i="8"/>
  <c r="C36" i="8"/>
  <c r="J4" i="8"/>
  <c r="E36" i="8"/>
  <c r="I36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C36" i="9"/>
  <c r="J4" i="9"/>
  <c r="E36" i="9"/>
  <c r="I36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C36" i="10"/>
  <c r="J4" i="10"/>
  <c r="E36" i="10"/>
  <c r="I36" i="10"/>
  <c r="I4" i="10"/>
  <c r="I5" i="10"/>
  <c r="E3" i="6"/>
  <c r="F3" i="6"/>
  <c r="I6" i="10"/>
  <c r="E4" i="6"/>
  <c r="F4" i="6"/>
  <c r="I7" i="10"/>
  <c r="E5" i="6"/>
  <c r="F5" i="6"/>
  <c r="I8" i="10"/>
  <c r="E6" i="6"/>
  <c r="F6" i="6"/>
  <c r="I9" i="10"/>
  <c r="E7" i="6"/>
  <c r="F7" i="6"/>
  <c r="I10" i="10"/>
  <c r="E8" i="6"/>
  <c r="F8" i="6"/>
  <c r="I11" i="10"/>
  <c r="E9" i="6"/>
  <c r="F9" i="6"/>
  <c r="I12" i="10"/>
  <c r="E10" i="6"/>
  <c r="F10" i="6"/>
  <c r="I13" i="10"/>
  <c r="E11" i="6"/>
  <c r="F11" i="6"/>
  <c r="I14" i="10"/>
  <c r="E12" i="6"/>
  <c r="F12" i="6"/>
  <c r="I15" i="10"/>
  <c r="E13" i="6"/>
  <c r="F13" i="6"/>
  <c r="I16" i="10"/>
  <c r="E14" i="6"/>
  <c r="F14" i="6"/>
  <c r="I17" i="10"/>
  <c r="E15" i="6"/>
  <c r="F15" i="6"/>
  <c r="I18" i="10"/>
  <c r="E16" i="6"/>
  <c r="F16" i="6"/>
  <c r="I19" i="10"/>
  <c r="E17" i="6"/>
  <c r="F17" i="6"/>
  <c r="I20" i="10"/>
  <c r="E18" i="6"/>
  <c r="F18" i="6"/>
  <c r="I21" i="10"/>
  <c r="E19" i="6"/>
  <c r="F19" i="6"/>
  <c r="I22" i="10"/>
  <c r="E20" i="6"/>
  <c r="F20" i="6"/>
  <c r="I23" i="10"/>
  <c r="E21" i="6"/>
  <c r="F21" i="6"/>
  <c r="I24" i="10"/>
  <c r="E22" i="6"/>
  <c r="F22" i="6"/>
  <c r="I25" i="10"/>
  <c r="E23" i="6"/>
  <c r="F23" i="6"/>
  <c r="I26" i="10"/>
  <c r="E24" i="6"/>
  <c r="F24" i="6"/>
  <c r="I27" i="10"/>
  <c r="E25" i="6"/>
  <c r="F25" i="6"/>
  <c r="I28" i="10"/>
  <c r="E26" i="6"/>
  <c r="F26" i="6"/>
  <c r="I29" i="10"/>
  <c r="E27" i="6"/>
  <c r="F27" i="6"/>
  <c r="I30" i="10"/>
  <c r="F28" i="6"/>
  <c r="I31" i="10"/>
  <c r="F29" i="6"/>
  <c r="I32" i="10"/>
  <c r="E30" i="6"/>
  <c r="F30" i="6"/>
  <c r="I33" i="10"/>
  <c r="E31" i="6"/>
  <c r="F31" i="6"/>
  <c r="I34" i="10"/>
  <c r="E32" i="6"/>
  <c r="F32" i="6"/>
  <c r="I32" i="6"/>
  <c r="J32" i="6"/>
  <c r="I31" i="6"/>
  <c r="J31" i="6"/>
  <c r="I30" i="6"/>
  <c r="J30" i="6"/>
  <c r="I29" i="6"/>
  <c r="J29" i="6"/>
  <c r="I28" i="6"/>
  <c r="J28" i="6"/>
  <c r="I27" i="6"/>
  <c r="J27" i="6"/>
  <c r="I26" i="6"/>
  <c r="J26" i="6"/>
  <c r="I25" i="6"/>
  <c r="J25" i="6"/>
  <c r="I24" i="6"/>
  <c r="J24" i="6"/>
  <c r="I23" i="6"/>
  <c r="J23" i="6"/>
  <c r="I22" i="6"/>
  <c r="J22" i="6"/>
  <c r="I21" i="6"/>
  <c r="J21" i="6"/>
  <c r="I20" i="6"/>
  <c r="J20" i="6"/>
  <c r="I19" i="6"/>
  <c r="J19" i="6"/>
  <c r="I18" i="6"/>
  <c r="J18" i="6"/>
  <c r="I17" i="6"/>
  <c r="J17" i="6"/>
  <c r="I16" i="6"/>
  <c r="J16" i="6"/>
  <c r="I15" i="6"/>
  <c r="J15" i="6"/>
  <c r="I14" i="6"/>
  <c r="J14" i="6"/>
  <c r="I13" i="6"/>
  <c r="J13" i="6"/>
  <c r="I12" i="6"/>
  <c r="J12" i="6"/>
  <c r="I11" i="6"/>
  <c r="J11" i="6"/>
  <c r="I10" i="6"/>
  <c r="J10" i="6"/>
  <c r="I9" i="6"/>
  <c r="J9" i="6"/>
  <c r="I8" i="6"/>
  <c r="J8" i="6"/>
  <c r="I7" i="6"/>
  <c r="J7" i="6"/>
  <c r="I6" i="6"/>
  <c r="J6" i="6"/>
  <c r="J5" i="6"/>
  <c r="I5" i="6"/>
  <c r="I4" i="6"/>
  <c r="J4" i="6"/>
  <c r="I3" i="6"/>
  <c r="J3" i="6"/>
  <c r="H35" i="1"/>
  <c r="I2" i="6"/>
  <c r="I35" i="1"/>
  <c r="J2" i="6"/>
  <c r="J36" i="8"/>
  <c r="J36" i="9"/>
  <c r="F2" i="6"/>
  <c r="J36" i="10"/>
  <c r="H32" i="6"/>
  <c r="I27" i="11"/>
  <c r="H38" i="11"/>
  <c r="J36" i="11"/>
  <c r="H36" i="11"/>
  <c r="I36" i="11"/>
</calcChain>
</file>

<file path=xl/sharedStrings.xml><?xml version="1.0" encoding="utf-8"?>
<sst xmlns="http://schemas.openxmlformats.org/spreadsheetml/2006/main" count="262" uniqueCount="54">
  <si>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</si>
  <si>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</si>
  <si>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</si>
  <si>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</si>
  <si>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</si>
  <si>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</si>
  <si>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</si>
  <si>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</si>
  <si>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</si>
  <si>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</si>
  <si>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</si>
  <si>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</si>
  <si>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</si>
  <si>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</si>
  <si>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</si>
  <si>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</si>
  <si>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</si>
  <si>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</si>
  <si>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</si>
  <si>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</si>
  <si>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</si>
  <si>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</si>
  <si>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</si>
  <si>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</si>
  <si>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</si>
  <si>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clear</t>
  </si>
  <si>
    <t>raining</t>
  </si>
  <si>
    <t>clowdy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</si>
  <si>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</si>
  <si>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</si>
  <si>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</si>
  <si>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</si>
  <si>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</si>
  <si>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</si>
  <si>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</si>
  <si>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</si>
  <si>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</si>
  <si>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</si>
  <si>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(m3)</t>
  </si>
  <si>
    <t>Daily Diesel Consumption</t>
  </si>
  <si>
    <t>BOILER</t>
  </si>
  <si>
    <t>TIME</t>
  </si>
  <si>
    <t>TOTAL</t>
  </si>
  <si>
    <t>Meter Reading</t>
  </si>
  <si>
    <t>Diesel in/Litre</t>
  </si>
  <si>
    <t>NO</t>
  </si>
  <si>
    <t>START</t>
  </si>
  <si>
    <t>STOP</t>
  </si>
  <si>
    <t>HRS</t>
  </si>
  <si>
    <t>(L)</t>
  </si>
  <si>
    <t>OFF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</si>
  <si>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</si>
  <si>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Balance (Litre)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</si>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</sst>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#,##0.0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charset val="1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4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" fillId="0" borderId="0" xfId="2"/>
    <xf numFmtId="0" fontId="9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6" fillId="0" borderId="1" xfId="2" applyFont="1" applyBorder="1" applyAlignment="1">
      <alignment horizontal="center"/>
    </xf>
    <xf numFmtId="2" fontId="6" fillId="0" borderId="1" xfId="2" applyNumberFormat="1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4" fontId="3" fillId="0" borderId="4" xfId="0" applyNumberFormat="1" applyFont="1" applyBorder="1"/>
    <xf numFmtId="165" fontId="2" fillId="0" borderId="0" xfId="0" applyNumberFormat="1" applyFont="1" applyAlignment="1">
      <alignment horizontal="center"/>
    </xf>
    <xf numFmtId="164" fontId="0" fillId="0" borderId="8" xfId="0" applyNumberFormat="1" applyBorder="1"/>
    <xf numFmtId="0" fontId="2" fillId="0" borderId="3" xfId="0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" fillId="3" borderId="9" xfId="0" applyNumberFormat="1" applyFont="1" applyFill="1" applyBorder="1" applyAlignment="1" applyProtection="1">
      <alignment horizontal="center"/>
      <protection locked="0"/>
    </xf>
    <xf numFmtId="0" fontId="0" fillId="4" borderId="13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1" fillId="0" borderId="0" xfId="0" applyNumberFormat="1" applyFont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0" fillId="2" borderId="3" xfId="0" applyNumberFormat="1" applyFill="1" applyBorder="1" applyAlignment="1" applyProtection="1">
      <alignment horizontal="center"/>
      <protection locked="0"/>
    </xf>
    <xf numFmtId="164" fontId="0" fillId="0" borderId="2" xfId="0" applyNumberFormat="1" applyBorder="1" applyAlignment="1">
      <alignment horizontal="center"/>
    </xf>
    <xf numFmtId="9" fontId="0" fillId="2" borderId="1" xfId="0" applyNumberFormat="1" applyFill="1" applyBorder="1" applyAlignment="1" applyProtection="1">
      <alignment horizontal="center"/>
      <protection locked="0"/>
    </xf>
    <xf numFmtId="9" fontId="0" fillId="2" borderId="14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top"/>
      <protection locked="0"/>
    </xf>
    <xf numFmtId="3" fontId="0" fillId="0" borderId="1" xfId="0" applyNumberFormat="1" applyBorder="1" applyAlignment="1">
      <alignment horizontal="center" vertical="top"/>
    </xf>
    <xf numFmtId="39" fontId="0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7" xfId="0" applyBorder="1" applyAlignment="1">
      <alignment horizontal="center"/>
    </xf>
    <xf numFmtId="39" fontId="0" fillId="0" borderId="17" xfId="1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0" fontId="0" fillId="0" borderId="17" xfId="0" applyBorder="1"/>
    <xf numFmtId="39" fontId="2" fillId="0" borderId="17" xfId="1" applyNumberFormat="1" applyFont="1" applyBorder="1" applyAlignment="1">
      <alignment horizontal="center"/>
    </xf>
    <xf numFmtId="165" fontId="10" fillId="4" borderId="18" xfId="0" quotePrefix="1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165" fontId="1" fillId="0" borderId="19" xfId="0" applyNumberFormat="1" applyFont="1" applyBorder="1" applyAlignment="1" applyProtection="1">
      <alignment horizontal="center"/>
      <protection locked="0"/>
    </xf>
    <xf numFmtId="0" fontId="1" fillId="0" borderId="21" xfId="0" applyFont="1" applyBorder="1" applyAlignment="1">
      <alignment horizontal="center"/>
    </xf>
    <xf numFmtId="165" fontId="1" fillId="3" borderId="23" xfId="0" applyNumberFormat="1" applyFont="1" applyFill="1" applyBorder="1" applyAlignment="1" applyProtection="1">
      <alignment horizontal="center"/>
      <protection locked="0"/>
    </xf>
    <xf numFmtId="165" fontId="11" fillId="5" borderId="9" xfId="0" applyNumberFormat="1" applyFont="1" applyFill="1" applyBorder="1" applyAlignment="1" applyProtection="1">
      <alignment horizontal="center"/>
      <protection locked="0"/>
    </xf>
    <xf numFmtId="165" fontId="11" fillId="5" borderId="10" xfId="0" applyNumberFormat="1" applyFont="1" applyFill="1" applyBorder="1" applyAlignment="1">
      <alignment horizontal="center"/>
    </xf>
    <xf numFmtId="165" fontId="0" fillId="5" borderId="9" xfId="0" applyNumberFormat="1" applyFill="1" applyBorder="1" applyAlignment="1" applyProtection="1">
      <alignment horizontal="center"/>
      <protection locked="0"/>
    </xf>
    <xf numFmtId="165" fontId="0" fillId="5" borderId="0" xfId="0" applyNumberFormat="1" applyFill="1" applyAlignment="1">
      <alignment horizontal="center"/>
    </xf>
    <xf numFmtId="0" fontId="0" fillId="5" borderId="0" xfId="0" applyFill="1"/>
    <xf numFmtId="165" fontId="1" fillId="5" borderId="9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center" vertical="center"/>
    </xf>
    <xf numFmtId="39" fontId="2" fillId="0" borderId="5" xfId="1" applyNumberFormat="1" applyFont="1" applyBorder="1" applyAlignment="1">
      <alignment horizontal="center" vertical="center"/>
    </xf>
    <xf numFmtId="39" fontId="2" fillId="0" borderId="5" xfId="1" applyNumberFormat="1" applyFont="1" applyFill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1" fillId="5" borderId="12" xfId="0" applyNumberFormat="1" applyFont="1" applyFill="1" applyBorder="1" applyAlignment="1">
      <alignment horizontal="center"/>
    </xf>
    <xf numFmtId="165" fontId="1" fillId="6" borderId="3" xfId="0" applyNumberFormat="1" applyFont="1" applyFill="1" applyBorder="1" applyAlignment="1" applyProtection="1">
      <alignment horizontal="center"/>
      <protection locked="0"/>
    </xf>
    <xf numFmtId="165" fontId="0" fillId="6" borderId="3" xfId="0" applyNumberFormat="1" applyFill="1" applyBorder="1" applyAlignment="1" applyProtection="1">
      <alignment horizontal="center"/>
      <protection locked="0"/>
    </xf>
    <xf numFmtId="165" fontId="1" fillId="6" borderId="1" xfId="0" applyNumberFormat="1" applyFont="1" applyFill="1" applyBorder="1" applyAlignment="1">
      <alignment horizontal="center"/>
    </xf>
    <xf numFmtId="165" fontId="1" fillId="6" borderId="22" xfId="0" applyNumberFormat="1" applyFont="1" applyFill="1" applyBorder="1" applyAlignment="1" applyProtection="1">
      <alignment horizontal="center"/>
      <protection locked="0"/>
    </xf>
    <xf numFmtId="165" fontId="1" fillId="6" borderId="11" xfId="0" applyNumberFormat="1" applyFont="1" applyFill="1" applyBorder="1" applyAlignment="1" applyProtection="1">
      <alignment horizontal="center"/>
      <protection locked="0"/>
    </xf>
    <xf numFmtId="165" fontId="1" fillId="4" borderId="1" xfId="0" applyNumberFormat="1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1" fillId="4" borderId="21" xfId="0" applyNumberFormat="1" applyFont="1" applyFill="1" applyBorder="1" applyAlignment="1">
      <alignment horizontal="center"/>
    </xf>
    <xf numFmtId="165" fontId="1" fillId="4" borderId="12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0" fillId="5" borderId="0" xfId="0" applyNumberFormat="1" applyFill="1" applyAlignment="1">
      <alignment horizontal="center"/>
    </xf>
    <xf numFmtId="165" fontId="0" fillId="5" borderId="20" xfId="0" applyNumberForma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2" sqref="G2"/>
    </sheetView>
  </sheetViews>
  <sheetFormatPr defaultColWidth="9.140625" defaultRowHeight="12.75" x14ac:dyDescent="0.2"/>
  <cols>
    <col min="1" max="1" width="12.7109375" style="23" bestFit="1" customWidth="1"/>
    <col min="2" max="4" width="9.140625" style="23"/>
    <col min="5" max="5" width="14.28515625" style="23" customWidth="1"/>
    <col min="6" max="6" width="12.140625" style="23" customWidth="1"/>
    <col min="7" max="7" width="9.140625" style="23"/>
    <col min="8" max="8" width="19.28515625" style="23" customWidth="1"/>
    <col min="9" max="9" width="13.5703125" style="23" customWidth="1"/>
    <col min="10" max="10" width="11.28515625" style="23" customWidth="1"/>
    <col min="11" max="16384" width="9.140625" style="23"/>
  </cols>
  <sheetData>
    <row r="1" spans="1:12" ht="60" x14ac:dyDescent="0.2">
      <c r="A1" s="18" t="s">
        <v>0</v>
      </c>
      <c r="B1" s="18" t="s">
        <v>1</v>
      </c>
      <c r="C1" s="19" t="s">
        <v>2</v>
      </c>
      <c r="D1" s="18" t="s">
        <v>3</v>
      </c>
      <c r="E1" s="20" t="s">
        <v>4</v>
      </c>
      <c r="F1" s="21" t="s">
        <v>5</v>
      </c>
      <c r="G1" s="20" t="s">
        <v>53</v>
      </c>
      <c r="H1" s="21" t="s">
        <v>6</v>
      </c>
      <c r="I1" s="20" t="s">
        <v>7</v>
      </c>
      <c r="J1" s="22" t="s">
        <v>8</v>
      </c>
      <c r="K1" s="20" t="s">
        <v>9</v>
      </c>
      <c r="L1" s="20" t="s">
        <v>10</v>
      </c>
    </row>
    <row r="2" spans="1:12" ht="15" x14ac:dyDescent="0.25">
      <c r="A2" s="24" t="s">
        <v>11</v>
      </c>
      <c r="B2" s="25">
        <v>1</v>
      </c>
      <c r="C2" s="26">
        <v>2</v>
      </c>
      <c r="D2" s="25">
        <v>2022</v>
      </c>
      <c r="E2" s="27">
        <f>'B16'!I4+'B16 ext'!I4+'B17'!I4</f>
        <v>23258</v>
      </c>
      <c r="F2" s="29">
        <f>('B16'!J4+'B16 ext'!J4+'B17'!J4)/TOTAL!E2</f>
        <v>0.24967163986585258</v>
      </c>
      <c r="G2" s="27">
        <f>'Diesel Reading'!H4</f>
        <v>228.10000000009313</v>
      </c>
      <c r="H2" s="28">
        <f>'Diesel Reading'!I4/'Diesel Reading'!H4</f>
        <v>3.3</v>
      </c>
      <c r="I2" s="27">
        <f>'Water Reading'!H4</f>
        <v>1311</v>
      </c>
      <c r="J2" s="29">
        <f>'Water Reading'!I4/'Water Reading'!H4</f>
        <v>1.3499999999999999</v>
      </c>
      <c r="K2" s="27">
        <v>73</v>
      </c>
      <c r="L2" s="27"/>
    </row>
    <row r="3" spans="1:12" ht="15" x14ac:dyDescent="0.25">
      <c r="A3" s="24" t="s">
        <v>11</v>
      </c>
      <c r="B3" s="25">
        <f>B2+1</f>
        <v>2</v>
      </c>
      <c r="C3" s="26">
        <v>2</v>
      </c>
      <c r="D3" s="25">
        <v>2022</v>
      </c>
      <c r="E3" s="27">
        <f>'B16'!I5+'B16 ext'!I5+'B17'!I5</f>
        <v>24273</v>
      </c>
      <c r="F3" s="29">
        <f>('B16'!J5+'B16 ext'!J5+'B17'!J5)/TOTAL!E3</f>
        <v>0.247675441848968</v>
      </c>
      <c r="G3" s="27">
        <f>'Diesel Reading'!H5</f>
        <v>298.69999999995343</v>
      </c>
      <c r="H3" s="28">
        <f>'Diesel Reading'!I5/'Diesel Reading'!H5</f>
        <v>3.3</v>
      </c>
      <c r="I3" s="27">
        <f>'Water Reading'!H5</f>
        <v>1285</v>
      </c>
      <c r="J3" s="29">
        <f>'Water Reading'!I5/'Water Reading'!H5</f>
        <v>1.35</v>
      </c>
      <c r="K3" s="27">
        <v>72</v>
      </c>
      <c r="L3" s="27"/>
    </row>
    <row r="4" spans="1:12" ht="15" x14ac:dyDescent="0.25">
      <c r="A4" s="24" t="s">
        <v>11</v>
      </c>
      <c r="B4" s="25">
        <f t="shared" ref="B4:B29" si="0">B3+1</f>
        <v>3</v>
      </c>
      <c r="C4" s="26">
        <v>2</v>
      </c>
      <c r="D4" s="25">
        <v>2022</v>
      </c>
      <c r="E4" s="27">
        <f>'B16'!I6+'B16 ext'!I6+'B17'!I6</f>
        <v>21915</v>
      </c>
      <c r="F4" s="29">
        <f>('B16'!J6+'B16 ext'!J6+'B17'!J6)/TOTAL!E4</f>
        <v>0.24889801505817935</v>
      </c>
      <c r="G4" s="27">
        <f>'Diesel Reading'!H6</f>
        <v>265.5999999998603</v>
      </c>
      <c r="H4" s="28">
        <f>'Diesel Reading'!I6/'Diesel Reading'!H6</f>
        <v>3.3</v>
      </c>
      <c r="I4" s="27">
        <f>'Water Reading'!H6</f>
        <v>1078</v>
      </c>
      <c r="J4" s="29">
        <f>'Water Reading'!I6/'Water Reading'!H6</f>
        <v>1.3499999999999999</v>
      </c>
      <c r="K4" s="27">
        <v>70</v>
      </c>
      <c r="L4" s="27"/>
    </row>
    <row r="5" spans="1:12" ht="15" x14ac:dyDescent="0.25">
      <c r="A5" s="24" t="s">
        <v>11</v>
      </c>
      <c r="B5" s="25">
        <f t="shared" si="0"/>
        <v>4</v>
      </c>
      <c r="C5" s="26">
        <v>2</v>
      </c>
      <c r="D5" s="25">
        <v>2022</v>
      </c>
      <c r="E5" s="27">
        <f>'B16'!I7+'B16 ext'!I7+'B17'!I7</f>
        <v>20807</v>
      </c>
      <c r="F5" s="29">
        <f>('B16'!J7+'B16 ext'!J7+'B17'!J7)/TOTAL!E5</f>
        <v>0.24794141394722927</v>
      </c>
      <c r="G5" s="27">
        <f>'Diesel Reading'!H7</f>
        <v>158.9000000001397</v>
      </c>
      <c r="H5" s="28">
        <f>'Diesel Reading'!I7/'Diesel Reading'!H7</f>
        <v>3.3</v>
      </c>
      <c r="I5" s="27">
        <f>'Water Reading'!H7</f>
        <v>1088</v>
      </c>
      <c r="J5" s="29">
        <f>'Water Reading'!I7/'Water Reading'!H7</f>
        <v>1.35</v>
      </c>
      <c r="K5" s="27">
        <v>47</v>
      </c>
      <c r="L5" s="27"/>
    </row>
    <row r="6" spans="1:12" ht="15" x14ac:dyDescent="0.25">
      <c r="A6" s="24" t="s">
        <v>11</v>
      </c>
      <c r="B6" s="25">
        <f t="shared" si="0"/>
        <v>5</v>
      </c>
      <c r="C6" s="26">
        <v>2</v>
      </c>
      <c r="D6" s="25">
        <v>2022</v>
      </c>
      <c r="E6" s="27">
        <f>'B16'!I8+'B16 ext'!I8+'B17'!I8</f>
        <v>18931</v>
      </c>
      <c r="F6" s="29">
        <f>('B16'!J8+'B16 ext'!J8+'B17'!J8)/TOTAL!E6</f>
        <v>0.24811129892768474</v>
      </c>
      <c r="G6" s="27">
        <f>'Diesel Reading'!H8</f>
        <v>92.800000000046566</v>
      </c>
      <c r="H6" s="28">
        <f>'Diesel Reading'!I8/'Diesel Reading'!H8</f>
        <v>3.3</v>
      </c>
      <c r="I6" s="27">
        <f>'Water Reading'!H8</f>
        <v>1133</v>
      </c>
      <c r="J6" s="29">
        <f>'Water Reading'!I8/'Water Reading'!H8</f>
        <v>1.3499999999999999</v>
      </c>
      <c r="K6" s="27">
        <v>26</v>
      </c>
      <c r="L6" s="27"/>
    </row>
    <row r="7" spans="1:12" ht="15" x14ac:dyDescent="0.25">
      <c r="A7" s="24" t="s">
        <v>11</v>
      </c>
      <c r="B7" s="25">
        <f t="shared" si="0"/>
        <v>6</v>
      </c>
      <c r="C7" s="26">
        <v>2</v>
      </c>
      <c r="D7" s="25">
        <v>2022</v>
      </c>
      <c r="E7" s="27">
        <f>'B16'!I9+'B16 ext'!I9+'B17'!I9</f>
        <v>19795</v>
      </c>
      <c r="F7" s="29">
        <f>('B16'!J9+'B16 ext'!J9+'B17'!J9)/TOTAL!E7</f>
        <v>0.24509719626168228</v>
      </c>
      <c r="G7" s="27">
        <f>'Diesel Reading'!H9</f>
        <v>209.89999999990687</v>
      </c>
      <c r="H7" s="28">
        <f>'Diesel Reading'!I9/'Diesel Reading'!H9</f>
        <v>3.3</v>
      </c>
      <c r="I7" s="27">
        <f>'Water Reading'!H9</f>
        <v>1226</v>
      </c>
      <c r="J7" s="29">
        <f>'Water Reading'!I9/'Water Reading'!H9</f>
        <v>1.3499999999999999</v>
      </c>
      <c r="K7" s="27">
        <v>19</v>
      </c>
      <c r="L7" s="27"/>
    </row>
    <row r="8" spans="1:12" ht="15" x14ac:dyDescent="0.25">
      <c r="A8" s="24" t="s">
        <v>11</v>
      </c>
      <c r="B8" s="25">
        <f t="shared" si="0"/>
        <v>7</v>
      </c>
      <c r="C8" s="26">
        <v>2</v>
      </c>
      <c r="D8" s="25">
        <v>2022</v>
      </c>
      <c r="E8" s="27">
        <f>'B16'!I10+'B16 ext'!I10+'B17'!I10</f>
        <v>19335</v>
      </c>
      <c r="F8" s="29">
        <f>('B16'!J10+'B16 ext'!J10+'B17'!J10)/TOTAL!E8</f>
        <v>0.2489103180760279</v>
      </c>
      <c r="G8" s="27">
        <f>'Diesel Reading'!H10</f>
        <v>195.80000000004657</v>
      </c>
      <c r="H8" s="28">
        <f>'Diesel Reading'!I10/'Diesel Reading'!H10</f>
        <v>3.2999999999999994</v>
      </c>
      <c r="I8" s="27">
        <f>'Water Reading'!H10</f>
        <v>1161</v>
      </c>
      <c r="J8" s="29">
        <f>'Water Reading'!I10/'Water Reading'!H10</f>
        <v>1.35</v>
      </c>
      <c r="K8" s="27">
        <v>25</v>
      </c>
      <c r="L8" s="27"/>
    </row>
    <row r="9" spans="1:12" ht="15" x14ac:dyDescent="0.25">
      <c r="A9" s="24" t="s">
        <v>11</v>
      </c>
      <c r="B9" s="25">
        <f t="shared" si="0"/>
        <v>8</v>
      </c>
      <c r="C9" s="26">
        <v>2</v>
      </c>
      <c r="D9" s="25">
        <v>2022</v>
      </c>
      <c r="E9" s="27">
        <f>'B16'!I11+'B16 ext'!I11+'B17'!I11</f>
        <v>18188</v>
      </c>
      <c r="F9" s="29">
        <f>('B16'!J11+'B16 ext'!J11+'B17'!J11)/TOTAL!E9</f>
        <v>0.23815741148009675</v>
      </c>
      <c r="G9" s="27">
        <f>'Diesel Reading'!H11</f>
        <v>0</v>
      </c>
      <c r="H9" s="28" t="e">
        <f>'Diesel Reading'!I11/'Diesel Reading'!H11</f>
        <v>#DIV/0!</v>
      </c>
      <c r="I9" s="27">
        <f>'Water Reading'!H11</f>
        <v>1200</v>
      </c>
      <c r="J9" s="29">
        <f>'Water Reading'!I11/'Water Reading'!H11</f>
        <v>1.35</v>
      </c>
      <c r="K9" s="27">
        <v>23</v>
      </c>
      <c r="L9" s="27"/>
    </row>
    <row r="10" spans="1:12" ht="15" x14ac:dyDescent="0.25">
      <c r="A10" s="24" t="s">
        <v>11</v>
      </c>
      <c r="B10" s="25">
        <f t="shared" si="0"/>
        <v>9</v>
      </c>
      <c r="C10" s="26">
        <v>2</v>
      </c>
      <c r="D10" s="25">
        <v>2022</v>
      </c>
      <c r="E10" s="27">
        <f>'B16'!I12+'B16 ext'!I12+'B17'!I12</f>
        <v>20894</v>
      </c>
      <c r="F10" s="29">
        <f>('B16'!J12+'B16 ext'!J12+'B17'!J12)/TOTAL!E10</f>
        <v>0.25500918924093036</v>
      </c>
      <c r="G10" s="27">
        <f>'Diesel Reading'!H12</f>
        <v>188.30000000004657</v>
      </c>
      <c r="H10" s="28">
        <f>'Diesel Reading'!I12/'Diesel Reading'!H12</f>
        <v>3.3000000000000003</v>
      </c>
      <c r="I10" s="27">
        <f>'Water Reading'!H12</f>
        <v>926</v>
      </c>
      <c r="J10" s="29">
        <f>'Water Reading'!I12/'Water Reading'!H12</f>
        <v>1.35</v>
      </c>
      <c r="K10" s="27">
        <v>23</v>
      </c>
      <c r="L10" s="27"/>
    </row>
    <row r="11" spans="1:12" ht="15" x14ac:dyDescent="0.25">
      <c r="A11" s="24" t="s">
        <v>11</v>
      </c>
      <c r="B11" s="25">
        <f t="shared" si="0"/>
        <v>10</v>
      </c>
      <c r="C11" s="26">
        <v>2</v>
      </c>
      <c r="D11" s="25">
        <v>2022</v>
      </c>
      <c r="E11" s="27">
        <f>'B16'!I13+'B16 ext'!I13+'B17'!I13</f>
        <v>19731</v>
      </c>
      <c r="F11" s="29">
        <f>('B16'!J13+'B16 ext'!J13+'B17'!J13)/TOTAL!E11</f>
        <v>0.24613942526987986</v>
      </c>
      <c r="G11" s="27">
        <f>'Diesel Reading'!H13</f>
        <v>0</v>
      </c>
      <c r="H11" s="28" t="e">
        <f>'Diesel Reading'!I13/'Diesel Reading'!H13</f>
        <v>#DIV/0!</v>
      </c>
      <c r="I11" s="27">
        <f>'Water Reading'!H13</f>
        <v>944</v>
      </c>
      <c r="J11" s="29">
        <f>'Water Reading'!I13/'Water Reading'!H13</f>
        <v>1.35</v>
      </c>
      <c r="K11" s="27">
        <v>27</v>
      </c>
      <c r="L11" s="27"/>
    </row>
    <row r="12" spans="1:12" ht="15" x14ac:dyDescent="0.25">
      <c r="A12" s="24" t="s">
        <v>11</v>
      </c>
      <c r="B12" s="25">
        <f t="shared" si="0"/>
        <v>11</v>
      </c>
      <c r="C12" s="26">
        <v>2</v>
      </c>
      <c r="D12" s="25">
        <v>2022</v>
      </c>
      <c r="E12" s="27">
        <f>'B16'!I14+'B16 ext'!I14+'B17'!I14</f>
        <v>20309</v>
      </c>
      <c r="F12" s="29">
        <f>('B16'!J14+'B16 ext'!J14+'B17'!J14)/TOTAL!E12</f>
        <v>0.246401644591068</v>
      </c>
      <c r="G12" s="27">
        <f>'Diesel Reading'!H14</f>
        <v>257.19999999995343</v>
      </c>
      <c r="H12" s="28">
        <f>'Diesel Reading'!I14/'Diesel Reading'!H14</f>
        <v>3.3</v>
      </c>
      <c r="I12" s="27">
        <f>'Water Reading'!H14</f>
        <v>967</v>
      </c>
      <c r="J12" s="29">
        <f>'Water Reading'!I14/'Water Reading'!H14</f>
        <v>1.35</v>
      </c>
      <c r="K12" s="27">
        <v>31</v>
      </c>
      <c r="L12" s="27"/>
    </row>
    <row r="13" spans="1:12" ht="15" x14ac:dyDescent="0.25">
      <c r="A13" s="24" t="s">
        <v>11</v>
      </c>
      <c r="B13" s="25">
        <f t="shared" si="0"/>
        <v>12</v>
      </c>
      <c r="C13" s="26">
        <v>2</v>
      </c>
      <c r="D13" s="25">
        <v>2022</v>
      </c>
      <c r="E13" s="27">
        <f>'B16'!I15+'B16 ext'!I15+'B17'!I15</f>
        <v>20618</v>
      </c>
      <c r="F13" s="29">
        <f>('B16'!J15+'B16 ext'!J15+'B17'!J15)/TOTAL!E13</f>
        <v>0.24751498690464643</v>
      </c>
      <c r="G13" s="27">
        <f>'Diesel Reading'!H15</f>
        <v>290</v>
      </c>
      <c r="H13" s="28">
        <f>'Diesel Reading'!I15/'Diesel Reading'!H15</f>
        <v>3.3</v>
      </c>
      <c r="I13" s="27">
        <f>'Water Reading'!H15</f>
        <v>966</v>
      </c>
      <c r="J13" s="29">
        <f>'Water Reading'!I15/'Water Reading'!H15</f>
        <v>1.3499999999999999</v>
      </c>
      <c r="K13" s="27">
        <v>39</v>
      </c>
      <c r="L13" s="27"/>
    </row>
    <row r="14" spans="1:12" ht="15" x14ac:dyDescent="0.25">
      <c r="A14" s="24" t="s">
        <v>11</v>
      </c>
      <c r="B14" s="25">
        <f t="shared" si="0"/>
        <v>13</v>
      </c>
      <c r="C14" s="26">
        <v>2</v>
      </c>
      <c r="D14" s="25">
        <v>2022</v>
      </c>
      <c r="E14" s="27">
        <f>'B16'!I16+'B16 ext'!I16+'B17'!I16</f>
        <v>19752</v>
      </c>
      <c r="F14" s="29">
        <f>('B16'!J16+'B16 ext'!J16+'B17'!J16)/TOTAL!E14</f>
        <v>0.24858915552855407</v>
      </c>
      <c r="G14" s="27">
        <f>'Diesel Reading'!H16</f>
        <v>245.80000000004657</v>
      </c>
      <c r="H14" s="28">
        <f>'Diesel Reading'!I16/'Diesel Reading'!H16</f>
        <v>3.3</v>
      </c>
      <c r="I14" s="27">
        <f>'Water Reading'!H16</f>
        <v>898</v>
      </c>
      <c r="J14" s="29">
        <f>'Water Reading'!I16/'Water Reading'!H16</f>
        <v>1.3500000000000003</v>
      </c>
      <c r="K14" s="27">
        <v>32</v>
      </c>
      <c r="L14" s="27"/>
    </row>
    <row r="15" spans="1:12" ht="15" x14ac:dyDescent="0.25">
      <c r="A15" s="24" t="s">
        <v>11</v>
      </c>
      <c r="B15" s="25">
        <f t="shared" si="0"/>
        <v>14</v>
      </c>
      <c r="C15" s="26">
        <v>2</v>
      </c>
      <c r="D15" s="25">
        <v>2022</v>
      </c>
      <c r="E15" s="27">
        <f>'B16'!I17+'B16 ext'!I17+'B17'!I17</f>
        <v>20157</v>
      </c>
      <c r="F15" s="29">
        <f>('B16'!J17+'B16 ext'!J17+'B17'!J17)/TOTAL!E15</f>
        <v>0.24663312993004913</v>
      </c>
      <c r="G15" s="27">
        <f>'Diesel Reading'!H17</f>
        <v>0</v>
      </c>
      <c r="H15" s="28" t="e">
        <f>'Diesel Reading'!I17/'Diesel Reading'!H17</f>
        <v>#DIV/0!</v>
      </c>
      <c r="I15" s="27">
        <f>'Water Reading'!H17</f>
        <v>1121</v>
      </c>
      <c r="J15" s="29">
        <f>'Water Reading'!I17/'Water Reading'!H17</f>
        <v>1.35</v>
      </c>
      <c r="K15" s="27">
        <v>24</v>
      </c>
      <c r="L15" s="27"/>
    </row>
    <row r="16" spans="1:12" ht="15" x14ac:dyDescent="0.25">
      <c r="A16" s="24" t="s">
        <v>11</v>
      </c>
      <c r="B16" s="25">
        <f t="shared" si="0"/>
        <v>15</v>
      </c>
      <c r="C16" s="26">
        <v>2</v>
      </c>
      <c r="D16" s="25">
        <v>2022</v>
      </c>
      <c r="E16" s="27">
        <f>'B16'!I18+'B16 ext'!I18+'B17'!I18</f>
        <v>19856</v>
      </c>
      <c r="F16" s="29">
        <f>('B16'!J18+'B16 ext'!J18+'B17'!J18)/TOTAL!E16</f>
        <v>0.24647003424657532</v>
      </c>
      <c r="G16" s="27">
        <f>'Diesel Reading'!H18</f>
        <v>257.5999999998603</v>
      </c>
      <c r="H16" s="28">
        <f>'Diesel Reading'!I18/'Diesel Reading'!H18</f>
        <v>3.3</v>
      </c>
      <c r="I16" s="27">
        <f>'Water Reading'!H18</f>
        <v>974</v>
      </c>
      <c r="J16" s="29">
        <f>'Water Reading'!I18/'Water Reading'!H18</f>
        <v>1.35</v>
      </c>
      <c r="K16" s="27">
        <v>18</v>
      </c>
      <c r="L16" s="27"/>
    </row>
    <row r="17" spans="1:12" ht="15" x14ac:dyDescent="0.25">
      <c r="A17" s="24" t="s">
        <v>11</v>
      </c>
      <c r="B17" s="25">
        <f t="shared" si="0"/>
        <v>16</v>
      </c>
      <c r="C17" s="26">
        <v>2</v>
      </c>
      <c r="D17" s="25">
        <v>2022</v>
      </c>
      <c r="E17" s="27">
        <f>'B16'!I19+'B16 ext'!I19+'B17'!I19</f>
        <v>19224</v>
      </c>
      <c r="F17" s="29">
        <f>('B16'!J19+'B16 ext'!J19+'B17'!J19)/TOTAL!E17</f>
        <v>0.24447534332084894</v>
      </c>
      <c r="G17" s="27">
        <f>'Diesel Reading'!H19</f>
        <v>0</v>
      </c>
      <c r="H17" s="28" t="e">
        <f>'Diesel Reading'!I19/'Diesel Reading'!H19</f>
        <v>#DIV/0!</v>
      </c>
      <c r="I17" s="27">
        <f>'Water Reading'!H19</f>
        <v>992</v>
      </c>
      <c r="J17" s="29">
        <f>'Water Reading'!I19/'Water Reading'!H19</f>
        <v>1.35</v>
      </c>
      <c r="K17" s="27">
        <v>17</v>
      </c>
      <c r="L17" s="27"/>
    </row>
    <row r="18" spans="1:12" ht="15" x14ac:dyDescent="0.25">
      <c r="A18" s="24" t="s">
        <v>11</v>
      </c>
      <c r="B18" s="25">
        <f t="shared" si="0"/>
        <v>17</v>
      </c>
      <c r="C18" s="26">
        <v>2</v>
      </c>
      <c r="D18" s="25">
        <v>2022</v>
      </c>
      <c r="E18" s="27">
        <f>'B16'!I20+'B16 ext'!I20+'B17'!I20</f>
        <v>22298</v>
      </c>
      <c r="F18" s="29">
        <f>('B16'!J20+'B16 ext'!J20+'B17'!J20)/TOTAL!E18</f>
        <v>0.24620948067091217</v>
      </c>
      <c r="G18" s="27">
        <f>'Diesel Reading'!H20</f>
        <v>308.80000000004657</v>
      </c>
      <c r="H18" s="28">
        <f>'Diesel Reading'!I20/'Diesel Reading'!H20</f>
        <v>3.3</v>
      </c>
      <c r="I18" s="27">
        <f>'Water Reading'!H20</f>
        <v>996</v>
      </c>
      <c r="J18" s="29">
        <f>'Water Reading'!I20/'Water Reading'!H20</f>
        <v>1.35</v>
      </c>
      <c r="K18" s="27">
        <v>21</v>
      </c>
      <c r="L18" s="27"/>
    </row>
    <row r="19" spans="1:12" ht="15" x14ac:dyDescent="0.25">
      <c r="A19" s="24" t="s">
        <v>11</v>
      </c>
      <c r="B19" s="25">
        <f t="shared" si="0"/>
        <v>18</v>
      </c>
      <c r="C19" s="26">
        <v>2</v>
      </c>
      <c r="D19" s="25">
        <v>2022</v>
      </c>
      <c r="E19" s="27">
        <f>'B16'!I21+'B16 ext'!I21+'B17'!I21</f>
        <v>20221</v>
      </c>
      <c r="F19" s="29">
        <f>('B16'!J21+'B16 ext'!J21+'B17'!J21)/TOTAL!E19</f>
        <v>0.24843281736808265</v>
      </c>
      <c r="G19" s="27">
        <f>'Diesel Reading'!H21</f>
        <v>216.10000000009313</v>
      </c>
      <c r="H19" s="28">
        <f>'Diesel Reading'!I21/'Diesel Reading'!H21</f>
        <v>3.3</v>
      </c>
      <c r="I19" s="27">
        <f>'Water Reading'!H21</f>
        <v>955</v>
      </c>
      <c r="J19" s="29">
        <f>'Water Reading'!I21/'Water Reading'!H21</f>
        <v>1.3500000000000003</v>
      </c>
      <c r="K19" s="27">
        <v>55</v>
      </c>
      <c r="L19" s="27"/>
    </row>
    <row r="20" spans="1:12" ht="15" x14ac:dyDescent="0.25">
      <c r="A20" s="24" t="s">
        <v>11</v>
      </c>
      <c r="B20" s="25">
        <f t="shared" si="0"/>
        <v>19</v>
      </c>
      <c r="C20" s="26">
        <v>2</v>
      </c>
      <c r="D20" s="25">
        <v>2022</v>
      </c>
      <c r="E20" s="27">
        <f>'B16'!I22+'B16 ext'!I22+'B17'!I22</f>
        <v>20767</v>
      </c>
      <c r="F20" s="29">
        <f>('B16'!J22+'B16 ext'!J22+'B17'!J22)/TOTAL!E20</f>
        <v>0.24861790340443973</v>
      </c>
      <c r="G20" s="27">
        <f>'Diesel Reading'!H22</f>
        <v>203.69999999995343</v>
      </c>
      <c r="H20" s="28">
        <f>'Diesel Reading'!I22/'Diesel Reading'!H22</f>
        <v>3.3</v>
      </c>
      <c r="I20" s="27">
        <f>'Water Reading'!H22</f>
        <v>1003</v>
      </c>
      <c r="J20" s="29">
        <f>'Water Reading'!I22/'Water Reading'!H22</f>
        <v>1.35</v>
      </c>
      <c r="K20" s="27">
        <v>58</v>
      </c>
      <c r="L20" s="27"/>
    </row>
    <row r="21" spans="1:12" ht="15" x14ac:dyDescent="0.25">
      <c r="A21" s="24" t="s">
        <v>11</v>
      </c>
      <c r="B21" s="25">
        <f t="shared" si="0"/>
        <v>20</v>
      </c>
      <c r="C21" s="26">
        <v>2</v>
      </c>
      <c r="D21" s="25">
        <v>2022</v>
      </c>
      <c r="E21" s="27">
        <f>'B16'!I23+'B16 ext'!I23+'B17'!I23</f>
        <v>20380</v>
      </c>
      <c r="F21" s="29">
        <f>('B16'!J23+'B16 ext'!J23+'B17'!J23)/TOTAL!E21</f>
        <v>0.2488014229636899</v>
      </c>
      <c r="G21" s="27">
        <f>'Diesel Reading'!H23</f>
        <v>300.39999999990687</v>
      </c>
      <c r="H21" s="28">
        <f>'Diesel Reading'!I23/'Diesel Reading'!H23</f>
        <v>3.3</v>
      </c>
      <c r="I21" s="27">
        <f>'Water Reading'!H23</f>
        <v>1006</v>
      </c>
      <c r="J21" s="29">
        <f>'Water Reading'!I23/'Water Reading'!H23</f>
        <v>1.35</v>
      </c>
      <c r="K21" s="27">
        <v>29</v>
      </c>
      <c r="L21" s="27"/>
    </row>
    <row r="22" spans="1:12" ht="15" x14ac:dyDescent="0.25">
      <c r="A22" s="24" t="s">
        <v>11</v>
      </c>
      <c r="B22" s="25">
        <f t="shared" si="0"/>
        <v>21</v>
      </c>
      <c r="C22" s="26">
        <v>2</v>
      </c>
      <c r="D22" s="25">
        <v>2022</v>
      </c>
      <c r="E22" s="27">
        <f>'B16'!I24+'B16 ext'!I24+'B17'!I24</f>
        <v>18775</v>
      </c>
      <c r="F22" s="29">
        <f>('B16'!J24+'B16 ext'!J24+'B17'!J24)/TOTAL!E22</f>
        <v>0.2459234620505992</v>
      </c>
      <c r="G22" s="27">
        <f>'Diesel Reading'!H24</f>
        <v>0</v>
      </c>
      <c r="H22" s="28" t="e">
        <f>'Diesel Reading'!I24/'Diesel Reading'!H24</f>
        <v>#DIV/0!</v>
      </c>
      <c r="I22" s="27">
        <f>'Water Reading'!H24</f>
        <v>930</v>
      </c>
      <c r="J22" s="29">
        <f>'Water Reading'!I24/'Water Reading'!H24</f>
        <v>1.35</v>
      </c>
      <c r="K22" s="27">
        <v>27</v>
      </c>
      <c r="L22" s="27"/>
    </row>
    <row r="23" spans="1:12" ht="15" x14ac:dyDescent="0.25">
      <c r="A23" s="24" t="s">
        <v>11</v>
      </c>
      <c r="B23" s="25">
        <f t="shared" si="0"/>
        <v>22</v>
      </c>
      <c r="C23" s="26">
        <v>2</v>
      </c>
      <c r="D23" s="25">
        <v>2022</v>
      </c>
      <c r="E23" s="27">
        <f>'B16'!I25+'B16 ext'!I25+'B17'!I25</f>
        <v>20436</v>
      </c>
      <c r="F23" s="29">
        <f>('B16'!J25+'B16 ext'!J25+'B17'!J25)/TOTAL!E23</f>
        <v>0.24910437463300059</v>
      </c>
      <c r="G23" s="27">
        <f>'Diesel Reading'!H25</f>
        <v>240.4000000001397</v>
      </c>
      <c r="H23" s="28">
        <f>'Diesel Reading'!I25/'Diesel Reading'!H25</f>
        <v>3.3</v>
      </c>
      <c r="I23" s="27">
        <f>'Water Reading'!H25</f>
        <v>958</v>
      </c>
      <c r="J23" s="29">
        <f>'Water Reading'!I25/'Water Reading'!H25</f>
        <v>1.35</v>
      </c>
      <c r="K23" s="27">
        <v>28</v>
      </c>
      <c r="L23" s="27"/>
    </row>
    <row r="24" spans="1:12" ht="15" x14ac:dyDescent="0.25">
      <c r="A24" s="24" t="s">
        <v>11</v>
      </c>
      <c r="B24" s="25">
        <f t="shared" si="0"/>
        <v>23</v>
      </c>
      <c r="C24" s="26">
        <v>2</v>
      </c>
      <c r="D24" s="25">
        <v>2022</v>
      </c>
      <c r="E24" s="27">
        <f>'B16'!I26+'B16 ext'!I26+'B17'!I26</f>
        <v>19403</v>
      </c>
      <c r="F24" s="29">
        <f>('B16'!J26+'B16 ext'!J26+'B17'!J26)/TOTAL!E24</f>
        <v>0.24712513528835747</v>
      </c>
      <c r="G24" s="27">
        <f>'Diesel Reading'!H26</f>
        <v>0</v>
      </c>
      <c r="H24" s="28" t="e">
        <f>'Diesel Reading'!I26/'Diesel Reading'!H26</f>
        <v>#DIV/0!</v>
      </c>
      <c r="I24" s="27">
        <f>'Water Reading'!H26</f>
        <v>1035</v>
      </c>
      <c r="J24" s="29">
        <f>'Water Reading'!I26/'Water Reading'!H26</f>
        <v>1.3500000000000003</v>
      </c>
      <c r="K24" s="27">
        <v>25</v>
      </c>
      <c r="L24" s="27"/>
    </row>
    <row r="25" spans="1:12" ht="15" x14ac:dyDescent="0.25">
      <c r="A25" s="24" t="s">
        <v>11</v>
      </c>
      <c r="B25" s="25">
        <f t="shared" si="0"/>
        <v>24</v>
      </c>
      <c r="C25" s="26">
        <v>2</v>
      </c>
      <c r="D25" s="25">
        <v>2022</v>
      </c>
      <c r="E25" s="27">
        <f>'B16'!I27+'B16 ext'!I27+'B17'!I27</f>
        <v>17045</v>
      </c>
      <c r="F25" s="29">
        <f>('B16'!J27+'B16 ext'!J27+'B17'!J27)/TOTAL!E25</f>
        <v>0.24871205632150192</v>
      </c>
      <c r="G25" s="27">
        <f>'Diesel Reading'!H27</f>
        <v>319.5999999998603</v>
      </c>
      <c r="H25" s="28">
        <f>'Diesel Reading'!I27/'Diesel Reading'!H27</f>
        <v>3.3</v>
      </c>
      <c r="I25" s="27">
        <f>'Water Reading'!H27</f>
        <v>1048</v>
      </c>
      <c r="J25" s="29">
        <f>'Water Reading'!I27/'Water Reading'!H27</f>
        <v>1.35</v>
      </c>
      <c r="K25" s="27">
        <v>26</v>
      </c>
      <c r="L25" s="27"/>
    </row>
    <row r="26" spans="1:12" ht="15" x14ac:dyDescent="0.25">
      <c r="A26" s="24" t="s">
        <v>11</v>
      </c>
      <c r="B26" s="25">
        <f>B25+1</f>
        <v>25</v>
      </c>
      <c r="C26" s="26">
        <v>2</v>
      </c>
      <c r="D26" s="25">
        <v>2022</v>
      </c>
      <c r="E26" s="27">
        <f>'B16'!I28+'B16 ext'!I28+'B17'!I28</f>
        <v>18185</v>
      </c>
      <c r="F26" s="29">
        <f>('B16'!J28+'B16 ext'!J28+'B17'!J28)/TOTAL!E26</f>
        <v>0.24567533681605719</v>
      </c>
      <c r="G26" s="27">
        <f>'Diesel Reading'!H28</f>
        <v>213</v>
      </c>
      <c r="H26" s="28">
        <f>'Diesel Reading'!I28/'Diesel Reading'!H28</f>
        <v>3.3</v>
      </c>
      <c r="I26" s="27">
        <f>'Water Reading'!H28</f>
        <v>1172</v>
      </c>
      <c r="J26" s="29">
        <f>'Water Reading'!I28/'Water Reading'!H28</f>
        <v>1.35</v>
      </c>
      <c r="K26" s="27">
        <v>43</v>
      </c>
      <c r="L26" s="27"/>
    </row>
    <row r="27" spans="1:12" ht="15" x14ac:dyDescent="0.25">
      <c r="A27" s="24" t="s">
        <v>11</v>
      </c>
      <c r="B27" s="25">
        <f t="shared" si="0"/>
        <v>26</v>
      </c>
      <c r="C27" s="26">
        <v>2</v>
      </c>
      <c r="D27" s="25">
        <v>2022</v>
      </c>
      <c r="E27" s="27">
        <f>'B16'!I29+'B16 ext'!I29+'B17'!I29</f>
        <v>17563</v>
      </c>
      <c r="F27" s="29">
        <f>('B16'!J29+'B16 ext'!J29+'B17'!J29)/TOTAL!E27</f>
        <v>0.24899231338609576</v>
      </c>
      <c r="G27" s="27">
        <f>'Diesel Reading'!H29</f>
        <v>197.19999999995343</v>
      </c>
      <c r="H27" s="28">
        <f>'Diesel Reading'!I29/'Diesel Reading'!H29</f>
        <v>3.3</v>
      </c>
      <c r="I27" s="27">
        <f>'Water Reading'!H29</f>
        <v>1125</v>
      </c>
      <c r="J27" s="29">
        <f>'Water Reading'!I29/'Water Reading'!H29</f>
        <v>1.3500000000000003</v>
      </c>
      <c r="K27" s="27">
        <v>49</v>
      </c>
      <c r="L27" s="27"/>
    </row>
    <row r="28" spans="1:12" ht="15" x14ac:dyDescent="0.25">
      <c r="A28" s="24" t="s">
        <v>11</v>
      </c>
      <c r="B28" s="25">
        <f t="shared" si="0"/>
        <v>27</v>
      </c>
      <c r="C28" s="26">
        <v>2</v>
      </c>
      <c r="D28" s="25">
        <v>2022</v>
      </c>
      <c r="E28" s="27">
        <f>'B16'!I30+'B16 ext'!I30+'B17'!I30</f>
        <v>0</v>
      </c>
      <c r="F28" s="29" t="e">
        <f>('B16'!J30+'B16 ext'!J30+'B17'!J30)/TOTAL!E28</f>
        <v>#DIV/0!</v>
      </c>
      <c r="G28" s="27">
        <f>'Diesel Reading'!H30</f>
        <v>0</v>
      </c>
      <c r="H28" s="28" t="e">
        <f>'Diesel Reading'!I30/'Diesel Reading'!H30</f>
        <v>#DIV/0!</v>
      </c>
      <c r="I28" s="27">
        <f>'Water Reading'!H30</f>
        <v>1253</v>
      </c>
      <c r="J28" s="29">
        <f>'Water Reading'!I30/'Water Reading'!H30</f>
        <v>1.35</v>
      </c>
      <c r="K28" s="27">
        <v>27</v>
      </c>
      <c r="L28" s="27"/>
    </row>
    <row r="29" spans="1:12" ht="15" x14ac:dyDescent="0.25">
      <c r="A29" s="24" t="s">
        <v>11</v>
      </c>
      <c r="B29" s="25">
        <f t="shared" si="0"/>
        <v>28</v>
      </c>
      <c r="C29" s="26">
        <v>2</v>
      </c>
      <c r="D29" s="25">
        <v>2022</v>
      </c>
      <c r="E29" s="27">
        <f>'B16'!I31+'B16 ext'!I31+'B17'!I31</f>
        <v>0</v>
      </c>
      <c r="F29" s="29" t="e">
        <f>('B16'!J31+'B16 ext'!J31+'B17'!J31)/TOTAL!E29</f>
        <v>#DIV/0!</v>
      </c>
      <c r="G29" s="27">
        <f>'Diesel Reading'!H31</f>
        <v>209.20000000018626</v>
      </c>
      <c r="H29" s="28">
        <f>'Diesel Reading'!I31/'Diesel Reading'!H31</f>
        <v>3.3</v>
      </c>
      <c r="I29" s="27">
        <f>'Water Reading'!H31</f>
        <v>0</v>
      </c>
      <c r="J29" s="29" t="e">
        <f>'Water Reading'!I31/'Water Reading'!H31</f>
        <v>#DIV/0!</v>
      </c>
      <c r="K29" s="27">
        <v>18</v>
      </c>
      <c r="L29" s="27"/>
    </row>
    <row r="30" spans="1:12" ht="15" x14ac:dyDescent="0.25">
      <c r="A30" s="24" t="s">
        <v>11</v>
      </c>
      <c r="B30" s="25"/>
      <c r="C30" s="26"/>
      <c r="D30" s="25"/>
      <c r="E30" s="27">
        <f>'B16'!I32+'B16 ext'!I32+'B17'!I32</f>
        <v>0</v>
      </c>
      <c r="F30" s="29" t="e">
        <f>('B16'!J32+'B16 ext'!J32+'B17'!J32)/TOTAL!E30</f>
        <v>#DIV/0!</v>
      </c>
      <c r="G30" s="27" t="e">
        <f>#REF!</f>
        <v>#REF!</v>
      </c>
      <c r="H30" s="28" t="e">
        <f>#REF!/#REF!</f>
        <v>#REF!</v>
      </c>
      <c r="I30" s="27">
        <f>'Water Reading'!H32</f>
        <v>0</v>
      </c>
      <c r="J30" s="29" t="e">
        <f>'Water Reading'!I32/'Water Reading'!H32</f>
        <v>#DIV/0!</v>
      </c>
      <c r="K30" s="27"/>
      <c r="L30" s="27"/>
    </row>
    <row r="31" spans="1:12" ht="15" x14ac:dyDescent="0.25">
      <c r="A31" s="24" t="s">
        <v>11</v>
      </c>
      <c r="B31" s="25"/>
      <c r="C31" s="26"/>
      <c r="D31" s="25"/>
      <c r="E31" s="27">
        <f>'B16'!I33+'B16 ext'!I33+'B17'!I33</f>
        <v>0</v>
      </c>
      <c r="F31" s="29" t="e">
        <f>('B16'!J33+'B16 ext'!J33+'B17'!J33)/TOTAL!E31</f>
        <v>#DIV/0!</v>
      </c>
      <c r="G31" s="27" t="e">
        <f>#REF!</f>
        <v>#REF!</v>
      </c>
      <c r="H31" s="28" t="e">
        <f>#REF!/#REF!</f>
        <v>#REF!</v>
      </c>
      <c r="I31" s="27">
        <f>'Water Reading'!H33</f>
        <v>0</v>
      </c>
      <c r="J31" s="29" t="e">
        <f>'Water Reading'!I33/'Water Reading'!H33</f>
        <v>#DIV/0!</v>
      </c>
      <c r="K31" s="27"/>
      <c r="L31" s="27"/>
    </row>
    <row r="32" spans="1:12" ht="15" x14ac:dyDescent="0.25">
      <c r="A32" s="24" t="s">
        <v>11</v>
      </c>
      <c r="B32" s="25"/>
      <c r="C32" s="26"/>
      <c r="D32" s="25"/>
      <c r="E32" s="27">
        <f>'B16'!I34+'B16 ext'!I34+'B17'!I34</f>
        <v>0</v>
      </c>
      <c r="F32" s="29" t="e">
        <f>('B16'!J34+'B16 ext'!J34+'B17'!J34)/TOTAL!E32</f>
        <v>#DIV/0!</v>
      </c>
      <c r="G32" s="27"/>
      <c r="H32" s="28" t="e">
        <f>#REF!/#REF!</f>
        <v>#REF!</v>
      </c>
      <c r="I32" s="27">
        <f>'Water Reading'!H34</f>
        <v>0</v>
      </c>
      <c r="J32" s="29" t="e">
        <f>'Water Reading'!I34/'Water Reading'!H34</f>
        <v>#DIV/0!</v>
      </c>
      <c r="K32" s="27"/>
      <c r="L3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topLeftCell="A11" zoomScaleNormal="100" workbookViewId="0">
      <selection activeCell="C31" sqref="C3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1.7109375" customWidth="1"/>
    <col min="9" max="9" width="19.140625" style="1" bestFit="1" customWidth="1"/>
    <col min="10" max="10" width="10.140625" style="14" bestFit="1" customWidth="1"/>
  </cols>
  <sheetData>
    <row r="1" spans="1:10" ht="18" x14ac:dyDescent="0.25">
      <c r="A1" s="6" t="s">
        <v>12</v>
      </c>
    </row>
    <row r="2" spans="1:10" ht="18" x14ac:dyDescent="0.25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0" x14ac:dyDescent="0.2">
      <c r="A3" s="3"/>
      <c r="B3" s="7" t="s">
        <v>20</v>
      </c>
      <c r="C3" s="7" t="s">
        <v>20</v>
      </c>
      <c r="D3" s="7" t="s">
        <v>21</v>
      </c>
      <c r="E3" s="7" t="s">
        <v>21</v>
      </c>
      <c r="F3" s="45" t="s">
        <v>20</v>
      </c>
      <c r="G3" s="7" t="s">
        <v>22</v>
      </c>
      <c r="H3" s="11"/>
      <c r="I3" s="7" t="s">
        <v>23</v>
      </c>
      <c r="J3" s="15" t="s">
        <v>24</v>
      </c>
    </row>
    <row r="4" spans="1:10" x14ac:dyDescent="0.2">
      <c r="A4" s="5">
        <v>44593</v>
      </c>
      <c r="B4" s="10">
        <v>6794</v>
      </c>
      <c r="C4" s="8">
        <f>IF(B5-B4 &lt; 0,0,B5-B4)</f>
        <v>7094</v>
      </c>
      <c r="D4" s="10">
        <v>6222</v>
      </c>
      <c r="E4" s="8">
        <f>IF(D5-D4 &lt; 0,0,D5-D4)</f>
        <v>3792</v>
      </c>
      <c r="F4" s="10">
        <v>571</v>
      </c>
      <c r="G4" s="49">
        <v>0.84</v>
      </c>
      <c r="H4" s="12" t="s">
        <v>25</v>
      </c>
      <c r="I4" s="8">
        <f>+E4+C4</f>
        <v>10886</v>
      </c>
      <c r="J4" s="16">
        <f>(C4*0.288)+(E4*0.177)</f>
        <v>2714.2559999999999</v>
      </c>
    </row>
    <row r="5" spans="1:10" x14ac:dyDescent="0.2">
      <c r="A5" s="5">
        <v>44594</v>
      </c>
      <c r="B5" s="10">
        <v>13888</v>
      </c>
      <c r="C5" s="8">
        <f t="shared" ref="C5:C33" si="0">IF(B6-B5 &lt; 0,0,B6-B5)</f>
        <v>7121</v>
      </c>
      <c r="D5" s="10">
        <v>10014</v>
      </c>
      <c r="E5" s="8">
        <f t="shared" ref="E5:E33" si="1">IF(D6-D5 &lt; 0,0,D6-D5)</f>
        <v>4074</v>
      </c>
      <c r="F5" s="10">
        <v>603</v>
      </c>
      <c r="G5" s="49">
        <v>0.77</v>
      </c>
      <c r="H5" s="12" t="s">
        <v>25</v>
      </c>
      <c r="I5" s="8">
        <f t="shared" ref="I5:I35" si="2">+E5+C5</f>
        <v>11195</v>
      </c>
      <c r="J5" s="16">
        <f t="shared" ref="J5:J35" si="3">(C5*0.288)+(E5*0.177)</f>
        <v>2771.9459999999999</v>
      </c>
    </row>
    <row r="6" spans="1:10" x14ac:dyDescent="0.2">
      <c r="A6" s="5">
        <v>44595</v>
      </c>
      <c r="B6" s="10">
        <v>21009</v>
      </c>
      <c r="C6" s="8">
        <f t="shared" si="0"/>
        <v>6562</v>
      </c>
      <c r="D6" s="10">
        <v>14088</v>
      </c>
      <c r="E6" s="8">
        <f t="shared" si="1"/>
        <v>3528</v>
      </c>
      <c r="F6" s="10">
        <v>631</v>
      </c>
      <c r="G6" s="49">
        <v>0.75</v>
      </c>
      <c r="H6" s="12" t="s">
        <v>25</v>
      </c>
      <c r="I6" s="8">
        <f t="shared" si="2"/>
        <v>10090</v>
      </c>
      <c r="J6" s="16">
        <f t="shared" si="3"/>
        <v>2514.3119999999999</v>
      </c>
    </row>
    <row r="7" spans="1:10" x14ac:dyDescent="0.2">
      <c r="A7" s="5">
        <v>44596</v>
      </c>
      <c r="B7" s="10">
        <v>27571</v>
      </c>
      <c r="C7" s="8">
        <f t="shared" si="0"/>
        <v>6221</v>
      </c>
      <c r="D7" s="10">
        <v>17616</v>
      </c>
      <c r="E7" s="8">
        <f t="shared" si="1"/>
        <v>3539</v>
      </c>
      <c r="F7" s="10">
        <v>631</v>
      </c>
      <c r="G7" s="49">
        <v>0.49</v>
      </c>
      <c r="H7" s="12" t="s">
        <v>25</v>
      </c>
      <c r="I7" s="8">
        <f t="shared" si="2"/>
        <v>9760</v>
      </c>
      <c r="J7" s="16">
        <f t="shared" si="3"/>
        <v>2418.0509999999999</v>
      </c>
    </row>
    <row r="8" spans="1:10" x14ac:dyDescent="0.2">
      <c r="A8" s="5">
        <v>44597</v>
      </c>
      <c r="B8" s="10">
        <v>33792</v>
      </c>
      <c r="C8" s="8">
        <f t="shared" si="0"/>
        <v>5711</v>
      </c>
      <c r="D8" s="10">
        <v>21155</v>
      </c>
      <c r="E8" s="8">
        <f t="shared" si="1"/>
        <v>3016</v>
      </c>
      <c r="F8" s="10">
        <v>631</v>
      </c>
      <c r="G8" s="49">
        <v>0.27</v>
      </c>
      <c r="H8" s="12" t="s">
        <v>25</v>
      </c>
      <c r="I8" s="8">
        <f t="shared" si="2"/>
        <v>8727</v>
      </c>
      <c r="J8" s="16">
        <f t="shared" si="3"/>
        <v>2178.6</v>
      </c>
    </row>
    <row r="9" spans="1:10" x14ac:dyDescent="0.2">
      <c r="A9" s="5">
        <v>44598</v>
      </c>
      <c r="B9" s="10">
        <v>39503</v>
      </c>
      <c r="C9" s="8">
        <f t="shared" si="0"/>
        <v>5798</v>
      </c>
      <c r="D9" s="10">
        <v>24171</v>
      </c>
      <c r="E9" s="8">
        <f t="shared" si="1"/>
        <v>3921</v>
      </c>
      <c r="F9" s="10">
        <v>631</v>
      </c>
      <c r="G9" s="49">
        <v>0.2</v>
      </c>
      <c r="H9" s="12" t="s">
        <v>25</v>
      </c>
      <c r="I9" s="8">
        <f t="shared" si="2"/>
        <v>9719</v>
      </c>
      <c r="J9" s="16">
        <f t="shared" si="3"/>
        <v>2363.8409999999999</v>
      </c>
    </row>
    <row r="10" spans="1:10" x14ac:dyDescent="0.2">
      <c r="A10" s="5">
        <v>44599</v>
      </c>
      <c r="B10" s="10">
        <v>45301</v>
      </c>
      <c r="C10" s="8">
        <f t="shared" si="0"/>
        <v>5625</v>
      </c>
      <c r="D10" s="10">
        <v>28092</v>
      </c>
      <c r="E10" s="8">
        <f t="shared" si="1"/>
        <v>3347</v>
      </c>
      <c r="F10" s="10">
        <v>631</v>
      </c>
      <c r="G10" s="50">
        <v>0.26</v>
      </c>
      <c r="H10" s="12" t="s">
        <v>25</v>
      </c>
      <c r="I10" s="8">
        <f t="shared" si="2"/>
        <v>8972</v>
      </c>
      <c r="J10" s="16">
        <f t="shared" si="3"/>
        <v>2212.4189999999999</v>
      </c>
    </row>
    <row r="11" spans="1:10" x14ac:dyDescent="0.2">
      <c r="A11" s="5">
        <v>44600</v>
      </c>
      <c r="B11" s="10">
        <v>50926</v>
      </c>
      <c r="C11" s="8">
        <f t="shared" si="0"/>
        <v>3212</v>
      </c>
      <c r="D11" s="10">
        <v>31439</v>
      </c>
      <c r="E11" s="8">
        <f t="shared" si="1"/>
        <v>3903</v>
      </c>
      <c r="F11" s="10">
        <v>631</v>
      </c>
      <c r="G11" s="49">
        <v>0.24</v>
      </c>
      <c r="H11" s="12" t="s">
        <v>25</v>
      </c>
      <c r="I11" s="8">
        <f t="shared" si="2"/>
        <v>7115</v>
      </c>
      <c r="J11" s="16">
        <f t="shared" si="3"/>
        <v>1615.8869999999999</v>
      </c>
    </row>
    <row r="12" spans="1:10" x14ac:dyDescent="0.2">
      <c r="A12" s="5">
        <v>44601</v>
      </c>
      <c r="B12" s="10">
        <v>54138</v>
      </c>
      <c r="C12" s="8">
        <f t="shared" si="0"/>
        <v>8374</v>
      </c>
      <c r="D12" s="10">
        <v>35342</v>
      </c>
      <c r="E12" s="8">
        <f t="shared" si="1"/>
        <v>2631</v>
      </c>
      <c r="F12" s="10">
        <v>631</v>
      </c>
      <c r="G12" s="49">
        <v>0.24</v>
      </c>
      <c r="H12" s="12" t="s">
        <v>25</v>
      </c>
      <c r="I12" s="8">
        <f t="shared" si="2"/>
        <v>11005</v>
      </c>
      <c r="J12" s="16">
        <f t="shared" si="3"/>
        <v>2877.3989999999999</v>
      </c>
    </row>
    <row r="13" spans="1:10" x14ac:dyDescent="0.2">
      <c r="A13" s="5">
        <v>44602</v>
      </c>
      <c r="B13" s="10">
        <v>62512</v>
      </c>
      <c r="C13" s="8">
        <f t="shared" si="0"/>
        <v>5844</v>
      </c>
      <c r="D13" s="10">
        <v>37973</v>
      </c>
      <c r="E13" s="8">
        <f t="shared" si="1"/>
        <v>3467</v>
      </c>
      <c r="F13" s="10">
        <v>631</v>
      </c>
      <c r="G13" s="49">
        <v>0.28999999999999998</v>
      </c>
      <c r="H13" s="12" t="s">
        <v>25</v>
      </c>
      <c r="I13" s="8">
        <f t="shared" si="2"/>
        <v>9311</v>
      </c>
      <c r="J13" s="16">
        <f t="shared" si="3"/>
        <v>2296.7309999999998</v>
      </c>
    </row>
    <row r="14" spans="1:10" x14ac:dyDescent="0.2">
      <c r="A14" s="5">
        <v>44603</v>
      </c>
      <c r="B14" s="10">
        <v>68356</v>
      </c>
      <c r="C14" s="8">
        <f t="shared" si="0"/>
        <v>5921</v>
      </c>
      <c r="D14" s="10">
        <v>41440</v>
      </c>
      <c r="E14" s="8">
        <f t="shared" si="1"/>
        <v>3564</v>
      </c>
      <c r="F14" s="10">
        <v>631</v>
      </c>
      <c r="G14" s="49">
        <v>0.3</v>
      </c>
      <c r="H14" s="12" t="s">
        <v>25</v>
      </c>
      <c r="I14" s="8">
        <f t="shared" si="2"/>
        <v>9485</v>
      </c>
      <c r="J14" s="16">
        <f t="shared" si="3"/>
        <v>2336.076</v>
      </c>
    </row>
    <row r="15" spans="1:10" x14ac:dyDescent="0.2">
      <c r="A15" s="5">
        <v>44604</v>
      </c>
      <c r="B15" s="10">
        <v>74277</v>
      </c>
      <c r="C15" s="8">
        <f t="shared" si="0"/>
        <v>6035</v>
      </c>
      <c r="D15" s="10">
        <v>45004</v>
      </c>
      <c r="E15" s="8">
        <f t="shared" si="1"/>
        <v>3332</v>
      </c>
      <c r="F15" s="10">
        <v>631</v>
      </c>
      <c r="G15" s="49">
        <v>0.43</v>
      </c>
      <c r="H15" s="12" t="s">
        <v>25</v>
      </c>
      <c r="I15" s="8">
        <f t="shared" si="2"/>
        <v>9367</v>
      </c>
      <c r="J15" s="16">
        <f t="shared" si="3"/>
        <v>2327.8440000000001</v>
      </c>
    </row>
    <row r="16" spans="1:10" x14ac:dyDescent="0.2">
      <c r="A16" s="5">
        <v>44605</v>
      </c>
      <c r="B16" s="10">
        <v>80312</v>
      </c>
      <c r="C16" s="8">
        <f t="shared" si="0"/>
        <v>5719</v>
      </c>
      <c r="D16" s="10">
        <v>48336</v>
      </c>
      <c r="E16" s="8">
        <f t="shared" si="1"/>
        <v>3111</v>
      </c>
      <c r="F16" s="10">
        <v>631</v>
      </c>
      <c r="G16" s="49">
        <v>0.35</v>
      </c>
      <c r="H16" s="12" t="s">
        <v>25</v>
      </c>
      <c r="I16" s="8">
        <f t="shared" si="2"/>
        <v>8830</v>
      </c>
      <c r="J16" s="16">
        <f t="shared" si="3"/>
        <v>2197.7190000000001</v>
      </c>
    </row>
    <row r="17" spans="1:10" x14ac:dyDescent="0.2">
      <c r="A17" s="5">
        <v>44606</v>
      </c>
      <c r="B17" s="10">
        <v>86031</v>
      </c>
      <c r="C17" s="8">
        <f t="shared" si="0"/>
        <v>5734</v>
      </c>
      <c r="D17" s="10">
        <v>51447</v>
      </c>
      <c r="E17" s="8">
        <f t="shared" si="1"/>
        <v>3307</v>
      </c>
      <c r="F17" s="10">
        <v>631</v>
      </c>
      <c r="G17" s="49">
        <v>0.26</v>
      </c>
      <c r="H17" s="12" t="s">
        <v>25</v>
      </c>
      <c r="I17" s="8">
        <f t="shared" si="2"/>
        <v>9041</v>
      </c>
      <c r="J17" s="16">
        <f t="shared" si="3"/>
        <v>2236.7309999999998</v>
      </c>
    </row>
    <row r="18" spans="1:10" x14ac:dyDescent="0.2">
      <c r="A18" s="5">
        <v>44607</v>
      </c>
      <c r="B18" s="10">
        <v>91765</v>
      </c>
      <c r="C18" s="8">
        <f t="shared" si="0"/>
        <v>5600</v>
      </c>
      <c r="D18" s="10">
        <v>54754</v>
      </c>
      <c r="E18" s="8">
        <f t="shared" si="1"/>
        <v>3498</v>
      </c>
      <c r="F18" s="10">
        <v>631</v>
      </c>
      <c r="G18" s="49">
        <v>0.21</v>
      </c>
      <c r="H18" s="12" t="s">
        <v>25</v>
      </c>
      <c r="I18" s="8">
        <f t="shared" si="2"/>
        <v>9098</v>
      </c>
      <c r="J18" s="16">
        <f t="shared" si="3"/>
        <v>2231.9459999999999</v>
      </c>
    </row>
    <row r="19" spans="1:10" x14ac:dyDescent="0.2">
      <c r="A19" s="5">
        <v>44608</v>
      </c>
      <c r="B19" s="10">
        <v>97365</v>
      </c>
      <c r="C19" s="8">
        <f t="shared" si="0"/>
        <v>5200</v>
      </c>
      <c r="D19" s="10">
        <v>58252</v>
      </c>
      <c r="E19" s="8">
        <f t="shared" si="1"/>
        <v>3455</v>
      </c>
      <c r="F19" s="10">
        <v>631</v>
      </c>
      <c r="G19" s="49">
        <v>0.23</v>
      </c>
      <c r="H19" s="12" t="s">
        <v>25</v>
      </c>
      <c r="I19" s="8">
        <f t="shared" si="2"/>
        <v>8655</v>
      </c>
      <c r="J19" s="16">
        <f t="shared" si="3"/>
        <v>2109.1349999999998</v>
      </c>
    </row>
    <row r="20" spans="1:10" x14ac:dyDescent="0.2">
      <c r="A20" s="5">
        <v>44609</v>
      </c>
      <c r="B20" s="10">
        <v>102565</v>
      </c>
      <c r="C20" s="8">
        <f t="shared" si="0"/>
        <v>6538</v>
      </c>
      <c r="D20" s="10">
        <v>61707</v>
      </c>
      <c r="E20" s="8">
        <f t="shared" si="1"/>
        <v>4110</v>
      </c>
      <c r="F20" s="12">
        <v>631</v>
      </c>
      <c r="G20" s="49">
        <v>0.25</v>
      </c>
      <c r="H20" s="12" t="s">
        <v>25</v>
      </c>
      <c r="I20" s="8">
        <f t="shared" si="2"/>
        <v>10648</v>
      </c>
      <c r="J20" s="16">
        <f t="shared" si="3"/>
        <v>2610.4139999999998</v>
      </c>
    </row>
    <row r="21" spans="1:10" x14ac:dyDescent="0.2">
      <c r="A21" s="5">
        <v>44610</v>
      </c>
      <c r="B21" s="10">
        <v>109103</v>
      </c>
      <c r="C21" s="8">
        <f t="shared" si="0"/>
        <v>5862</v>
      </c>
      <c r="D21" s="10">
        <v>65817</v>
      </c>
      <c r="E21" s="8">
        <f t="shared" si="1"/>
        <v>3386</v>
      </c>
      <c r="F21" s="12">
        <v>631</v>
      </c>
      <c r="G21" s="49">
        <v>0.6</v>
      </c>
      <c r="H21" s="12" t="s">
        <v>25</v>
      </c>
      <c r="I21" s="8">
        <f t="shared" si="2"/>
        <v>9248</v>
      </c>
      <c r="J21" s="16">
        <f t="shared" si="3"/>
        <v>2287.578</v>
      </c>
    </row>
    <row r="22" spans="1:10" x14ac:dyDescent="0.2">
      <c r="A22" s="5">
        <v>44611</v>
      </c>
      <c r="B22" s="10">
        <v>114965</v>
      </c>
      <c r="C22" s="8">
        <f t="shared" si="0"/>
        <v>6085</v>
      </c>
      <c r="D22" s="10">
        <v>69203</v>
      </c>
      <c r="E22" s="8">
        <f t="shared" si="1"/>
        <v>3403</v>
      </c>
      <c r="F22" s="12">
        <v>631</v>
      </c>
      <c r="G22" s="49">
        <v>0.62</v>
      </c>
      <c r="H22" s="12" t="s">
        <v>26</v>
      </c>
      <c r="I22" s="8">
        <f t="shared" si="2"/>
        <v>9488</v>
      </c>
      <c r="J22" s="16">
        <f t="shared" si="3"/>
        <v>2354.8109999999997</v>
      </c>
    </row>
    <row r="23" spans="1:10" x14ac:dyDescent="0.2">
      <c r="A23" s="5">
        <v>44612</v>
      </c>
      <c r="B23" s="10">
        <v>121050</v>
      </c>
      <c r="C23" s="8">
        <f t="shared" si="0"/>
        <v>6121</v>
      </c>
      <c r="D23" s="10">
        <v>72606</v>
      </c>
      <c r="E23" s="8">
        <f t="shared" si="1"/>
        <v>3393</v>
      </c>
      <c r="F23" s="10">
        <v>631</v>
      </c>
      <c r="G23" s="49">
        <v>0.19</v>
      </c>
      <c r="H23" s="12" t="s">
        <v>25</v>
      </c>
      <c r="I23" s="8">
        <f t="shared" si="2"/>
        <v>9514</v>
      </c>
      <c r="J23" s="16">
        <f t="shared" si="3"/>
        <v>2363.4089999999997</v>
      </c>
    </row>
    <row r="24" spans="1:10" x14ac:dyDescent="0.2">
      <c r="A24" s="5">
        <v>44613</v>
      </c>
      <c r="B24" s="10">
        <v>127171</v>
      </c>
      <c r="C24" s="8">
        <f t="shared" si="0"/>
        <v>4924</v>
      </c>
      <c r="D24" s="10">
        <v>75999</v>
      </c>
      <c r="E24" s="8">
        <f t="shared" si="1"/>
        <v>3548</v>
      </c>
      <c r="F24" s="10">
        <v>631</v>
      </c>
      <c r="G24" s="49">
        <v>0.27</v>
      </c>
      <c r="H24" s="12" t="s">
        <v>25</v>
      </c>
      <c r="I24" s="8">
        <f t="shared" si="2"/>
        <v>8472</v>
      </c>
      <c r="J24" s="16">
        <f t="shared" si="3"/>
        <v>2046.1079999999997</v>
      </c>
    </row>
    <row r="25" spans="1:10" x14ac:dyDescent="0.2">
      <c r="A25" s="5">
        <v>44614</v>
      </c>
      <c r="B25" s="10">
        <v>132095</v>
      </c>
      <c r="C25" s="8">
        <f t="shared" si="0"/>
        <v>6934</v>
      </c>
      <c r="D25" s="10">
        <v>79547</v>
      </c>
      <c r="E25" s="8">
        <f t="shared" si="1"/>
        <v>3512</v>
      </c>
      <c r="F25" s="10">
        <v>631</v>
      </c>
      <c r="G25" s="49">
        <v>0.2</v>
      </c>
      <c r="H25" s="12" t="s">
        <v>25</v>
      </c>
      <c r="I25" s="8">
        <f t="shared" si="2"/>
        <v>10446</v>
      </c>
      <c r="J25" s="16">
        <f t="shared" si="3"/>
        <v>2618.616</v>
      </c>
    </row>
    <row r="26" spans="1:10" x14ac:dyDescent="0.2">
      <c r="A26" s="5">
        <v>44615</v>
      </c>
      <c r="B26" s="10">
        <v>139029</v>
      </c>
      <c r="C26" s="8">
        <f>IF(B27-B26 &lt; 0,0,B27-B26)</f>
        <v>5785</v>
      </c>
      <c r="D26" s="10">
        <v>83059</v>
      </c>
      <c r="E26" s="8">
        <f t="shared" si="1"/>
        <v>3534</v>
      </c>
      <c r="F26" s="10">
        <v>631</v>
      </c>
      <c r="G26" s="50">
        <v>0.26</v>
      </c>
      <c r="H26" s="12" t="s">
        <v>25</v>
      </c>
      <c r="I26" s="8">
        <f t="shared" si="2"/>
        <v>9319</v>
      </c>
      <c r="J26" s="16">
        <f t="shared" si="3"/>
        <v>2291.598</v>
      </c>
    </row>
    <row r="27" spans="1:10" x14ac:dyDescent="0.2">
      <c r="A27" s="5">
        <v>44616</v>
      </c>
      <c r="B27" s="10">
        <v>144814</v>
      </c>
      <c r="C27" s="8">
        <f>IF(B28-B27 &lt; 0,0,B28-B27)</f>
        <v>5208</v>
      </c>
      <c r="D27" s="10">
        <v>86593</v>
      </c>
      <c r="E27" s="8">
        <f t="shared" si="1"/>
        <v>2728</v>
      </c>
      <c r="F27" s="10">
        <v>631</v>
      </c>
      <c r="G27" s="49">
        <v>0.24</v>
      </c>
      <c r="H27" s="12" t="s">
        <v>26</v>
      </c>
      <c r="I27" s="8">
        <f t="shared" si="2"/>
        <v>7936</v>
      </c>
      <c r="J27" s="16">
        <f t="shared" si="3"/>
        <v>1982.76</v>
      </c>
    </row>
    <row r="28" spans="1:10" x14ac:dyDescent="0.2">
      <c r="A28" s="5">
        <v>44617</v>
      </c>
      <c r="B28" s="10">
        <v>150022</v>
      </c>
      <c r="C28" s="8">
        <f t="shared" si="0"/>
        <v>5129</v>
      </c>
      <c r="D28" s="10">
        <v>89321</v>
      </c>
      <c r="E28" s="8">
        <f t="shared" si="1"/>
        <v>3328</v>
      </c>
      <c r="F28" s="10">
        <v>631</v>
      </c>
      <c r="G28" s="49">
        <v>0.46</v>
      </c>
      <c r="H28" s="12" t="s">
        <v>27</v>
      </c>
      <c r="I28" s="8">
        <f t="shared" si="2"/>
        <v>8457</v>
      </c>
      <c r="J28" s="16">
        <f t="shared" si="3"/>
        <v>2066.2079999999996</v>
      </c>
    </row>
    <row r="29" spans="1:10" x14ac:dyDescent="0.2">
      <c r="A29" s="5">
        <v>44618</v>
      </c>
      <c r="B29" s="10">
        <v>155151</v>
      </c>
      <c r="C29" s="8">
        <f t="shared" si="0"/>
        <v>5368</v>
      </c>
      <c r="D29" s="10">
        <v>92649</v>
      </c>
      <c r="E29" s="8">
        <f t="shared" si="1"/>
        <v>2896</v>
      </c>
      <c r="F29" s="10">
        <v>631</v>
      </c>
      <c r="G29" s="49">
        <v>0.28999999999999998</v>
      </c>
      <c r="H29" s="12" t="s">
        <v>27</v>
      </c>
      <c r="I29" s="8">
        <f t="shared" si="2"/>
        <v>8264</v>
      </c>
      <c r="J29" s="16">
        <f t="shared" si="3"/>
        <v>2058.576</v>
      </c>
    </row>
    <row r="30" spans="1:10" x14ac:dyDescent="0.2">
      <c r="A30" s="5">
        <v>44619</v>
      </c>
      <c r="B30" s="10">
        <v>160519</v>
      </c>
      <c r="C30" s="8">
        <f t="shared" si="0"/>
        <v>0</v>
      </c>
      <c r="D30" s="10">
        <v>95545</v>
      </c>
      <c r="E30" s="8">
        <f t="shared" si="1"/>
        <v>0</v>
      </c>
      <c r="F30" s="10">
        <v>631</v>
      </c>
      <c r="G30" s="49">
        <v>0.2</v>
      </c>
      <c r="H30" s="12" t="s">
        <v>27</v>
      </c>
      <c r="I30" s="8">
        <f t="shared" si="2"/>
        <v>0</v>
      </c>
      <c r="J30" s="16">
        <f t="shared" si="3"/>
        <v>0</v>
      </c>
    </row>
    <row r="31" spans="1:10" x14ac:dyDescent="0.2">
      <c r="A31" s="5">
        <v>44620</v>
      </c>
      <c r="B31" s="10">
        <v>0</v>
      </c>
      <c r="C31" s="8">
        <f t="shared" si="0"/>
        <v>0</v>
      </c>
      <c r="D31" s="10">
        <v>2389</v>
      </c>
      <c r="E31" s="8">
        <f t="shared" si="1"/>
        <v>0</v>
      </c>
      <c r="F31" s="10">
        <v>0</v>
      </c>
      <c r="G31" s="49">
        <v>0.2</v>
      </c>
      <c r="H31" s="12" t="s">
        <v>25</v>
      </c>
      <c r="I31" s="8">
        <f t="shared" si="2"/>
        <v>0</v>
      </c>
      <c r="J31" s="16">
        <f t="shared" si="3"/>
        <v>0</v>
      </c>
    </row>
    <row r="32" spans="1:10" x14ac:dyDescent="0.2">
      <c r="A32" s="5"/>
      <c r="B32" s="10"/>
      <c r="C32" s="8">
        <f t="shared" si="0"/>
        <v>0</v>
      </c>
      <c r="D32" s="10"/>
      <c r="E32" s="8">
        <f t="shared" si="1"/>
        <v>0</v>
      </c>
      <c r="F32" s="10"/>
      <c r="G32" s="49"/>
      <c r="H32" s="12"/>
      <c r="I32" s="8">
        <f t="shared" si="2"/>
        <v>0</v>
      </c>
      <c r="J32" s="16">
        <f t="shared" si="3"/>
        <v>0</v>
      </c>
    </row>
    <row r="33" spans="1:10" x14ac:dyDescent="0.2">
      <c r="A33" s="5"/>
      <c r="B33" s="10"/>
      <c r="C33" s="8">
        <f t="shared" si="0"/>
        <v>0</v>
      </c>
      <c r="D33" s="10"/>
      <c r="E33" s="8">
        <f t="shared" si="1"/>
        <v>0</v>
      </c>
      <c r="F33" s="10"/>
      <c r="G33" s="49"/>
      <c r="H33" s="12"/>
      <c r="I33" s="8">
        <f t="shared" si="2"/>
        <v>0</v>
      </c>
      <c r="J33" s="16">
        <f t="shared" si="3"/>
        <v>0</v>
      </c>
    </row>
    <row r="34" spans="1:10" x14ac:dyDescent="0.2">
      <c r="A34" s="5"/>
      <c r="B34" s="47"/>
      <c r="C34" s="8">
        <v>0</v>
      </c>
      <c r="D34" s="10"/>
      <c r="E34" s="8">
        <v>0</v>
      </c>
      <c r="F34" s="10"/>
      <c r="G34" s="49"/>
      <c r="H34" s="12"/>
      <c r="I34" s="8">
        <f t="shared" si="2"/>
        <v>0</v>
      </c>
      <c r="J34" s="16">
        <f t="shared" si="3"/>
        <v>0</v>
      </c>
    </row>
    <row r="35" spans="1:10" x14ac:dyDescent="0.2">
      <c r="A35" s="48"/>
      <c r="B35" s="10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x14ac:dyDescent="0.2">
      <c r="A36" s="98" t="s">
        <v>28</v>
      </c>
      <c r="B36" s="99"/>
      <c r="C36" s="9">
        <f>SUM(C4:C34)</f>
        <v>153725</v>
      </c>
      <c r="D36" s="9"/>
      <c r="E36" s="9">
        <f>SUM(E4:E34)</f>
        <v>89323</v>
      </c>
      <c r="F36" s="9">
        <f>MAX(F4:F34)</f>
        <v>631</v>
      </c>
      <c r="G36" s="11"/>
      <c r="H36" s="11"/>
      <c r="I36" s="8">
        <f>+E36+C36</f>
        <v>243048</v>
      </c>
      <c r="J36" s="16">
        <f>(C36*0.288)+(E36*0.177)</f>
        <v>60082.97099999999</v>
      </c>
    </row>
    <row r="37" spans="1:10" x14ac:dyDescent="0.2">
      <c r="A37" s="17">
        <f>COUNT(A4:A34)</f>
        <v>28</v>
      </c>
      <c r="C37" s="1">
        <f>COUNTIF(C4:C34,"&gt;0")</f>
        <v>26</v>
      </c>
      <c r="G37" s="1"/>
    </row>
    <row r="39" spans="1:10" ht="15.75" x14ac:dyDescent="0.25">
      <c r="A39" s="13" t="s">
        <v>29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topLeftCell="A11" zoomScaleNormal="100" workbookViewId="0">
      <selection activeCell="H31" sqref="H3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3.85546875" customWidth="1"/>
    <col min="9" max="9" width="19.140625" style="1" bestFit="1" customWidth="1"/>
    <col min="10" max="10" width="10.140625" style="14" bestFit="1" customWidth="1"/>
  </cols>
  <sheetData>
    <row r="1" spans="1:10" ht="18" x14ac:dyDescent="0.25">
      <c r="A1" s="6" t="s">
        <v>12</v>
      </c>
    </row>
    <row r="2" spans="1:10" ht="18" x14ac:dyDescent="0.25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0" x14ac:dyDescent="0.2">
      <c r="A3" s="3"/>
      <c r="B3" s="7" t="s">
        <v>20</v>
      </c>
      <c r="C3" s="7" t="s">
        <v>20</v>
      </c>
      <c r="D3" s="7" t="s">
        <v>21</v>
      </c>
      <c r="E3" s="7" t="s">
        <v>21</v>
      </c>
      <c r="F3" s="45" t="s">
        <v>20</v>
      </c>
      <c r="G3" s="7" t="s">
        <v>22</v>
      </c>
      <c r="H3" s="11"/>
      <c r="I3" s="7" t="s">
        <v>23</v>
      </c>
      <c r="J3" s="15" t="s">
        <v>24</v>
      </c>
    </row>
    <row r="4" spans="1:10" x14ac:dyDescent="0.2">
      <c r="A4" s="5">
        <v>44593</v>
      </c>
      <c r="B4" s="10">
        <v>2422</v>
      </c>
      <c r="C4" s="8">
        <f>IF(B5-B4 &lt; 0,0,B5-B4)</f>
        <v>2374</v>
      </c>
      <c r="D4" s="10">
        <v>1927</v>
      </c>
      <c r="E4" s="8">
        <f t="shared" ref="E4:E33" si="0">IF(D5-D4 &lt; 0,0,D5-D4)</f>
        <v>754</v>
      </c>
      <c r="F4" s="10">
        <v>196</v>
      </c>
      <c r="G4" s="49">
        <v>0.84</v>
      </c>
      <c r="H4" s="12" t="s">
        <v>25</v>
      </c>
      <c r="I4" s="8">
        <f>+E4+C4</f>
        <v>3128</v>
      </c>
      <c r="J4" s="16">
        <f>(C4*0.288)+(E4*0.177)</f>
        <v>817.17</v>
      </c>
    </row>
    <row r="5" spans="1:10" x14ac:dyDescent="0.2">
      <c r="A5" s="5">
        <v>44594</v>
      </c>
      <c r="B5" s="10">
        <v>4796</v>
      </c>
      <c r="C5" s="8">
        <f t="shared" ref="C5:C33" si="1">IF(B6-B5 &lt; 0,0,B6-B5)</f>
        <v>2316</v>
      </c>
      <c r="D5" s="10">
        <v>2681</v>
      </c>
      <c r="E5" s="8">
        <f t="shared" si="0"/>
        <v>1096</v>
      </c>
      <c r="F5" s="10">
        <v>203</v>
      </c>
      <c r="G5" s="49">
        <v>0.77</v>
      </c>
      <c r="H5" s="12" t="s">
        <v>25</v>
      </c>
      <c r="I5" s="8">
        <f t="shared" ref="I5:I35" si="2">+E5+C5</f>
        <v>3412</v>
      </c>
      <c r="J5" s="16">
        <f t="shared" ref="J5:J35" si="3">(C5*0.288)+(E5*0.177)</f>
        <v>860.99999999999989</v>
      </c>
    </row>
    <row r="6" spans="1:10" x14ac:dyDescent="0.2">
      <c r="A6" s="5">
        <v>44595</v>
      </c>
      <c r="B6" s="10">
        <v>7112</v>
      </c>
      <c r="C6" s="8">
        <f t="shared" si="1"/>
        <v>2173</v>
      </c>
      <c r="D6" s="10">
        <v>3777</v>
      </c>
      <c r="E6" s="8">
        <f t="shared" si="0"/>
        <v>949</v>
      </c>
      <c r="F6" s="10">
        <v>207</v>
      </c>
      <c r="G6" s="49">
        <v>0.75</v>
      </c>
      <c r="H6" s="12" t="s">
        <v>25</v>
      </c>
      <c r="I6" s="8">
        <f t="shared" si="2"/>
        <v>3122</v>
      </c>
      <c r="J6" s="16">
        <f t="shared" si="3"/>
        <v>793.79699999999991</v>
      </c>
    </row>
    <row r="7" spans="1:10" x14ac:dyDescent="0.2">
      <c r="A7" s="5">
        <v>44596</v>
      </c>
      <c r="B7" s="10">
        <v>9285</v>
      </c>
      <c r="C7" s="8">
        <f t="shared" si="1"/>
        <v>2008</v>
      </c>
      <c r="D7" s="10">
        <v>4726</v>
      </c>
      <c r="E7" s="8">
        <f t="shared" si="0"/>
        <v>824</v>
      </c>
      <c r="F7" s="10">
        <v>207</v>
      </c>
      <c r="G7" s="49">
        <v>0.49</v>
      </c>
      <c r="H7" s="12" t="s">
        <v>25</v>
      </c>
      <c r="I7" s="8">
        <f t="shared" si="2"/>
        <v>2832</v>
      </c>
      <c r="J7" s="16">
        <f t="shared" si="3"/>
        <v>724.15199999999993</v>
      </c>
    </row>
    <row r="8" spans="1:10" x14ac:dyDescent="0.2">
      <c r="A8" s="5">
        <v>44597</v>
      </c>
      <c r="B8" s="10">
        <v>11293</v>
      </c>
      <c r="C8" s="8">
        <f t="shared" si="1"/>
        <v>1669</v>
      </c>
      <c r="D8" s="10">
        <v>5550</v>
      </c>
      <c r="E8" s="8">
        <f t="shared" si="0"/>
        <v>760</v>
      </c>
      <c r="F8" s="10">
        <v>207</v>
      </c>
      <c r="G8" s="49">
        <v>0.27</v>
      </c>
      <c r="H8" s="12" t="s">
        <v>25</v>
      </c>
      <c r="I8" s="8">
        <f t="shared" si="2"/>
        <v>2429</v>
      </c>
      <c r="J8" s="16">
        <f t="shared" si="3"/>
        <v>615.19200000000001</v>
      </c>
    </row>
    <row r="9" spans="1:10" x14ac:dyDescent="0.2">
      <c r="A9" s="5">
        <v>44598</v>
      </c>
      <c r="B9" s="10">
        <v>12962</v>
      </c>
      <c r="C9" s="8">
        <f t="shared" si="1"/>
        <v>1617</v>
      </c>
      <c r="D9" s="10">
        <v>6310</v>
      </c>
      <c r="E9" s="8">
        <f t="shared" si="0"/>
        <v>762</v>
      </c>
      <c r="F9" s="10">
        <v>207</v>
      </c>
      <c r="G9" s="49">
        <v>0.2</v>
      </c>
      <c r="H9" s="12" t="s">
        <v>25</v>
      </c>
      <c r="I9" s="8">
        <f t="shared" si="2"/>
        <v>2379</v>
      </c>
      <c r="J9" s="16">
        <f t="shared" si="3"/>
        <v>600.56999999999994</v>
      </c>
    </row>
    <row r="10" spans="1:10" x14ac:dyDescent="0.2">
      <c r="A10" s="5">
        <v>44599</v>
      </c>
      <c r="B10" s="10">
        <v>14579</v>
      </c>
      <c r="C10" s="8">
        <f t="shared" si="1"/>
        <v>1673</v>
      </c>
      <c r="D10" s="10">
        <v>7072</v>
      </c>
      <c r="E10" s="8">
        <f t="shared" si="0"/>
        <v>539</v>
      </c>
      <c r="F10" s="10">
        <v>207</v>
      </c>
      <c r="G10" s="50">
        <v>0.26</v>
      </c>
      <c r="H10" s="12" t="s">
        <v>25</v>
      </c>
      <c r="I10" s="8">
        <f t="shared" si="2"/>
        <v>2212</v>
      </c>
      <c r="J10" s="16">
        <f t="shared" si="3"/>
        <v>577.22699999999998</v>
      </c>
    </row>
    <row r="11" spans="1:10" x14ac:dyDescent="0.2">
      <c r="A11" s="5">
        <v>44600</v>
      </c>
      <c r="B11" s="10">
        <v>16252</v>
      </c>
      <c r="C11" s="8">
        <f t="shared" si="1"/>
        <v>1591</v>
      </c>
      <c r="D11" s="10">
        <v>7611</v>
      </c>
      <c r="E11" s="8">
        <f t="shared" si="0"/>
        <v>728</v>
      </c>
      <c r="F11" s="10">
        <v>207</v>
      </c>
      <c r="G11" s="49">
        <v>0.24</v>
      </c>
      <c r="H11" s="12" t="s">
        <v>25</v>
      </c>
      <c r="I11" s="8">
        <f t="shared" si="2"/>
        <v>2319</v>
      </c>
      <c r="J11" s="16">
        <f t="shared" si="3"/>
        <v>587.06399999999996</v>
      </c>
    </row>
    <row r="12" spans="1:10" x14ac:dyDescent="0.2">
      <c r="A12" s="5">
        <v>44601</v>
      </c>
      <c r="B12" s="10">
        <v>17843</v>
      </c>
      <c r="C12" s="8">
        <f t="shared" si="1"/>
        <v>1621</v>
      </c>
      <c r="D12" s="10">
        <v>8339</v>
      </c>
      <c r="E12" s="8">
        <f t="shared" si="0"/>
        <v>755</v>
      </c>
      <c r="F12" s="10">
        <v>207</v>
      </c>
      <c r="G12" s="49">
        <v>0.24</v>
      </c>
      <c r="H12" s="12" t="s">
        <v>25</v>
      </c>
      <c r="I12" s="8">
        <f t="shared" si="2"/>
        <v>2376</v>
      </c>
      <c r="J12" s="16">
        <f t="shared" si="3"/>
        <v>600.48299999999995</v>
      </c>
    </row>
    <row r="13" spans="1:10" x14ac:dyDescent="0.2">
      <c r="A13" s="5">
        <v>44602</v>
      </c>
      <c r="B13" s="10">
        <v>19464</v>
      </c>
      <c r="C13" s="8">
        <f t="shared" si="1"/>
        <v>1846</v>
      </c>
      <c r="D13" s="10">
        <v>9094</v>
      </c>
      <c r="E13" s="8">
        <f t="shared" si="0"/>
        <v>930</v>
      </c>
      <c r="F13" s="10">
        <v>207</v>
      </c>
      <c r="G13" s="49">
        <v>0.28999999999999998</v>
      </c>
      <c r="H13" s="12" t="s">
        <v>25</v>
      </c>
      <c r="I13" s="8">
        <f t="shared" si="2"/>
        <v>2776</v>
      </c>
      <c r="J13" s="16">
        <f t="shared" si="3"/>
        <v>696.25799999999992</v>
      </c>
    </row>
    <row r="14" spans="1:10" x14ac:dyDescent="0.2">
      <c r="A14" s="5">
        <v>44603</v>
      </c>
      <c r="B14" s="10">
        <v>21310</v>
      </c>
      <c r="C14" s="8">
        <f t="shared" si="1"/>
        <v>1699</v>
      </c>
      <c r="D14" s="10">
        <v>10024</v>
      </c>
      <c r="E14" s="8">
        <f>IF(D15-D14 &lt; 0,0,D15-D14)</f>
        <v>811</v>
      </c>
      <c r="F14" s="10">
        <v>207</v>
      </c>
      <c r="G14" s="49">
        <v>0.3</v>
      </c>
      <c r="H14" s="12" t="s">
        <v>25</v>
      </c>
      <c r="I14" s="8">
        <f t="shared" si="2"/>
        <v>2510</v>
      </c>
      <c r="J14" s="16">
        <f t="shared" si="3"/>
        <v>632.85899999999992</v>
      </c>
    </row>
    <row r="15" spans="1:10" x14ac:dyDescent="0.2">
      <c r="A15" s="5">
        <v>44604</v>
      </c>
      <c r="B15" s="10">
        <v>23009</v>
      </c>
      <c r="C15" s="8">
        <f t="shared" si="1"/>
        <v>1754</v>
      </c>
      <c r="D15" s="10">
        <v>10835</v>
      </c>
      <c r="E15" s="8">
        <f>IF(D16-D15 &lt; 0,0,D16-D15)</f>
        <v>923</v>
      </c>
      <c r="F15" s="10">
        <v>207</v>
      </c>
      <c r="G15" s="49">
        <v>0.43</v>
      </c>
      <c r="H15" s="12" t="s">
        <v>25</v>
      </c>
      <c r="I15" s="8">
        <f t="shared" si="2"/>
        <v>2677</v>
      </c>
      <c r="J15" s="16">
        <f t="shared" si="3"/>
        <v>668.52299999999991</v>
      </c>
    </row>
    <row r="16" spans="1:10" x14ac:dyDescent="0.2">
      <c r="A16" s="5">
        <v>44605</v>
      </c>
      <c r="B16" s="10">
        <v>24763</v>
      </c>
      <c r="C16" s="8">
        <f t="shared" si="1"/>
        <v>1692</v>
      </c>
      <c r="D16" s="10">
        <v>11758</v>
      </c>
      <c r="E16" s="8">
        <f t="shared" si="0"/>
        <v>788</v>
      </c>
      <c r="F16" s="10">
        <v>207</v>
      </c>
      <c r="G16" s="49">
        <v>0.35</v>
      </c>
      <c r="H16" s="12" t="s">
        <v>25</v>
      </c>
      <c r="I16" s="8">
        <f t="shared" si="2"/>
        <v>2480</v>
      </c>
      <c r="J16" s="16">
        <f t="shared" si="3"/>
        <v>626.77199999999993</v>
      </c>
    </row>
    <row r="17" spans="1:10" x14ac:dyDescent="0.2">
      <c r="A17" s="5">
        <v>44606</v>
      </c>
      <c r="B17" s="10">
        <v>26455</v>
      </c>
      <c r="C17" s="8">
        <f t="shared" si="1"/>
        <v>1892</v>
      </c>
      <c r="D17" s="10">
        <v>12546</v>
      </c>
      <c r="E17" s="8">
        <f t="shared" si="0"/>
        <v>999</v>
      </c>
      <c r="F17" s="10">
        <v>207</v>
      </c>
      <c r="G17" s="49">
        <v>0.26</v>
      </c>
      <c r="H17" s="12" t="s">
        <v>25</v>
      </c>
      <c r="I17" s="8">
        <f t="shared" si="2"/>
        <v>2891</v>
      </c>
      <c r="J17" s="16">
        <f t="shared" si="3"/>
        <v>721.71899999999994</v>
      </c>
    </row>
    <row r="18" spans="1:10" x14ac:dyDescent="0.2">
      <c r="A18" s="5">
        <v>44607</v>
      </c>
      <c r="B18" s="10">
        <v>28347</v>
      </c>
      <c r="C18" s="8">
        <f t="shared" si="1"/>
        <v>1718</v>
      </c>
      <c r="D18" s="10">
        <v>13545</v>
      </c>
      <c r="E18" s="8">
        <f t="shared" si="0"/>
        <v>745</v>
      </c>
      <c r="F18" s="10">
        <v>207</v>
      </c>
      <c r="G18" s="49">
        <v>0.21</v>
      </c>
      <c r="H18" s="12" t="s">
        <v>25</v>
      </c>
      <c r="I18" s="8">
        <f t="shared" si="2"/>
        <v>2463</v>
      </c>
      <c r="J18" s="16">
        <f t="shared" si="3"/>
        <v>626.64899999999989</v>
      </c>
    </row>
    <row r="19" spans="1:10" x14ac:dyDescent="0.2">
      <c r="A19" s="5">
        <v>44608</v>
      </c>
      <c r="B19" s="10">
        <v>30065</v>
      </c>
      <c r="C19" s="8">
        <f t="shared" si="1"/>
        <v>1488</v>
      </c>
      <c r="D19" s="10">
        <v>14290</v>
      </c>
      <c r="E19" s="8">
        <f t="shared" si="0"/>
        <v>616</v>
      </c>
      <c r="F19" s="10">
        <v>207</v>
      </c>
      <c r="G19" s="49">
        <v>0.23</v>
      </c>
      <c r="H19" s="12" t="s">
        <v>25</v>
      </c>
      <c r="I19" s="8">
        <f t="shared" si="2"/>
        <v>2104</v>
      </c>
      <c r="J19" s="16">
        <f t="shared" si="3"/>
        <v>537.57600000000002</v>
      </c>
    </row>
    <row r="20" spans="1:10" x14ac:dyDescent="0.2">
      <c r="A20" s="5">
        <v>44609</v>
      </c>
      <c r="B20" s="10">
        <v>31553</v>
      </c>
      <c r="C20" s="8">
        <f t="shared" si="1"/>
        <v>1676</v>
      </c>
      <c r="D20" s="10">
        <v>14906</v>
      </c>
      <c r="E20" s="8">
        <f t="shared" si="0"/>
        <v>739</v>
      </c>
      <c r="F20" s="10">
        <v>207</v>
      </c>
      <c r="G20" s="49">
        <v>0.25</v>
      </c>
      <c r="H20" s="12" t="s">
        <v>25</v>
      </c>
      <c r="I20" s="8">
        <f t="shared" si="2"/>
        <v>2415</v>
      </c>
      <c r="J20" s="16">
        <f t="shared" si="3"/>
        <v>613.49099999999999</v>
      </c>
    </row>
    <row r="21" spans="1:10" x14ac:dyDescent="0.2">
      <c r="A21" s="5">
        <v>44610</v>
      </c>
      <c r="B21" s="10">
        <v>33229</v>
      </c>
      <c r="C21" s="8">
        <f t="shared" si="1"/>
        <v>1672</v>
      </c>
      <c r="D21" s="10">
        <v>15645</v>
      </c>
      <c r="E21" s="8">
        <f t="shared" si="0"/>
        <v>647</v>
      </c>
      <c r="F21" s="10">
        <v>207</v>
      </c>
      <c r="G21" s="49">
        <v>0.6</v>
      </c>
      <c r="H21" s="12" t="s">
        <v>25</v>
      </c>
      <c r="I21" s="8">
        <f t="shared" si="2"/>
        <v>2319</v>
      </c>
      <c r="J21" s="16">
        <f t="shared" si="3"/>
        <v>596.05499999999995</v>
      </c>
    </row>
    <row r="22" spans="1:10" x14ac:dyDescent="0.2">
      <c r="A22" s="5">
        <v>44611</v>
      </c>
      <c r="B22" s="10">
        <v>34901</v>
      </c>
      <c r="C22" s="8">
        <f t="shared" si="1"/>
        <v>1775</v>
      </c>
      <c r="D22" s="10">
        <v>16292</v>
      </c>
      <c r="E22" s="8">
        <f t="shared" si="0"/>
        <v>760</v>
      </c>
      <c r="F22" s="10">
        <v>207</v>
      </c>
      <c r="G22" s="49">
        <v>0.62</v>
      </c>
      <c r="H22" s="12" t="s">
        <v>26</v>
      </c>
      <c r="I22" s="8">
        <f t="shared" si="2"/>
        <v>2535</v>
      </c>
      <c r="J22" s="16">
        <f t="shared" si="3"/>
        <v>645.72</v>
      </c>
    </row>
    <row r="23" spans="1:10" x14ac:dyDescent="0.2">
      <c r="A23" s="5">
        <v>44612</v>
      </c>
      <c r="B23" s="10">
        <v>36676</v>
      </c>
      <c r="C23" s="8">
        <f t="shared" si="1"/>
        <v>1834</v>
      </c>
      <c r="D23" s="10">
        <v>17052</v>
      </c>
      <c r="E23" s="8">
        <f t="shared" si="0"/>
        <v>789</v>
      </c>
      <c r="F23" s="10">
        <v>207</v>
      </c>
      <c r="G23" s="49">
        <v>0.19</v>
      </c>
      <c r="H23" s="12" t="s">
        <v>25</v>
      </c>
      <c r="I23" s="8">
        <f t="shared" si="2"/>
        <v>2623</v>
      </c>
      <c r="J23" s="16">
        <f t="shared" si="3"/>
        <v>667.84500000000003</v>
      </c>
    </row>
    <row r="24" spans="1:10" x14ac:dyDescent="0.2">
      <c r="A24" s="5">
        <v>44613</v>
      </c>
      <c r="B24" s="10">
        <v>38510</v>
      </c>
      <c r="C24" s="8">
        <f t="shared" si="1"/>
        <v>1876</v>
      </c>
      <c r="D24" s="10">
        <v>17841</v>
      </c>
      <c r="E24" s="8">
        <f t="shared" si="0"/>
        <v>764</v>
      </c>
      <c r="F24" s="10">
        <v>207</v>
      </c>
      <c r="G24" s="49">
        <v>0.27</v>
      </c>
      <c r="H24" s="12" t="s">
        <v>25</v>
      </c>
      <c r="I24" s="8">
        <f t="shared" si="2"/>
        <v>2640</v>
      </c>
      <c r="J24" s="16">
        <f t="shared" si="3"/>
        <v>675.51599999999996</v>
      </c>
    </row>
    <row r="25" spans="1:10" x14ac:dyDescent="0.2">
      <c r="A25" s="5">
        <v>44614</v>
      </c>
      <c r="B25" s="10">
        <v>40386</v>
      </c>
      <c r="C25" s="8">
        <f t="shared" si="1"/>
        <v>1763</v>
      </c>
      <c r="D25" s="10">
        <v>18605</v>
      </c>
      <c r="E25" s="8">
        <f t="shared" si="0"/>
        <v>783</v>
      </c>
      <c r="F25" s="10">
        <v>207</v>
      </c>
      <c r="G25" s="49">
        <v>0.2</v>
      </c>
      <c r="H25" s="12" t="s">
        <v>25</v>
      </c>
      <c r="I25" s="8">
        <f t="shared" si="2"/>
        <v>2546</v>
      </c>
      <c r="J25" s="16">
        <f t="shared" si="3"/>
        <v>646.33499999999992</v>
      </c>
    </row>
    <row r="26" spans="1:10" x14ac:dyDescent="0.2">
      <c r="A26" s="5">
        <v>44615</v>
      </c>
      <c r="B26" s="10">
        <v>42149</v>
      </c>
      <c r="C26" s="8">
        <f t="shared" si="1"/>
        <v>1864</v>
      </c>
      <c r="D26" s="10">
        <v>19388</v>
      </c>
      <c r="E26" s="8">
        <f t="shared" si="0"/>
        <v>826</v>
      </c>
      <c r="F26" s="10">
        <v>207</v>
      </c>
      <c r="G26" s="50">
        <v>0.26</v>
      </c>
      <c r="H26" s="12" t="s">
        <v>25</v>
      </c>
      <c r="I26" s="8">
        <f t="shared" si="2"/>
        <v>2690</v>
      </c>
      <c r="J26" s="16">
        <f t="shared" si="3"/>
        <v>683.03399999999999</v>
      </c>
    </row>
    <row r="27" spans="1:10" x14ac:dyDescent="0.2">
      <c r="A27" s="5">
        <v>44616</v>
      </c>
      <c r="B27" s="10">
        <v>44013</v>
      </c>
      <c r="C27" s="8">
        <f t="shared" si="1"/>
        <v>1747</v>
      </c>
      <c r="D27" s="10">
        <v>20214</v>
      </c>
      <c r="E27" s="8">
        <f t="shared" si="0"/>
        <v>719</v>
      </c>
      <c r="F27" s="10">
        <v>207</v>
      </c>
      <c r="G27" s="49">
        <v>0.24</v>
      </c>
      <c r="H27" s="12" t="s">
        <v>26</v>
      </c>
      <c r="I27" s="8">
        <f t="shared" si="2"/>
        <v>2466</v>
      </c>
      <c r="J27" s="16">
        <f t="shared" si="3"/>
        <v>630.399</v>
      </c>
    </row>
    <row r="28" spans="1:10" x14ac:dyDescent="0.2">
      <c r="A28" s="5">
        <v>44617</v>
      </c>
      <c r="B28" s="10">
        <v>45760</v>
      </c>
      <c r="C28" s="8">
        <f t="shared" si="1"/>
        <v>1774</v>
      </c>
      <c r="D28" s="10">
        <v>20933</v>
      </c>
      <c r="E28" s="8">
        <f t="shared" si="0"/>
        <v>819</v>
      </c>
      <c r="F28" s="10">
        <v>207</v>
      </c>
      <c r="G28" s="49">
        <v>0.46</v>
      </c>
      <c r="H28" s="12" t="s">
        <v>27</v>
      </c>
      <c r="I28" s="8">
        <f t="shared" si="2"/>
        <v>2593</v>
      </c>
      <c r="J28" s="16">
        <f t="shared" si="3"/>
        <v>655.875</v>
      </c>
    </row>
    <row r="29" spans="1:10" x14ac:dyDescent="0.2">
      <c r="A29" s="5">
        <v>44618</v>
      </c>
      <c r="B29" s="10">
        <v>47534</v>
      </c>
      <c r="C29" s="8">
        <f t="shared" si="1"/>
        <v>1745</v>
      </c>
      <c r="D29" s="10">
        <v>21752</v>
      </c>
      <c r="E29" s="8">
        <f t="shared" si="0"/>
        <v>693</v>
      </c>
      <c r="F29" s="10">
        <v>207</v>
      </c>
      <c r="G29" s="49">
        <v>0.28999999999999998</v>
      </c>
      <c r="H29" s="12" t="s">
        <v>27</v>
      </c>
      <c r="I29" s="8">
        <f t="shared" si="2"/>
        <v>2438</v>
      </c>
      <c r="J29" s="16">
        <f t="shared" si="3"/>
        <v>625.22099999999989</v>
      </c>
    </row>
    <row r="30" spans="1:10" x14ac:dyDescent="0.2">
      <c r="A30" s="5">
        <v>44619</v>
      </c>
      <c r="B30" s="10">
        <v>49279</v>
      </c>
      <c r="C30" s="8">
        <f t="shared" si="1"/>
        <v>0</v>
      </c>
      <c r="D30" s="10">
        <v>22445</v>
      </c>
      <c r="E30" s="8">
        <f t="shared" si="0"/>
        <v>0</v>
      </c>
      <c r="F30" s="10">
        <v>207</v>
      </c>
      <c r="G30" s="49">
        <v>0.2</v>
      </c>
      <c r="H30" s="12" t="s">
        <v>27</v>
      </c>
      <c r="I30" s="8">
        <f t="shared" si="2"/>
        <v>0</v>
      </c>
      <c r="J30" s="16">
        <f t="shared" si="3"/>
        <v>0</v>
      </c>
    </row>
    <row r="31" spans="1:10" x14ac:dyDescent="0.2">
      <c r="A31" s="5">
        <v>44620</v>
      </c>
      <c r="B31" s="10">
        <v>0</v>
      </c>
      <c r="C31" s="8">
        <f t="shared" si="1"/>
        <v>0</v>
      </c>
      <c r="D31" s="10">
        <v>537</v>
      </c>
      <c r="E31" s="8">
        <f t="shared" si="0"/>
        <v>0</v>
      </c>
      <c r="F31" s="10">
        <v>0</v>
      </c>
      <c r="G31" s="49">
        <v>0.2</v>
      </c>
      <c r="H31" s="12" t="s">
        <v>25</v>
      </c>
      <c r="I31" s="8">
        <f t="shared" si="2"/>
        <v>0</v>
      </c>
      <c r="J31" s="16">
        <f t="shared" si="3"/>
        <v>0</v>
      </c>
    </row>
    <row r="32" spans="1:10" x14ac:dyDescent="0.2">
      <c r="A32" s="5"/>
      <c r="B32" s="10"/>
      <c r="C32" s="8">
        <f t="shared" si="1"/>
        <v>0</v>
      </c>
      <c r="D32" s="10"/>
      <c r="E32" s="8">
        <f t="shared" si="0"/>
        <v>0</v>
      </c>
      <c r="F32" s="10"/>
      <c r="G32" s="49"/>
      <c r="H32" s="12"/>
      <c r="I32" s="8">
        <f t="shared" si="2"/>
        <v>0</v>
      </c>
      <c r="J32" s="16">
        <f t="shared" si="3"/>
        <v>0</v>
      </c>
    </row>
    <row r="33" spans="1:10" x14ac:dyDescent="0.2">
      <c r="A33" s="5"/>
      <c r="B33" s="10"/>
      <c r="C33" s="8">
        <f t="shared" si="1"/>
        <v>0</v>
      </c>
      <c r="D33" s="10"/>
      <c r="E33" s="8">
        <f t="shared" si="0"/>
        <v>0</v>
      </c>
      <c r="F33" s="10"/>
      <c r="G33" s="49"/>
      <c r="H33" s="12"/>
      <c r="I33" s="8">
        <f t="shared" si="2"/>
        <v>0</v>
      </c>
      <c r="J33" s="16">
        <f t="shared" si="3"/>
        <v>0</v>
      </c>
    </row>
    <row r="34" spans="1:10" x14ac:dyDescent="0.2">
      <c r="A34" s="5"/>
      <c r="B34" s="10"/>
      <c r="C34" s="8">
        <v>0</v>
      </c>
      <c r="D34" s="10"/>
      <c r="E34" s="8">
        <v>0</v>
      </c>
      <c r="F34" s="10"/>
      <c r="G34" s="49"/>
      <c r="H34" s="12"/>
      <c r="I34" s="8">
        <f t="shared" si="2"/>
        <v>0</v>
      </c>
      <c r="J34" s="16">
        <f t="shared" si="3"/>
        <v>0</v>
      </c>
    </row>
    <row r="35" spans="1:10" x14ac:dyDescent="0.2">
      <c r="A35" s="5"/>
      <c r="B35" s="47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ht="13.5" customHeight="1" x14ac:dyDescent="0.2">
      <c r="A36" s="98"/>
      <c r="B36" s="99"/>
      <c r="C36" s="9">
        <f>SUM(C4:C35)</f>
        <v>46857</v>
      </c>
      <c r="D36" s="9"/>
      <c r="E36" s="9">
        <f>SUM(E4:E35)</f>
        <v>20518</v>
      </c>
      <c r="F36" s="9">
        <f>MAX(F4:F34)</f>
        <v>207</v>
      </c>
      <c r="G36" s="11"/>
      <c r="H36" s="11"/>
      <c r="I36" s="8">
        <f>+E36+C36</f>
        <v>67375</v>
      </c>
      <c r="J36" s="16">
        <f>(C36*0.288)+(E36*0.177)</f>
        <v>17126.502</v>
      </c>
    </row>
    <row r="37" spans="1:10" x14ac:dyDescent="0.2">
      <c r="A37" s="4">
        <f>COUNT(A4:A34)</f>
        <v>28</v>
      </c>
      <c r="G37" s="1"/>
      <c r="H37" t="s">
        <v>30</v>
      </c>
    </row>
    <row r="38" spans="1:10" x14ac:dyDescent="0.2">
      <c r="H38" t="s">
        <v>31</v>
      </c>
    </row>
    <row r="39" spans="1:10" ht="15.75" x14ac:dyDescent="0.25">
      <c r="A39" s="13" t="s">
        <v>29</v>
      </c>
      <c r="H39" t="s">
        <v>32</v>
      </c>
    </row>
    <row r="40" spans="1:10" x14ac:dyDescent="0.2">
      <c r="H40" t="s">
        <v>33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topLeftCell="A17" zoomScaleNormal="100" workbookViewId="0">
      <selection activeCell="H31" sqref="H3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8.7109375" style="51" customWidth="1"/>
    <col min="9" max="9" width="19.140625" style="1" bestFit="1" customWidth="1"/>
    <col min="10" max="10" width="10.140625" style="14" bestFit="1" customWidth="1"/>
  </cols>
  <sheetData>
    <row r="1" spans="1:10" ht="18" x14ac:dyDescent="0.25">
      <c r="A1" s="6" t="s">
        <v>12</v>
      </c>
    </row>
    <row r="2" spans="1:10" ht="18" x14ac:dyDescent="0.25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0" x14ac:dyDescent="0.2">
      <c r="A3" s="3"/>
      <c r="B3" s="7" t="s">
        <v>20</v>
      </c>
      <c r="C3" s="7" t="s">
        <v>20</v>
      </c>
      <c r="D3" s="7"/>
      <c r="E3" s="7" t="s">
        <v>21</v>
      </c>
      <c r="F3" s="45" t="s">
        <v>20</v>
      </c>
      <c r="G3" s="7" t="s">
        <v>22</v>
      </c>
      <c r="H3" s="52"/>
      <c r="I3" s="7" t="s">
        <v>23</v>
      </c>
      <c r="J3" s="15" t="s">
        <v>24</v>
      </c>
    </row>
    <row r="4" spans="1:10" x14ac:dyDescent="0.2">
      <c r="A4" s="5">
        <v>44593</v>
      </c>
      <c r="B4" s="10">
        <v>5539</v>
      </c>
      <c r="C4" s="8">
        <f>IF(B5-B4 &lt; 0,0,B5-B4)</f>
        <v>5759</v>
      </c>
      <c r="D4" s="10">
        <v>5821</v>
      </c>
      <c r="E4" s="8">
        <f>IF(D5-D4 &lt; 0,0,D5-D4)</f>
        <v>3485</v>
      </c>
      <c r="F4" s="10">
        <v>483</v>
      </c>
      <c r="G4" s="49">
        <v>0.84</v>
      </c>
      <c r="H4" s="12" t="s">
        <v>25</v>
      </c>
      <c r="I4" s="8">
        <f>+E4+C4</f>
        <v>9244</v>
      </c>
      <c r="J4" s="16">
        <f>(C4*0.288)+(E4*0.177)</f>
        <v>2275.4369999999999</v>
      </c>
    </row>
    <row r="5" spans="1:10" x14ac:dyDescent="0.2">
      <c r="A5" s="5">
        <v>44594</v>
      </c>
      <c r="B5" s="10">
        <v>11298</v>
      </c>
      <c r="C5" s="8">
        <f t="shared" ref="C5:C34" si="0">IF(B6-B5 &lt; 0,0,B6-B5)</f>
        <v>6018</v>
      </c>
      <c r="D5" s="10">
        <v>9306</v>
      </c>
      <c r="E5" s="8">
        <f t="shared" ref="E5:E33" si="1">IF(D6-D5 &lt; 0,0,D6-D5)</f>
        <v>3648</v>
      </c>
      <c r="F5" s="10">
        <v>483</v>
      </c>
      <c r="G5" s="49">
        <v>0.77</v>
      </c>
      <c r="H5" s="12" t="s">
        <v>25</v>
      </c>
      <c r="I5" s="8">
        <f>+E5+C5</f>
        <v>9666</v>
      </c>
      <c r="J5" s="16">
        <f t="shared" ref="J5:J35" si="2">(C5*0.288)+(E5*0.177)</f>
        <v>2378.88</v>
      </c>
    </row>
    <row r="6" spans="1:10" s="57" customFormat="1" ht="11.25" customHeight="1" x14ac:dyDescent="0.2">
      <c r="A6" s="5">
        <v>44595</v>
      </c>
      <c r="B6" s="54">
        <v>17316</v>
      </c>
      <c r="C6" s="55">
        <f t="shared" si="0"/>
        <v>5460</v>
      </c>
      <c r="D6" s="54">
        <v>12954</v>
      </c>
      <c r="E6" s="55">
        <f t="shared" si="1"/>
        <v>3243</v>
      </c>
      <c r="F6" s="54">
        <v>504</v>
      </c>
      <c r="G6" s="49">
        <v>0.75</v>
      </c>
      <c r="H6" s="12" t="s">
        <v>25</v>
      </c>
      <c r="I6" s="55">
        <f>+E6+C6</f>
        <v>8703</v>
      </c>
      <c r="J6" s="56">
        <f t="shared" si="2"/>
        <v>2146.491</v>
      </c>
    </row>
    <row r="7" spans="1:10" x14ac:dyDescent="0.2">
      <c r="A7" s="5">
        <v>44596</v>
      </c>
      <c r="B7" s="10">
        <v>22776</v>
      </c>
      <c r="C7" s="8">
        <f t="shared" si="0"/>
        <v>5069</v>
      </c>
      <c r="D7" s="10">
        <v>16197</v>
      </c>
      <c r="E7" s="8">
        <f t="shared" si="1"/>
        <v>3146</v>
      </c>
      <c r="F7" s="12">
        <v>504</v>
      </c>
      <c r="G7" s="49">
        <v>0.49</v>
      </c>
      <c r="H7" s="12" t="s">
        <v>25</v>
      </c>
      <c r="I7" s="8">
        <f t="shared" ref="I7:I35" si="3">+E7+C7</f>
        <v>8215</v>
      </c>
      <c r="J7" s="16">
        <f t="shared" si="2"/>
        <v>2016.7139999999999</v>
      </c>
    </row>
    <row r="8" spans="1:10" x14ac:dyDescent="0.2">
      <c r="A8" s="5">
        <v>44597</v>
      </c>
      <c r="B8" s="10">
        <v>27845</v>
      </c>
      <c r="C8" s="8">
        <f t="shared" si="0"/>
        <v>4748</v>
      </c>
      <c r="D8" s="10">
        <v>19343</v>
      </c>
      <c r="E8" s="8">
        <f t="shared" si="1"/>
        <v>3027</v>
      </c>
      <c r="F8" s="12">
        <v>504</v>
      </c>
      <c r="G8" s="49">
        <v>0.27</v>
      </c>
      <c r="H8" s="12" t="s">
        <v>25</v>
      </c>
      <c r="I8" s="8">
        <f t="shared" si="3"/>
        <v>7775</v>
      </c>
      <c r="J8" s="16">
        <f t="shared" si="2"/>
        <v>1903.203</v>
      </c>
    </row>
    <row r="9" spans="1:10" x14ac:dyDescent="0.2">
      <c r="A9" s="5">
        <v>44598</v>
      </c>
      <c r="B9" s="10">
        <v>32593</v>
      </c>
      <c r="C9" s="8">
        <f t="shared" si="0"/>
        <v>4729</v>
      </c>
      <c r="D9" s="10">
        <v>22370</v>
      </c>
      <c r="E9" s="8">
        <f t="shared" si="1"/>
        <v>2968</v>
      </c>
      <c r="F9" s="10">
        <v>504</v>
      </c>
      <c r="G9" s="49">
        <v>0.2</v>
      </c>
      <c r="H9" s="12" t="s">
        <v>25</v>
      </c>
      <c r="I9" s="8">
        <f t="shared" si="3"/>
        <v>7697</v>
      </c>
      <c r="J9" s="16">
        <f t="shared" si="2"/>
        <v>1887.288</v>
      </c>
    </row>
    <row r="10" spans="1:10" x14ac:dyDescent="0.2">
      <c r="A10" s="5">
        <v>44599</v>
      </c>
      <c r="B10" s="10">
        <v>37322</v>
      </c>
      <c r="C10" s="8">
        <f t="shared" si="0"/>
        <v>5228</v>
      </c>
      <c r="D10" s="10">
        <v>25338</v>
      </c>
      <c r="E10" s="8">
        <f t="shared" si="1"/>
        <v>2923</v>
      </c>
      <c r="F10" s="10">
        <v>504</v>
      </c>
      <c r="G10" s="50">
        <v>0.26</v>
      </c>
      <c r="H10" s="12" t="s">
        <v>25</v>
      </c>
      <c r="I10" s="8">
        <f t="shared" si="3"/>
        <v>8151</v>
      </c>
      <c r="J10" s="16">
        <f t="shared" si="2"/>
        <v>2023.0349999999999</v>
      </c>
    </row>
    <row r="11" spans="1:10" x14ac:dyDescent="0.2">
      <c r="A11" s="5">
        <v>44600</v>
      </c>
      <c r="B11" s="10">
        <v>42550</v>
      </c>
      <c r="C11" s="8">
        <f t="shared" si="0"/>
        <v>5218</v>
      </c>
      <c r="D11" s="10">
        <v>28261</v>
      </c>
      <c r="E11" s="8">
        <f t="shared" si="1"/>
        <v>3536</v>
      </c>
      <c r="F11" s="10">
        <v>504</v>
      </c>
      <c r="G11" s="49">
        <v>0.24</v>
      </c>
      <c r="H11" s="12" t="s">
        <v>25</v>
      </c>
      <c r="I11" s="8">
        <f t="shared" si="3"/>
        <v>8754</v>
      </c>
      <c r="J11" s="16">
        <f t="shared" si="2"/>
        <v>2128.6559999999999</v>
      </c>
    </row>
    <row r="12" spans="1:10" x14ac:dyDescent="0.2">
      <c r="A12" s="5">
        <v>44601</v>
      </c>
      <c r="B12" s="10">
        <v>47768</v>
      </c>
      <c r="C12" s="8">
        <f t="shared" si="0"/>
        <v>4689</v>
      </c>
      <c r="D12" s="10">
        <v>31797</v>
      </c>
      <c r="E12" s="8">
        <f t="shared" si="1"/>
        <v>2824</v>
      </c>
      <c r="F12" s="10">
        <v>504</v>
      </c>
      <c r="G12" s="49">
        <v>0.24</v>
      </c>
      <c r="H12" s="12" t="s">
        <v>25</v>
      </c>
      <c r="I12" s="8">
        <f t="shared" si="3"/>
        <v>7513</v>
      </c>
      <c r="J12" s="16">
        <f t="shared" si="2"/>
        <v>1850.2799999999997</v>
      </c>
    </row>
    <row r="13" spans="1:10" x14ac:dyDescent="0.2">
      <c r="A13" s="5">
        <v>44602</v>
      </c>
      <c r="B13" s="10">
        <v>52457</v>
      </c>
      <c r="C13" s="8">
        <f t="shared" si="0"/>
        <v>4600</v>
      </c>
      <c r="D13" s="10">
        <v>34621</v>
      </c>
      <c r="E13" s="8">
        <f t="shared" si="1"/>
        <v>3044</v>
      </c>
      <c r="F13" s="10">
        <v>504</v>
      </c>
      <c r="G13" s="49">
        <v>0.28999999999999998</v>
      </c>
      <c r="H13" s="12" t="s">
        <v>25</v>
      </c>
      <c r="I13" s="8">
        <f t="shared" si="3"/>
        <v>7644</v>
      </c>
      <c r="J13" s="16">
        <f t="shared" si="2"/>
        <v>1863.588</v>
      </c>
    </row>
    <row r="14" spans="1:10" x14ac:dyDescent="0.2">
      <c r="A14" s="5">
        <v>44603</v>
      </c>
      <c r="B14" s="10">
        <v>57057</v>
      </c>
      <c r="C14" s="8">
        <f t="shared" si="0"/>
        <v>5078</v>
      </c>
      <c r="D14" s="10">
        <v>37665</v>
      </c>
      <c r="E14" s="8">
        <f t="shared" si="1"/>
        <v>3236</v>
      </c>
      <c r="F14" s="10">
        <v>504</v>
      </c>
      <c r="G14" s="49">
        <v>0.3</v>
      </c>
      <c r="H14" s="12" t="s">
        <v>25</v>
      </c>
      <c r="I14" s="8">
        <f t="shared" si="3"/>
        <v>8314</v>
      </c>
      <c r="J14" s="16">
        <f t="shared" si="2"/>
        <v>2035.2359999999999</v>
      </c>
    </row>
    <row r="15" spans="1:10" x14ac:dyDescent="0.2">
      <c r="A15" s="5">
        <v>44604</v>
      </c>
      <c r="B15" s="10">
        <v>62135</v>
      </c>
      <c r="C15" s="8">
        <f t="shared" si="0"/>
        <v>5309</v>
      </c>
      <c r="D15" s="10">
        <v>40901</v>
      </c>
      <c r="E15" s="8">
        <f t="shared" si="1"/>
        <v>3265</v>
      </c>
      <c r="F15" s="10">
        <v>504</v>
      </c>
      <c r="G15" s="49">
        <v>0.43</v>
      </c>
      <c r="H15" s="12" t="s">
        <v>25</v>
      </c>
      <c r="I15" s="8">
        <f t="shared" si="3"/>
        <v>8574</v>
      </c>
      <c r="J15" s="16">
        <f t="shared" si="2"/>
        <v>2106.8969999999999</v>
      </c>
    </row>
    <row r="16" spans="1:10" x14ac:dyDescent="0.2">
      <c r="A16" s="5">
        <v>44605</v>
      </c>
      <c r="B16" s="10">
        <v>67444</v>
      </c>
      <c r="C16" s="8">
        <f t="shared" si="0"/>
        <v>5328</v>
      </c>
      <c r="D16" s="10">
        <v>44166</v>
      </c>
      <c r="E16" s="8">
        <f t="shared" si="1"/>
        <v>3114</v>
      </c>
      <c r="F16" s="10">
        <v>504</v>
      </c>
      <c r="G16" s="49">
        <v>0.35</v>
      </c>
      <c r="H16" s="12" t="s">
        <v>25</v>
      </c>
      <c r="I16" s="8">
        <f t="shared" si="3"/>
        <v>8442</v>
      </c>
      <c r="J16" s="16">
        <f t="shared" si="2"/>
        <v>2085.6419999999998</v>
      </c>
    </row>
    <row r="17" spans="1:10" x14ac:dyDescent="0.2">
      <c r="A17" s="5">
        <v>44606</v>
      </c>
      <c r="B17" s="10">
        <v>72772</v>
      </c>
      <c r="C17" s="8">
        <f t="shared" si="0"/>
        <v>5019</v>
      </c>
      <c r="D17" s="10">
        <v>47280</v>
      </c>
      <c r="E17" s="8">
        <f t="shared" si="1"/>
        <v>3206</v>
      </c>
      <c r="F17" s="10">
        <v>504</v>
      </c>
      <c r="G17" s="49">
        <v>0.26</v>
      </c>
      <c r="H17" s="12" t="s">
        <v>25</v>
      </c>
      <c r="I17" s="8">
        <f t="shared" si="3"/>
        <v>8225</v>
      </c>
      <c r="J17" s="16">
        <f t="shared" si="2"/>
        <v>2012.934</v>
      </c>
    </row>
    <row r="18" spans="1:10" x14ac:dyDescent="0.2">
      <c r="A18" s="5">
        <v>44607</v>
      </c>
      <c r="B18" s="10">
        <v>77791</v>
      </c>
      <c r="C18" s="8">
        <f t="shared" si="0"/>
        <v>5109</v>
      </c>
      <c r="D18" s="10">
        <v>50486</v>
      </c>
      <c r="E18" s="8">
        <f t="shared" si="1"/>
        <v>3186</v>
      </c>
      <c r="F18" s="10">
        <v>504</v>
      </c>
      <c r="G18" s="49">
        <v>0.21</v>
      </c>
      <c r="H18" s="12" t="s">
        <v>25</v>
      </c>
      <c r="I18" s="8">
        <f t="shared" si="3"/>
        <v>8295</v>
      </c>
      <c r="J18" s="16">
        <f t="shared" si="2"/>
        <v>2035.3139999999999</v>
      </c>
    </row>
    <row r="19" spans="1:10" x14ac:dyDescent="0.2">
      <c r="A19" s="5">
        <v>44608</v>
      </c>
      <c r="B19" s="10">
        <v>82900</v>
      </c>
      <c r="C19" s="8">
        <f t="shared" si="0"/>
        <v>4998</v>
      </c>
      <c r="D19" s="10">
        <v>53672</v>
      </c>
      <c r="E19" s="8">
        <f t="shared" si="1"/>
        <v>3467</v>
      </c>
      <c r="F19" s="10">
        <v>504</v>
      </c>
      <c r="G19" s="49">
        <v>0.23</v>
      </c>
      <c r="H19" s="12" t="s">
        <v>25</v>
      </c>
      <c r="I19" s="8">
        <f t="shared" si="3"/>
        <v>8465</v>
      </c>
      <c r="J19" s="16">
        <f t="shared" si="2"/>
        <v>2053.0830000000001</v>
      </c>
    </row>
    <row r="20" spans="1:10" x14ac:dyDescent="0.2">
      <c r="A20" s="5">
        <v>44609</v>
      </c>
      <c r="B20" s="10">
        <v>87898</v>
      </c>
      <c r="C20" s="8">
        <f t="shared" si="0"/>
        <v>5689</v>
      </c>
      <c r="D20" s="10">
        <v>57139</v>
      </c>
      <c r="E20" s="8">
        <f t="shared" si="1"/>
        <v>3546</v>
      </c>
      <c r="F20" s="10">
        <v>504</v>
      </c>
      <c r="G20" s="49">
        <v>0.25</v>
      </c>
      <c r="H20" s="12" t="s">
        <v>25</v>
      </c>
      <c r="I20" s="8">
        <f t="shared" si="3"/>
        <v>9235</v>
      </c>
      <c r="J20" s="16">
        <f t="shared" si="2"/>
        <v>2266.0739999999996</v>
      </c>
    </row>
    <row r="21" spans="1:10" x14ac:dyDescent="0.2">
      <c r="A21" s="5">
        <v>44610</v>
      </c>
      <c r="B21" s="10">
        <v>93587</v>
      </c>
      <c r="C21" s="8">
        <f t="shared" si="0"/>
        <v>5479</v>
      </c>
      <c r="D21" s="10">
        <v>60685</v>
      </c>
      <c r="E21" s="8">
        <f t="shared" si="1"/>
        <v>3175</v>
      </c>
      <c r="F21" s="10">
        <v>504</v>
      </c>
      <c r="G21" s="49">
        <v>0.6</v>
      </c>
      <c r="H21" s="12" t="s">
        <v>25</v>
      </c>
      <c r="I21" s="8">
        <f t="shared" si="3"/>
        <v>8654</v>
      </c>
      <c r="J21" s="16">
        <f t="shared" si="2"/>
        <v>2139.9269999999997</v>
      </c>
    </row>
    <row r="22" spans="1:10" x14ac:dyDescent="0.2">
      <c r="A22" s="5">
        <v>44611</v>
      </c>
      <c r="B22" s="10">
        <v>99066</v>
      </c>
      <c r="C22" s="8">
        <f t="shared" si="0"/>
        <v>5539</v>
      </c>
      <c r="D22" s="10">
        <v>63860</v>
      </c>
      <c r="E22" s="8">
        <f t="shared" si="1"/>
        <v>3205</v>
      </c>
      <c r="F22" s="10">
        <v>504</v>
      </c>
      <c r="G22" s="49">
        <v>0.62</v>
      </c>
      <c r="H22" s="12" t="s">
        <v>26</v>
      </c>
      <c r="I22" s="8">
        <f t="shared" si="3"/>
        <v>8744</v>
      </c>
      <c r="J22" s="16">
        <f t="shared" si="2"/>
        <v>2162.5169999999998</v>
      </c>
    </row>
    <row r="23" spans="1:10" x14ac:dyDescent="0.2">
      <c r="A23" s="5">
        <v>44612</v>
      </c>
      <c r="B23" s="10">
        <v>104605</v>
      </c>
      <c r="C23" s="8">
        <f t="shared" si="0"/>
        <v>5228</v>
      </c>
      <c r="D23" s="10">
        <v>67065</v>
      </c>
      <c r="E23" s="8">
        <f t="shared" si="1"/>
        <v>3015</v>
      </c>
      <c r="F23" s="10">
        <v>504</v>
      </c>
      <c r="G23" s="49">
        <v>0.19</v>
      </c>
      <c r="H23" s="12" t="s">
        <v>25</v>
      </c>
      <c r="I23" s="8">
        <f t="shared" si="3"/>
        <v>8243</v>
      </c>
      <c r="J23" s="16">
        <f t="shared" si="2"/>
        <v>2039.319</v>
      </c>
    </row>
    <row r="24" spans="1:10" x14ac:dyDescent="0.2">
      <c r="A24" s="5">
        <v>44613</v>
      </c>
      <c r="B24" s="10">
        <v>109833</v>
      </c>
      <c r="C24" s="8">
        <f>IF(B25-B24 &lt; 0,0,B25-B24)</f>
        <v>4858</v>
      </c>
      <c r="D24" s="10">
        <v>70080</v>
      </c>
      <c r="E24" s="8">
        <f t="shared" si="1"/>
        <v>2805</v>
      </c>
      <c r="F24" s="10">
        <v>504</v>
      </c>
      <c r="G24" s="49">
        <v>0.27</v>
      </c>
      <c r="H24" s="12" t="s">
        <v>25</v>
      </c>
      <c r="I24" s="8">
        <f t="shared" si="3"/>
        <v>7663</v>
      </c>
      <c r="J24" s="16">
        <f t="shared" si="2"/>
        <v>1895.5889999999997</v>
      </c>
    </row>
    <row r="25" spans="1:10" x14ac:dyDescent="0.2">
      <c r="A25" s="5">
        <v>44614</v>
      </c>
      <c r="B25" s="46">
        <v>114691</v>
      </c>
      <c r="C25" s="8">
        <f>IF(B26-B25 &lt; 0,0,B26-B25)</f>
        <v>4578</v>
      </c>
      <c r="D25" s="10">
        <v>72885</v>
      </c>
      <c r="E25" s="8">
        <f t="shared" si="1"/>
        <v>2866</v>
      </c>
      <c r="F25" s="10">
        <v>504</v>
      </c>
      <c r="G25" s="49">
        <v>0.2</v>
      </c>
      <c r="H25" s="12" t="s">
        <v>25</v>
      </c>
      <c r="I25" s="8">
        <f t="shared" si="3"/>
        <v>7444</v>
      </c>
      <c r="J25" s="16">
        <f t="shared" si="2"/>
        <v>1825.7459999999999</v>
      </c>
    </row>
    <row r="26" spans="1:10" x14ac:dyDescent="0.2">
      <c r="A26" s="5">
        <v>44615</v>
      </c>
      <c r="B26" s="10">
        <v>119269</v>
      </c>
      <c r="C26" s="8">
        <f t="shared" si="0"/>
        <v>4609</v>
      </c>
      <c r="D26" s="10">
        <v>75751</v>
      </c>
      <c r="E26" s="8">
        <f t="shared" si="1"/>
        <v>2785</v>
      </c>
      <c r="F26" s="10">
        <v>504</v>
      </c>
      <c r="G26" s="50">
        <v>0.26</v>
      </c>
      <c r="H26" s="12" t="s">
        <v>25</v>
      </c>
      <c r="I26" s="8">
        <f t="shared" si="3"/>
        <v>7394</v>
      </c>
      <c r="J26" s="16">
        <f t="shared" si="2"/>
        <v>1820.3369999999998</v>
      </c>
    </row>
    <row r="27" spans="1:10" x14ac:dyDescent="0.2">
      <c r="A27" s="5">
        <v>44616</v>
      </c>
      <c r="B27" s="10">
        <v>123878</v>
      </c>
      <c r="C27" s="8">
        <f>IF(B28-B27 &lt; 0,0,B28-B27)</f>
        <v>4057</v>
      </c>
      <c r="D27" s="10">
        <v>78536</v>
      </c>
      <c r="E27" s="8">
        <f t="shared" si="1"/>
        <v>2586</v>
      </c>
      <c r="F27" s="10">
        <v>504</v>
      </c>
      <c r="G27" s="49">
        <v>0.24</v>
      </c>
      <c r="H27" s="12" t="s">
        <v>26</v>
      </c>
      <c r="I27" s="8">
        <f t="shared" si="3"/>
        <v>6643</v>
      </c>
      <c r="J27" s="16">
        <f t="shared" si="2"/>
        <v>1626.1379999999999</v>
      </c>
    </row>
    <row r="28" spans="1:10" x14ac:dyDescent="0.2">
      <c r="A28" s="5">
        <v>44617</v>
      </c>
      <c r="B28" s="10">
        <v>127935</v>
      </c>
      <c r="C28" s="8">
        <f t="shared" si="0"/>
        <v>4348</v>
      </c>
      <c r="D28" s="10">
        <v>81122</v>
      </c>
      <c r="E28" s="8">
        <f t="shared" si="1"/>
        <v>2787</v>
      </c>
      <c r="F28" s="10">
        <v>504</v>
      </c>
      <c r="G28" s="49">
        <v>0.46</v>
      </c>
      <c r="H28" s="12" t="s">
        <v>27</v>
      </c>
      <c r="I28" s="8">
        <f t="shared" si="3"/>
        <v>7135</v>
      </c>
      <c r="J28" s="16">
        <f t="shared" si="2"/>
        <v>1745.5229999999999</v>
      </c>
    </row>
    <row r="29" spans="1:10" x14ac:dyDescent="0.2">
      <c r="A29" s="5">
        <v>44618</v>
      </c>
      <c r="B29" s="10">
        <v>132283</v>
      </c>
      <c r="C29" s="8">
        <f t="shared" si="0"/>
        <v>4278</v>
      </c>
      <c r="D29" s="10">
        <v>83909</v>
      </c>
      <c r="E29" s="8">
        <f t="shared" si="1"/>
        <v>2583</v>
      </c>
      <c r="F29" s="10">
        <v>504</v>
      </c>
      <c r="G29" s="49">
        <v>0.28999999999999998</v>
      </c>
      <c r="H29" s="12" t="s">
        <v>27</v>
      </c>
      <c r="I29" s="8">
        <f t="shared" si="3"/>
        <v>6861</v>
      </c>
      <c r="J29" s="16">
        <f t="shared" si="2"/>
        <v>1689.2549999999999</v>
      </c>
    </row>
    <row r="30" spans="1:10" x14ac:dyDescent="0.2">
      <c r="A30" s="5">
        <v>44619</v>
      </c>
      <c r="B30" s="10">
        <v>136561</v>
      </c>
      <c r="C30" s="8">
        <f t="shared" si="0"/>
        <v>0</v>
      </c>
      <c r="D30" s="10">
        <v>86492</v>
      </c>
      <c r="E30" s="8">
        <f t="shared" si="1"/>
        <v>0</v>
      </c>
      <c r="F30" s="10">
        <v>504</v>
      </c>
      <c r="G30" s="49">
        <v>0.2</v>
      </c>
      <c r="H30" s="53" t="s">
        <v>27</v>
      </c>
      <c r="I30" s="8">
        <f t="shared" si="3"/>
        <v>0</v>
      </c>
      <c r="J30" s="16">
        <f t="shared" si="2"/>
        <v>0</v>
      </c>
    </row>
    <row r="31" spans="1:10" x14ac:dyDescent="0.2">
      <c r="A31" s="5">
        <v>44620</v>
      </c>
      <c r="B31" s="10">
        <v>0</v>
      </c>
      <c r="C31" s="8">
        <f t="shared" si="0"/>
        <v>0</v>
      </c>
      <c r="D31" s="10">
        <v>2236</v>
      </c>
      <c r="E31" s="8">
        <v>0</v>
      </c>
      <c r="F31" s="10">
        <v>0</v>
      </c>
      <c r="G31" s="49">
        <v>0.2</v>
      </c>
      <c r="H31" s="53" t="s">
        <v>25</v>
      </c>
      <c r="I31" s="8">
        <f t="shared" si="3"/>
        <v>0</v>
      </c>
      <c r="J31" s="16">
        <f t="shared" si="2"/>
        <v>0</v>
      </c>
    </row>
    <row r="32" spans="1:10" x14ac:dyDescent="0.2">
      <c r="A32" s="5"/>
      <c r="B32" s="10"/>
      <c r="C32" s="8">
        <f t="shared" si="0"/>
        <v>0</v>
      </c>
      <c r="D32" s="10"/>
      <c r="E32" s="8">
        <f t="shared" si="1"/>
        <v>0</v>
      </c>
      <c r="F32" s="10"/>
      <c r="G32" s="49"/>
      <c r="H32" s="53"/>
      <c r="I32" s="8">
        <f t="shared" si="3"/>
        <v>0</v>
      </c>
      <c r="J32" s="16">
        <f t="shared" si="2"/>
        <v>0</v>
      </c>
    </row>
    <row r="33" spans="1:10" x14ac:dyDescent="0.2">
      <c r="A33" s="5"/>
      <c r="B33" s="10"/>
      <c r="C33" s="8">
        <f t="shared" si="0"/>
        <v>0</v>
      </c>
      <c r="D33" s="10"/>
      <c r="E33" s="8">
        <f t="shared" si="1"/>
        <v>0</v>
      </c>
      <c r="F33" s="10"/>
      <c r="G33" s="49"/>
      <c r="H33" s="53"/>
      <c r="I33" s="8">
        <f t="shared" si="3"/>
        <v>0</v>
      </c>
      <c r="J33" s="16">
        <f t="shared" si="2"/>
        <v>0</v>
      </c>
    </row>
    <row r="34" spans="1:10" x14ac:dyDescent="0.2">
      <c r="A34" s="5"/>
      <c r="B34" s="10"/>
      <c r="C34" s="8">
        <f t="shared" si="0"/>
        <v>0</v>
      </c>
      <c r="D34" s="10"/>
      <c r="E34" s="8"/>
      <c r="F34" s="10"/>
      <c r="G34" s="49"/>
      <c r="H34" s="53"/>
      <c r="I34" s="8">
        <f t="shared" si="3"/>
        <v>0</v>
      </c>
      <c r="J34" s="16">
        <f t="shared" si="2"/>
        <v>0</v>
      </c>
    </row>
    <row r="35" spans="1:10" x14ac:dyDescent="0.2">
      <c r="A35" s="5"/>
      <c r="B35" s="47"/>
      <c r="C35" s="8"/>
      <c r="D35" s="10"/>
      <c r="E35" s="8"/>
      <c r="F35" s="10"/>
      <c r="G35" s="12"/>
      <c r="H35" s="53"/>
      <c r="I35" s="8">
        <f t="shared" si="3"/>
        <v>0</v>
      </c>
      <c r="J35" s="16">
        <f t="shared" si="2"/>
        <v>0</v>
      </c>
    </row>
    <row r="36" spans="1:10" x14ac:dyDescent="0.2">
      <c r="A36" s="98"/>
      <c r="B36" s="99"/>
      <c r="C36" s="9">
        <f>SUM(C4:C35)</f>
        <v>131022</v>
      </c>
      <c r="D36" s="9"/>
      <c r="E36" s="9">
        <f>SUM(E4:E35)</f>
        <v>80671</v>
      </c>
      <c r="F36" s="9">
        <f>MAX(F4:F34)</f>
        <v>504</v>
      </c>
      <c r="G36" s="11"/>
      <c r="H36" s="52"/>
      <c r="I36" s="8">
        <f>+E36+C36</f>
        <v>211693</v>
      </c>
      <c r="J36" s="16">
        <f>(C36*0.288)+(E36*0.177)</f>
        <v>52013.102999999996</v>
      </c>
    </row>
    <row r="37" spans="1:10" x14ac:dyDescent="0.2">
      <c r="A37" s="4">
        <f>COUNT(A4:A34)</f>
        <v>28</v>
      </c>
      <c r="G37" s="1"/>
    </row>
    <row r="38" spans="1:10" x14ac:dyDescent="0.2">
      <c r="H38" s="51" t="s">
        <v>31</v>
      </c>
    </row>
    <row r="39" spans="1:10" ht="15.75" x14ac:dyDescent="0.25">
      <c r="A39" s="13" t="s">
        <v>29</v>
      </c>
      <c r="H39" s="51" t="s">
        <v>32</v>
      </c>
    </row>
    <row r="40" spans="1:10" x14ac:dyDescent="0.2">
      <c r="H40" s="51" t="s">
        <v>33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8"/>
  <sheetViews>
    <sheetView zoomScale="90" zoomScaleNormal="90" workbookViewId="0">
      <selection activeCell="G31" sqref="G3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5.7109375" style="1" bestFit="1" customWidth="1"/>
    <col min="5" max="5" width="18.85546875" style="1" customWidth="1"/>
    <col min="6" max="6" width="11.28515625" customWidth="1"/>
    <col min="7" max="7" width="11.7109375" customWidth="1"/>
    <col min="8" max="8" width="19.140625" style="1" bestFit="1" customWidth="1"/>
    <col min="9" max="9" width="13.28515625" style="14" customWidth="1"/>
  </cols>
  <sheetData>
    <row r="1" spans="1:9" ht="18" x14ac:dyDescent="0.25">
      <c r="A1" s="6" t="s">
        <v>34</v>
      </c>
    </row>
    <row r="2" spans="1:9" ht="18" x14ac:dyDescent="0.25">
      <c r="A2" s="2"/>
      <c r="B2" s="7" t="s">
        <v>35</v>
      </c>
      <c r="C2" s="7" t="s">
        <v>36</v>
      </c>
      <c r="D2" s="7" t="s">
        <v>37</v>
      </c>
      <c r="E2" s="7" t="s">
        <v>36</v>
      </c>
      <c r="F2" s="7" t="s">
        <v>16</v>
      </c>
      <c r="G2" s="7" t="s">
        <v>17</v>
      </c>
      <c r="H2" s="7" t="s">
        <v>18</v>
      </c>
      <c r="I2" s="15" t="s">
        <v>19</v>
      </c>
    </row>
    <row r="3" spans="1:9" x14ac:dyDescent="0.2">
      <c r="A3" s="3"/>
      <c r="B3" s="7" t="s">
        <v>38</v>
      </c>
      <c r="C3" s="7" t="s">
        <v>38</v>
      </c>
      <c r="D3" s="7" t="s">
        <v>38</v>
      </c>
      <c r="E3" s="7" t="s">
        <v>38</v>
      </c>
      <c r="F3" s="7" t="s">
        <v>22</v>
      </c>
      <c r="G3" s="11"/>
      <c r="H3" s="7" t="s">
        <v>38</v>
      </c>
      <c r="I3" s="15" t="s">
        <v>24</v>
      </c>
    </row>
    <row r="4" spans="1:9" x14ac:dyDescent="0.2">
      <c r="A4" s="5">
        <v>44593</v>
      </c>
      <c r="B4" s="10">
        <v>211881</v>
      </c>
      <c r="C4" s="8">
        <f t="shared" ref="C4:C6" si="0">IF(B5-B4&lt;0,0,B5-B4)</f>
        <v>1280</v>
      </c>
      <c r="D4" s="10">
        <v>2523</v>
      </c>
      <c r="E4" s="8">
        <f t="shared" ref="E4:E6" si="1">IF(D5-D4&lt;0,0,D5-D4)</f>
        <v>31</v>
      </c>
      <c r="F4" s="49">
        <v>0.84</v>
      </c>
      <c r="G4" s="12" t="s">
        <v>25</v>
      </c>
      <c r="H4" s="8">
        <f>+E4+C4</f>
        <v>1311</v>
      </c>
      <c r="I4" s="16">
        <f>(C4*1.35)+(E4*1.35)</f>
        <v>1769.85</v>
      </c>
    </row>
    <row r="5" spans="1:9" x14ac:dyDescent="0.2">
      <c r="A5" s="5">
        <v>44594</v>
      </c>
      <c r="B5" s="10">
        <v>213161</v>
      </c>
      <c r="C5" s="8">
        <f t="shared" si="0"/>
        <v>1258</v>
      </c>
      <c r="D5" s="10">
        <v>2554</v>
      </c>
      <c r="E5" s="8">
        <f t="shared" si="1"/>
        <v>27</v>
      </c>
      <c r="F5" s="49">
        <v>0.77</v>
      </c>
      <c r="G5" s="12" t="s">
        <v>25</v>
      </c>
      <c r="H5" s="8">
        <f t="shared" ref="H5:H34" si="2">+E5+C5</f>
        <v>1285</v>
      </c>
      <c r="I5" s="16">
        <f t="shared" ref="I5:I34" si="3">(C5*1.35)+(E5*1.35)</f>
        <v>1734.7500000000002</v>
      </c>
    </row>
    <row r="6" spans="1:9" x14ac:dyDescent="0.2">
      <c r="A6" s="5">
        <v>44595</v>
      </c>
      <c r="B6" s="10">
        <v>214419</v>
      </c>
      <c r="C6" s="8">
        <f t="shared" si="0"/>
        <v>1070</v>
      </c>
      <c r="D6" s="10">
        <v>2581</v>
      </c>
      <c r="E6" s="8">
        <f t="shared" si="1"/>
        <v>8</v>
      </c>
      <c r="F6" s="49">
        <v>0.75</v>
      </c>
      <c r="G6" s="12" t="s">
        <v>25</v>
      </c>
      <c r="H6" s="8">
        <f t="shared" si="2"/>
        <v>1078</v>
      </c>
      <c r="I6" s="16">
        <f>(C6*1.35)+(E6*1.35)</f>
        <v>1455.3</v>
      </c>
    </row>
    <row r="7" spans="1:9" x14ac:dyDescent="0.2">
      <c r="A7" s="5">
        <v>44596</v>
      </c>
      <c r="B7" s="10">
        <v>215489</v>
      </c>
      <c r="C7" s="8">
        <f>IF(B8-B7&lt;0,0,B8-B7)</f>
        <v>1079</v>
      </c>
      <c r="D7" s="10">
        <v>2589</v>
      </c>
      <c r="E7" s="8">
        <f>IF(D8-D7&lt;0,0,D8-D7)</f>
        <v>9</v>
      </c>
      <c r="F7" s="49">
        <v>0.49</v>
      </c>
      <c r="G7" s="12" t="s">
        <v>25</v>
      </c>
      <c r="H7" s="8">
        <f t="shared" si="2"/>
        <v>1088</v>
      </c>
      <c r="I7" s="16">
        <f t="shared" si="3"/>
        <v>1468.8000000000002</v>
      </c>
    </row>
    <row r="8" spans="1:9" x14ac:dyDescent="0.2">
      <c r="A8" s="5">
        <v>44597</v>
      </c>
      <c r="B8" s="10">
        <v>216568</v>
      </c>
      <c r="C8" s="8">
        <f>IF(B9-B8&lt;0,0,B9-B8)</f>
        <v>1132</v>
      </c>
      <c r="D8" s="10">
        <v>2598</v>
      </c>
      <c r="E8" s="8">
        <f>IF(D9-D8&lt;0,0,D9-D8)</f>
        <v>1</v>
      </c>
      <c r="F8" s="49">
        <v>0.27</v>
      </c>
      <c r="G8" s="12" t="s">
        <v>25</v>
      </c>
      <c r="H8" s="8">
        <f t="shared" si="2"/>
        <v>1133</v>
      </c>
      <c r="I8" s="16">
        <f t="shared" si="3"/>
        <v>1529.55</v>
      </c>
    </row>
    <row r="9" spans="1:9" x14ac:dyDescent="0.2">
      <c r="A9" s="5">
        <v>44598</v>
      </c>
      <c r="B9" s="10">
        <v>217700</v>
      </c>
      <c r="C9" s="8">
        <f t="shared" ref="C9:C34" si="4">IF(B10-B9&lt;0,0,B10-B9)</f>
        <v>1225</v>
      </c>
      <c r="D9" s="10">
        <v>2599</v>
      </c>
      <c r="E9" s="8">
        <f t="shared" ref="E9:E34" si="5">IF(D10-D9&lt;0,0,D10-D9)</f>
        <v>1</v>
      </c>
      <c r="F9" s="49">
        <v>0.2</v>
      </c>
      <c r="G9" s="12" t="s">
        <v>25</v>
      </c>
      <c r="H9" s="8">
        <f t="shared" si="2"/>
        <v>1226</v>
      </c>
      <c r="I9" s="16">
        <f t="shared" si="3"/>
        <v>1655.1</v>
      </c>
    </row>
    <row r="10" spans="1:9" x14ac:dyDescent="0.2">
      <c r="A10" s="5">
        <v>44599</v>
      </c>
      <c r="B10" s="10">
        <v>218925</v>
      </c>
      <c r="C10" s="8">
        <f t="shared" si="4"/>
        <v>1158</v>
      </c>
      <c r="D10" s="10">
        <v>2600</v>
      </c>
      <c r="E10" s="8">
        <f t="shared" si="5"/>
        <v>3</v>
      </c>
      <c r="F10" s="50">
        <v>0.26</v>
      </c>
      <c r="G10" s="12" t="s">
        <v>25</v>
      </c>
      <c r="H10" s="8">
        <f t="shared" si="2"/>
        <v>1161</v>
      </c>
      <c r="I10" s="16">
        <f t="shared" si="3"/>
        <v>1567.3500000000001</v>
      </c>
    </row>
    <row r="11" spans="1:9" x14ac:dyDescent="0.2">
      <c r="A11" s="5">
        <v>44600</v>
      </c>
      <c r="B11" s="10">
        <v>220083</v>
      </c>
      <c r="C11" s="8">
        <f>IF(B12-B11&lt;0,0,B12-B11)</f>
        <v>1200</v>
      </c>
      <c r="D11" s="10">
        <v>2603</v>
      </c>
      <c r="E11" s="8">
        <f t="shared" si="5"/>
        <v>0</v>
      </c>
      <c r="F11" s="49">
        <v>0.24</v>
      </c>
      <c r="G11" s="12" t="s">
        <v>25</v>
      </c>
      <c r="H11" s="8">
        <f t="shared" si="2"/>
        <v>1200</v>
      </c>
      <c r="I11" s="16">
        <f t="shared" si="3"/>
        <v>1620</v>
      </c>
    </row>
    <row r="12" spans="1:9" x14ac:dyDescent="0.2">
      <c r="A12" s="5">
        <v>44601</v>
      </c>
      <c r="B12" s="10">
        <v>221283</v>
      </c>
      <c r="C12" s="8">
        <f t="shared" si="4"/>
        <v>924</v>
      </c>
      <c r="D12" s="10">
        <v>2603</v>
      </c>
      <c r="E12" s="8">
        <f t="shared" si="5"/>
        <v>2</v>
      </c>
      <c r="F12" s="49">
        <v>0.24</v>
      </c>
      <c r="G12" s="12" t="s">
        <v>25</v>
      </c>
      <c r="H12" s="8">
        <f t="shared" si="2"/>
        <v>926</v>
      </c>
      <c r="I12" s="16">
        <f t="shared" si="3"/>
        <v>1250.1000000000001</v>
      </c>
    </row>
    <row r="13" spans="1:9" x14ac:dyDescent="0.2">
      <c r="A13" s="5">
        <v>44602</v>
      </c>
      <c r="B13" s="10">
        <v>222207</v>
      </c>
      <c r="C13" s="8">
        <f t="shared" si="4"/>
        <v>928</v>
      </c>
      <c r="D13" s="10">
        <v>2605</v>
      </c>
      <c r="E13" s="8">
        <f t="shared" si="5"/>
        <v>16</v>
      </c>
      <c r="F13" s="49">
        <v>0.28999999999999998</v>
      </c>
      <c r="G13" s="12" t="s">
        <v>25</v>
      </c>
      <c r="H13" s="8">
        <f t="shared" si="2"/>
        <v>944</v>
      </c>
      <c r="I13" s="16">
        <f t="shared" si="3"/>
        <v>1274.4000000000001</v>
      </c>
    </row>
    <row r="14" spans="1:9" x14ac:dyDescent="0.2">
      <c r="A14" s="5">
        <v>44603</v>
      </c>
      <c r="B14" s="10">
        <v>223135</v>
      </c>
      <c r="C14" s="8">
        <f t="shared" si="4"/>
        <v>961</v>
      </c>
      <c r="D14" s="10">
        <v>2621</v>
      </c>
      <c r="E14" s="8">
        <f t="shared" si="5"/>
        <v>6</v>
      </c>
      <c r="F14" s="49">
        <v>0.3</v>
      </c>
      <c r="G14" s="12" t="s">
        <v>25</v>
      </c>
      <c r="H14" s="8">
        <f t="shared" si="2"/>
        <v>967</v>
      </c>
      <c r="I14" s="16">
        <f t="shared" si="3"/>
        <v>1305.45</v>
      </c>
    </row>
    <row r="15" spans="1:9" x14ac:dyDescent="0.2">
      <c r="A15" s="5">
        <v>44604</v>
      </c>
      <c r="B15" s="10">
        <v>224096</v>
      </c>
      <c r="C15" s="8">
        <f t="shared" si="4"/>
        <v>950</v>
      </c>
      <c r="D15" s="10">
        <v>2627</v>
      </c>
      <c r="E15" s="8">
        <f t="shared" si="5"/>
        <v>16</v>
      </c>
      <c r="F15" s="49">
        <v>0.43</v>
      </c>
      <c r="G15" s="12" t="s">
        <v>25</v>
      </c>
      <c r="H15" s="8">
        <f t="shared" si="2"/>
        <v>966</v>
      </c>
      <c r="I15" s="16">
        <f t="shared" si="3"/>
        <v>1304.0999999999999</v>
      </c>
    </row>
    <row r="16" spans="1:9" x14ac:dyDescent="0.2">
      <c r="A16" s="5">
        <v>44605</v>
      </c>
      <c r="B16" s="10">
        <v>225046</v>
      </c>
      <c r="C16" s="8">
        <f t="shared" si="4"/>
        <v>883</v>
      </c>
      <c r="D16" s="10">
        <v>2643</v>
      </c>
      <c r="E16" s="8">
        <f t="shared" si="5"/>
        <v>15</v>
      </c>
      <c r="F16" s="49">
        <v>0.35</v>
      </c>
      <c r="G16" s="12" t="s">
        <v>25</v>
      </c>
      <c r="H16" s="8">
        <f t="shared" si="2"/>
        <v>898</v>
      </c>
      <c r="I16" s="16">
        <f t="shared" si="3"/>
        <v>1212.3000000000002</v>
      </c>
    </row>
    <row r="17" spans="1:9" x14ac:dyDescent="0.2">
      <c r="A17" s="5">
        <v>44606</v>
      </c>
      <c r="B17" s="10">
        <v>225929</v>
      </c>
      <c r="C17" s="8">
        <f t="shared" si="4"/>
        <v>1104</v>
      </c>
      <c r="D17" s="10">
        <v>2658</v>
      </c>
      <c r="E17" s="8">
        <f t="shared" si="5"/>
        <v>17</v>
      </c>
      <c r="F17" s="49">
        <v>0.26</v>
      </c>
      <c r="G17" s="12" t="s">
        <v>25</v>
      </c>
      <c r="H17" s="8">
        <f t="shared" si="2"/>
        <v>1121</v>
      </c>
      <c r="I17" s="16">
        <f t="shared" si="3"/>
        <v>1513.3500000000001</v>
      </c>
    </row>
    <row r="18" spans="1:9" x14ac:dyDescent="0.2">
      <c r="A18" s="5">
        <v>44607</v>
      </c>
      <c r="B18" s="10">
        <v>227033</v>
      </c>
      <c r="C18" s="8">
        <f t="shared" si="4"/>
        <v>973</v>
      </c>
      <c r="D18" s="10">
        <v>2675</v>
      </c>
      <c r="E18" s="8">
        <f t="shared" si="5"/>
        <v>1</v>
      </c>
      <c r="F18" s="49">
        <v>0.21</v>
      </c>
      <c r="G18" s="12" t="s">
        <v>25</v>
      </c>
      <c r="H18" s="8">
        <f t="shared" si="2"/>
        <v>974</v>
      </c>
      <c r="I18" s="16">
        <f t="shared" si="3"/>
        <v>1314.9</v>
      </c>
    </row>
    <row r="19" spans="1:9" x14ac:dyDescent="0.2">
      <c r="A19" s="5">
        <v>44608</v>
      </c>
      <c r="B19" s="10">
        <v>228006</v>
      </c>
      <c r="C19" s="8">
        <f t="shared" si="4"/>
        <v>990</v>
      </c>
      <c r="D19" s="10">
        <v>2676</v>
      </c>
      <c r="E19" s="8">
        <f t="shared" si="5"/>
        <v>2</v>
      </c>
      <c r="F19" s="49">
        <v>0.23</v>
      </c>
      <c r="G19" s="12" t="s">
        <v>25</v>
      </c>
      <c r="H19" s="8">
        <f t="shared" si="2"/>
        <v>992</v>
      </c>
      <c r="I19" s="16">
        <f t="shared" si="3"/>
        <v>1339.2</v>
      </c>
    </row>
    <row r="20" spans="1:9" x14ac:dyDescent="0.2">
      <c r="A20" s="5">
        <v>44609</v>
      </c>
      <c r="B20" s="10">
        <v>228996</v>
      </c>
      <c r="C20" s="8">
        <f t="shared" si="4"/>
        <v>994</v>
      </c>
      <c r="D20" s="10">
        <v>2678</v>
      </c>
      <c r="E20" s="8">
        <f t="shared" si="5"/>
        <v>2</v>
      </c>
      <c r="F20" s="49">
        <v>0.25</v>
      </c>
      <c r="G20" s="12" t="s">
        <v>25</v>
      </c>
      <c r="H20" s="8">
        <f t="shared" si="2"/>
        <v>996</v>
      </c>
      <c r="I20" s="16">
        <f t="shared" si="3"/>
        <v>1344.6000000000001</v>
      </c>
    </row>
    <row r="21" spans="1:9" x14ac:dyDescent="0.2">
      <c r="A21" s="5">
        <v>44610</v>
      </c>
      <c r="B21" s="10">
        <v>229990</v>
      </c>
      <c r="C21" s="8">
        <f t="shared" si="4"/>
        <v>953</v>
      </c>
      <c r="D21" s="10">
        <v>2680</v>
      </c>
      <c r="E21" s="8">
        <f t="shared" si="5"/>
        <v>2</v>
      </c>
      <c r="F21" s="49">
        <v>0.6</v>
      </c>
      <c r="G21" s="12" t="s">
        <v>25</v>
      </c>
      <c r="H21" s="8">
        <f t="shared" si="2"/>
        <v>955</v>
      </c>
      <c r="I21" s="16">
        <f t="shared" si="3"/>
        <v>1289.2500000000002</v>
      </c>
    </row>
    <row r="22" spans="1:9" x14ac:dyDescent="0.2">
      <c r="A22" s="5">
        <v>44611</v>
      </c>
      <c r="B22" s="10">
        <v>230943</v>
      </c>
      <c r="C22" s="8">
        <f t="shared" si="4"/>
        <v>1001</v>
      </c>
      <c r="D22" s="10">
        <v>2682</v>
      </c>
      <c r="E22" s="8">
        <f t="shared" si="5"/>
        <v>2</v>
      </c>
      <c r="F22" s="49">
        <v>0.62</v>
      </c>
      <c r="G22" s="12" t="s">
        <v>26</v>
      </c>
      <c r="H22" s="8">
        <f t="shared" si="2"/>
        <v>1003</v>
      </c>
      <c r="I22" s="16">
        <f t="shared" si="3"/>
        <v>1354.0500000000002</v>
      </c>
    </row>
    <row r="23" spans="1:9" x14ac:dyDescent="0.2">
      <c r="A23" s="5">
        <v>44612</v>
      </c>
      <c r="B23" s="10">
        <v>231944</v>
      </c>
      <c r="C23" s="8">
        <f t="shared" si="4"/>
        <v>1001</v>
      </c>
      <c r="D23" s="10">
        <v>2684</v>
      </c>
      <c r="E23" s="8">
        <f t="shared" si="5"/>
        <v>5</v>
      </c>
      <c r="F23" s="49">
        <v>0.19</v>
      </c>
      <c r="G23" s="12" t="s">
        <v>25</v>
      </c>
      <c r="H23" s="8">
        <f t="shared" si="2"/>
        <v>1006</v>
      </c>
      <c r="I23" s="16">
        <f t="shared" si="3"/>
        <v>1358.1000000000001</v>
      </c>
    </row>
    <row r="24" spans="1:9" x14ac:dyDescent="0.2">
      <c r="A24" s="5">
        <v>44613</v>
      </c>
      <c r="B24" s="10">
        <v>232945</v>
      </c>
      <c r="C24" s="8">
        <f t="shared" si="4"/>
        <v>919</v>
      </c>
      <c r="D24" s="10">
        <v>2689</v>
      </c>
      <c r="E24" s="8">
        <f t="shared" si="5"/>
        <v>11</v>
      </c>
      <c r="F24" s="49">
        <v>0.27</v>
      </c>
      <c r="G24" s="12" t="s">
        <v>25</v>
      </c>
      <c r="H24" s="8">
        <f t="shared" si="2"/>
        <v>930</v>
      </c>
      <c r="I24" s="16">
        <f t="shared" si="3"/>
        <v>1255.5</v>
      </c>
    </row>
    <row r="25" spans="1:9" x14ac:dyDescent="0.2">
      <c r="A25" s="5">
        <v>44614</v>
      </c>
      <c r="B25" s="10">
        <v>233864</v>
      </c>
      <c r="C25" s="8">
        <f t="shared" si="4"/>
        <v>956</v>
      </c>
      <c r="D25" s="10">
        <v>2700</v>
      </c>
      <c r="E25" s="8">
        <f t="shared" si="5"/>
        <v>2</v>
      </c>
      <c r="F25" s="49">
        <v>0.2</v>
      </c>
      <c r="G25" s="12" t="s">
        <v>25</v>
      </c>
      <c r="H25" s="8">
        <f t="shared" si="2"/>
        <v>958</v>
      </c>
      <c r="I25" s="16">
        <f t="shared" si="3"/>
        <v>1293.3000000000002</v>
      </c>
    </row>
    <row r="26" spans="1:9" x14ac:dyDescent="0.2">
      <c r="A26" s="5">
        <v>44615</v>
      </c>
      <c r="B26" s="10">
        <v>234820</v>
      </c>
      <c r="C26" s="8">
        <f t="shared" si="4"/>
        <v>1033</v>
      </c>
      <c r="D26" s="10">
        <v>2702</v>
      </c>
      <c r="E26" s="8">
        <f t="shared" si="5"/>
        <v>2</v>
      </c>
      <c r="F26" s="50">
        <v>0.26</v>
      </c>
      <c r="G26" s="12" t="s">
        <v>25</v>
      </c>
      <c r="H26" s="8">
        <f t="shared" si="2"/>
        <v>1035</v>
      </c>
      <c r="I26" s="16">
        <f t="shared" si="3"/>
        <v>1397.2500000000002</v>
      </c>
    </row>
    <row r="27" spans="1:9" x14ac:dyDescent="0.2">
      <c r="A27" s="5">
        <v>44616</v>
      </c>
      <c r="B27" s="10">
        <v>235853</v>
      </c>
      <c r="C27" s="8">
        <f t="shared" si="4"/>
        <v>1048</v>
      </c>
      <c r="D27" s="10">
        <v>2704</v>
      </c>
      <c r="E27" s="8">
        <f t="shared" si="5"/>
        <v>0</v>
      </c>
      <c r="F27" s="49">
        <v>0.24</v>
      </c>
      <c r="G27" s="12" t="s">
        <v>26</v>
      </c>
      <c r="H27" s="8">
        <f t="shared" si="2"/>
        <v>1048</v>
      </c>
      <c r="I27" s="16">
        <f t="shared" si="3"/>
        <v>1414.8000000000002</v>
      </c>
    </row>
    <row r="28" spans="1:9" x14ac:dyDescent="0.2">
      <c r="A28" s="5">
        <v>44617</v>
      </c>
      <c r="B28" s="10">
        <v>236901</v>
      </c>
      <c r="C28" s="8">
        <f t="shared" si="4"/>
        <v>1145</v>
      </c>
      <c r="D28" s="10">
        <v>2704</v>
      </c>
      <c r="E28" s="8">
        <f t="shared" si="5"/>
        <v>27</v>
      </c>
      <c r="F28" s="49">
        <v>0.46</v>
      </c>
      <c r="G28" s="12" t="s">
        <v>27</v>
      </c>
      <c r="H28" s="8">
        <f t="shared" si="2"/>
        <v>1172</v>
      </c>
      <c r="I28" s="16">
        <f t="shared" si="3"/>
        <v>1582.2</v>
      </c>
    </row>
    <row r="29" spans="1:9" x14ac:dyDescent="0.2">
      <c r="A29" s="5">
        <v>44618</v>
      </c>
      <c r="B29" s="10">
        <v>238046</v>
      </c>
      <c r="C29" s="8">
        <f t="shared" si="4"/>
        <v>1121</v>
      </c>
      <c r="D29" s="10">
        <v>2731</v>
      </c>
      <c r="E29" s="8">
        <f t="shared" si="5"/>
        <v>4</v>
      </c>
      <c r="F29" s="49">
        <v>0.28999999999999998</v>
      </c>
      <c r="G29" s="12" t="s">
        <v>27</v>
      </c>
      <c r="H29" s="8">
        <f t="shared" si="2"/>
        <v>1125</v>
      </c>
      <c r="I29" s="16">
        <f t="shared" si="3"/>
        <v>1518.7500000000002</v>
      </c>
    </row>
    <row r="30" spans="1:9" x14ac:dyDescent="0.2">
      <c r="A30" s="5">
        <v>44619</v>
      </c>
      <c r="B30" s="10">
        <v>239167</v>
      </c>
      <c r="C30" s="8">
        <f t="shared" si="4"/>
        <v>1251</v>
      </c>
      <c r="D30" s="10">
        <v>2735</v>
      </c>
      <c r="E30" s="8">
        <f t="shared" si="5"/>
        <v>2</v>
      </c>
      <c r="F30" s="49">
        <v>0.2</v>
      </c>
      <c r="G30" s="12" t="s">
        <v>27</v>
      </c>
      <c r="H30" s="8">
        <f t="shared" si="2"/>
        <v>1253</v>
      </c>
      <c r="I30" s="16">
        <f t="shared" si="3"/>
        <v>1691.5500000000002</v>
      </c>
    </row>
    <row r="31" spans="1:9" x14ac:dyDescent="0.2">
      <c r="A31" s="5">
        <v>44620</v>
      </c>
      <c r="B31" s="10">
        <v>240418</v>
      </c>
      <c r="C31" s="8">
        <f t="shared" si="4"/>
        <v>0</v>
      </c>
      <c r="D31" s="10">
        <v>2737</v>
      </c>
      <c r="E31" s="8">
        <f t="shared" si="5"/>
        <v>0</v>
      </c>
      <c r="F31" s="49">
        <v>0.2</v>
      </c>
      <c r="G31" s="12" t="s">
        <v>25</v>
      </c>
      <c r="H31" s="8">
        <f t="shared" si="2"/>
        <v>0</v>
      </c>
      <c r="I31" s="16">
        <f t="shared" si="3"/>
        <v>0</v>
      </c>
    </row>
    <row r="32" spans="1:9" x14ac:dyDescent="0.2">
      <c r="A32" s="5"/>
      <c r="B32" s="10"/>
      <c r="C32" s="8">
        <f t="shared" si="4"/>
        <v>0</v>
      </c>
      <c r="D32" s="10"/>
      <c r="E32" s="8">
        <f t="shared" si="5"/>
        <v>0</v>
      </c>
      <c r="F32" s="49"/>
      <c r="G32" s="12"/>
      <c r="H32" s="8">
        <f t="shared" si="2"/>
        <v>0</v>
      </c>
      <c r="I32" s="16">
        <f t="shared" si="3"/>
        <v>0</v>
      </c>
    </row>
    <row r="33" spans="1:9" x14ac:dyDescent="0.2">
      <c r="A33" s="5"/>
      <c r="B33" s="10"/>
      <c r="C33" s="8">
        <f t="shared" si="4"/>
        <v>0</v>
      </c>
      <c r="D33" s="10"/>
      <c r="E33" s="8">
        <f t="shared" si="5"/>
        <v>0</v>
      </c>
      <c r="F33" s="49"/>
      <c r="G33" s="12"/>
      <c r="H33" s="8">
        <f t="shared" si="2"/>
        <v>0</v>
      </c>
      <c r="I33" s="16">
        <f t="shared" si="3"/>
        <v>0</v>
      </c>
    </row>
    <row r="34" spans="1:9" x14ac:dyDescent="0.2">
      <c r="A34" s="5"/>
      <c r="B34" s="10"/>
      <c r="C34" s="8">
        <f t="shared" si="4"/>
        <v>0</v>
      </c>
      <c r="D34" s="10"/>
      <c r="E34" s="8">
        <f t="shared" si="5"/>
        <v>0</v>
      </c>
      <c r="F34" s="49"/>
      <c r="G34" s="12"/>
      <c r="H34" s="8">
        <f t="shared" si="2"/>
        <v>0</v>
      </c>
      <c r="I34" s="16">
        <f t="shared" si="3"/>
        <v>0</v>
      </c>
    </row>
    <row r="35" spans="1:9" x14ac:dyDescent="0.2">
      <c r="A35" s="98"/>
      <c r="B35" s="99"/>
      <c r="C35" s="9">
        <f>SUM(C4:C34)</f>
        <v>28537</v>
      </c>
      <c r="D35" s="9"/>
      <c r="E35" s="9">
        <f>SUM(E4:E34)</f>
        <v>214</v>
      </c>
      <c r="F35" s="11"/>
      <c r="G35" s="11"/>
      <c r="H35" s="8">
        <f>SUM(H4:H34)</f>
        <v>28751</v>
      </c>
      <c r="I35" s="16">
        <f>SUM(I4:I34)</f>
        <v>38813.85</v>
      </c>
    </row>
    <row r="36" spans="1:9" x14ac:dyDescent="0.2">
      <c r="A36" s="17"/>
      <c r="F36" s="1"/>
    </row>
    <row r="38" spans="1:9" ht="15.75" x14ac:dyDescent="0.25">
      <c r="A38" s="13" t="s">
        <v>29</v>
      </c>
    </row>
  </sheetData>
  <mergeCells count="1">
    <mergeCell ref="A35:B35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74C73-98F6-4CD3-9F76-E745AC6387BE}">
  <sheetPr>
    <pageSetUpPr fitToPage="1"/>
  </sheetPr>
  <dimension ref="A1:M39"/>
  <sheetViews>
    <sheetView zoomScale="85" workbookViewId="0">
      <selection activeCell="I4" sqref="I4"/>
    </sheetView>
  </sheetViews>
  <sheetFormatPr defaultRowHeight="12.75" x14ac:dyDescent="0.2"/>
  <cols>
    <col min="1" max="1" width="14" style="4" customWidth="1"/>
    <col min="2" max="2" width="12.140625" style="1" customWidth="1"/>
    <col min="3" max="3" width="12.5703125" style="1" customWidth="1"/>
    <col min="4" max="4" width="12.5703125" customWidth="1"/>
    <col min="5" max="5" width="9.42578125" style="14" customWidth="1"/>
    <col min="6" max="6" width="14" style="34" bestFit="1" customWidth="1"/>
    <col min="7" max="7" width="16.7109375" style="34" customWidth="1"/>
    <col min="8" max="8" width="13.7109375" style="34" customWidth="1"/>
    <col min="9" max="9" width="11" style="34" customWidth="1"/>
    <col min="10" max="10" width="9" style="34" customWidth="1"/>
  </cols>
  <sheetData>
    <row r="1" spans="1:13" ht="18" x14ac:dyDescent="0.25">
      <c r="A1" s="6" t="s">
        <v>39</v>
      </c>
    </row>
    <row r="2" spans="1:13" ht="25.5" x14ac:dyDescent="0.25">
      <c r="A2" s="35"/>
      <c r="B2" s="74" t="s">
        <v>40</v>
      </c>
      <c r="C2" s="102" t="s">
        <v>41</v>
      </c>
      <c r="D2" s="103"/>
      <c r="E2" s="75" t="s">
        <v>42</v>
      </c>
      <c r="F2" s="102" t="s">
        <v>43</v>
      </c>
      <c r="G2" s="103"/>
      <c r="H2" s="74" t="s">
        <v>36</v>
      </c>
      <c r="I2" s="76" t="s">
        <v>19</v>
      </c>
      <c r="J2" s="77" t="s">
        <v>44</v>
      </c>
      <c r="K2" s="36"/>
    </row>
    <row r="3" spans="1:13" x14ac:dyDescent="0.2">
      <c r="A3" s="37"/>
      <c r="B3" s="7" t="s">
        <v>45</v>
      </c>
      <c r="C3" s="7" t="s">
        <v>46</v>
      </c>
      <c r="D3" s="7" t="s">
        <v>47</v>
      </c>
      <c r="E3" s="30" t="s">
        <v>48</v>
      </c>
      <c r="F3" s="38" t="s">
        <v>46</v>
      </c>
      <c r="G3" s="7" t="s">
        <v>47</v>
      </c>
      <c r="H3" s="7" t="s">
        <v>49</v>
      </c>
      <c r="I3" s="15" t="s">
        <v>24</v>
      </c>
      <c r="J3" s="39"/>
      <c r="K3" s="36"/>
    </row>
    <row r="4" spans="1:13" x14ac:dyDescent="0.2">
      <c r="A4" s="40">
        <v>44593</v>
      </c>
      <c r="B4" s="31">
        <v>2</v>
      </c>
      <c r="C4" s="90">
        <v>8.3000000000000007</v>
      </c>
      <c r="D4" s="94">
        <v>21</v>
      </c>
      <c r="E4" s="78">
        <f>D4-C4</f>
        <v>12.7</v>
      </c>
      <c r="F4" s="81">
        <v>1612089</v>
      </c>
      <c r="G4" s="86">
        <v>1612317.1</v>
      </c>
      <c r="H4" s="78">
        <f>G4-F4</f>
        <v>228.10000000009313</v>
      </c>
      <c r="I4" s="16">
        <f t="shared" ref="I4:I19" si="0">H4*3.3</f>
        <v>752.73000000030731</v>
      </c>
      <c r="J4" s="70"/>
      <c r="K4" s="104"/>
      <c r="L4" s="104"/>
      <c r="M4" s="104"/>
    </row>
    <row r="5" spans="1:13" x14ac:dyDescent="0.2">
      <c r="A5" s="40">
        <v>44594</v>
      </c>
      <c r="B5" s="31">
        <v>2</v>
      </c>
      <c r="C5" s="91">
        <v>8.3000000000000007</v>
      </c>
      <c r="D5" s="95">
        <v>21</v>
      </c>
      <c r="E5" s="78">
        <f>D5-C5</f>
        <v>12.7</v>
      </c>
      <c r="F5" s="81">
        <v>1612317.1</v>
      </c>
      <c r="G5" s="86">
        <v>1612615.8</v>
      </c>
      <c r="H5" s="79">
        <f t="shared" ref="H5:H35" si="1">G5-F5</f>
        <v>298.69999999995343</v>
      </c>
      <c r="I5" s="16">
        <f t="shared" si="0"/>
        <v>985.70999999984633</v>
      </c>
      <c r="J5" s="68"/>
      <c r="K5" s="71"/>
      <c r="L5" s="72"/>
      <c r="M5" s="72"/>
    </row>
    <row r="6" spans="1:13" x14ac:dyDescent="0.2">
      <c r="A6" s="40">
        <v>44595</v>
      </c>
      <c r="B6" s="32">
        <v>2</v>
      </c>
      <c r="C6" s="91">
        <v>8.3000000000000007</v>
      </c>
      <c r="D6" s="95">
        <v>21</v>
      </c>
      <c r="E6" s="78">
        <f t="shared" ref="E6:E35" si="2">D6-C6</f>
        <v>12.7</v>
      </c>
      <c r="F6" s="82">
        <v>1612615.8</v>
      </c>
      <c r="G6" s="87">
        <v>1612881.4</v>
      </c>
      <c r="H6" s="79">
        <f t="shared" si="1"/>
        <v>265.5999999998603</v>
      </c>
      <c r="I6" s="16">
        <f t="shared" si="0"/>
        <v>876.4799999995389</v>
      </c>
      <c r="J6" s="70"/>
      <c r="K6" s="105"/>
      <c r="L6" s="104"/>
      <c r="M6" s="72"/>
    </row>
    <row r="7" spans="1:13" x14ac:dyDescent="0.2">
      <c r="A7" s="40">
        <v>44596</v>
      </c>
      <c r="B7" s="32">
        <v>2</v>
      </c>
      <c r="C7" s="91">
        <v>8.3000000000000007</v>
      </c>
      <c r="D7" s="95">
        <v>18</v>
      </c>
      <c r="E7" s="78">
        <f t="shared" si="2"/>
        <v>9.6999999999999993</v>
      </c>
      <c r="F7" s="81">
        <v>1612881.4</v>
      </c>
      <c r="G7" s="86">
        <v>1613040.3</v>
      </c>
      <c r="H7" s="79">
        <f t="shared" si="1"/>
        <v>158.9000000001397</v>
      </c>
      <c r="I7" s="16">
        <f t="shared" si="0"/>
        <v>524.370000000461</v>
      </c>
      <c r="J7" s="70"/>
      <c r="K7" s="105"/>
      <c r="L7" s="104"/>
      <c r="M7" s="72"/>
    </row>
    <row r="8" spans="1:13" x14ac:dyDescent="0.2">
      <c r="A8" s="40">
        <v>44597</v>
      </c>
      <c r="B8" s="31">
        <v>2</v>
      </c>
      <c r="C8" s="90">
        <v>8.3000000000000007</v>
      </c>
      <c r="D8" s="94">
        <v>18</v>
      </c>
      <c r="E8" s="78">
        <f t="shared" si="2"/>
        <v>9.6999999999999993</v>
      </c>
      <c r="F8" s="81">
        <v>1613040.3</v>
      </c>
      <c r="G8" s="86">
        <v>1613133.1</v>
      </c>
      <c r="H8" s="78">
        <f t="shared" si="1"/>
        <v>92.800000000046566</v>
      </c>
      <c r="I8" s="16">
        <f t="shared" si="0"/>
        <v>306.24000000015366</v>
      </c>
      <c r="J8" s="73"/>
      <c r="K8" s="71"/>
      <c r="L8" s="72"/>
      <c r="M8" s="72"/>
    </row>
    <row r="9" spans="1:13" x14ac:dyDescent="0.2">
      <c r="A9" s="40">
        <v>44598</v>
      </c>
      <c r="B9" s="31">
        <v>2</v>
      </c>
      <c r="C9" s="90">
        <v>8.3000000000000007</v>
      </c>
      <c r="D9" s="94">
        <v>18</v>
      </c>
      <c r="E9" s="78">
        <f t="shared" si="2"/>
        <v>9.6999999999999993</v>
      </c>
      <c r="F9" s="81">
        <v>1613133.1</v>
      </c>
      <c r="G9" s="86">
        <v>1613343</v>
      </c>
      <c r="H9" s="78">
        <f t="shared" si="1"/>
        <v>209.89999999990687</v>
      </c>
      <c r="I9" s="16">
        <f t="shared" si="0"/>
        <v>692.66999999969266</v>
      </c>
      <c r="J9" s="73"/>
      <c r="K9" s="104"/>
      <c r="L9" s="104"/>
      <c r="M9" s="72"/>
    </row>
    <row r="10" spans="1:13" x14ac:dyDescent="0.2">
      <c r="A10" s="40">
        <v>44599</v>
      </c>
      <c r="B10" s="31">
        <v>2</v>
      </c>
      <c r="C10" s="90">
        <v>8.3000000000000007</v>
      </c>
      <c r="D10" s="94">
        <v>18</v>
      </c>
      <c r="E10" s="78">
        <f>D10-C10</f>
        <v>9.6999999999999993</v>
      </c>
      <c r="F10" s="81">
        <v>1613343</v>
      </c>
      <c r="G10" s="86">
        <v>1613538.8</v>
      </c>
      <c r="H10" s="78">
        <f>G10-F10</f>
        <v>195.80000000004657</v>
      </c>
      <c r="I10" s="16">
        <f t="shared" si="0"/>
        <v>646.14000000015358</v>
      </c>
      <c r="J10" s="73"/>
      <c r="K10" s="71"/>
      <c r="L10" s="71"/>
      <c r="M10" s="72"/>
    </row>
    <row r="11" spans="1:13" x14ac:dyDescent="0.2">
      <c r="A11" s="40">
        <v>44600</v>
      </c>
      <c r="B11" s="31" t="s">
        <v>50</v>
      </c>
      <c r="C11" s="90"/>
      <c r="D11" s="94"/>
      <c r="E11" s="78">
        <f t="shared" si="2"/>
        <v>0</v>
      </c>
      <c r="F11" s="81"/>
      <c r="G11" s="86"/>
      <c r="H11" s="78">
        <f t="shared" si="1"/>
        <v>0</v>
      </c>
      <c r="I11" s="16">
        <f t="shared" si="0"/>
        <v>0</v>
      </c>
      <c r="J11" s="73"/>
      <c r="K11" s="104"/>
      <c r="L11" s="104"/>
      <c r="M11" s="72"/>
    </row>
    <row r="12" spans="1:13" x14ac:dyDescent="0.2">
      <c r="A12" s="40">
        <v>44601</v>
      </c>
      <c r="B12" s="31">
        <v>2</v>
      </c>
      <c r="C12" s="91">
        <v>8.3000000000000007</v>
      </c>
      <c r="D12" s="94">
        <v>18</v>
      </c>
      <c r="E12" s="78">
        <f t="shared" si="2"/>
        <v>9.6999999999999993</v>
      </c>
      <c r="F12" s="81">
        <v>1613538.8</v>
      </c>
      <c r="G12" s="86">
        <v>1613727.1</v>
      </c>
      <c r="H12" s="78">
        <f t="shared" si="1"/>
        <v>188.30000000004657</v>
      </c>
      <c r="I12" s="16">
        <f t="shared" si="0"/>
        <v>621.39000000015369</v>
      </c>
      <c r="J12" s="73"/>
      <c r="K12" s="105"/>
      <c r="L12" s="104"/>
      <c r="M12" s="72"/>
    </row>
    <row r="13" spans="1:13" x14ac:dyDescent="0.2">
      <c r="A13" s="40">
        <v>44602</v>
      </c>
      <c r="B13" s="31" t="s">
        <v>50</v>
      </c>
      <c r="C13" s="90"/>
      <c r="D13" s="94"/>
      <c r="E13" s="78">
        <f t="shared" si="2"/>
        <v>0</v>
      </c>
      <c r="F13" s="81"/>
      <c r="G13" s="86"/>
      <c r="H13" s="78">
        <f t="shared" si="1"/>
        <v>0</v>
      </c>
      <c r="I13" s="16">
        <f t="shared" si="0"/>
        <v>0</v>
      </c>
      <c r="J13" s="73"/>
      <c r="K13" s="71"/>
      <c r="L13" s="72"/>
      <c r="M13" s="72"/>
    </row>
    <row r="14" spans="1:13" x14ac:dyDescent="0.2">
      <c r="A14" s="40">
        <v>44603</v>
      </c>
      <c r="B14" s="31">
        <v>2</v>
      </c>
      <c r="C14" s="91">
        <v>8.3000000000000007</v>
      </c>
      <c r="D14" s="94">
        <v>18</v>
      </c>
      <c r="E14" s="78">
        <f t="shared" si="2"/>
        <v>9.6999999999999993</v>
      </c>
      <c r="F14" s="81">
        <v>1613727.1</v>
      </c>
      <c r="G14" s="86">
        <v>1613984.3</v>
      </c>
      <c r="H14" s="78">
        <f t="shared" si="1"/>
        <v>257.19999999995343</v>
      </c>
      <c r="I14" s="16">
        <f t="shared" si="0"/>
        <v>848.75999999984629</v>
      </c>
      <c r="J14" s="73"/>
      <c r="K14" s="105"/>
      <c r="L14" s="104"/>
      <c r="M14" s="104"/>
    </row>
    <row r="15" spans="1:13" x14ac:dyDescent="0.2">
      <c r="A15" s="40">
        <v>44604</v>
      </c>
      <c r="B15" s="31">
        <v>2</v>
      </c>
      <c r="C15" s="91">
        <v>8.3000000000000007</v>
      </c>
      <c r="D15" s="94">
        <v>18</v>
      </c>
      <c r="E15" s="78">
        <f t="shared" si="2"/>
        <v>9.6999999999999993</v>
      </c>
      <c r="F15" s="81">
        <v>1613984.3</v>
      </c>
      <c r="G15" s="86">
        <v>1614274.3</v>
      </c>
      <c r="H15" s="78">
        <f t="shared" si="1"/>
        <v>290</v>
      </c>
      <c r="I15" s="16">
        <f t="shared" si="0"/>
        <v>957</v>
      </c>
      <c r="J15" s="73"/>
      <c r="K15" s="71"/>
      <c r="L15" s="72"/>
      <c r="M15" s="72"/>
    </row>
    <row r="16" spans="1:13" x14ac:dyDescent="0.2">
      <c r="A16" s="40">
        <v>44605</v>
      </c>
      <c r="B16" s="31">
        <v>2</v>
      </c>
      <c r="C16" s="91">
        <v>8.3000000000000007</v>
      </c>
      <c r="D16" s="94">
        <v>18</v>
      </c>
      <c r="E16" s="78">
        <f t="shared" si="2"/>
        <v>9.6999999999999993</v>
      </c>
      <c r="F16" s="81">
        <v>1614274.3</v>
      </c>
      <c r="G16" s="86">
        <v>1614520.1</v>
      </c>
      <c r="H16" s="78">
        <f t="shared" si="1"/>
        <v>245.80000000004657</v>
      </c>
      <c r="I16" s="16">
        <f t="shared" si="0"/>
        <v>811.14000000015358</v>
      </c>
      <c r="J16" s="73"/>
      <c r="K16" s="71"/>
      <c r="L16" s="72"/>
      <c r="M16" s="72"/>
    </row>
    <row r="17" spans="1:13" x14ac:dyDescent="0.2">
      <c r="A17" s="40">
        <v>44606</v>
      </c>
      <c r="B17" s="31" t="s">
        <v>50</v>
      </c>
      <c r="C17" s="90"/>
      <c r="D17" s="94"/>
      <c r="E17" s="78">
        <f t="shared" si="2"/>
        <v>0</v>
      </c>
      <c r="F17" s="81"/>
      <c r="G17" s="86"/>
      <c r="H17" s="78">
        <f>G17-F17</f>
        <v>0</v>
      </c>
      <c r="I17" s="16">
        <f t="shared" si="0"/>
        <v>0</v>
      </c>
      <c r="J17" s="73"/>
      <c r="K17" s="71"/>
      <c r="L17" s="72"/>
      <c r="M17" s="72"/>
    </row>
    <row r="18" spans="1:13" x14ac:dyDescent="0.2">
      <c r="A18" s="40">
        <v>44607</v>
      </c>
      <c r="B18" s="33" t="s">
        <v>51</v>
      </c>
      <c r="C18" s="91">
        <v>8.3000000000000007</v>
      </c>
      <c r="D18" s="94">
        <v>18</v>
      </c>
      <c r="E18" s="78">
        <f t="shared" si="2"/>
        <v>9.6999999999999993</v>
      </c>
      <c r="F18" s="81">
        <v>1614520.1</v>
      </c>
      <c r="G18" s="86">
        <v>1614777.7</v>
      </c>
      <c r="H18" s="78">
        <f t="shared" si="1"/>
        <v>257.5999999998603</v>
      </c>
      <c r="I18" s="16">
        <f t="shared" si="0"/>
        <v>850.07999999953893</v>
      </c>
      <c r="J18" s="73"/>
      <c r="K18" s="71"/>
      <c r="L18" s="72"/>
      <c r="M18" s="72"/>
    </row>
    <row r="19" spans="1:13" x14ac:dyDescent="0.2">
      <c r="A19" s="40">
        <v>44608</v>
      </c>
      <c r="B19" s="33" t="s">
        <v>50</v>
      </c>
      <c r="C19" s="90"/>
      <c r="D19" s="94"/>
      <c r="E19" s="78">
        <f t="shared" si="2"/>
        <v>0</v>
      </c>
      <c r="F19" s="81"/>
      <c r="G19" s="86"/>
      <c r="H19" s="78">
        <f>G19-F19</f>
        <v>0</v>
      </c>
      <c r="I19" s="16">
        <f t="shared" si="0"/>
        <v>0</v>
      </c>
      <c r="J19" s="73"/>
      <c r="K19" s="71"/>
      <c r="L19" s="72"/>
      <c r="M19" s="72"/>
    </row>
    <row r="20" spans="1:13" x14ac:dyDescent="0.2">
      <c r="A20" s="40">
        <v>44609</v>
      </c>
      <c r="B20" s="33">
        <v>2</v>
      </c>
      <c r="C20" s="91">
        <v>8.3000000000000007</v>
      </c>
      <c r="D20" s="94">
        <v>18</v>
      </c>
      <c r="E20" s="78">
        <f t="shared" si="2"/>
        <v>9.6999999999999993</v>
      </c>
      <c r="F20" s="81">
        <v>1614777.7</v>
      </c>
      <c r="G20" s="86">
        <v>1615086.5</v>
      </c>
      <c r="H20" s="78">
        <f t="shared" si="1"/>
        <v>308.80000000004657</v>
      </c>
      <c r="I20" s="16">
        <f>H20*3.3</f>
        <v>1019.0400000001537</v>
      </c>
      <c r="J20" s="73">
        <v>3308</v>
      </c>
      <c r="K20" s="105"/>
      <c r="L20" s="104"/>
      <c r="M20" s="72"/>
    </row>
    <row r="21" spans="1:13" x14ac:dyDescent="0.2">
      <c r="A21" s="40">
        <v>44610</v>
      </c>
      <c r="B21" s="33">
        <v>2</v>
      </c>
      <c r="C21" s="91">
        <v>8.3000000000000007</v>
      </c>
      <c r="D21" s="94">
        <v>18</v>
      </c>
      <c r="E21" s="78">
        <f t="shared" si="2"/>
        <v>9.6999999999999993</v>
      </c>
      <c r="F21" s="81">
        <v>1615086.5</v>
      </c>
      <c r="G21" s="86">
        <v>1615302.6</v>
      </c>
      <c r="H21" s="78">
        <f t="shared" si="1"/>
        <v>216.10000000009313</v>
      </c>
      <c r="I21" s="16">
        <f t="shared" ref="I21:I35" si="3">H21*3.3</f>
        <v>713.13000000030729</v>
      </c>
      <c r="J21" s="73"/>
      <c r="K21" s="71"/>
      <c r="L21" s="72"/>
      <c r="M21" s="72"/>
    </row>
    <row r="22" spans="1:13" x14ac:dyDescent="0.2">
      <c r="A22" s="40">
        <v>44611</v>
      </c>
      <c r="B22" s="33">
        <v>2</v>
      </c>
      <c r="C22" s="91">
        <v>8.3000000000000007</v>
      </c>
      <c r="D22" s="94">
        <v>18</v>
      </c>
      <c r="E22" s="78">
        <f t="shared" si="2"/>
        <v>9.6999999999999993</v>
      </c>
      <c r="F22" s="83">
        <v>1615302.6</v>
      </c>
      <c r="G22" s="86">
        <v>1615506.3</v>
      </c>
      <c r="H22" s="78">
        <f>G22-F22</f>
        <v>203.69999999995343</v>
      </c>
      <c r="I22" s="16">
        <f t="shared" si="3"/>
        <v>672.20999999984633</v>
      </c>
      <c r="J22" s="69"/>
      <c r="K22" s="71"/>
      <c r="L22" s="72"/>
      <c r="M22" s="72"/>
    </row>
    <row r="23" spans="1:13" x14ac:dyDescent="0.2">
      <c r="A23" s="40">
        <v>44612</v>
      </c>
      <c r="B23" s="33">
        <v>2</v>
      </c>
      <c r="C23" s="91">
        <v>8.3000000000000007</v>
      </c>
      <c r="D23" s="94">
        <v>18</v>
      </c>
      <c r="E23" s="78">
        <f t="shared" si="2"/>
        <v>9.6999999999999993</v>
      </c>
      <c r="F23" s="83">
        <v>1615506.3</v>
      </c>
      <c r="G23" s="86">
        <v>1615806.7</v>
      </c>
      <c r="H23" s="78">
        <f t="shared" si="1"/>
        <v>300.39999999990687</v>
      </c>
      <c r="I23" s="16">
        <f t="shared" si="3"/>
        <v>991.31999999969264</v>
      </c>
      <c r="J23" s="73"/>
      <c r="K23" s="71"/>
      <c r="L23" s="72"/>
      <c r="M23" s="72"/>
    </row>
    <row r="24" spans="1:13" x14ac:dyDescent="0.2">
      <c r="A24" s="40">
        <v>44613</v>
      </c>
      <c r="B24" s="33" t="s">
        <v>50</v>
      </c>
      <c r="C24" s="90"/>
      <c r="D24" s="94"/>
      <c r="E24" s="78">
        <f t="shared" si="2"/>
        <v>0</v>
      </c>
      <c r="F24" s="83"/>
      <c r="G24" s="86"/>
      <c r="H24" s="78">
        <f>G24-F24</f>
        <v>0</v>
      </c>
      <c r="I24" s="16">
        <f t="shared" si="3"/>
        <v>0</v>
      </c>
      <c r="J24" s="73"/>
      <c r="K24" s="71"/>
      <c r="L24" s="72"/>
      <c r="M24" s="72"/>
    </row>
    <row r="25" spans="1:13" x14ac:dyDescent="0.2">
      <c r="A25" s="40">
        <v>44614</v>
      </c>
      <c r="B25" s="33">
        <v>2</v>
      </c>
      <c r="C25" s="91">
        <v>8.3000000000000007</v>
      </c>
      <c r="D25" s="94">
        <v>18</v>
      </c>
      <c r="E25" s="78">
        <f t="shared" si="2"/>
        <v>9.6999999999999993</v>
      </c>
      <c r="F25" s="83">
        <v>1615806.7</v>
      </c>
      <c r="G25" s="86">
        <v>1616047.1</v>
      </c>
      <c r="H25" s="78">
        <f t="shared" si="1"/>
        <v>240.4000000001397</v>
      </c>
      <c r="I25" s="16">
        <f t="shared" si="3"/>
        <v>793.32000000046094</v>
      </c>
      <c r="J25" s="73"/>
      <c r="K25" s="71"/>
      <c r="L25" s="72"/>
      <c r="M25" s="72"/>
    </row>
    <row r="26" spans="1:13" x14ac:dyDescent="0.2">
      <c r="A26" s="40">
        <v>44615</v>
      </c>
      <c r="B26" s="33" t="s">
        <v>50</v>
      </c>
      <c r="C26" s="90"/>
      <c r="D26" s="94"/>
      <c r="E26" s="78">
        <f t="shared" si="2"/>
        <v>0</v>
      </c>
      <c r="F26" s="81"/>
      <c r="G26" s="86"/>
      <c r="H26" s="78">
        <f t="shared" si="1"/>
        <v>0</v>
      </c>
      <c r="I26" s="16">
        <f t="shared" si="3"/>
        <v>0</v>
      </c>
      <c r="J26" s="73"/>
      <c r="K26" s="71"/>
      <c r="L26" s="72"/>
      <c r="M26" s="72"/>
    </row>
    <row r="27" spans="1:13" x14ac:dyDescent="0.2">
      <c r="A27" s="40">
        <v>44616</v>
      </c>
      <c r="B27" s="33">
        <v>2</v>
      </c>
      <c r="C27" s="90">
        <v>8.3000000000000007</v>
      </c>
      <c r="D27" s="94">
        <v>18</v>
      </c>
      <c r="E27" s="78">
        <f t="shared" si="2"/>
        <v>9.6999999999999993</v>
      </c>
      <c r="F27" s="81">
        <v>1616047.1</v>
      </c>
      <c r="G27" s="86">
        <v>1616366.7</v>
      </c>
      <c r="H27" s="78">
        <f t="shared" si="1"/>
        <v>319.5999999998603</v>
      </c>
      <c r="I27" s="16">
        <f t="shared" si="3"/>
        <v>1054.6799999995389</v>
      </c>
      <c r="J27" s="73"/>
      <c r="K27" s="71"/>
      <c r="L27" s="72"/>
      <c r="M27" s="72"/>
    </row>
    <row r="28" spans="1:13" x14ac:dyDescent="0.2">
      <c r="A28" s="40">
        <v>44617</v>
      </c>
      <c r="B28" s="33">
        <v>2</v>
      </c>
      <c r="C28" s="90">
        <v>8.3000000000000007</v>
      </c>
      <c r="D28" s="94">
        <v>18</v>
      </c>
      <c r="E28" s="78">
        <f t="shared" si="2"/>
        <v>9.6999999999999993</v>
      </c>
      <c r="F28" s="81">
        <v>1616366.7</v>
      </c>
      <c r="G28" s="86">
        <v>1616579.7</v>
      </c>
      <c r="H28" s="78">
        <f t="shared" si="1"/>
        <v>213</v>
      </c>
      <c r="I28" s="16">
        <f t="shared" si="3"/>
        <v>702.9</v>
      </c>
      <c r="J28" s="73"/>
      <c r="K28" s="71"/>
      <c r="L28" s="72"/>
      <c r="M28" s="72"/>
    </row>
    <row r="29" spans="1:13" x14ac:dyDescent="0.2">
      <c r="A29" s="40">
        <v>44618</v>
      </c>
      <c r="B29" s="33">
        <v>2</v>
      </c>
      <c r="C29" s="90">
        <v>8.3000000000000007</v>
      </c>
      <c r="D29" s="94">
        <v>18</v>
      </c>
      <c r="E29" s="78">
        <f t="shared" si="2"/>
        <v>9.6999999999999993</v>
      </c>
      <c r="F29" s="81">
        <v>1616579.7</v>
      </c>
      <c r="G29" s="86">
        <v>1616776.9</v>
      </c>
      <c r="H29" s="78">
        <f t="shared" si="1"/>
        <v>197.19999999995343</v>
      </c>
      <c r="I29" s="16">
        <f t="shared" si="3"/>
        <v>650.75999999984629</v>
      </c>
      <c r="J29" s="73"/>
      <c r="K29" s="71"/>
      <c r="L29" s="72"/>
      <c r="M29" s="72"/>
    </row>
    <row r="30" spans="1:13" x14ac:dyDescent="0.2">
      <c r="A30" s="40">
        <v>44619</v>
      </c>
      <c r="B30" s="33" t="s">
        <v>50</v>
      </c>
      <c r="C30" s="90"/>
      <c r="D30" s="94"/>
      <c r="E30" s="78">
        <f>D30-C30</f>
        <v>0</v>
      </c>
      <c r="F30" s="81"/>
      <c r="G30" s="86"/>
      <c r="H30" s="78">
        <f t="shared" si="1"/>
        <v>0</v>
      </c>
      <c r="I30" s="16">
        <f t="shared" si="3"/>
        <v>0</v>
      </c>
      <c r="J30" s="73"/>
      <c r="K30" s="71"/>
      <c r="L30" s="72"/>
      <c r="M30" s="72"/>
    </row>
    <row r="31" spans="1:13" x14ac:dyDescent="0.2">
      <c r="A31" s="40">
        <v>44620</v>
      </c>
      <c r="B31" s="31">
        <v>2</v>
      </c>
      <c r="C31" s="90">
        <v>8.3000000000000007</v>
      </c>
      <c r="D31" s="94">
        <v>18</v>
      </c>
      <c r="E31" s="78">
        <f>D31-C31</f>
        <v>9.6999999999999993</v>
      </c>
      <c r="F31" s="81">
        <v>1616776.9</v>
      </c>
      <c r="G31" s="86">
        <v>1616986.1</v>
      </c>
      <c r="H31" s="78">
        <f>G31-F31</f>
        <v>209.20000000018626</v>
      </c>
      <c r="I31" s="16">
        <f t="shared" si="3"/>
        <v>690.3600000006146</v>
      </c>
      <c r="J31" s="73"/>
      <c r="K31" s="105"/>
      <c r="L31" s="104"/>
      <c r="M31" s="72"/>
    </row>
    <row r="32" spans="1:13" x14ac:dyDescent="0.2">
      <c r="A32" s="40"/>
      <c r="B32" s="31"/>
      <c r="C32" s="90"/>
      <c r="D32" s="94"/>
      <c r="E32" s="78">
        <f t="shared" si="2"/>
        <v>0</v>
      </c>
      <c r="F32" s="81"/>
      <c r="G32" s="86"/>
      <c r="H32" s="78">
        <f t="shared" si="1"/>
        <v>0</v>
      </c>
      <c r="I32" s="16">
        <f t="shared" si="3"/>
        <v>0</v>
      </c>
      <c r="J32" s="73"/>
      <c r="K32" s="71"/>
      <c r="L32" s="72"/>
      <c r="M32" s="72"/>
    </row>
    <row r="33" spans="1:12" x14ac:dyDescent="0.2">
      <c r="A33" s="40"/>
      <c r="B33" s="31"/>
      <c r="C33" s="90"/>
      <c r="D33" s="94"/>
      <c r="E33" s="78">
        <f>D33-C33</f>
        <v>0</v>
      </c>
      <c r="F33" s="81"/>
      <c r="G33" s="86"/>
      <c r="H33" s="78">
        <f>G33-F33</f>
        <v>0</v>
      </c>
      <c r="I33" s="16">
        <f t="shared" si="3"/>
        <v>0</v>
      </c>
      <c r="J33" s="41"/>
      <c r="K33" s="34"/>
    </row>
    <row r="34" spans="1:12" x14ac:dyDescent="0.2">
      <c r="A34" s="40"/>
      <c r="B34" s="66"/>
      <c r="C34" s="92"/>
      <c r="D34" s="96"/>
      <c r="E34" s="78">
        <f>D34-C34</f>
        <v>0</v>
      </c>
      <c r="F34" s="84"/>
      <c r="G34" s="88"/>
      <c r="H34" s="78">
        <f>G34-F34</f>
        <v>0</v>
      </c>
      <c r="I34" s="16">
        <f t="shared" si="3"/>
        <v>0</v>
      </c>
      <c r="J34" s="67"/>
      <c r="K34" s="34"/>
    </row>
    <row r="35" spans="1:12" x14ac:dyDescent="0.2">
      <c r="A35" s="40"/>
      <c r="B35" s="64"/>
      <c r="C35" s="93"/>
      <c r="D35" s="97"/>
      <c r="E35" s="80">
        <f t="shared" si="2"/>
        <v>0</v>
      </c>
      <c r="F35" s="85"/>
      <c r="G35" s="89"/>
      <c r="H35" s="80">
        <f t="shared" si="1"/>
        <v>0</v>
      </c>
      <c r="I35" s="16">
        <f t="shared" si="3"/>
        <v>0</v>
      </c>
      <c r="J35" s="65"/>
      <c r="K35" s="34"/>
    </row>
    <row r="36" spans="1:12" ht="25.5" x14ac:dyDescent="0.2">
      <c r="A36" s="100" t="s">
        <v>28</v>
      </c>
      <c r="B36" s="101"/>
      <c r="C36" s="58"/>
      <c r="D36" s="58"/>
      <c r="E36" s="59"/>
      <c r="F36" s="60"/>
      <c r="G36" s="61"/>
      <c r="H36" s="62">
        <f>SUM(H4:H35)</f>
        <v>4897.1000000000931</v>
      </c>
      <c r="I36" s="62">
        <f>SUM(I4:I35)</f>
        <v>16160.430000000306</v>
      </c>
      <c r="J36" s="63">
        <f>SUM(J4:J35)-H38</f>
        <v>1099.5999999998603</v>
      </c>
      <c r="K36" s="42" t="s">
        <v>52</v>
      </c>
      <c r="L36" s="43"/>
    </row>
    <row r="37" spans="1:12" x14ac:dyDescent="0.2">
      <c r="A37" s="17"/>
      <c r="D37" s="1"/>
    </row>
    <row r="38" spans="1:12" hidden="1" x14ac:dyDescent="0.2">
      <c r="F38" s="44"/>
      <c r="G38" s="36"/>
      <c r="H38" s="36">
        <f>SUM(H20:H35)</f>
        <v>2208.4000000001397</v>
      </c>
    </row>
    <row r="39" spans="1:12" ht="15.75" x14ac:dyDescent="0.25">
      <c r="A39" s="13"/>
    </row>
  </sheetData>
  <mergeCells count="12">
    <mergeCell ref="A36:B36"/>
    <mergeCell ref="C2:D2"/>
    <mergeCell ref="F2:G2"/>
    <mergeCell ref="K4:M4"/>
    <mergeCell ref="K6:L6"/>
    <mergeCell ref="K7:L7"/>
    <mergeCell ref="K9:L9"/>
    <mergeCell ref="K11:L11"/>
    <mergeCell ref="K12:L12"/>
    <mergeCell ref="K14:M14"/>
    <mergeCell ref="K20:L20"/>
    <mergeCell ref="K31:L31"/>
  </mergeCells>
  <pageMargins left="0.21" right="0.21" top="0.57999999999999996" bottom="0.69" header="0.5" footer="0.5"/>
  <pageSetup paperSize="9" scale="7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J. El Khoury</cp:lastModifiedBy>
  <cp:revision/>
  <dcterms:created xsi:type="dcterms:W3CDTF">2010-04-20T02:02:44Z</dcterms:created>
  <dcterms:modified xsi:type="dcterms:W3CDTF">2022-03-08T14:08:50Z</dcterms:modified>
  <cp:category/>
  <cp:contentStatus/>
</cp:coreProperties>
</file>