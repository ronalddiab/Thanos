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40C86E0B-806D-4DCD-ABCC-5374ADDFE6D8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5" i="1"/>
  <c r="T6" i="1"/>
  <c r="T7" i="1"/>
  <c r="T8" i="1"/>
  <c r="T9" i="1"/>
  <c r="T10" i="1"/>
  <c r="T11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T28" i="1"/>
  <c r="T29" i="1"/>
  <c r="T30" i="1"/>
  <c r="T31" i="1"/>
  <c r="T32" i="1"/>
  <c r="N9" i="1"/>
  <c r="N18" i="1"/>
  <c r="N19" i="1"/>
  <c r="N20" i="1"/>
  <c r="N21" i="1"/>
  <c r="N22" i="1"/>
  <c r="N23" i="1"/>
  <c r="N24" i="1"/>
  <c r="N25" i="1"/>
  <c r="N29" i="1"/>
  <c r="N30" i="1"/>
  <c r="N31" i="1"/>
  <c r="N32" i="1"/>
  <c r="N3" i="1"/>
  <c r="N5" i="1"/>
  <c r="N6" i="1"/>
  <c r="N7" i="1"/>
  <c r="N8" i="1"/>
  <c r="H18" i="1"/>
  <c r="H19" i="1"/>
  <c r="H20" i="1"/>
  <c r="H21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T2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N26" i="1" l="1"/>
  <c r="AC3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N15" i="1" l="1"/>
  <c r="N14" i="1"/>
  <c r="N12" i="1"/>
  <c r="N13" i="1"/>
  <c r="N10" i="1"/>
  <c r="N28" i="1"/>
  <c r="N27" i="1"/>
  <c r="N17" i="1"/>
  <c r="N16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E5" i="1" l="1"/>
  <c r="E6" i="1"/>
  <c r="E7" i="1"/>
  <c r="E8" i="1"/>
  <c r="E9" i="1"/>
  <c r="E30" i="1" l="1"/>
  <c r="E31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E24" i="2" l="1"/>
  <c r="I2" i="2"/>
  <c r="E17" i="1"/>
  <c r="E14" i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E20" i="2" l="1"/>
  <c r="E4" i="2"/>
  <c r="E5" i="2"/>
  <c r="E6" i="2"/>
  <c r="E25" i="2"/>
  <c r="E14" i="2"/>
  <c r="E26" i="2"/>
  <c r="E7" i="2"/>
  <c r="E21" i="2"/>
  <c r="E12" i="2"/>
  <c r="E3" i="2"/>
  <c r="E2" i="2"/>
  <c r="Z13" i="1"/>
  <c r="Y2" i="1"/>
  <c r="R2" i="1"/>
  <c r="L32" i="1"/>
  <c r="S34" i="1"/>
  <c r="U31" i="1" l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<sst xmlns="http://schemas.openxmlformats.org/spreadsheetml/2006/main" count="78" uniqueCount="39">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</sst>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dd\ dd/mm/yyyy"/>
    <numFmt numFmtId="165" formatCode="0.00_);\(0.00\)"/>
    <numFmt numFmtId="166" formatCode="0.0000"/>
    <numFmt numFmtId="167" formatCode="0.0000_);\(0.0000\)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67" fontId="23" fillId="5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J17" sqref="J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0" customWidth="1"/>
    <col min="7" max="7" width="8.85546875" style="31"/>
    <col min="8" max="8" width="8.85546875" style="36"/>
    <col min="9" max="9" width="8.85546875" style="32" customWidth="1"/>
    <col min="10" max="10" width="8.85546875" style="45"/>
    <col min="11" max="12" width="8.85546875" style="38"/>
    <col min="13" max="14" width="12.28515625" style="48" bestFit="1" customWidth="1"/>
    <col min="15" max="15" width="8.85546875" style="39"/>
    <col min="16" max="16" width="11.5703125" style="39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1" t="s">
        <v>36</v>
      </c>
      <c r="J1" s="42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Anassa!D3-Anassa!D2</f>
        <v>10634.699999999255</v>
      </c>
      <c r="F2" s="147">
        <v>0.24840000000000001</v>
      </c>
      <c r="G2" s="31">
        <f>Anassa!N2</f>
        <v>375</v>
      </c>
      <c r="H2" s="145">
        <v>0.85519999999999996</v>
      </c>
      <c r="I2" s="43">
        <f>Anassa!AC2*5.04</f>
        <v>0</v>
      </c>
      <c r="J2" s="44">
        <v>0</v>
      </c>
      <c r="K2" s="32">
        <f>Anassa!Z2</f>
        <v>98</v>
      </c>
      <c r="L2" s="146">
        <v>1.3168</v>
      </c>
      <c r="M2" s="46">
        <f>Anassa!H2</f>
        <v>419</v>
      </c>
      <c r="N2" s="47">
        <v>1.1031</v>
      </c>
      <c r="O2" s="34">
        <f>Anassa!AD2</f>
        <v>64</v>
      </c>
      <c r="P2" s="34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Anassa!D4-Anassa!D3</f>
        <v>10600.5</v>
      </c>
      <c r="F3" s="147">
        <v>0.24840000000000001</v>
      </c>
      <c r="G3" s="31">
        <f>Anassa!N3</f>
        <v>375.00000000000091</v>
      </c>
      <c r="H3" s="145">
        <v>0.85519999999999996</v>
      </c>
      <c r="I3" s="43">
        <f>Anassa!AC3*5.04</f>
        <v>0</v>
      </c>
      <c r="J3" s="44">
        <v>0</v>
      </c>
      <c r="K3" s="32">
        <f>Anassa!Z3</f>
        <v>78</v>
      </c>
      <c r="L3" s="146">
        <v>1.3168</v>
      </c>
      <c r="M3" s="46">
        <f>Anassa!H3</f>
        <v>420</v>
      </c>
      <c r="N3" s="47">
        <v>1.1031</v>
      </c>
      <c r="O3" s="34">
        <f>Anassa!AD3</f>
        <v>57</v>
      </c>
      <c r="P3" s="34">
        <f>Anassa!AE3</f>
        <v>104</v>
      </c>
    </row>
    <row r="4" spans="1:16" ht="15" x14ac:dyDescent="0.25">
      <c r="A4" s="28" t="s">
        <v>34</v>
      </c>
      <c r="B4" s="4">
        <f t="shared" ref="B4:B31" si="0">B3+1</f>
        <v>3</v>
      </c>
      <c r="C4" s="4">
        <v>6</v>
      </c>
      <c r="D4" s="3">
        <v>2026</v>
      </c>
      <c r="E4" s="29">
        <f>Anassa!D5-Anassa!D4</f>
        <v>12961.800000000745</v>
      </c>
      <c r="F4" s="147">
        <v>0.24840000000000001</v>
      </c>
      <c r="G4" s="31">
        <f>Anassa!N4</f>
        <v>314</v>
      </c>
      <c r="H4" s="145">
        <v>0.85519999999999996</v>
      </c>
      <c r="I4" s="43">
        <f>Anassa!AC4*5.04</f>
        <v>0</v>
      </c>
      <c r="J4" s="44">
        <v>0</v>
      </c>
      <c r="K4" s="32">
        <f>Anassa!Z4</f>
        <v>69</v>
      </c>
      <c r="L4" s="146">
        <v>1.3168</v>
      </c>
      <c r="M4" s="46">
        <f>Anassa!H4</f>
        <v>985</v>
      </c>
      <c r="N4" s="47">
        <v>1.1031</v>
      </c>
      <c r="O4" s="34">
        <f>Anassa!AD4</f>
        <v>64</v>
      </c>
      <c r="P4" s="34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Anassa!D6-Anassa!D5</f>
        <v>9023.8000000007451</v>
      </c>
      <c r="F5" s="147">
        <v>0.24840000000000001</v>
      </c>
      <c r="G5" s="31">
        <f>Anassa!N5</f>
        <v>250</v>
      </c>
      <c r="H5" s="145">
        <v>0.85519999999999996</v>
      </c>
      <c r="I5" s="43">
        <f>Anassa!AC5*5.04</f>
        <v>0</v>
      </c>
      <c r="J5" s="44">
        <v>0</v>
      </c>
      <c r="K5" s="32">
        <f>Anassa!Z5</f>
        <v>95</v>
      </c>
      <c r="L5" s="146">
        <v>1.3168</v>
      </c>
      <c r="M5" s="46">
        <f>Anassa!H5</f>
        <v>282</v>
      </c>
      <c r="N5" s="47">
        <v>1.1031</v>
      </c>
      <c r="O5" s="34">
        <f>Anassa!AD5</f>
        <v>63</v>
      </c>
      <c r="P5" s="34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2026</v>
      </c>
      <c r="E6" s="29">
        <f>Anassa!D7-Anassa!D6</f>
        <v>12121.199999999255</v>
      </c>
      <c r="F6" s="147">
        <v>0.24840000000000001</v>
      </c>
      <c r="G6" s="31">
        <f>Anassa!N6</f>
        <v>250</v>
      </c>
      <c r="H6" s="145">
        <v>0.85519999999999996</v>
      </c>
      <c r="I6" s="43">
        <f>Anassa!AC6*5.04</f>
        <v>0</v>
      </c>
      <c r="J6" s="44">
        <v>0</v>
      </c>
      <c r="K6" s="32">
        <f>Anassa!Z6</f>
        <v>106</v>
      </c>
      <c r="L6" s="146">
        <v>1.3168</v>
      </c>
      <c r="M6" s="46">
        <f>Anassa!H6</f>
        <v>564</v>
      </c>
      <c r="N6" s="47">
        <v>1.1031</v>
      </c>
      <c r="O6" s="34">
        <f>Anassa!AD6</f>
        <v>116</v>
      </c>
      <c r="P6" s="34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2026</v>
      </c>
      <c r="E7" s="29">
        <f>Anassa!D8-Anassa!D7</f>
        <v>11783</v>
      </c>
      <c r="F7" s="147">
        <v>0.24840000000000001</v>
      </c>
      <c r="G7" s="31">
        <f>Anassa!N7</f>
        <v>249.99999999999909</v>
      </c>
      <c r="H7" s="145">
        <v>0.85519999999999996</v>
      </c>
      <c r="I7" s="43">
        <f>Anassa!AC7*5.04</f>
        <v>0</v>
      </c>
      <c r="J7" s="44">
        <v>0</v>
      </c>
      <c r="K7" s="32">
        <f>Anassa!Z7</f>
        <v>85</v>
      </c>
      <c r="L7" s="146">
        <v>1.3168</v>
      </c>
      <c r="M7" s="46">
        <f>Anassa!H7</f>
        <v>705</v>
      </c>
      <c r="N7" s="47">
        <v>1.1031</v>
      </c>
      <c r="O7" s="34">
        <f>Anassa!AD7</f>
        <v>103</v>
      </c>
      <c r="P7" s="34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2026</v>
      </c>
      <c r="E8" s="29">
        <f>Anassa!D9-Anassa!D8</f>
        <v>12109.89999999851</v>
      </c>
      <c r="F8" s="147">
        <v>0.24840000000000001</v>
      </c>
      <c r="G8" s="31">
        <f>Anassa!N8</f>
        <v>375.00000000000091</v>
      </c>
      <c r="H8" s="145">
        <v>0.85519999999999996</v>
      </c>
      <c r="I8" s="43">
        <f>Anassa!AC8*5.04</f>
        <v>0</v>
      </c>
      <c r="J8" s="44">
        <v>0</v>
      </c>
      <c r="K8" s="32">
        <f>Anassa!Z8</f>
        <v>102</v>
      </c>
      <c r="L8" s="146">
        <v>1.3168</v>
      </c>
      <c r="M8" s="46">
        <f>Anassa!H8</f>
        <v>421</v>
      </c>
      <c r="N8" s="47">
        <v>1.1031</v>
      </c>
      <c r="O8" s="34">
        <f>Anassa!AD8</f>
        <v>63</v>
      </c>
      <c r="P8" s="34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2026</v>
      </c>
      <c r="E9" s="29">
        <f>Anassa!D10-Anassa!D9</f>
        <v>11298.300000000745</v>
      </c>
      <c r="F9" s="147">
        <v>0.24840000000000001</v>
      </c>
      <c r="G9" s="31">
        <f>Anassa!N9</f>
        <v>125</v>
      </c>
      <c r="H9" s="145">
        <v>0.85519999999999996</v>
      </c>
      <c r="I9" s="43">
        <f>Anassa!AC9*5.04</f>
        <v>0</v>
      </c>
      <c r="J9" s="44">
        <v>0</v>
      </c>
      <c r="K9" s="32">
        <f>Anassa!Z9</f>
        <v>80</v>
      </c>
      <c r="L9" s="146">
        <v>1.3168</v>
      </c>
      <c r="M9" s="46">
        <f>Anassa!H9</f>
        <v>281</v>
      </c>
      <c r="N9" s="47">
        <v>1.1031</v>
      </c>
      <c r="O9" s="34">
        <f>Anassa!AD9</f>
        <v>49</v>
      </c>
      <c r="P9" s="34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2026</v>
      </c>
      <c r="E10" s="29">
        <f>Anassa!D11-Anassa!D10</f>
        <v>11582.5</v>
      </c>
      <c r="F10" s="147">
        <v>0.24840000000000001</v>
      </c>
      <c r="G10" s="31">
        <f>Anassa!N10</f>
        <v>375.00000000000091</v>
      </c>
      <c r="H10" s="145">
        <v>0.85519999999999996</v>
      </c>
      <c r="I10" s="43">
        <f>Anassa!AC10*5.04</f>
        <v>0</v>
      </c>
      <c r="J10" s="44">
        <v>0</v>
      </c>
      <c r="K10" s="32">
        <f>Anassa!Z10</f>
        <v>79</v>
      </c>
      <c r="L10" s="146">
        <v>1.3168</v>
      </c>
      <c r="M10" s="46">
        <f>Anassa!H10</f>
        <v>559</v>
      </c>
      <c r="N10" s="47">
        <v>1.1031</v>
      </c>
      <c r="O10" s="34">
        <f>Anassa!AD10</f>
        <v>47</v>
      </c>
      <c r="P10" s="34">
        <f>Anassa!AE10</f>
        <v>90</v>
      </c>
    </row>
    <row r="11" spans="1:16" ht="15" x14ac:dyDescent="0.25">
      <c r="A11" s="28" t="s">
        <v>34</v>
      </c>
      <c r="B11" s="4">
        <f t="shared" si="0"/>
        <v>10</v>
      </c>
      <c r="C11" s="4">
        <v>6</v>
      </c>
      <c r="D11" s="3">
        <v>2026</v>
      </c>
      <c r="E11" s="29">
        <f>Anassa!D12-Anassa!D11</f>
        <v>12268.60000000149</v>
      </c>
      <c r="F11" s="147">
        <v>0.24840000000000001</v>
      </c>
      <c r="G11" s="31">
        <f>Anassa!N11</f>
        <v>1250</v>
      </c>
      <c r="H11" s="145">
        <v>0.85519999999999996</v>
      </c>
      <c r="I11" s="43">
        <f>Anassa!AC11*5.04</f>
        <v>0</v>
      </c>
      <c r="J11" s="44">
        <v>0</v>
      </c>
      <c r="K11" s="32">
        <f>Anassa!Z11</f>
        <v>69</v>
      </c>
      <c r="L11" s="146">
        <v>1.3168</v>
      </c>
      <c r="M11" s="46">
        <f>Anassa!H11</f>
        <v>418</v>
      </c>
      <c r="N11" s="47">
        <v>1.1031</v>
      </c>
      <c r="O11" s="34">
        <f>Anassa!AD11</f>
        <v>67</v>
      </c>
      <c r="P11" s="34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2026</v>
      </c>
      <c r="E12" s="29">
        <f>Anassa!D13-Anassa!D12</f>
        <v>13741.199999999255</v>
      </c>
      <c r="F12" s="147">
        <v>0.24840000000000001</v>
      </c>
      <c r="G12" s="31">
        <f>Anassa!N12</f>
        <v>1339.5200000000004</v>
      </c>
      <c r="H12" s="145">
        <v>0.85519999999999996</v>
      </c>
      <c r="I12" s="43">
        <f>Anassa!AC12*5.04</f>
        <v>0</v>
      </c>
      <c r="J12" s="44">
        <v>0</v>
      </c>
      <c r="K12" s="32">
        <f>Anassa!Z12</f>
        <v>117</v>
      </c>
      <c r="L12" s="146">
        <v>1.3168</v>
      </c>
      <c r="M12" s="46">
        <f>Anassa!H12</f>
        <v>277</v>
      </c>
      <c r="N12" s="47">
        <v>1.1031</v>
      </c>
      <c r="O12" s="34">
        <f>Anassa!AD12</f>
        <v>95</v>
      </c>
      <c r="P12" s="34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2026</v>
      </c>
      <c r="E13" s="29">
        <f>Anassa!D14-Anassa!D13</f>
        <v>16306</v>
      </c>
      <c r="F13" s="147">
        <v>0.24840000000000001</v>
      </c>
      <c r="G13" s="31">
        <f>Anassa!N13</f>
        <v>124.99999999999909</v>
      </c>
      <c r="H13" s="145">
        <v>0.85519999999999996</v>
      </c>
      <c r="I13" s="43">
        <f>Anassa!AC13*5.04</f>
        <v>0</v>
      </c>
      <c r="J13" s="44">
        <v>0</v>
      </c>
      <c r="K13" s="32">
        <f>Anassa!Z13</f>
        <v>167</v>
      </c>
      <c r="L13" s="146">
        <v>1.3168</v>
      </c>
      <c r="M13" s="46">
        <f>Anassa!H13</f>
        <v>414</v>
      </c>
      <c r="N13" s="47">
        <v>1.1031</v>
      </c>
      <c r="O13" s="34">
        <f>Anassa!AD13</f>
        <v>106</v>
      </c>
      <c r="P13" s="34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2026</v>
      </c>
      <c r="E14" s="29">
        <f>Anassa!D15-Anassa!D14</f>
        <v>13860.60000000149</v>
      </c>
      <c r="F14" s="147">
        <v>0.24840000000000001</v>
      </c>
      <c r="G14" s="31">
        <f>Anassa!N14</f>
        <v>125</v>
      </c>
      <c r="H14" s="145">
        <v>0.85519999999999996</v>
      </c>
      <c r="I14" s="43">
        <f>Anassa!AC14*5.04</f>
        <v>0</v>
      </c>
      <c r="J14" s="44">
        <v>0</v>
      </c>
      <c r="K14" s="32">
        <f>Anassa!Z14</f>
        <v>125</v>
      </c>
      <c r="L14" s="146">
        <v>1.3168</v>
      </c>
      <c r="M14" s="46">
        <f>Anassa!H14</f>
        <v>548</v>
      </c>
      <c r="N14" s="47">
        <v>1.1031</v>
      </c>
      <c r="O14" s="34">
        <f>Anassa!AD14</f>
        <v>145</v>
      </c>
      <c r="P14" s="34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2026</v>
      </c>
      <c r="E15" s="29">
        <f>Anassa!D16-Anassa!D15</f>
        <v>13608.099999997765</v>
      </c>
      <c r="F15" s="147">
        <v>0.24840000000000001</v>
      </c>
      <c r="G15" s="31">
        <f>Anassa!N15</f>
        <v>50.000000000000909</v>
      </c>
      <c r="H15" s="145">
        <v>0.85519999999999996</v>
      </c>
      <c r="I15" s="43">
        <f>Anassa!AC15*5.04</f>
        <v>0</v>
      </c>
      <c r="J15" s="44">
        <v>0</v>
      </c>
      <c r="K15" s="32">
        <f>Anassa!Z15</f>
        <v>90</v>
      </c>
      <c r="L15" s="146">
        <v>1.3168</v>
      </c>
      <c r="M15" s="46">
        <f>Anassa!H15</f>
        <v>407</v>
      </c>
      <c r="N15" s="47">
        <v>1.1031</v>
      </c>
      <c r="O15" s="34">
        <f>Anassa!AD15</f>
        <v>52</v>
      </c>
      <c r="P15" s="34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2026</v>
      </c>
      <c r="E16" s="29">
        <f>Anassa!D17-Anassa!D16</f>
        <v>13549.199999999255</v>
      </c>
      <c r="F16" s="147">
        <v>0.24840000000000001</v>
      </c>
      <c r="G16" s="31">
        <f>Anassa!N16</f>
        <v>325</v>
      </c>
      <c r="H16" s="145">
        <v>0.85519999999999996</v>
      </c>
      <c r="I16" s="43">
        <f>Anassa!AC16*5.04</f>
        <v>0</v>
      </c>
      <c r="J16" s="44">
        <v>0</v>
      </c>
      <c r="K16" s="32">
        <f>Anassa!Z16</f>
        <v>135</v>
      </c>
      <c r="L16" s="146">
        <v>1.3168</v>
      </c>
      <c r="M16" s="46">
        <f>Anassa!H16</f>
        <v>537</v>
      </c>
      <c r="N16" s="47">
        <v>1.1031</v>
      </c>
      <c r="O16" s="34">
        <f>Anassa!AD16</f>
        <v>55</v>
      </c>
      <c r="P16" s="34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2026</v>
      </c>
      <c r="E17" s="29">
        <f>Anassa!D18-Anassa!D17</f>
        <v>12988.5</v>
      </c>
      <c r="F17" s="147">
        <v>0.24840000000000001</v>
      </c>
      <c r="G17" s="31">
        <f>Anassa!N17</f>
        <v>375.00000000000091</v>
      </c>
      <c r="H17" s="145">
        <v>0.85519999999999996</v>
      </c>
      <c r="I17" s="43">
        <f>Anassa!AC17*5.04</f>
        <v>0</v>
      </c>
      <c r="J17" s="44">
        <v>0</v>
      </c>
      <c r="K17" s="32">
        <f>Anassa!Z17</f>
        <v>83</v>
      </c>
      <c r="L17" s="146">
        <v>1.3168</v>
      </c>
      <c r="M17" s="46">
        <f>Anassa!H17</f>
        <v>133</v>
      </c>
      <c r="N17" s="47">
        <v>1.1031</v>
      </c>
      <c r="O17" s="34">
        <f>Anassa!AD17</f>
        <v>50</v>
      </c>
      <c r="P17" s="34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2026</v>
      </c>
      <c r="E18" s="29">
        <f>Anassa!D19-Anassa!D18</f>
        <v>13871.400000002235</v>
      </c>
      <c r="F18" s="147">
        <v>0.24840000000000001</v>
      </c>
      <c r="G18" s="31">
        <f>Anassa!N18</f>
        <v>224.99999999999909</v>
      </c>
      <c r="H18" s="145">
        <v>0.85519999999999996</v>
      </c>
      <c r="I18" s="43">
        <f>Anassa!AC18*5.04</f>
        <v>0</v>
      </c>
      <c r="J18" s="44">
        <v>0</v>
      </c>
      <c r="K18" s="32">
        <f>Anassa!Z18</f>
        <v>81</v>
      </c>
      <c r="L18" s="146">
        <v>1.3168</v>
      </c>
      <c r="M18" s="46">
        <f>Anassa!H18</f>
        <v>528</v>
      </c>
      <c r="N18" s="47">
        <v>1.1031</v>
      </c>
      <c r="O18" s="34">
        <f>Anassa!AD18</f>
        <v>74</v>
      </c>
      <c r="P18" s="34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2026</v>
      </c>
      <c r="E19" s="29">
        <f>Anassa!D20-Anassa!D19</f>
        <v>14720.89999999851</v>
      </c>
      <c r="F19" s="147">
        <v>0.24840000000000001</v>
      </c>
      <c r="G19" s="31">
        <f>Anassa!N19</f>
        <v>226.01000000000022</v>
      </c>
      <c r="H19" s="145">
        <v>0.85519999999999996</v>
      </c>
      <c r="I19" s="43">
        <f>Anassa!AC19*5.04</f>
        <v>0</v>
      </c>
      <c r="J19" s="44">
        <v>0</v>
      </c>
      <c r="K19" s="32">
        <f>Anassa!Z19</f>
        <v>112</v>
      </c>
      <c r="L19" s="146">
        <v>1.3168</v>
      </c>
      <c r="M19" s="46">
        <f>Anassa!H19</f>
        <v>430</v>
      </c>
      <c r="N19" s="47">
        <v>1.1031</v>
      </c>
      <c r="O19" s="34">
        <f>Anassa!AD19</f>
        <v>95</v>
      </c>
      <c r="P19" s="34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2026</v>
      </c>
      <c r="E20" s="29">
        <f>Anassa!D21-Anassa!D20</f>
        <v>16047.300000000745</v>
      </c>
      <c r="F20" s="147">
        <v>0.24840000000000001</v>
      </c>
      <c r="G20" s="31">
        <f>Anassa!N20</f>
        <v>249.99999999999909</v>
      </c>
      <c r="H20" s="145">
        <v>0.85519999999999996</v>
      </c>
      <c r="I20" s="43">
        <f>Anassa!AC20*5.04</f>
        <v>0</v>
      </c>
      <c r="J20" s="44">
        <v>0</v>
      </c>
      <c r="K20" s="32">
        <f>Anassa!Z20</f>
        <v>62</v>
      </c>
      <c r="L20" s="146">
        <v>1.3168</v>
      </c>
      <c r="M20" s="46">
        <f>Anassa!H20</f>
        <v>661</v>
      </c>
      <c r="N20" s="47">
        <v>1.1031</v>
      </c>
      <c r="O20" s="34">
        <f>Anassa!AD20</f>
        <v>135</v>
      </c>
      <c r="P20" s="34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2026</v>
      </c>
      <c r="E21" s="29">
        <f>Anassa!D22-Anassa!D21</f>
        <v>17265.800000000745</v>
      </c>
      <c r="F21" s="147">
        <v>0.24840000000000001</v>
      </c>
      <c r="G21" s="31">
        <f>Anassa!N21</f>
        <v>125.00000000000091</v>
      </c>
      <c r="H21" s="145">
        <v>0.85519999999999996</v>
      </c>
      <c r="I21" s="43">
        <f>Anassa!AC21*5.04</f>
        <v>0</v>
      </c>
      <c r="J21" s="44">
        <v>0</v>
      </c>
      <c r="K21" s="32">
        <f>Anassa!Z21</f>
        <v>193</v>
      </c>
      <c r="L21" s="146">
        <v>1.3168</v>
      </c>
      <c r="M21" s="46">
        <f>Anassa!H21</f>
        <v>268</v>
      </c>
      <c r="N21" s="47">
        <v>1.1031</v>
      </c>
      <c r="O21" s="34">
        <f>Anassa!AD21</f>
        <v>156</v>
      </c>
      <c r="P21" s="34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2026</v>
      </c>
      <c r="E22" s="29">
        <f>Anassa!D23-Anassa!D22</f>
        <v>15436.099999997765</v>
      </c>
      <c r="F22" s="147">
        <v>0.24840000000000001</v>
      </c>
      <c r="G22" s="31">
        <f>Anassa!N22</f>
        <v>250</v>
      </c>
      <c r="H22" s="145">
        <v>0.85519999999999996</v>
      </c>
      <c r="I22" s="43">
        <f>Anassa!AC22*5.04</f>
        <v>0</v>
      </c>
      <c r="J22" s="44">
        <v>0</v>
      </c>
      <c r="K22" s="32">
        <f>Anassa!Z22</f>
        <v>129</v>
      </c>
      <c r="L22" s="146">
        <v>1.3168</v>
      </c>
      <c r="M22" s="46">
        <f>Anassa!H22</f>
        <v>540</v>
      </c>
      <c r="N22" s="47">
        <v>1.1031</v>
      </c>
      <c r="O22" s="34">
        <f>Anassa!AD22</f>
        <v>78</v>
      </c>
      <c r="P22" s="34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2026</v>
      </c>
      <c r="E23" s="29">
        <f>Anassa!D24-Anassa!D23</f>
        <v>15385.300000000745</v>
      </c>
      <c r="F23" s="147">
        <v>0.24840000000000001</v>
      </c>
      <c r="G23" s="31">
        <f>Anassa!N23</f>
        <v>250</v>
      </c>
      <c r="H23" s="145">
        <v>0.85519999999999996</v>
      </c>
      <c r="I23" s="43">
        <f>Anassa!AC23*5.04</f>
        <v>0</v>
      </c>
      <c r="J23" s="44">
        <v>0</v>
      </c>
      <c r="K23" s="32">
        <f>Anassa!Z23</f>
        <v>87</v>
      </c>
      <c r="L23" s="146">
        <v>1.3168</v>
      </c>
      <c r="M23" s="46">
        <f>Anassa!H23</f>
        <v>273</v>
      </c>
      <c r="N23" s="47">
        <v>1.1031</v>
      </c>
      <c r="O23" s="34">
        <f>Anassa!AD23</f>
        <v>67</v>
      </c>
      <c r="P23" s="34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2026</v>
      </c>
      <c r="E24" s="29">
        <f>Anassa!D25-Anassa!D24</f>
        <v>14568</v>
      </c>
      <c r="F24" s="147">
        <v>0.24840000000000001</v>
      </c>
      <c r="G24" s="31">
        <f>Anassa!N24</f>
        <v>250.00000000000091</v>
      </c>
      <c r="H24" s="145">
        <v>0.85519999999999996</v>
      </c>
      <c r="I24" s="43">
        <f>Anassa!AC24*5.04</f>
        <v>0</v>
      </c>
      <c r="J24" s="44">
        <v>0</v>
      </c>
      <c r="K24" s="32">
        <f>Anassa!Z24</f>
        <v>94</v>
      </c>
      <c r="L24" s="146">
        <v>1.3168</v>
      </c>
      <c r="M24" s="46">
        <f>Anassa!H24</f>
        <v>686</v>
      </c>
      <c r="N24" s="47">
        <v>1.1031</v>
      </c>
      <c r="O24" s="34">
        <f>Anassa!AD24</f>
        <v>73</v>
      </c>
      <c r="P24" s="34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2026</v>
      </c>
      <c r="E25" s="29">
        <f>Anassa!D26-Anassa!D25</f>
        <v>16595.60000000149</v>
      </c>
      <c r="F25" s="147">
        <v>0.24840000000000001</v>
      </c>
      <c r="G25" s="31">
        <f>Anassa!N25</f>
        <v>124.99999999999909</v>
      </c>
      <c r="H25" s="145">
        <v>0.85519999999999996</v>
      </c>
      <c r="I25" s="43">
        <f>Anassa!AC25*5.04</f>
        <v>0</v>
      </c>
      <c r="J25" s="44">
        <v>0</v>
      </c>
      <c r="K25" s="32">
        <f>Anassa!Z25</f>
        <v>110</v>
      </c>
      <c r="L25" s="146">
        <v>1.3168</v>
      </c>
      <c r="M25" s="46">
        <f>Anassa!H25</f>
        <v>139</v>
      </c>
      <c r="N25" s="47">
        <v>1.1031</v>
      </c>
      <c r="O25" s="34">
        <f>Anassa!AD25</f>
        <v>104</v>
      </c>
      <c r="P25" s="34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2026</v>
      </c>
      <c r="E26" s="29">
        <f>Anassa!D27-Anassa!D26</f>
        <v>17202.699999999255</v>
      </c>
      <c r="F26" s="147">
        <v>0.24840000000000001</v>
      </c>
      <c r="G26" s="31">
        <f>Anassa!N26</f>
        <v>130.77000000000044</v>
      </c>
      <c r="H26" s="145">
        <v>0.85519999999999996</v>
      </c>
      <c r="I26" s="43">
        <f>Anassa!AC26*5.04</f>
        <v>0</v>
      </c>
      <c r="J26" s="44">
        <v>0</v>
      </c>
      <c r="K26" s="32">
        <f>Anassa!Z26</f>
        <v>113</v>
      </c>
      <c r="L26" s="146">
        <v>1.3168</v>
      </c>
      <c r="M26" s="46">
        <f>Anassa!H26</f>
        <v>277</v>
      </c>
      <c r="N26" s="47">
        <v>1.1031</v>
      </c>
      <c r="O26" s="34">
        <f>Anassa!AD26</f>
        <v>142</v>
      </c>
      <c r="P26" s="34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2026</v>
      </c>
      <c r="E27" s="29">
        <f>Anassa!D28-Anassa!D27</f>
        <v>18668.699999999255</v>
      </c>
      <c r="F27" s="147">
        <v>0.24840000000000001</v>
      </c>
      <c r="G27" s="31">
        <f>Anassa!N27</f>
        <v>150</v>
      </c>
      <c r="H27" s="145">
        <v>0.85519999999999996</v>
      </c>
      <c r="I27" s="43">
        <f>Anassa!AC27*5.04</f>
        <v>0</v>
      </c>
      <c r="J27" s="44">
        <v>0</v>
      </c>
      <c r="K27" s="32">
        <f>Anassa!Z27</f>
        <v>149</v>
      </c>
      <c r="L27" s="146">
        <v>1.3168</v>
      </c>
      <c r="M27" s="46">
        <f>Anassa!H27</f>
        <v>298</v>
      </c>
      <c r="N27" s="47">
        <v>1.1031</v>
      </c>
      <c r="O27" s="34">
        <f>Anassa!AD27</f>
        <v>152</v>
      </c>
      <c r="P27" s="34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2026</v>
      </c>
      <c r="E28" s="29">
        <f>Anassa!D29-Anassa!D28</f>
        <v>19436.10000000149</v>
      </c>
      <c r="F28" s="147">
        <v>0.24840000000000001</v>
      </c>
      <c r="G28" s="31">
        <f>Anassa!N28</f>
        <v>225</v>
      </c>
      <c r="H28" s="145">
        <v>0.85519999999999996</v>
      </c>
      <c r="I28" s="43">
        <f>Anassa!AC28*5.04</f>
        <v>0</v>
      </c>
      <c r="J28" s="44">
        <v>0</v>
      </c>
      <c r="K28" s="32">
        <f>Anassa!Z28</f>
        <v>145</v>
      </c>
      <c r="L28" s="146">
        <v>1.3168</v>
      </c>
      <c r="M28" s="46">
        <f>Anassa!H28</f>
        <v>539</v>
      </c>
      <c r="N28" s="47">
        <v>1.1031</v>
      </c>
      <c r="O28" s="34">
        <f>Anassa!AD28</f>
        <v>158</v>
      </c>
      <c r="P28" s="34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2026</v>
      </c>
      <c r="E29" s="29">
        <f>Anassa!D30-Anassa!D29</f>
        <v>17034</v>
      </c>
      <c r="F29" s="147">
        <v>0.24840000000000001</v>
      </c>
      <c r="G29" s="31">
        <f>Anassa!N29</f>
        <v>375.00000000000091</v>
      </c>
      <c r="H29" s="145">
        <v>0.85519999999999996</v>
      </c>
      <c r="I29" s="43">
        <f>Anassa!AC29*5.04</f>
        <v>0</v>
      </c>
      <c r="J29" s="44">
        <v>0</v>
      </c>
      <c r="K29" s="32">
        <f>Anassa!Z29</f>
        <v>119</v>
      </c>
      <c r="L29" s="146">
        <v>1.3168</v>
      </c>
      <c r="M29" s="46">
        <f>Anassa!H29</f>
        <v>420</v>
      </c>
      <c r="N29" s="47">
        <v>1.1031</v>
      </c>
      <c r="O29" s="34">
        <f>Anassa!AD29</f>
        <v>75</v>
      </c>
      <c r="P29" s="34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2026</v>
      </c>
      <c r="E30" s="29">
        <f>Anassa!D31-Anassa!D30</f>
        <v>16002.300000000745</v>
      </c>
      <c r="F30" s="147">
        <v>0.24840000000000001</v>
      </c>
      <c r="G30" s="31">
        <f>Anassa!N30</f>
        <v>124.99999999999909</v>
      </c>
      <c r="H30" s="145">
        <v>0.85519999999999996</v>
      </c>
      <c r="I30" s="43">
        <f>Anassa!AC30*5.04</f>
        <v>0</v>
      </c>
      <c r="J30" s="44">
        <v>0</v>
      </c>
      <c r="K30" s="32">
        <f>Anassa!Z30</f>
        <v>127</v>
      </c>
      <c r="L30" s="146">
        <v>1.3168</v>
      </c>
      <c r="M30" s="46">
        <f>Anassa!H30</f>
        <v>141</v>
      </c>
      <c r="N30" s="47">
        <v>1.1031</v>
      </c>
      <c r="O30" s="34">
        <f>Anassa!AD30</f>
        <v>61</v>
      </c>
      <c r="P30" s="34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2026</v>
      </c>
      <c r="E31" s="29">
        <f>Anassa!D32-Anassa!D31</f>
        <v>18230.79999999702</v>
      </c>
      <c r="F31" s="147">
        <v>0.24840000000000001</v>
      </c>
      <c r="G31" s="31">
        <f>Anassa!N31</f>
        <v>250</v>
      </c>
      <c r="H31" s="145">
        <v>0.85519999999999996</v>
      </c>
      <c r="I31" s="43">
        <f>Anassa!AC31*5.04</f>
        <v>0</v>
      </c>
      <c r="J31" s="44">
        <v>0</v>
      </c>
      <c r="K31" s="32">
        <f>Anassa!Z31</f>
        <v>86</v>
      </c>
      <c r="L31" s="146">
        <v>1.3168</v>
      </c>
      <c r="M31" s="46">
        <f>Anassa!H31</f>
        <v>281</v>
      </c>
      <c r="N31" s="47">
        <v>1.1031</v>
      </c>
      <c r="O31" s="34">
        <f>Anassa!AD31</f>
        <v>52</v>
      </c>
      <c r="P31" s="34">
        <f>Anassa!AE31</f>
        <v>103</v>
      </c>
    </row>
    <row r="32" spans="1:16" ht="15" x14ac:dyDescent="0.25">
      <c r="A32" s="28"/>
      <c r="D32" s="3"/>
      <c r="F32" s="30"/>
      <c r="H32" s="145"/>
      <c r="I32" s="43"/>
      <c r="J32" s="44"/>
      <c r="K32" s="32"/>
      <c r="L32" s="146"/>
      <c r="M32" s="46"/>
      <c r="N32" s="47"/>
      <c r="O32" s="34"/>
      <c r="P32" s="34"/>
    </row>
    <row r="33" spans="4:16" x14ac:dyDescent="0.2">
      <c r="D33" s="35"/>
      <c r="E33" s="29" t="s">
        <v>35</v>
      </c>
      <c r="F33" s="30"/>
      <c r="I33" s="43"/>
      <c r="J33" s="44"/>
      <c r="K33" s="33"/>
      <c r="L33" s="33"/>
      <c r="O33" s="37"/>
      <c r="P33" s="37"/>
    </row>
    <row r="34" spans="4:16" x14ac:dyDescent="0.2">
      <c r="D34" s="35"/>
      <c r="F34" s="30"/>
      <c r="I34" s="43"/>
      <c r="J34" s="44"/>
      <c r="K34" s="33"/>
      <c r="L34" s="33"/>
      <c r="O34" s="37"/>
      <c r="P34" s="37"/>
    </row>
    <row r="35" spans="4:16" x14ac:dyDescent="0.2">
      <c r="D35" s="35"/>
      <c r="F35" s="30"/>
      <c r="I35" s="43"/>
      <c r="J35" s="44"/>
      <c r="K35" s="33"/>
      <c r="L35" s="33"/>
      <c r="O35" s="37"/>
      <c r="P35" s="37"/>
    </row>
    <row r="36" spans="4:16" x14ac:dyDescent="0.2">
      <c r="D36" s="35"/>
      <c r="F36" s="30"/>
      <c r="I36" s="43"/>
      <c r="J36" s="44"/>
      <c r="K36" s="33"/>
      <c r="L36" s="33"/>
      <c r="O36" s="37"/>
      <c r="P36" s="37"/>
    </row>
    <row r="37" spans="4:16" x14ac:dyDescent="0.2">
      <c r="D37" s="35"/>
      <c r="F37" s="30"/>
      <c r="I37" s="43"/>
      <c r="J37" s="44"/>
      <c r="K37" s="33"/>
      <c r="L37" s="33"/>
      <c r="O37" s="37"/>
      <c r="P37" s="37"/>
    </row>
    <row r="38" spans="4:16" x14ac:dyDescent="0.2">
      <c r="D38" s="35"/>
      <c r="F38" s="30"/>
      <c r="I38" s="43"/>
      <c r="J38" s="44"/>
      <c r="K38" s="33"/>
      <c r="L38" s="33"/>
      <c r="O38" s="37"/>
      <c r="P38" s="37"/>
    </row>
    <row r="39" spans="4:16" x14ac:dyDescent="0.2">
      <c r="D39" s="35"/>
      <c r="F39" s="30"/>
      <c r="I39" s="43"/>
      <c r="J39" s="44"/>
      <c r="K39" s="33"/>
      <c r="L39" s="33"/>
      <c r="O39" s="37"/>
      <c r="P39" s="37"/>
    </row>
    <row r="40" spans="4:16" x14ac:dyDescent="0.2">
      <c r="F40" s="30"/>
      <c r="I40" s="43"/>
      <c r="J40" s="44"/>
    </row>
    <row r="41" spans="4:16" x14ac:dyDescent="0.2">
      <c r="F41" s="30"/>
      <c r="I41" s="43"/>
      <c r="J41" s="44"/>
    </row>
    <row r="42" spans="4:16" x14ac:dyDescent="0.2">
      <c r="F42" s="30"/>
      <c r="I42" s="43"/>
      <c r="J42" s="44"/>
    </row>
    <row r="43" spans="4:16" x14ac:dyDescent="0.2">
      <c r="F43" s="30"/>
      <c r="I43" s="43"/>
      <c r="J43" s="44"/>
    </row>
    <row r="44" spans="4:16" x14ac:dyDescent="0.2">
      <c r="I44" s="43"/>
      <c r="J4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F33" sqref="F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6" t="s">
        <v>1</v>
      </c>
      <c r="B1" s="49" t="s">
        <v>19</v>
      </c>
      <c r="C1" s="50" t="s">
        <v>20</v>
      </c>
      <c r="D1" s="51" t="s">
        <v>12</v>
      </c>
      <c r="E1" s="52" t="s">
        <v>3</v>
      </c>
      <c r="F1" s="53" t="s">
        <v>2</v>
      </c>
      <c r="G1" s="54" t="s">
        <v>8</v>
      </c>
      <c r="H1" s="52" t="s">
        <v>3</v>
      </c>
      <c r="I1" s="55" t="s">
        <v>4</v>
      </c>
      <c r="J1" s="56" t="s">
        <v>5</v>
      </c>
      <c r="K1" s="56" t="s">
        <v>13</v>
      </c>
      <c r="L1" s="57" t="s">
        <v>9</v>
      </c>
      <c r="M1" s="58" t="s">
        <v>7</v>
      </c>
      <c r="N1" s="52" t="s">
        <v>3</v>
      </c>
      <c r="O1" s="55" t="s">
        <v>4</v>
      </c>
      <c r="P1" s="56" t="s">
        <v>5</v>
      </c>
      <c r="Q1" s="56" t="s">
        <v>13</v>
      </c>
      <c r="R1" s="57" t="s">
        <v>14</v>
      </c>
      <c r="S1" s="58" t="s">
        <v>7</v>
      </c>
      <c r="T1" s="52" t="s">
        <v>3</v>
      </c>
      <c r="U1" s="52" t="s">
        <v>21</v>
      </c>
      <c r="V1" s="59" t="s">
        <v>15</v>
      </c>
      <c r="W1" s="60" t="s">
        <v>16</v>
      </c>
      <c r="X1" s="60" t="s">
        <v>17</v>
      </c>
      <c r="Y1" s="61" t="s">
        <v>18</v>
      </c>
      <c r="Z1" s="52" t="s">
        <v>3</v>
      </c>
      <c r="AA1" s="62" t="s">
        <v>10</v>
      </c>
      <c r="AB1" s="63" t="s">
        <v>11</v>
      </c>
      <c r="AC1" s="52" t="s">
        <v>3</v>
      </c>
      <c r="AD1" s="64" t="s">
        <v>0</v>
      </c>
      <c r="AE1" s="65" t="s">
        <v>6</v>
      </c>
    </row>
    <row r="2" spans="1:31" x14ac:dyDescent="0.2">
      <c r="A2" s="84">
        <v>46174</v>
      </c>
      <c r="B2" s="85">
        <v>20854860</v>
      </c>
      <c r="C2" s="86">
        <v>2784314</v>
      </c>
      <c r="D2" s="86">
        <f>B2-C2</f>
        <v>18070546</v>
      </c>
      <c r="E2" s="90">
        <f t="shared" ref="E2:E31" si="0">B3-B2</f>
        <v>11233</v>
      </c>
      <c r="F2" s="88">
        <v>14352</v>
      </c>
      <c r="G2" s="89"/>
      <c r="H2" s="90">
        <f>F2+G2-F3</f>
        <v>419</v>
      </c>
      <c r="I2" s="91">
        <v>0.8</v>
      </c>
      <c r="J2" s="92">
        <v>0.8</v>
      </c>
      <c r="K2" s="92">
        <v>0.75</v>
      </c>
      <c r="L2" s="93">
        <f>SUM(I2:K2)/3*7500</f>
        <v>5875</v>
      </c>
      <c r="M2" s="94"/>
      <c r="N2" s="90">
        <f>SUM(L2+M2-L3)</f>
        <v>375</v>
      </c>
      <c r="O2" s="91">
        <v>0.75</v>
      </c>
      <c r="P2" s="92">
        <v>0.7</v>
      </c>
      <c r="Q2" s="92">
        <v>0.75</v>
      </c>
      <c r="R2" s="93">
        <f>SUM(O2:Q2)/3*1500</f>
        <v>1100</v>
      </c>
      <c r="S2" s="94"/>
      <c r="T2" s="90">
        <f t="shared" ref="T2:T32" si="1">SUM(R2+S2-R3)</f>
        <v>150</v>
      </c>
      <c r="U2" s="95">
        <f>SUM(N2+T2)</f>
        <v>525</v>
      </c>
      <c r="V2" s="96">
        <v>721181</v>
      </c>
      <c r="W2" s="97">
        <v>7782</v>
      </c>
      <c r="X2" s="97">
        <v>19306</v>
      </c>
      <c r="Y2" s="97">
        <f>SUM(V2-W2-X2)</f>
        <v>694093</v>
      </c>
      <c r="Z2" s="90">
        <f t="shared" ref="Z2:Z31" si="2">SUM(Y3-Y2)</f>
        <v>98</v>
      </c>
      <c r="AA2" s="98">
        <v>0</v>
      </c>
      <c r="AB2" s="99">
        <v>0</v>
      </c>
      <c r="AC2" s="90">
        <f>SUM(AA2+AB2-AA3)</f>
        <v>0</v>
      </c>
      <c r="AD2" s="100">
        <v>64</v>
      </c>
      <c r="AE2" s="101">
        <v>119</v>
      </c>
    </row>
    <row r="3" spans="1:31" x14ac:dyDescent="0.2">
      <c r="A3" s="102">
        <v>46175</v>
      </c>
      <c r="B3" s="103">
        <v>20866093</v>
      </c>
      <c r="C3" s="104">
        <f>SUM(4317.6+1856008.2+592389+10128.5+289443+32626)</f>
        <v>2784912.3</v>
      </c>
      <c r="D3" s="104">
        <f t="shared" ref="D3:D32" si="3">B3-C3</f>
        <v>18081180.699999999</v>
      </c>
      <c r="E3" s="105">
        <f t="shared" si="0"/>
        <v>11257</v>
      </c>
      <c r="F3" s="106">
        <v>13933</v>
      </c>
      <c r="G3" s="107"/>
      <c r="H3" s="108">
        <f t="shared" ref="H3:H31" si="4">F3+G3-F4</f>
        <v>420</v>
      </c>
      <c r="I3" s="109">
        <v>0.75</v>
      </c>
      <c r="J3" s="110">
        <v>0.75</v>
      </c>
      <c r="K3" s="110">
        <v>0.7</v>
      </c>
      <c r="L3" s="111">
        <f>SUM(I3:K3)/3*7500</f>
        <v>5500</v>
      </c>
      <c r="M3" s="112"/>
      <c r="N3" s="108">
        <f t="shared" ref="N3:N32" si="5">SUM(L3+M3-L4)</f>
        <v>375.00000000000091</v>
      </c>
      <c r="O3" s="109">
        <v>0.6</v>
      </c>
      <c r="P3" s="110">
        <v>0.65</v>
      </c>
      <c r="Q3" s="110">
        <v>0.65</v>
      </c>
      <c r="R3" s="111">
        <f t="shared" ref="R3:R33" si="6">SUM(O3:Q3)/3*1500</f>
        <v>950</v>
      </c>
      <c r="S3" s="112"/>
      <c r="T3" s="108">
        <f t="shared" si="1"/>
        <v>99.999999999999886</v>
      </c>
      <c r="U3" s="113">
        <f t="shared" ref="U3:U31" si="7">SUM(N3+T3)</f>
        <v>475.0000000000008</v>
      </c>
      <c r="V3" s="114">
        <v>721382</v>
      </c>
      <c r="W3" s="115">
        <v>7872</v>
      </c>
      <c r="X3" s="115">
        <v>19319</v>
      </c>
      <c r="Y3" s="115">
        <f t="shared" ref="Y3:Y32" si="8">SUM(V3-W3-X3)</f>
        <v>694191</v>
      </c>
      <c r="Z3" s="108">
        <f t="shared" si="2"/>
        <v>78</v>
      </c>
      <c r="AA3" s="116">
        <v>0</v>
      </c>
      <c r="AB3" s="117">
        <v>0</v>
      </c>
      <c r="AC3" s="108">
        <f>SUM(AA3+AB3-AA4)</f>
        <v>0</v>
      </c>
      <c r="AD3" s="118">
        <v>57</v>
      </c>
      <c r="AE3" s="119">
        <v>104</v>
      </c>
    </row>
    <row r="4" spans="1:31" x14ac:dyDescent="0.2">
      <c r="A4" s="102">
        <v>46176</v>
      </c>
      <c r="B4" s="103">
        <v>20877350</v>
      </c>
      <c r="C4" s="104">
        <f>SUM(4318.4+1856500.8+592389+10128.6+289576+32656)</f>
        <v>2785568.8000000003</v>
      </c>
      <c r="D4" s="104">
        <f t="shared" si="3"/>
        <v>18091781.199999999</v>
      </c>
      <c r="E4" s="105">
        <f t="shared" si="0"/>
        <v>13815</v>
      </c>
      <c r="F4" s="106">
        <v>13513</v>
      </c>
      <c r="G4" s="107"/>
      <c r="H4" s="108">
        <f t="shared" si="4"/>
        <v>985</v>
      </c>
      <c r="I4" s="109">
        <v>0.65</v>
      </c>
      <c r="J4" s="110">
        <v>0.7</v>
      </c>
      <c r="K4" s="110">
        <v>0.7</v>
      </c>
      <c r="L4" s="111">
        <f t="shared" ref="L4:L33" si="9">SUM(I4:K4)/3*7500</f>
        <v>5124.9999999999991</v>
      </c>
      <c r="M4" s="112">
        <v>1310.73</v>
      </c>
      <c r="N4" s="108">
        <v>314</v>
      </c>
      <c r="O4" s="109">
        <v>0.55000000000000004</v>
      </c>
      <c r="P4" s="110">
        <v>0.55000000000000004</v>
      </c>
      <c r="Q4" s="110">
        <v>0.6</v>
      </c>
      <c r="R4" s="111">
        <f t="shared" si="6"/>
        <v>850.00000000000011</v>
      </c>
      <c r="S4" s="112">
        <v>473.26</v>
      </c>
      <c r="T4" s="108">
        <v>27</v>
      </c>
      <c r="U4" s="113">
        <f t="shared" si="7"/>
        <v>341</v>
      </c>
      <c r="V4" s="114">
        <v>721571</v>
      </c>
      <c r="W4" s="115">
        <v>7970</v>
      </c>
      <c r="X4" s="115">
        <v>19332</v>
      </c>
      <c r="Y4" s="115">
        <f t="shared" si="8"/>
        <v>694269</v>
      </c>
      <c r="Z4" s="108">
        <f t="shared" si="2"/>
        <v>69</v>
      </c>
      <c r="AA4" s="116">
        <v>0</v>
      </c>
      <c r="AB4" s="117">
        <v>0</v>
      </c>
      <c r="AC4" s="108">
        <f t="shared" ref="AC4" si="10">AA4-AA5</f>
        <v>0</v>
      </c>
      <c r="AD4" s="118">
        <v>64</v>
      </c>
      <c r="AE4" s="119">
        <v>122</v>
      </c>
    </row>
    <row r="5" spans="1:31" x14ac:dyDescent="0.2">
      <c r="A5" s="102">
        <v>46177</v>
      </c>
      <c r="B5" s="103">
        <v>20891165</v>
      </c>
      <c r="C5" s="104">
        <f>SUM(4319.4+1857142.7+289751+10128.9+592389+32691)</f>
        <v>2786421.9999999995</v>
      </c>
      <c r="D5" s="104">
        <f t="shared" si="3"/>
        <v>18104743</v>
      </c>
      <c r="E5" s="105">
        <f t="shared" si="0"/>
        <v>9410</v>
      </c>
      <c r="F5" s="106">
        <v>12528</v>
      </c>
      <c r="G5" s="107"/>
      <c r="H5" s="108">
        <f t="shared" si="4"/>
        <v>282</v>
      </c>
      <c r="I5" s="109">
        <v>0.9</v>
      </c>
      <c r="J5" s="110">
        <v>0.9</v>
      </c>
      <c r="K5" s="110">
        <v>0.9</v>
      </c>
      <c r="L5" s="111">
        <f t="shared" si="9"/>
        <v>6750</v>
      </c>
      <c r="M5" s="112"/>
      <c r="N5" s="108">
        <f t="shared" si="5"/>
        <v>250</v>
      </c>
      <c r="O5" s="109">
        <v>0.9</v>
      </c>
      <c r="P5" s="110">
        <v>0.9</v>
      </c>
      <c r="Q5" s="110">
        <v>0.9</v>
      </c>
      <c r="R5" s="111">
        <f t="shared" si="6"/>
        <v>1350</v>
      </c>
      <c r="S5" s="112"/>
      <c r="T5" s="108">
        <f t="shared" si="1"/>
        <v>50</v>
      </c>
      <c r="U5" s="113">
        <f t="shared" si="7"/>
        <v>300</v>
      </c>
      <c r="V5" s="114">
        <v>721758</v>
      </c>
      <c r="W5" s="115">
        <v>8075</v>
      </c>
      <c r="X5" s="115">
        <v>19345</v>
      </c>
      <c r="Y5" s="115">
        <f t="shared" si="8"/>
        <v>694338</v>
      </c>
      <c r="Z5" s="108">
        <f t="shared" si="2"/>
        <v>95</v>
      </c>
      <c r="AA5" s="116">
        <v>0</v>
      </c>
      <c r="AB5" s="117">
        <v>0</v>
      </c>
      <c r="AC5" s="108">
        <f>SUM(AA5+AB5-AA6)</f>
        <v>0</v>
      </c>
      <c r="AD5" s="118">
        <v>63</v>
      </c>
      <c r="AE5" s="119">
        <v>118</v>
      </c>
    </row>
    <row r="6" spans="1:31" x14ac:dyDescent="0.2">
      <c r="A6" s="102">
        <v>46178</v>
      </c>
      <c r="B6" s="103">
        <v>20900575</v>
      </c>
      <c r="C6" s="104">
        <f>SUM(4319.9+1857429.3+592389+10129+289834+32707)</f>
        <v>2786808.2</v>
      </c>
      <c r="D6" s="104">
        <f t="shared" si="3"/>
        <v>18113766.800000001</v>
      </c>
      <c r="E6" s="105">
        <f t="shared" si="0"/>
        <v>12633</v>
      </c>
      <c r="F6" s="106">
        <v>12246</v>
      </c>
      <c r="G6" s="107"/>
      <c r="H6" s="108">
        <f t="shared" si="4"/>
        <v>564</v>
      </c>
      <c r="I6" s="109">
        <v>0.9</v>
      </c>
      <c r="J6" s="110">
        <v>0.85</v>
      </c>
      <c r="K6" s="110">
        <v>0.85</v>
      </c>
      <c r="L6" s="111">
        <f t="shared" si="9"/>
        <v>6500</v>
      </c>
      <c r="M6" s="112"/>
      <c r="N6" s="108">
        <f t="shared" si="5"/>
        <v>250</v>
      </c>
      <c r="O6" s="109">
        <v>0.85</v>
      </c>
      <c r="P6" s="110">
        <v>0.85</v>
      </c>
      <c r="Q6" s="110">
        <v>0.9</v>
      </c>
      <c r="R6" s="111">
        <f t="shared" si="6"/>
        <v>1300</v>
      </c>
      <c r="S6" s="112"/>
      <c r="T6" s="108">
        <f t="shared" si="1"/>
        <v>25</v>
      </c>
      <c r="U6" s="113">
        <f t="shared" si="7"/>
        <v>275</v>
      </c>
      <c r="V6" s="114">
        <v>721940</v>
      </c>
      <c r="W6" s="115">
        <v>8151</v>
      </c>
      <c r="X6" s="115">
        <v>19356</v>
      </c>
      <c r="Y6" s="115">
        <f t="shared" si="8"/>
        <v>694433</v>
      </c>
      <c r="Z6" s="108">
        <f t="shared" si="2"/>
        <v>106</v>
      </c>
      <c r="AA6" s="116">
        <v>0</v>
      </c>
      <c r="AB6" s="117">
        <v>0</v>
      </c>
      <c r="AC6" s="108">
        <f>SUM(AA6+AB6-AA7)</f>
        <v>0</v>
      </c>
      <c r="AD6" s="118">
        <v>116</v>
      </c>
      <c r="AE6" s="119">
        <v>213</v>
      </c>
    </row>
    <row r="7" spans="1:31" x14ac:dyDescent="0.2">
      <c r="A7" s="102">
        <v>46179</v>
      </c>
      <c r="B7" s="103">
        <v>20913208</v>
      </c>
      <c r="C7" s="104">
        <f>SUM(4320.6+1857817.2+592389+10129.2+289937+32727)</f>
        <v>2787320</v>
      </c>
      <c r="D7" s="104">
        <f>B7-C7</f>
        <v>18125888</v>
      </c>
      <c r="E7" s="105">
        <f t="shared" si="0"/>
        <v>12317</v>
      </c>
      <c r="F7" s="106">
        <v>11682</v>
      </c>
      <c r="G7" s="107"/>
      <c r="H7" s="108">
        <f t="shared" si="4"/>
        <v>705</v>
      </c>
      <c r="I7" s="109">
        <v>0.85</v>
      </c>
      <c r="J7" s="110">
        <v>0.8</v>
      </c>
      <c r="K7" s="110">
        <v>0.85</v>
      </c>
      <c r="L7" s="111">
        <f t="shared" si="9"/>
        <v>6250</v>
      </c>
      <c r="M7" s="112"/>
      <c r="N7" s="108">
        <f t="shared" si="5"/>
        <v>249.99999999999909</v>
      </c>
      <c r="O7" s="109">
        <v>0.85</v>
      </c>
      <c r="P7" s="110">
        <v>0.85</v>
      </c>
      <c r="Q7" s="110">
        <v>0.85</v>
      </c>
      <c r="R7" s="111">
        <f t="shared" si="6"/>
        <v>1275</v>
      </c>
      <c r="S7" s="112"/>
      <c r="T7" s="108">
        <f t="shared" si="1"/>
        <v>25</v>
      </c>
      <c r="U7" s="113">
        <f t="shared" si="7"/>
        <v>274.99999999999909</v>
      </c>
      <c r="V7" s="114">
        <v>722128</v>
      </c>
      <c r="W7" s="115">
        <v>8224</v>
      </c>
      <c r="X7" s="115">
        <v>19365</v>
      </c>
      <c r="Y7" s="115">
        <f t="shared" si="8"/>
        <v>694539</v>
      </c>
      <c r="Z7" s="108">
        <f t="shared" si="2"/>
        <v>85</v>
      </c>
      <c r="AA7" s="116">
        <v>0</v>
      </c>
      <c r="AB7" s="117">
        <v>0</v>
      </c>
      <c r="AC7" s="108">
        <f>SUM(AA7+AB7-AA8)</f>
        <v>0</v>
      </c>
      <c r="AD7" s="118">
        <v>103</v>
      </c>
      <c r="AE7" s="119">
        <v>193</v>
      </c>
    </row>
    <row r="8" spans="1:31" ht="13.5" thickBot="1" x14ac:dyDescent="0.25">
      <c r="A8" s="120">
        <v>46180</v>
      </c>
      <c r="B8" s="121">
        <v>20925525</v>
      </c>
      <c r="C8" s="122">
        <f>SUM(4321.3+1858213.3+592389+10129.4+290053+32748)</f>
        <v>2787854</v>
      </c>
      <c r="D8" s="122">
        <f t="shared" si="3"/>
        <v>18137671</v>
      </c>
      <c r="E8" s="139">
        <f t="shared" si="0"/>
        <v>12687</v>
      </c>
      <c r="F8" s="124">
        <v>10977</v>
      </c>
      <c r="G8" s="125"/>
      <c r="H8" s="140">
        <f t="shared" si="4"/>
        <v>421</v>
      </c>
      <c r="I8" s="126">
        <v>0.8</v>
      </c>
      <c r="J8" s="127">
        <v>0.8</v>
      </c>
      <c r="K8" s="127">
        <v>0.8</v>
      </c>
      <c r="L8" s="128">
        <f t="shared" si="9"/>
        <v>6000.0000000000009</v>
      </c>
      <c r="M8" s="129"/>
      <c r="N8" s="140">
        <f t="shared" si="5"/>
        <v>375.00000000000091</v>
      </c>
      <c r="O8" s="126">
        <v>0.85</v>
      </c>
      <c r="P8" s="127">
        <v>0.85</v>
      </c>
      <c r="Q8" s="127">
        <v>0.8</v>
      </c>
      <c r="R8" s="128">
        <f t="shared" si="6"/>
        <v>1250</v>
      </c>
      <c r="S8" s="129"/>
      <c r="T8" s="140">
        <f t="shared" si="1"/>
        <v>50</v>
      </c>
      <c r="U8" s="141">
        <f t="shared" si="7"/>
        <v>425.00000000000091</v>
      </c>
      <c r="V8" s="132">
        <v>722311</v>
      </c>
      <c r="W8" s="133">
        <v>8311</v>
      </c>
      <c r="X8" s="133">
        <v>19376</v>
      </c>
      <c r="Y8" s="133">
        <f t="shared" si="8"/>
        <v>694624</v>
      </c>
      <c r="Z8" s="140">
        <f t="shared" si="2"/>
        <v>102</v>
      </c>
      <c r="AA8" s="135">
        <v>0</v>
      </c>
      <c r="AB8" s="136">
        <v>0</v>
      </c>
      <c r="AC8" s="140">
        <f t="shared" ref="AC8:AC32" si="11">SUM(AA8+AB8-AA9)</f>
        <v>0</v>
      </c>
      <c r="AD8" s="142">
        <v>63</v>
      </c>
      <c r="AE8" s="143">
        <v>118</v>
      </c>
    </row>
    <row r="9" spans="1:31" x14ac:dyDescent="0.2">
      <c r="A9" s="84">
        <v>46181</v>
      </c>
      <c r="B9" s="85">
        <v>20938212</v>
      </c>
      <c r="C9" s="86">
        <f>SUM(4322.1+1858653.4+592389+10129.6+290165+32772)</f>
        <v>2788431.1</v>
      </c>
      <c r="D9" s="86">
        <f t="shared" si="3"/>
        <v>18149780.899999999</v>
      </c>
      <c r="E9" s="87">
        <f t="shared" si="0"/>
        <v>11853</v>
      </c>
      <c r="F9" s="88">
        <v>10556</v>
      </c>
      <c r="G9" s="89"/>
      <c r="H9" s="90">
        <f t="shared" si="4"/>
        <v>281</v>
      </c>
      <c r="I9" s="91">
        <v>0.75</v>
      </c>
      <c r="J9" s="92">
        <v>0.75</v>
      </c>
      <c r="K9" s="92">
        <v>0.75</v>
      </c>
      <c r="L9" s="93">
        <f t="shared" si="9"/>
        <v>5625</v>
      </c>
      <c r="M9" s="94"/>
      <c r="N9" s="90">
        <f t="shared" si="5"/>
        <v>125</v>
      </c>
      <c r="O9" s="91">
        <v>0.85</v>
      </c>
      <c r="P9" s="92">
        <v>0.8</v>
      </c>
      <c r="Q9" s="92">
        <v>0.75</v>
      </c>
      <c r="R9" s="93">
        <f t="shared" si="6"/>
        <v>1200</v>
      </c>
      <c r="S9" s="94"/>
      <c r="T9" s="90">
        <f t="shared" si="1"/>
        <v>225</v>
      </c>
      <c r="U9" s="95">
        <f t="shared" si="7"/>
        <v>350</v>
      </c>
      <c r="V9" s="96">
        <v>722503</v>
      </c>
      <c r="W9" s="97">
        <v>8388</v>
      </c>
      <c r="X9" s="97">
        <v>19389</v>
      </c>
      <c r="Y9" s="97">
        <f t="shared" si="8"/>
        <v>694726</v>
      </c>
      <c r="Z9" s="90">
        <f t="shared" si="2"/>
        <v>80</v>
      </c>
      <c r="AA9" s="98">
        <v>0</v>
      </c>
      <c r="AB9" s="99">
        <v>0</v>
      </c>
      <c r="AC9" s="90">
        <f t="shared" si="11"/>
        <v>0</v>
      </c>
      <c r="AD9" s="100">
        <v>49</v>
      </c>
      <c r="AE9" s="101">
        <v>96</v>
      </c>
    </row>
    <row r="10" spans="1:31" x14ac:dyDescent="0.2">
      <c r="A10" s="102">
        <v>46182</v>
      </c>
      <c r="B10" s="103">
        <v>20950065</v>
      </c>
      <c r="C10" s="104">
        <f>SUM(4322.8+1859077.2+592389+10129.8+290274+32793)</f>
        <v>2788985.8</v>
      </c>
      <c r="D10" s="104">
        <f t="shared" si="3"/>
        <v>18161079.199999999</v>
      </c>
      <c r="E10" s="105">
        <f t="shared" si="0"/>
        <v>12158</v>
      </c>
      <c r="F10" s="106">
        <v>10275</v>
      </c>
      <c r="G10" s="107"/>
      <c r="H10" s="108">
        <f t="shared" si="4"/>
        <v>559</v>
      </c>
      <c r="I10" s="109">
        <v>0.75</v>
      </c>
      <c r="J10" s="110">
        <v>0.7</v>
      </c>
      <c r="K10" s="110">
        <v>0.75</v>
      </c>
      <c r="L10" s="111">
        <f t="shared" si="9"/>
        <v>5500</v>
      </c>
      <c r="M10" s="112"/>
      <c r="N10" s="108">
        <f t="shared" si="5"/>
        <v>375.00000000000091</v>
      </c>
      <c r="O10" s="109">
        <v>0.65</v>
      </c>
      <c r="P10" s="110">
        <v>0.65</v>
      </c>
      <c r="Q10" s="110">
        <v>0.65</v>
      </c>
      <c r="R10" s="111">
        <f t="shared" si="6"/>
        <v>975</v>
      </c>
      <c r="S10" s="112"/>
      <c r="T10" s="108">
        <f t="shared" si="1"/>
        <v>100</v>
      </c>
      <c r="U10" s="113">
        <f t="shared" si="7"/>
        <v>475.00000000000091</v>
      </c>
      <c r="V10" s="114">
        <v>722678</v>
      </c>
      <c r="W10" s="115">
        <v>8471</v>
      </c>
      <c r="X10" s="115">
        <v>19401</v>
      </c>
      <c r="Y10" s="115">
        <f t="shared" si="8"/>
        <v>694806</v>
      </c>
      <c r="Z10" s="108">
        <f t="shared" si="2"/>
        <v>79</v>
      </c>
      <c r="AA10" s="116">
        <v>0</v>
      </c>
      <c r="AB10" s="117">
        <v>0</v>
      </c>
      <c r="AC10" s="108">
        <f t="shared" si="11"/>
        <v>0</v>
      </c>
      <c r="AD10" s="118">
        <v>47</v>
      </c>
      <c r="AE10" s="119">
        <v>90</v>
      </c>
    </row>
    <row r="11" spans="1:31" x14ac:dyDescent="0.2">
      <c r="A11" s="102">
        <v>46183</v>
      </c>
      <c r="B11" s="103">
        <v>20962223</v>
      </c>
      <c r="C11" s="104">
        <f>SUM(4323.5+1859512.8+592389+10130+290391+32815)</f>
        <v>2789561.3</v>
      </c>
      <c r="D11" s="104">
        <f t="shared" si="3"/>
        <v>18172661.699999999</v>
      </c>
      <c r="E11" s="105">
        <f t="shared" si="0"/>
        <v>12910</v>
      </c>
      <c r="F11" s="106">
        <v>9716</v>
      </c>
      <c r="G11" s="107"/>
      <c r="H11" s="108">
        <f t="shared" si="4"/>
        <v>418</v>
      </c>
      <c r="I11" s="109">
        <v>0.7</v>
      </c>
      <c r="J11" s="110">
        <v>0.65</v>
      </c>
      <c r="K11" s="110">
        <v>0.7</v>
      </c>
      <c r="L11" s="111">
        <f t="shared" si="9"/>
        <v>5124.9999999999991</v>
      </c>
      <c r="M11" s="112"/>
      <c r="N11" s="108">
        <v>1250</v>
      </c>
      <c r="O11" s="109">
        <v>0.55000000000000004</v>
      </c>
      <c r="P11" s="110">
        <v>0.6</v>
      </c>
      <c r="Q11" s="110">
        <v>0.6</v>
      </c>
      <c r="R11" s="111">
        <f t="shared" si="6"/>
        <v>875</v>
      </c>
      <c r="S11" s="112"/>
      <c r="T11" s="108">
        <f t="shared" si="1"/>
        <v>24.999999999999886</v>
      </c>
      <c r="U11" s="113">
        <f t="shared" si="7"/>
        <v>1275</v>
      </c>
      <c r="V11" s="114">
        <v>722851</v>
      </c>
      <c r="W11" s="115">
        <v>8553</v>
      </c>
      <c r="X11" s="115">
        <v>19413</v>
      </c>
      <c r="Y11" s="115">
        <f t="shared" si="8"/>
        <v>694885</v>
      </c>
      <c r="Z11" s="108">
        <f t="shared" si="2"/>
        <v>69</v>
      </c>
      <c r="AA11" s="116">
        <v>0</v>
      </c>
      <c r="AB11" s="117">
        <v>0</v>
      </c>
      <c r="AC11" s="108">
        <f t="shared" si="11"/>
        <v>0</v>
      </c>
      <c r="AD11" s="118">
        <v>67</v>
      </c>
      <c r="AE11" s="119">
        <v>115</v>
      </c>
    </row>
    <row r="12" spans="1:31" x14ac:dyDescent="0.2">
      <c r="A12" s="102">
        <v>46184</v>
      </c>
      <c r="B12" s="103">
        <v>20975133</v>
      </c>
      <c r="C12" s="104">
        <f>SUM(4324.2+1860003.3+592389+10130.2+290520+32836)</f>
        <v>2790202.7</v>
      </c>
      <c r="D12" s="104">
        <f t="shared" si="3"/>
        <v>18184930.300000001</v>
      </c>
      <c r="E12" s="105">
        <f t="shared" si="0"/>
        <v>14272</v>
      </c>
      <c r="F12" s="106">
        <v>9298</v>
      </c>
      <c r="G12" s="107"/>
      <c r="H12" s="108">
        <f t="shared" si="4"/>
        <v>277</v>
      </c>
      <c r="I12" s="109">
        <v>0.85</v>
      </c>
      <c r="J12" s="110">
        <v>0.85</v>
      </c>
      <c r="K12" s="110">
        <v>0.85</v>
      </c>
      <c r="L12" s="111">
        <f t="shared" si="9"/>
        <v>6375</v>
      </c>
      <c r="M12" s="112">
        <v>1214.52</v>
      </c>
      <c r="N12" s="108">
        <f t="shared" si="5"/>
        <v>1339.5200000000004</v>
      </c>
      <c r="O12" s="109">
        <v>0.55000000000000004</v>
      </c>
      <c r="P12" s="110">
        <v>0.55000000000000004</v>
      </c>
      <c r="Q12" s="110">
        <v>0.6</v>
      </c>
      <c r="R12" s="111">
        <f t="shared" si="6"/>
        <v>850.00000000000011</v>
      </c>
      <c r="S12" s="112">
        <v>429.99</v>
      </c>
      <c r="T12" s="108">
        <v>45</v>
      </c>
      <c r="U12" s="113">
        <f t="shared" si="7"/>
        <v>1384.5200000000004</v>
      </c>
      <c r="V12" s="114">
        <v>723024</v>
      </c>
      <c r="W12" s="115">
        <v>8645</v>
      </c>
      <c r="X12" s="115">
        <v>19425</v>
      </c>
      <c r="Y12" s="115">
        <f t="shared" si="8"/>
        <v>694954</v>
      </c>
      <c r="Z12" s="108">
        <f t="shared" si="2"/>
        <v>117</v>
      </c>
      <c r="AA12" s="116">
        <v>0</v>
      </c>
      <c r="AB12" s="117">
        <v>0</v>
      </c>
      <c r="AC12" s="108">
        <f t="shared" si="11"/>
        <v>0</v>
      </c>
      <c r="AD12" s="118">
        <v>95</v>
      </c>
      <c r="AE12" s="119">
        <v>155</v>
      </c>
    </row>
    <row r="13" spans="1:31" x14ac:dyDescent="0.2">
      <c r="A13" s="102">
        <v>46185</v>
      </c>
      <c r="B13" s="103">
        <v>20989405</v>
      </c>
      <c r="C13" s="104">
        <f>SUM(4325.1+1860410+592389+10130.4+290626+32853)</f>
        <v>2790733.5</v>
      </c>
      <c r="D13" s="104">
        <f t="shared" si="3"/>
        <v>18198671.5</v>
      </c>
      <c r="E13" s="105">
        <f t="shared" si="0"/>
        <v>16947</v>
      </c>
      <c r="F13" s="106">
        <v>9021</v>
      </c>
      <c r="G13" s="107"/>
      <c r="H13" s="108">
        <f t="shared" si="4"/>
        <v>414</v>
      </c>
      <c r="I13" s="109">
        <v>0.85</v>
      </c>
      <c r="J13" s="110">
        <v>0.8</v>
      </c>
      <c r="K13" s="110">
        <v>0.85</v>
      </c>
      <c r="L13" s="111">
        <f t="shared" si="9"/>
        <v>6250</v>
      </c>
      <c r="M13" s="112"/>
      <c r="N13" s="108">
        <f t="shared" si="5"/>
        <v>124.99999999999909</v>
      </c>
      <c r="O13" s="109">
        <v>0.85</v>
      </c>
      <c r="P13" s="110">
        <v>0.9</v>
      </c>
      <c r="Q13" s="110">
        <v>0.9</v>
      </c>
      <c r="R13" s="111">
        <f t="shared" si="6"/>
        <v>1325</v>
      </c>
      <c r="S13" s="112"/>
      <c r="T13" s="108">
        <f t="shared" si="1"/>
        <v>10</v>
      </c>
      <c r="U13" s="113">
        <f t="shared" si="7"/>
        <v>134.99999999999909</v>
      </c>
      <c r="V13" s="114">
        <v>723221</v>
      </c>
      <c r="W13" s="115">
        <v>8714</v>
      </c>
      <c r="X13" s="115">
        <v>19436</v>
      </c>
      <c r="Y13" s="115">
        <f t="shared" si="8"/>
        <v>695071</v>
      </c>
      <c r="Z13" s="108">
        <f t="shared" si="2"/>
        <v>167</v>
      </c>
      <c r="AA13" s="116">
        <v>0</v>
      </c>
      <c r="AB13" s="117">
        <v>0</v>
      </c>
      <c r="AC13" s="108">
        <f t="shared" si="11"/>
        <v>0</v>
      </c>
      <c r="AD13" s="118">
        <v>106</v>
      </c>
      <c r="AE13" s="119">
        <v>185</v>
      </c>
    </row>
    <row r="14" spans="1:31" x14ac:dyDescent="0.2">
      <c r="A14" s="102">
        <v>46186</v>
      </c>
      <c r="B14" s="103">
        <v>21006352</v>
      </c>
      <c r="C14" s="104">
        <f>SUM(4325.7+1860909.3+592389+10130.5+290746+32874)</f>
        <v>2791374.5</v>
      </c>
      <c r="D14" s="104">
        <f t="shared" si="3"/>
        <v>18214977.5</v>
      </c>
      <c r="E14" s="105">
        <f t="shared" si="0"/>
        <v>14535</v>
      </c>
      <c r="F14" s="106">
        <v>8607</v>
      </c>
      <c r="G14" s="107"/>
      <c r="H14" s="108">
        <f t="shared" si="4"/>
        <v>548</v>
      </c>
      <c r="I14" s="109">
        <v>0.8</v>
      </c>
      <c r="J14" s="110">
        <v>0.8</v>
      </c>
      <c r="K14" s="110">
        <v>0.85</v>
      </c>
      <c r="L14" s="111">
        <f t="shared" si="9"/>
        <v>6125.0000000000009</v>
      </c>
      <c r="M14" s="112"/>
      <c r="N14" s="108">
        <f t="shared" si="5"/>
        <v>125</v>
      </c>
      <c r="O14" s="109">
        <v>0.85</v>
      </c>
      <c r="P14" s="110">
        <v>0.88</v>
      </c>
      <c r="Q14" s="110">
        <v>0.9</v>
      </c>
      <c r="R14" s="111">
        <f t="shared" si="6"/>
        <v>1315</v>
      </c>
      <c r="S14" s="112"/>
      <c r="T14" s="108">
        <f t="shared" si="1"/>
        <v>114.99999999999977</v>
      </c>
      <c r="U14" s="113">
        <f t="shared" si="7"/>
        <v>239.99999999999977</v>
      </c>
      <c r="V14" s="114">
        <v>723488</v>
      </c>
      <c r="W14" s="115">
        <v>8801</v>
      </c>
      <c r="X14" s="115">
        <v>19449</v>
      </c>
      <c r="Y14" s="115">
        <f t="shared" si="8"/>
        <v>695238</v>
      </c>
      <c r="Z14" s="108">
        <f t="shared" si="2"/>
        <v>125</v>
      </c>
      <c r="AA14" s="116">
        <v>0</v>
      </c>
      <c r="AB14" s="117">
        <v>0</v>
      </c>
      <c r="AC14" s="108">
        <f t="shared" si="11"/>
        <v>0</v>
      </c>
      <c r="AD14" s="118">
        <v>145</v>
      </c>
      <c r="AE14" s="119">
        <v>264</v>
      </c>
    </row>
    <row r="15" spans="1:31" ht="13.5" thickBot="1" x14ac:dyDescent="0.25">
      <c r="A15" s="120">
        <v>46187</v>
      </c>
      <c r="B15" s="121">
        <v>21020887</v>
      </c>
      <c r="C15" s="122">
        <f>SUM(4326.6+1861413.5+592389+10130.8+290890+32899)</f>
        <v>2792048.9</v>
      </c>
      <c r="D15" s="122">
        <f t="shared" si="3"/>
        <v>18228838.100000001</v>
      </c>
      <c r="E15" s="139">
        <f t="shared" si="0"/>
        <v>14090</v>
      </c>
      <c r="F15" s="124">
        <v>8059</v>
      </c>
      <c r="G15" s="125"/>
      <c r="H15" s="140">
        <f t="shared" si="4"/>
        <v>407</v>
      </c>
      <c r="I15" s="126">
        <v>0.8</v>
      </c>
      <c r="J15" s="127">
        <v>0.8</v>
      </c>
      <c r="K15" s="127">
        <v>0.8</v>
      </c>
      <c r="L15" s="128">
        <f t="shared" si="9"/>
        <v>6000.0000000000009</v>
      </c>
      <c r="M15" s="129"/>
      <c r="N15" s="140">
        <f t="shared" si="5"/>
        <v>50.000000000000909</v>
      </c>
      <c r="O15" s="126">
        <v>0.75</v>
      </c>
      <c r="P15" s="127">
        <v>0.85</v>
      </c>
      <c r="Q15" s="127">
        <v>0.8</v>
      </c>
      <c r="R15" s="128">
        <f t="shared" si="6"/>
        <v>1200.0000000000002</v>
      </c>
      <c r="S15" s="129"/>
      <c r="T15" s="140">
        <f t="shared" si="1"/>
        <v>35.000000000000227</v>
      </c>
      <c r="U15" s="141">
        <f t="shared" si="7"/>
        <v>85.000000000001137</v>
      </c>
      <c r="V15" s="132">
        <v>723734</v>
      </c>
      <c r="W15" s="133">
        <v>8908</v>
      </c>
      <c r="X15" s="133">
        <v>19463</v>
      </c>
      <c r="Y15" s="133">
        <f t="shared" si="8"/>
        <v>695363</v>
      </c>
      <c r="Z15" s="140">
        <f t="shared" si="2"/>
        <v>90</v>
      </c>
      <c r="AA15" s="135">
        <v>0</v>
      </c>
      <c r="AB15" s="136">
        <v>0</v>
      </c>
      <c r="AC15" s="140">
        <f t="shared" si="11"/>
        <v>0</v>
      </c>
      <c r="AD15" s="142">
        <v>52</v>
      </c>
      <c r="AE15" s="143">
        <v>98</v>
      </c>
    </row>
    <row r="16" spans="1:31" x14ac:dyDescent="0.2">
      <c r="A16" s="84">
        <v>46188</v>
      </c>
      <c r="B16" s="85">
        <v>21034977</v>
      </c>
      <c r="C16" s="86">
        <f>SUM(4327.1+1861781.8+592389+10130.9+290986+32916)</f>
        <v>2792530.8000000003</v>
      </c>
      <c r="D16" s="86">
        <f t="shared" si="3"/>
        <v>18242446.199999999</v>
      </c>
      <c r="E16" s="87">
        <f t="shared" si="0"/>
        <v>14131</v>
      </c>
      <c r="F16" s="88">
        <v>7652</v>
      </c>
      <c r="G16" s="89"/>
      <c r="H16" s="90">
        <f t="shared" si="4"/>
        <v>537</v>
      </c>
      <c r="I16" s="91">
        <v>0.78</v>
      </c>
      <c r="J16" s="92">
        <v>0.8</v>
      </c>
      <c r="K16" s="92">
        <v>0.8</v>
      </c>
      <c r="L16" s="93">
        <f t="shared" si="9"/>
        <v>5950</v>
      </c>
      <c r="M16" s="94"/>
      <c r="N16" s="90">
        <f t="shared" si="5"/>
        <v>325</v>
      </c>
      <c r="O16" s="91">
        <v>0.75</v>
      </c>
      <c r="P16" s="92">
        <v>0.78</v>
      </c>
      <c r="Q16" s="92">
        <v>0.8</v>
      </c>
      <c r="R16" s="93">
        <f t="shared" si="6"/>
        <v>1165</v>
      </c>
      <c r="S16" s="94"/>
      <c r="T16" s="90">
        <f t="shared" si="1"/>
        <v>215</v>
      </c>
      <c r="U16" s="95">
        <f t="shared" si="7"/>
        <v>540</v>
      </c>
      <c r="V16" s="96">
        <v>723912</v>
      </c>
      <c r="W16" s="97">
        <v>8985</v>
      </c>
      <c r="X16" s="97">
        <v>19474</v>
      </c>
      <c r="Y16" s="97">
        <f t="shared" si="8"/>
        <v>695453</v>
      </c>
      <c r="Z16" s="90">
        <f t="shared" si="2"/>
        <v>135</v>
      </c>
      <c r="AA16" s="98">
        <v>0</v>
      </c>
      <c r="AB16" s="99">
        <v>0</v>
      </c>
      <c r="AC16" s="90">
        <f t="shared" si="11"/>
        <v>0</v>
      </c>
      <c r="AD16" s="100">
        <v>55</v>
      </c>
      <c r="AE16" s="101">
        <v>107</v>
      </c>
    </row>
    <row r="17" spans="1:31" x14ac:dyDescent="0.2">
      <c r="A17" s="102">
        <v>46189</v>
      </c>
      <c r="B17" s="103">
        <v>21049108</v>
      </c>
      <c r="C17" s="104">
        <f>SUM(4327.8+1862220.7+592389+10131.1+291107+32937)</f>
        <v>2793112.6</v>
      </c>
      <c r="D17" s="104">
        <f t="shared" si="3"/>
        <v>18255995.399999999</v>
      </c>
      <c r="E17" s="105">
        <f t="shared" si="0"/>
        <v>13647</v>
      </c>
      <c r="F17" s="106">
        <v>7115</v>
      </c>
      <c r="G17" s="107"/>
      <c r="H17" s="108">
        <f t="shared" si="4"/>
        <v>133</v>
      </c>
      <c r="I17" s="109">
        <v>0.7</v>
      </c>
      <c r="J17" s="110">
        <v>0.75</v>
      </c>
      <c r="K17" s="110">
        <v>0.8</v>
      </c>
      <c r="L17" s="111">
        <f t="shared" si="9"/>
        <v>5625</v>
      </c>
      <c r="M17" s="112"/>
      <c r="N17" s="108">
        <f t="shared" si="5"/>
        <v>375.00000000000091</v>
      </c>
      <c r="O17" s="109">
        <v>0.6</v>
      </c>
      <c r="P17" s="110">
        <v>0.65</v>
      </c>
      <c r="Q17" s="110">
        <v>0.65</v>
      </c>
      <c r="R17" s="111">
        <f t="shared" si="6"/>
        <v>950</v>
      </c>
      <c r="S17" s="112"/>
      <c r="T17" s="108">
        <f t="shared" si="1"/>
        <v>50</v>
      </c>
      <c r="U17" s="113">
        <f t="shared" si="7"/>
        <v>425.00000000000091</v>
      </c>
      <c r="V17" s="114">
        <v>724133</v>
      </c>
      <c r="W17" s="115">
        <v>9059</v>
      </c>
      <c r="X17" s="115">
        <v>19486</v>
      </c>
      <c r="Y17" s="115">
        <f t="shared" si="8"/>
        <v>695588</v>
      </c>
      <c r="Z17" s="108">
        <f t="shared" si="2"/>
        <v>83</v>
      </c>
      <c r="AA17" s="116">
        <v>0</v>
      </c>
      <c r="AB17" s="117">
        <v>0</v>
      </c>
      <c r="AC17" s="108">
        <f t="shared" si="11"/>
        <v>0</v>
      </c>
      <c r="AD17" s="118">
        <v>50</v>
      </c>
      <c r="AE17" s="119">
        <v>95</v>
      </c>
    </row>
    <row r="18" spans="1:31" x14ac:dyDescent="0.2">
      <c r="A18" s="102">
        <v>46190</v>
      </c>
      <c r="B18" s="103">
        <v>21062755</v>
      </c>
      <c r="C18" s="104">
        <f>SUM(4328.4+1862735.2+592389+10131.5+291229+32958)</f>
        <v>2793771.0999999996</v>
      </c>
      <c r="D18" s="104">
        <f t="shared" si="3"/>
        <v>18268983.899999999</v>
      </c>
      <c r="E18" s="105">
        <f t="shared" si="0"/>
        <v>14461</v>
      </c>
      <c r="F18" s="106">
        <v>6982</v>
      </c>
      <c r="G18" s="107"/>
      <c r="H18" s="108">
        <f t="shared" si="4"/>
        <v>528</v>
      </c>
      <c r="I18" s="109">
        <v>0.7</v>
      </c>
      <c r="J18" s="110">
        <v>0.7</v>
      </c>
      <c r="K18" s="110">
        <v>0.7</v>
      </c>
      <c r="L18" s="111">
        <f t="shared" si="9"/>
        <v>5249.9999999999991</v>
      </c>
      <c r="M18" s="112"/>
      <c r="N18" s="108">
        <f t="shared" si="5"/>
        <v>224.99999999999909</v>
      </c>
      <c r="O18" s="109">
        <v>0.6</v>
      </c>
      <c r="P18" s="110">
        <v>0.6</v>
      </c>
      <c r="Q18" s="110">
        <v>0.6</v>
      </c>
      <c r="R18" s="111">
        <f t="shared" si="6"/>
        <v>900</v>
      </c>
      <c r="S18" s="112"/>
      <c r="T18" s="108">
        <f t="shared" si="1"/>
        <v>74.999999999999886</v>
      </c>
      <c r="U18" s="113">
        <f t="shared" si="7"/>
        <v>299.99999999999898</v>
      </c>
      <c r="V18" s="114">
        <v>724316</v>
      </c>
      <c r="W18" s="115">
        <v>9146</v>
      </c>
      <c r="X18" s="115">
        <v>19499</v>
      </c>
      <c r="Y18" s="115">
        <f t="shared" si="8"/>
        <v>695671</v>
      </c>
      <c r="Z18" s="108">
        <f t="shared" si="2"/>
        <v>81</v>
      </c>
      <c r="AA18" s="116">
        <v>0</v>
      </c>
      <c r="AB18" s="117">
        <v>0</v>
      </c>
      <c r="AC18" s="108">
        <f t="shared" si="11"/>
        <v>0</v>
      </c>
      <c r="AD18" s="118">
        <v>74</v>
      </c>
      <c r="AE18" s="119">
        <v>139</v>
      </c>
    </row>
    <row r="19" spans="1:31" x14ac:dyDescent="0.2">
      <c r="A19" s="102">
        <v>46191</v>
      </c>
      <c r="B19" s="103">
        <v>21077216</v>
      </c>
      <c r="C19" s="104">
        <f>SUM(4329.1+1863184.1+592389+10131.5+291352+32975)</f>
        <v>2794360.7</v>
      </c>
      <c r="D19" s="104">
        <f t="shared" si="3"/>
        <v>18282855.300000001</v>
      </c>
      <c r="E19" s="105">
        <f t="shared" si="0"/>
        <v>15250</v>
      </c>
      <c r="F19" s="106">
        <v>6454</v>
      </c>
      <c r="G19" s="107">
        <v>11450</v>
      </c>
      <c r="H19" s="108">
        <f t="shared" si="4"/>
        <v>430</v>
      </c>
      <c r="I19" s="109">
        <v>0.68</v>
      </c>
      <c r="J19" s="110">
        <v>0.68</v>
      </c>
      <c r="K19" s="110">
        <v>0.65</v>
      </c>
      <c r="L19" s="111">
        <f t="shared" si="9"/>
        <v>5025</v>
      </c>
      <c r="M19" s="112">
        <v>1451.01</v>
      </c>
      <c r="N19" s="108">
        <f t="shared" si="5"/>
        <v>226.01000000000022</v>
      </c>
      <c r="O19" s="109">
        <v>0.55000000000000004</v>
      </c>
      <c r="P19" s="110">
        <v>0.55000000000000004</v>
      </c>
      <c r="Q19" s="110">
        <v>0.55000000000000004</v>
      </c>
      <c r="R19" s="111">
        <f t="shared" si="6"/>
        <v>825.00000000000011</v>
      </c>
      <c r="S19" s="112">
        <v>452.7</v>
      </c>
      <c r="T19" s="108">
        <f t="shared" si="1"/>
        <v>2.7000000000000455</v>
      </c>
      <c r="U19" s="113">
        <f t="shared" si="7"/>
        <v>228.71000000000026</v>
      </c>
      <c r="V19" s="114">
        <v>724491</v>
      </c>
      <c r="W19" s="115">
        <v>9229</v>
      </c>
      <c r="X19" s="115">
        <v>19510</v>
      </c>
      <c r="Y19" s="115">
        <f t="shared" si="8"/>
        <v>695752</v>
      </c>
      <c r="Z19" s="108">
        <f t="shared" si="2"/>
        <v>112</v>
      </c>
      <c r="AA19" s="116">
        <v>0</v>
      </c>
      <c r="AB19" s="117">
        <v>0</v>
      </c>
      <c r="AC19" s="108">
        <f t="shared" si="11"/>
        <v>0</v>
      </c>
      <c r="AD19" s="118">
        <v>95</v>
      </c>
      <c r="AE19" s="119">
        <v>182</v>
      </c>
    </row>
    <row r="20" spans="1:31" x14ac:dyDescent="0.2">
      <c r="A20" s="102">
        <v>46192</v>
      </c>
      <c r="B20" s="103">
        <v>21092466</v>
      </c>
      <c r="C20" s="104">
        <f>SUM(4329.6+1863582.5+592389+10131.7+291464+32993)</f>
        <v>2794889.8000000003</v>
      </c>
      <c r="D20" s="104">
        <f t="shared" si="3"/>
        <v>18297576.199999999</v>
      </c>
      <c r="E20" s="105">
        <f t="shared" si="0"/>
        <v>16655</v>
      </c>
      <c r="F20" s="106">
        <v>17474</v>
      </c>
      <c r="G20" s="107"/>
      <c r="H20" s="108">
        <f t="shared" si="4"/>
        <v>661</v>
      </c>
      <c r="I20" s="109">
        <v>0.85</v>
      </c>
      <c r="J20" s="110">
        <v>0.85</v>
      </c>
      <c r="K20" s="110">
        <v>0.8</v>
      </c>
      <c r="L20" s="111">
        <f t="shared" si="9"/>
        <v>6250</v>
      </c>
      <c r="M20" s="112"/>
      <c r="N20" s="108">
        <f t="shared" si="5"/>
        <v>249.99999999999909</v>
      </c>
      <c r="O20" s="109">
        <v>0.85</v>
      </c>
      <c r="P20" s="110">
        <v>0.85</v>
      </c>
      <c r="Q20" s="110">
        <v>0.85</v>
      </c>
      <c r="R20" s="111">
        <f t="shared" si="6"/>
        <v>1275</v>
      </c>
      <c r="S20" s="112"/>
      <c r="T20" s="108">
        <f t="shared" si="1"/>
        <v>49.999999999999773</v>
      </c>
      <c r="U20" s="113">
        <f t="shared" si="7"/>
        <v>299.99999999999886</v>
      </c>
      <c r="V20" s="114">
        <v>724694</v>
      </c>
      <c r="W20" s="115">
        <v>9307</v>
      </c>
      <c r="X20" s="115">
        <v>19523</v>
      </c>
      <c r="Y20" s="115">
        <f t="shared" si="8"/>
        <v>695864</v>
      </c>
      <c r="Z20" s="108">
        <f t="shared" si="2"/>
        <v>62</v>
      </c>
      <c r="AA20" s="116">
        <v>0</v>
      </c>
      <c r="AB20" s="117">
        <v>0</v>
      </c>
      <c r="AC20" s="108">
        <f t="shared" si="11"/>
        <v>0</v>
      </c>
      <c r="AD20" s="118">
        <v>135</v>
      </c>
      <c r="AE20" s="119">
        <v>256</v>
      </c>
    </row>
    <row r="21" spans="1:31" x14ac:dyDescent="0.2">
      <c r="A21" s="102">
        <v>46193</v>
      </c>
      <c r="B21" s="103">
        <v>21109121</v>
      </c>
      <c r="C21" s="104">
        <f>SUM(4330.3+1864046.3+592389+10131.9+291587+33013)</f>
        <v>2795497.5</v>
      </c>
      <c r="D21" s="104">
        <f t="shared" si="3"/>
        <v>18313623.5</v>
      </c>
      <c r="E21" s="105">
        <f t="shared" si="0"/>
        <v>17888</v>
      </c>
      <c r="F21" s="106">
        <v>16813</v>
      </c>
      <c r="G21" s="107"/>
      <c r="H21" s="108">
        <f t="shared" si="4"/>
        <v>268</v>
      </c>
      <c r="I21" s="109">
        <v>0.8</v>
      </c>
      <c r="J21" s="110">
        <v>0.8</v>
      </c>
      <c r="K21" s="110">
        <v>0.8</v>
      </c>
      <c r="L21" s="111">
        <f t="shared" si="9"/>
        <v>6000.0000000000009</v>
      </c>
      <c r="M21" s="112"/>
      <c r="N21" s="108">
        <f t="shared" si="5"/>
        <v>125.00000000000091</v>
      </c>
      <c r="O21" s="109">
        <v>0.85</v>
      </c>
      <c r="P21" s="110">
        <v>0.8</v>
      </c>
      <c r="Q21" s="110">
        <v>0.8</v>
      </c>
      <c r="R21" s="111">
        <f t="shared" si="6"/>
        <v>1225.0000000000002</v>
      </c>
      <c r="S21" s="112"/>
      <c r="T21" s="108">
        <f t="shared" si="1"/>
        <v>75.000000000000227</v>
      </c>
      <c r="U21" s="113">
        <f t="shared" si="7"/>
        <v>200.00000000000114</v>
      </c>
      <c r="V21" s="114">
        <v>724918</v>
      </c>
      <c r="W21" s="115">
        <v>9397</v>
      </c>
      <c r="X21" s="115">
        <v>19595</v>
      </c>
      <c r="Y21" s="115">
        <f t="shared" si="8"/>
        <v>695926</v>
      </c>
      <c r="Z21" s="108">
        <f t="shared" si="2"/>
        <v>193</v>
      </c>
      <c r="AA21" s="116">
        <v>0</v>
      </c>
      <c r="AB21" s="117">
        <v>0</v>
      </c>
      <c r="AC21" s="108">
        <f t="shared" si="11"/>
        <v>0</v>
      </c>
      <c r="AD21" s="118">
        <v>156</v>
      </c>
      <c r="AE21" s="119">
        <v>295</v>
      </c>
    </row>
    <row r="22" spans="1:31" ht="13.5" thickBot="1" x14ac:dyDescent="0.25">
      <c r="A22" s="120">
        <v>46194</v>
      </c>
      <c r="B22" s="121">
        <v>21127009</v>
      </c>
      <c r="C22" s="122">
        <f>SUM(4330.9+1864527.8+592389+10132+291707+33033)</f>
        <v>2796119.7</v>
      </c>
      <c r="D22" s="122">
        <f t="shared" si="3"/>
        <v>18330889.300000001</v>
      </c>
      <c r="E22" s="139">
        <f t="shared" si="0"/>
        <v>16092</v>
      </c>
      <c r="F22" s="124">
        <v>16545</v>
      </c>
      <c r="G22" s="125"/>
      <c r="H22" s="140">
        <f t="shared" si="4"/>
        <v>540</v>
      </c>
      <c r="I22" s="126">
        <v>0.75</v>
      </c>
      <c r="J22" s="127">
        <v>0.8</v>
      </c>
      <c r="K22" s="127">
        <v>0.8</v>
      </c>
      <c r="L22" s="128">
        <f t="shared" si="9"/>
        <v>5875</v>
      </c>
      <c r="M22" s="129"/>
      <c r="N22" s="140">
        <f t="shared" si="5"/>
        <v>250</v>
      </c>
      <c r="O22" s="126">
        <v>0.75</v>
      </c>
      <c r="P22" s="127">
        <v>0.75</v>
      </c>
      <c r="Q22" s="127">
        <v>0.8</v>
      </c>
      <c r="R22" s="128">
        <f>SUM(O22:Q22)/3*1500</f>
        <v>1150</v>
      </c>
      <c r="S22" s="129"/>
      <c r="T22" s="140">
        <f t="shared" si="1"/>
        <v>100.00000000000023</v>
      </c>
      <c r="U22" s="141">
        <f t="shared" si="7"/>
        <v>350.00000000000023</v>
      </c>
      <c r="V22" s="132">
        <v>725153</v>
      </c>
      <c r="W22" s="133">
        <v>9487</v>
      </c>
      <c r="X22" s="133">
        <v>19547</v>
      </c>
      <c r="Y22" s="133">
        <f t="shared" si="8"/>
        <v>696119</v>
      </c>
      <c r="Z22" s="140">
        <f t="shared" si="2"/>
        <v>129</v>
      </c>
      <c r="AA22" s="135">
        <v>0</v>
      </c>
      <c r="AB22" s="136">
        <v>0</v>
      </c>
      <c r="AC22" s="140">
        <f t="shared" si="11"/>
        <v>0</v>
      </c>
      <c r="AD22" s="142">
        <v>78</v>
      </c>
      <c r="AE22" s="143">
        <v>149</v>
      </c>
    </row>
    <row r="23" spans="1:31" x14ac:dyDescent="0.2">
      <c r="A23" s="84">
        <v>46195</v>
      </c>
      <c r="B23" s="85">
        <v>21143101</v>
      </c>
      <c r="C23" s="86">
        <f>SUM(4331.6+1865030.8+592389+10132.2+291838+33054)</f>
        <v>2796775.6000000006</v>
      </c>
      <c r="D23" s="86">
        <f t="shared" si="3"/>
        <v>18346325.399999999</v>
      </c>
      <c r="E23" s="87">
        <f t="shared" si="0"/>
        <v>16070</v>
      </c>
      <c r="F23" s="88">
        <v>16005</v>
      </c>
      <c r="G23" s="89"/>
      <c r="H23" s="90">
        <f t="shared" si="4"/>
        <v>273</v>
      </c>
      <c r="I23" s="91">
        <v>0.75</v>
      </c>
      <c r="J23" s="92">
        <v>0.75</v>
      </c>
      <c r="K23" s="92">
        <v>0.75</v>
      </c>
      <c r="L23" s="93">
        <f t="shared" si="9"/>
        <v>5625</v>
      </c>
      <c r="M23" s="94"/>
      <c r="N23" s="90">
        <f t="shared" si="5"/>
        <v>250</v>
      </c>
      <c r="O23" s="91">
        <v>0.7</v>
      </c>
      <c r="P23" s="92">
        <v>0.7</v>
      </c>
      <c r="Q23" s="92">
        <v>0.7</v>
      </c>
      <c r="R23" s="93">
        <f t="shared" si="6"/>
        <v>1049.9999999999998</v>
      </c>
      <c r="S23" s="94"/>
      <c r="T23" s="90">
        <f t="shared" si="1"/>
        <v>99.999999999999773</v>
      </c>
      <c r="U23" s="95">
        <f t="shared" si="7"/>
        <v>349.99999999999977</v>
      </c>
      <c r="V23" s="96">
        <v>725391</v>
      </c>
      <c r="W23" s="97">
        <v>9583</v>
      </c>
      <c r="X23" s="97">
        <v>19560</v>
      </c>
      <c r="Y23" s="97">
        <f t="shared" si="8"/>
        <v>696248</v>
      </c>
      <c r="Z23" s="90">
        <f t="shared" si="2"/>
        <v>87</v>
      </c>
      <c r="AA23" s="98">
        <v>0</v>
      </c>
      <c r="AB23" s="99">
        <v>0</v>
      </c>
      <c r="AC23" s="90">
        <f t="shared" si="11"/>
        <v>0</v>
      </c>
      <c r="AD23" s="100">
        <v>67</v>
      </c>
      <c r="AE23" s="101">
        <v>129</v>
      </c>
    </row>
    <row r="24" spans="1:31" x14ac:dyDescent="0.2">
      <c r="A24" s="102">
        <v>46196</v>
      </c>
      <c r="B24" s="103">
        <v>21159171</v>
      </c>
      <c r="C24" s="104">
        <f>SUM(4332.3+1865558.6+592389+10132.4+291972+33076)</f>
        <v>2797460.3000000003</v>
      </c>
      <c r="D24" s="104">
        <f t="shared" si="3"/>
        <v>18361710.699999999</v>
      </c>
      <c r="E24" s="105">
        <f t="shared" si="0"/>
        <v>15178</v>
      </c>
      <c r="F24" s="106">
        <v>15732</v>
      </c>
      <c r="G24" s="107"/>
      <c r="H24" s="108">
        <f t="shared" si="4"/>
        <v>686</v>
      </c>
      <c r="I24" s="109">
        <v>0.7</v>
      </c>
      <c r="J24" s="110">
        <v>0.7</v>
      </c>
      <c r="K24" s="110">
        <v>0.75</v>
      </c>
      <c r="L24" s="111">
        <f t="shared" si="9"/>
        <v>5375</v>
      </c>
      <c r="M24" s="112"/>
      <c r="N24" s="108">
        <f t="shared" si="5"/>
        <v>250.00000000000091</v>
      </c>
      <c r="O24" s="109">
        <v>0.6</v>
      </c>
      <c r="P24" s="110">
        <v>0.65</v>
      </c>
      <c r="Q24" s="110">
        <v>0.65</v>
      </c>
      <c r="R24" s="111">
        <f t="shared" si="6"/>
        <v>950</v>
      </c>
      <c r="S24" s="112"/>
      <c r="T24" s="108">
        <f t="shared" si="1"/>
        <v>99.999999999999886</v>
      </c>
      <c r="U24" s="113">
        <f t="shared" si="7"/>
        <v>350.0000000000008</v>
      </c>
      <c r="V24" s="114">
        <v>725588</v>
      </c>
      <c r="W24" s="115">
        <v>9679</v>
      </c>
      <c r="X24" s="115">
        <v>19574</v>
      </c>
      <c r="Y24" s="115">
        <f t="shared" si="8"/>
        <v>696335</v>
      </c>
      <c r="Z24" s="108">
        <f t="shared" si="2"/>
        <v>94</v>
      </c>
      <c r="AA24" s="116">
        <v>0</v>
      </c>
      <c r="AB24" s="117">
        <v>0</v>
      </c>
      <c r="AC24" s="108">
        <f t="shared" si="11"/>
        <v>0</v>
      </c>
      <c r="AD24" s="118">
        <v>73</v>
      </c>
      <c r="AE24" s="119">
        <v>140</v>
      </c>
    </row>
    <row r="25" spans="1:31" x14ac:dyDescent="0.2">
      <c r="A25" s="102">
        <v>46197</v>
      </c>
      <c r="B25" s="103">
        <v>21174349</v>
      </c>
      <c r="C25" s="104">
        <f>SUM(4333+1866027.7+592389+10132.6+292092+33096)</f>
        <v>2798070.3000000003</v>
      </c>
      <c r="D25" s="104">
        <f t="shared" si="3"/>
        <v>18376278.699999999</v>
      </c>
      <c r="E25" s="105">
        <f t="shared" si="0"/>
        <v>17257</v>
      </c>
      <c r="F25" s="106">
        <v>15046</v>
      </c>
      <c r="G25" s="107"/>
      <c r="H25" s="108">
        <f t="shared" si="4"/>
        <v>139</v>
      </c>
      <c r="I25" s="109">
        <v>0.65</v>
      </c>
      <c r="J25" s="110">
        <v>0.7</v>
      </c>
      <c r="K25" s="110">
        <v>0.7</v>
      </c>
      <c r="L25" s="111">
        <f t="shared" si="9"/>
        <v>5124.9999999999991</v>
      </c>
      <c r="M25" s="112"/>
      <c r="N25" s="108">
        <f t="shared" si="5"/>
        <v>124.99999999999909</v>
      </c>
      <c r="O25" s="109">
        <v>0.55000000000000004</v>
      </c>
      <c r="P25" s="110">
        <v>0.55000000000000004</v>
      </c>
      <c r="Q25" s="110">
        <v>0.6</v>
      </c>
      <c r="R25" s="111">
        <f t="shared" si="6"/>
        <v>850.00000000000011</v>
      </c>
      <c r="S25" s="112"/>
      <c r="T25" s="108">
        <f t="shared" si="1"/>
        <v>50.000000000000114</v>
      </c>
      <c r="U25" s="113">
        <f t="shared" si="7"/>
        <v>174.9999999999992</v>
      </c>
      <c r="V25" s="114">
        <v>725783</v>
      </c>
      <c r="W25" s="115">
        <v>9768</v>
      </c>
      <c r="X25" s="115">
        <v>19586</v>
      </c>
      <c r="Y25" s="115">
        <f t="shared" si="8"/>
        <v>696429</v>
      </c>
      <c r="Z25" s="108">
        <f t="shared" si="2"/>
        <v>110</v>
      </c>
      <c r="AA25" s="116">
        <v>0</v>
      </c>
      <c r="AB25" s="117">
        <v>0</v>
      </c>
      <c r="AC25" s="108">
        <f t="shared" si="11"/>
        <v>0</v>
      </c>
      <c r="AD25" s="118">
        <v>104</v>
      </c>
      <c r="AE25" s="119">
        <v>195</v>
      </c>
    </row>
    <row r="26" spans="1:31" x14ac:dyDescent="0.2">
      <c r="A26" s="102">
        <v>46198</v>
      </c>
      <c r="B26" s="103">
        <v>21191606</v>
      </c>
      <c r="C26" s="104">
        <f>SUM(4334+1866535.9+592389+10132.8+292223+33117)</f>
        <v>2798731.6999999997</v>
      </c>
      <c r="D26" s="104">
        <f t="shared" si="3"/>
        <v>18392874.300000001</v>
      </c>
      <c r="E26" s="105">
        <f t="shared" si="0"/>
        <v>17830</v>
      </c>
      <c r="F26" s="106">
        <v>14907</v>
      </c>
      <c r="G26" s="107"/>
      <c r="H26" s="108">
        <f t="shared" si="4"/>
        <v>277</v>
      </c>
      <c r="I26" s="109">
        <v>0.65</v>
      </c>
      <c r="J26" s="110">
        <v>0.65</v>
      </c>
      <c r="K26" s="110">
        <v>0.7</v>
      </c>
      <c r="L26" s="111">
        <f t="shared" si="9"/>
        <v>5000</v>
      </c>
      <c r="M26" s="112">
        <v>1005.77</v>
      </c>
      <c r="N26" s="108">
        <f t="shared" si="5"/>
        <v>130.77000000000044</v>
      </c>
      <c r="O26" s="109">
        <v>0.5</v>
      </c>
      <c r="P26" s="110">
        <v>0.55000000000000004</v>
      </c>
      <c r="Q26" s="110">
        <v>0.55000000000000004</v>
      </c>
      <c r="R26" s="111">
        <f t="shared" si="6"/>
        <v>800</v>
      </c>
      <c r="S26" s="112">
        <v>429.94</v>
      </c>
      <c r="T26" s="108">
        <v>5</v>
      </c>
      <c r="U26" s="113">
        <f t="shared" si="7"/>
        <v>135.77000000000044</v>
      </c>
      <c r="V26" s="114">
        <v>725997</v>
      </c>
      <c r="W26" s="115">
        <v>9859</v>
      </c>
      <c r="X26" s="115">
        <v>19599</v>
      </c>
      <c r="Y26" s="115">
        <f t="shared" si="8"/>
        <v>696539</v>
      </c>
      <c r="Z26" s="108">
        <f t="shared" si="2"/>
        <v>113</v>
      </c>
      <c r="AA26" s="116">
        <v>0</v>
      </c>
      <c r="AB26" s="117">
        <v>0</v>
      </c>
      <c r="AC26" s="108">
        <f t="shared" si="11"/>
        <v>0</v>
      </c>
      <c r="AD26" s="118">
        <v>142</v>
      </c>
      <c r="AE26" s="119">
        <v>247</v>
      </c>
    </row>
    <row r="27" spans="1:31" x14ac:dyDescent="0.2">
      <c r="A27" s="102">
        <v>46199</v>
      </c>
      <c r="B27" s="103">
        <v>21209436</v>
      </c>
      <c r="C27" s="104">
        <f>SUM(4334.7+1867026.3+592380+10133+292347+33138)</f>
        <v>2799359</v>
      </c>
      <c r="D27" s="104">
        <f t="shared" si="3"/>
        <v>18410077</v>
      </c>
      <c r="E27" s="105">
        <f t="shared" si="0"/>
        <v>19310</v>
      </c>
      <c r="F27" s="106">
        <v>14630</v>
      </c>
      <c r="G27" s="107"/>
      <c r="H27" s="108">
        <f t="shared" si="4"/>
        <v>298</v>
      </c>
      <c r="I27" s="109">
        <v>0.75</v>
      </c>
      <c r="J27" s="110">
        <v>0.8</v>
      </c>
      <c r="K27" s="110">
        <v>0.8</v>
      </c>
      <c r="L27" s="111">
        <f t="shared" si="9"/>
        <v>5875</v>
      </c>
      <c r="M27" s="112"/>
      <c r="N27" s="108">
        <f t="shared" si="5"/>
        <v>150</v>
      </c>
      <c r="O27" s="109">
        <v>0.77</v>
      </c>
      <c r="P27" s="110">
        <v>0.85</v>
      </c>
      <c r="Q27" s="110">
        <v>0.85</v>
      </c>
      <c r="R27" s="111">
        <f t="shared" si="6"/>
        <v>1235</v>
      </c>
      <c r="S27" s="112"/>
      <c r="T27" s="108">
        <f t="shared" si="1"/>
        <v>135</v>
      </c>
      <c r="U27" s="113">
        <f t="shared" si="7"/>
        <v>285</v>
      </c>
      <c r="V27" s="114">
        <v>726220</v>
      </c>
      <c r="W27" s="115">
        <v>9950</v>
      </c>
      <c r="X27" s="115">
        <v>19618</v>
      </c>
      <c r="Y27" s="115">
        <f t="shared" si="8"/>
        <v>696652</v>
      </c>
      <c r="Z27" s="108">
        <f t="shared" si="2"/>
        <v>149</v>
      </c>
      <c r="AA27" s="116">
        <v>0</v>
      </c>
      <c r="AB27" s="117">
        <v>0</v>
      </c>
      <c r="AC27" s="108">
        <f t="shared" si="11"/>
        <v>0</v>
      </c>
      <c r="AD27" s="118">
        <v>152</v>
      </c>
      <c r="AE27" s="119">
        <v>266</v>
      </c>
    </row>
    <row r="28" spans="1:31" x14ac:dyDescent="0.2">
      <c r="A28" s="102">
        <v>46200</v>
      </c>
      <c r="B28" s="103">
        <v>21228746</v>
      </c>
      <c r="C28" s="104">
        <f>SUM(4335.6+1867513.5+592389+10133.2+292471+33158)</f>
        <v>2800000.3000000003</v>
      </c>
      <c r="D28" s="104">
        <f t="shared" si="3"/>
        <v>18428745.699999999</v>
      </c>
      <c r="E28" s="105">
        <f t="shared" si="0"/>
        <v>20164</v>
      </c>
      <c r="F28" s="106">
        <v>14332</v>
      </c>
      <c r="G28" s="107"/>
      <c r="H28" s="108">
        <f t="shared" si="4"/>
        <v>539</v>
      </c>
      <c r="I28" s="109">
        <v>0.75</v>
      </c>
      <c r="J28" s="110">
        <v>0.77</v>
      </c>
      <c r="K28" s="110">
        <v>0.77</v>
      </c>
      <c r="L28" s="111">
        <f t="shared" si="9"/>
        <v>5725</v>
      </c>
      <c r="M28" s="112"/>
      <c r="N28" s="108">
        <f t="shared" si="5"/>
        <v>225</v>
      </c>
      <c r="O28" s="109">
        <v>0.7</v>
      </c>
      <c r="P28" s="110">
        <v>0.75</v>
      </c>
      <c r="Q28" s="110">
        <v>0.75</v>
      </c>
      <c r="R28" s="111">
        <f t="shared" si="6"/>
        <v>1100</v>
      </c>
      <c r="S28" s="112"/>
      <c r="T28" s="108">
        <f t="shared" si="1"/>
        <v>75.000000000000227</v>
      </c>
      <c r="U28" s="113">
        <f t="shared" si="7"/>
        <v>300.00000000000023</v>
      </c>
      <c r="V28" s="114">
        <v>726475</v>
      </c>
      <c r="W28" s="115">
        <v>10036</v>
      </c>
      <c r="X28" s="115">
        <v>19638</v>
      </c>
      <c r="Y28" s="115">
        <f t="shared" si="8"/>
        <v>696801</v>
      </c>
      <c r="Z28" s="108">
        <f t="shared" si="2"/>
        <v>145</v>
      </c>
      <c r="AA28" s="116">
        <v>0</v>
      </c>
      <c r="AB28" s="117">
        <v>0</v>
      </c>
      <c r="AC28" s="108">
        <f t="shared" si="11"/>
        <v>0</v>
      </c>
      <c r="AD28" s="118">
        <v>158</v>
      </c>
      <c r="AE28" s="119">
        <v>302</v>
      </c>
    </row>
    <row r="29" spans="1:31" ht="13.5" thickBot="1" x14ac:dyDescent="0.25">
      <c r="A29" s="120">
        <v>46201</v>
      </c>
      <c r="B29" s="121">
        <v>21248910</v>
      </c>
      <c r="C29" s="122">
        <f>SUM(4336.3+1868005.4+592552+10133.5+292524+33177)</f>
        <v>2800728.2</v>
      </c>
      <c r="D29" s="122">
        <f t="shared" si="3"/>
        <v>18448181.800000001</v>
      </c>
      <c r="E29" s="139">
        <f t="shared" si="0"/>
        <v>17649</v>
      </c>
      <c r="F29" s="124">
        <v>13793</v>
      </c>
      <c r="G29" s="125"/>
      <c r="H29" s="140">
        <f t="shared" si="4"/>
        <v>420</v>
      </c>
      <c r="I29" s="126">
        <v>0.75</v>
      </c>
      <c r="J29" s="127">
        <v>0.75</v>
      </c>
      <c r="K29" s="127">
        <v>0.7</v>
      </c>
      <c r="L29" s="128">
        <f t="shared" si="9"/>
        <v>5500</v>
      </c>
      <c r="M29" s="129"/>
      <c r="N29" s="140">
        <f t="shared" si="5"/>
        <v>375.00000000000091</v>
      </c>
      <c r="O29" s="126">
        <v>0.65</v>
      </c>
      <c r="P29" s="127">
        <v>0.7</v>
      </c>
      <c r="Q29" s="127">
        <v>0.7</v>
      </c>
      <c r="R29" s="128">
        <f t="shared" si="6"/>
        <v>1024.9999999999998</v>
      </c>
      <c r="S29" s="129"/>
      <c r="T29" s="140">
        <f t="shared" si="1"/>
        <v>99.999999999999773</v>
      </c>
      <c r="U29" s="141">
        <f t="shared" si="7"/>
        <v>475.00000000000068</v>
      </c>
      <c r="V29" s="132">
        <v>726726</v>
      </c>
      <c r="W29" s="133">
        <v>10125</v>
      </c>
      <c r="X29" s="133">
        <v>19655</v>
      </c>
      <c r="Y29" s="133">
        <f t="shared" si="8"/>
        <v>696946</v>
      </c>
      <c r="Z29" s="140">
        <f t="shared" si="2"/>
        <v>119</v>
      </c>
      <c r="AA29" s="135">
        <v>0</v>
      </c>
      <c r="AB29" s="136">
        <v>0</v>
      </c>
      <c r="AC29" s="140">
        <f t="shared" si="11"/>
        <v>0</v>
      </c>
      <c r="AD29" s="142">
        <v>75</v>
      </c>
      <c r="AE29" s="143">
        <v>147</v>
      </c>
    </row>
    <row r="30" spans="1:31" x14ac:dyDescent="0.2">
      <c r="A30" s="84">
        <v>46202</v>
      </c>
      <c r="B30" s="85">
        <v>21266559</v>
      </c>
      <c r="C30" s="86">
        <f>SUM(4337+1868480.5+592552+10133.7+292641+33199)</f>
        <v>2801343.2</v>
      </c>
      <c r="D30" s="86">
        <f t="shared" si="3"/>
        <v>18465215.800000001</v>
      </c>
      <c r="E30" s="87">
        <f t="shared" si="0"/>
        <v>16995</v>
      </c>
      <c r="F30" s="88">
        <v>13373</v>
      </c>
      <c r="G30" s="89"/>
      <c r="H30" s="90">
        <f t="shared" si="4"/>
        <v>141</v>
      </c>
      <c r="I30" s="91">
        <v>0.7</v>
      </c>
      <c r="J30" s="92">
        <v>0.7</v>
      </c>
      <c r="K30" s="92">
        <v>0.65</v>
      </c>
      <c r="L30" s="93">
        <f t="shared" si="9"/>
        <v>5124.9999999999991</v>
      </c>
      <c r="M30" s="94"/>
      <c r="N30" s="90">
        <f t="shared" si="5"/>
        <v>124.99999999999909</v>
      </c>
      <c r="O30" s="91">
        <v>0.6</v>
      </c>
      <c r="P30" s="92">
        <v>0.6</v>
      </c>
      <c r="Q30" s="92">
        <v>0.65</v>
      </c>
      <c r="R30" s="93">
        <f t="shared" si="6"/>
        <v>925</v>
      </c>
      <c r="S30" s="94"/>
      <c r="T30" s="90">
        <f t="shared" si="1"/>
        <v>50</v>
      </c>
      <c r="U30" s="144">
        <f t="shared" si="7"/>
        <v>174.99999999999909</v>
      </c>
      <c r="V30" s="96">
        <v>726947</v>
      </c>
      <c r="W30" s="97">
        <v>10216</v>
      </c>
      <c r="X30" s="97">
        <v>19666</v>
      </c>
      <c r="Y30" s="97">
        <f t="shared" si="8"/>
        <v>697065</v>
      </c>
      <c r="Z30" s="90">
        <f t="shared" si="2"/>
        <v>127</v>
      </c>
      <c r="AA30" s="98">
        <v>0</v>
      </c>
      <c r="AB30" s="99">
        <v>0</v>
      </c>
      <c r="AC30" s="90">
        <f t="shared" si="11"/>
        <v>0</v>
      </c>
      <c r="AD30" s="100">
        <v>61</v>
      </c>
      <c r="AE30" s="101">
        <v>117</v>
      </c>
    </row>
    <row r="31" spans="1:31" x14ac:dyDescent="0.2">
      <c r="A31" s="102">
        <v>46203</v>
      </c>
      <c r="B31" s="103">
        <v>21283554</v>
      </c>
      <c r="C31" s="104">
        <f>SUM(4337.8+1869023.1+592852+10134+292769+33220)</f>
        <v>2802335.9000000004</v>
      </c>
      <c r="D31" s="104">
        <f t="shared" si="3"/>
        <v>18481218.100000001</v>
      </c>
      <c r="E31" s="105">
        <f t="shared" si="0"/>
        <v>18556</v>
      </c>
      <c r="F31" s="106">
        <v>13232</v>
      </c>
      <c r="G31" s="107"/>
      <c r="H31" s="108">
        <f t="shared" si="4"/>
        <v>281</v>
      </c>
      <c r="I31" s="109">
        <v>0.6</v>
      </c>
      <c r="J31" s="110">
        <v>0.7</v>
      </c>
      <c r="K31" s="110">
        <v>0.7</v>
      </c>
      <c r="L31" s="111">
        <f t="shared" si="9"/>
        <v>5000</v>
      </c>
      <c r="M31" s="112"/>
      <c r="N31" s="108">
        <f t="shared" si="5"/>
        <v>250</v>
      </c>
      <c r="O31" s="109">
        <v>0.6</v>
      </c>
      <c r="P31" s="110">
        <v>0.55000000000000004</v>
      </c>
      <c r="Q31" s="110">
        <v>0.6</v>
      </c>
      <c r="R31" s="111">
        <f t="shared" si="6"/>
        <v>875</v>
      </c>
      <c r="S31" s="112"/>
      <c r="T31" s="108">
        <f t="shared" si="1"/>
        <v>25</v>
      </c>
      <c r="U31" s="113">
        <f t="shared" si="7"/>
        <v>275</v>
      </c>
      <c r="V31" s="114">
        <v>727188</v>
      </c>
      <c r="W31" s="115">
        <v>10314</v>
      </c>
      <c r="X31" s="115">
        <v>19682</v>
      </c>
      <c r="Y31" s="115">
        <f t="shared" si="8"/>
        <v>697192</v>
      </c>
      <c r="Z31" s="108">
        <f t="shared" si="2"/>
        <v>86</v>
      </c>
      <c r="AA31" s="116">
        <v>0</v>
      </c>
      <c r="AB31" s="117">
        <v>0</v>
      </c>
      <c r="AC31" s="108">
        <f t="shared" si="11"/>
        <v>0</v>
      </c>
      <c r="AD31" s="118">
        <v>52</v>
      </c>
      <c r="AE31" s="119">
        <v>103</v>
      </c>
    </row>
    <row r="32" spans="1:31" ht="13.5" thickBot="1" x14ac:dyDescent="0.25">
      <c r="A32" s="120">
        <v>46204</v>
      </c>
      <c r="B32" s="121">
        <v>21302110</v>
      </c>
      <c r="C32" s="122">
        <f>SUM(4338.5+1869514.2+592552+10134.4+292883+33239)</f>
        <v>2802661.1</v>
      </c>
      <c r="D32" s="122">
        <f t="shared" si="3"/>
        <v>18499448.899999999</v>
      </c>
      <c r="E32" s="122"/>
      <c r="F32" s="124">
        <v>12951</v>
      </c>
      <c r="G32" s="125"/>
      <c r="H32" s="123"/>
      <c r="I32" s="126">
        <v>0.6</v>
      </c>
      <c r="J32" s="127">
        <v>0.65</v>
      </c>
      <c r="K32" s="127">
        <v>0.65</v>
      </c>
      <c r="L32" s="128">
        <f t="shared" si="9"/>
        <v>4750</v>
      </c>
      <c r="M32" s="129"/>
      <c r="N32" s="130">
        <f t="shared" si="5"/>
        <v>4750</v>
      </c>
      <c r="O32" s="126">
        <v>0.6</v>
      </c>
      <c r="P32" s="127">
        <v>0.55000000000000004</v>
      </c>
      <c r="Q32" s="127">
        <v>0.55000000000000004</v>
      </c>
      <c r="R32" s="128">
        <f t="shared" si="6"/>
        <v>850</v>
      </c>
      <c r="S32" s="129"/>
      <c r="T32" s="130">
        <f t="shared" si="1"/>
        <v>850</v>
      </c>
      <c r="U32" s="131"/>
      <c r="V32" s="132">
        <v>727383</v>
      </c>
      <c r="W32" s="133">
        <v>10408</v>
      </c>
      <c r="X32" s="133">
        <v>19697</v>
      </c>
      <c r="Y32" s="133">
        <f t="shared" si="8"/>
        <v>697278</v>
      </c>
      <c r="Z32" s="134"/>
      <c r="AA32" s="135">
        <v>0</v>
      </c>
      <c r="AB32" s="136">
        <v>0</v>
      </c>
      <c r="AC32" s="134">
        <f t="shared" si="11"/>
        <v>0</v>
      </c>
      <c r="AD32" s="137"/>
      <c r="AE32" s="138"/>
    </row>
    <row r="33" spans="1:31" ht="14.25" thickTop="1" thickBot="1" x14ac:dyDescent="0.25">
      <c r="A33" s="67"/>
      <c r="B33" s="68"/>
      <c r="C33" s="69"/>
      <c r="D33" s="70"/>
      <c r="E33" s="10"/>
      <c r="F33" s="71"/>
      <c r="G33" s="72"/>
      <c r="H33" s="10"/>
      <c r="I33" s="73"/>
      <c r="J33" s="74"/>
      <c r="K33" s="74"/>
      <c r="L33" s="75">
        <f t="shared" si="9"/>
        <v>0</v>
      </c>
      <c r="M33" s="76"/>
      <c r="N33" s="83"/>
      <c r="O33" s="73"/>
      <c r="P33" s="74"/>
      <c r="Q33" s="74"/>
      <c r="R33" s="75">
        <f t="shared" si="6"/>
        <v>0</v>
      </c>
      <c r="S33" s="76"/>
      <c r="T33" s="82"/>
      <c r="U33" s="19"/>
      <c r="V33" s="77"/>
      <c r="W33" s="78"/>
      <c r="X33" s="78"/>
      <c r="Y33" s="79"/>
      <c r="Z33" s="10"/>
      <c r="AA33" s="80">
        <v>0</v>
      </c>
      <c r="AB33" s="81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12851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13985.300000000003</v>
      </c>
      <c r="O34" s="11"/>
      <c r="P34" s="11"/>
      <c r="Q34" s="11"/>
      <c r="R34" s="11"/>
      <c r="S34" s="13">
        <f>SUM(S2:S33)</f>
        <v>1785.89</v>
      </c>
      <c r="T34" s="12">
        <f>SUM(T2:T33)</f>
        <v>3039.6999999999994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2026-07-16T06:36:26Z</dcterms:modified>
  <cp:category/>
  <cp:contentStatus/>
</cp:coreProperties>
</file>