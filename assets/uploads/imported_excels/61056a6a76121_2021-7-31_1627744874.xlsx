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8" i="3" l="1"/>
  <c r="U19" i="3"/>
  <c r="U20" i="3"/>
  <c r="U21" i="3"/>
  <c r="U22" i="3"/>
  <c r="U23" i="3"/>
  <c r="U38" i="3" l="1"/>
  <c r="J31" i="2" s="1"/>
  <c r="U39" i="3"/>
  <c r="J32" i="2" s="1"/>
  <c r="P38" i="3"/>
  <c r="I31" i="2" s="1"/>
  <c r="P39" i="3"/>
  <c r="I32" i="2" s="1"/>
  <c r="N38" i="3"/>
  <c r="H31" i="2" s="1"/>
  <c r="N39" i="3"/>
  <c r="H32" i="2" s="1"/>
  <c r="H38" i="3"/>
  <c r="G31" i="2" s="1"/>
  <c r="H39" i="3"/>
  <c r="G32" i="2" s="1"/>
  <c r="F38" i="3"/>
  <c r="F31" i="2" s="1"/>
  <c r="F39" i="3"/>
  <c r="F32" i="2" s="1"/>
  <c r="D38" i="3"/>
  <c r="E31" i="2" s="1"/>
  <c r="D39" i="3"/>
  <c r="E32" i="2" s="1"/>
  <c r="K31" i="1"/>
  <c r="K32" i="1"/>
  <c r="K27" i="2"/>
  <c r="K28" i="2"/>
  <c r="K29" i="2"/>
  <c r="K30" i="2"/>
  <c r="K31" i="2"/>
  <c r="K32" i="2"/>
  <c r="B37" i="3"/>
  <c r="B38" i="3"/>
  <c r="B39" i="3" s="1"/>
  <c r="V39" i="3" l="1"/>
  <c r="I39" i="3"/>
  <c r="K39" i="3" s="1"/>
  <c r="Q39" i="3"/>
  <c r="R39" i="3"/>
  <c r="V38" i="3"/>
  <c r="R38" i="3"/>
  <c r="Q38" i="3"/>
  <c r="I38" i="3"/>
  <c r="K38" i="3" s="1"/>
  <c r="Y40" i="3"/>
  <c r="X39" i="3" l="1"/>
  <c r="Z39" i="3" s="1"/>
  <c r="X38" i="3"/>
  <c r="Z38" i="3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U36" i="3"/>
  <c r="U37" i="3"/>
  <c r="P36" i="3"/>
  <c r="I29" i="2" s="1"/>
  <c r="P37" i="3"/>
  <c r="I30" i="2" s="1"/>
  <c r="N36" i="3"/>
  <c r="H29" i="2" s="1"/>
  <c r="N37" i="3"/>
  <c r="H30" i="2" s="1"/>
  <c r="H35" i="3"/>
  <c r="G28" i="2" s="1"/>
  <c r="H36" i="3"/>
  <c r="G29" i="2" s="1"/>
  <c r="H37" i="3"/>
  <c r="G30" i="2" s="1"/>
  <c r="F36" i="3"/>
  <c r="F29" i="2" s="1"/>
  <c r="F37" i="3"/>
  <c r="F30" i="2" s="1"/>
  <c r="D36" i="3"/>
  <c r="E29" i="2" s="1"/>
  <c r="D37" i="3"/>
  <c r="E30" i="2" s="1"/>
  <c r="H9" i="3"/>
  <c r="G2" i="2" s="1"/>
  <c r="H10" i="3"/>
  <c r="G3" i="2" s="1"/>
  <c r="H11" i="3"/>
  <c r="G4" i="2" s="1"/>
  <c r="H12" i="3"/>
  <c r="G5" i="2" s="1"/>
  <c r="H13" i="3"/>
  <c r="G6" i="2" s="1"/>
  <c r="H14" i="3"/>
  <c r="G7" i="2" s="1"/>
  <c r="H15" i="3"/>
  <c r="G8" i="2" s="1"/>
  <c r="H16" i="3"/>
  <c r="G9" i="2" s="1"/>
  <c r="H17" i="3"/>
  <c r="G10" i="2" s="1"/>
  <c r="H18" i="3"/>
  <c r="G11" i="2" s="1"/>
  <c r="H19" i="3"/>
  <c r="G12" i="2" s="1"/>
  <c r="H20" i="3"/>
  <c r="G13" i="2" s="1"/>
  <c r="H21" i="3"/>
  <c r="G14" i="2" s="1"/>
  <c r="H22" i="3"/>
  <c r="G15" i="2" s="1"/>
  <c r="H23" i="3"/>
  <c r="G16" i="2" s="1"/>
  <c r="H24" i="3"/>
  <c r="G17" i="2" s="1"/>
  <c r="H25" i="3"/>
  <c r="G18" i="2" s="1"/>
  <c r="H26" i="3"/>
  <c r="G19" i="2" s="1"/>
  <c r="H27" i="3"/>
  <c r="G20" i="2" s="1"/>
  <c r="H28" i="3"/>
  <c r="G21" i="2" s="1"/>
  <c r="H29" i="3"/>
  <c r="G22" i="2" s="1"/>
  <c r="H30" i="3"/>
  <c r="G23" i="2" s="1"/>
  <c r="H31" i="3"/>
  <c r="G24" i="2" s="1"/>
  <c r="H32" i="3"/>
  <c r="G25" i="2" s="1"/>
  <c r="H33" i="3"/>
  <c r="G26" i="2" s="1"/>
  <c r="H34" i="3"/>
  <c r="G27" i="2" s="1"/>
  <c r="F9" i="3"/>
  <c r="F2" i="2" s="1"/>
  <c r="F10" i="3"/>
  <c r="F3" i="2" s="1"/>
  <c r="F11" i="3"/>
  <c r="F4" i="2" s="1"/>
  <c r="F12" i="3"/>
  <c r="F5" i="2" s="1"/>
  <c r="F13" i="3"/>
  <c r="F6" i="2" s="1"/>
  <c r="F14" i="3"/>
  <c r="F7" i="2" s="1"/>
  <c r="F15" i="3"/>
  <c r="F8" i="2" s="1"/>
  <c r="F16" i="3"/>
  <c r="F9" i="2" s="1"/>
  <c r="F17" i="3"/>
  <c r="F10" i="2" s="1"/>
  <c r="F18" i="3"/>
  <c r="F11" i="2" s="1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1" i="2" s="1"/>
  <c r="F29" i="3"/>
  <c r="F22" i="2" s="1"/>
  <c r="F30" i="3"/>
  <c r="F23" i="2" s="1"/>
  <c r="F31" i="3"/>
  <c r="F24" i="2" s="1"/>
  <c r="F32" i="3"/>
  <c r="F25" i="2" s="1"/>
  <c r="F33" i="3"/>
  <c r="F26" i="2" s="1"/>
  <c r="F34" i="3"/>
  <c r="F27" i="2" s="1"/>
  <c r="F35" i="3"/>
  <c r="F28" i="2" s="1"/>
  <c r="D9" i="3"/>
  <c r="E2" i="2" s="1"/>
  <c r="D10" i="3"/>
  <c r="D11" i="3"/>
  <c r="E4" i="2" s="1"/>
  <c r="D12" i="3"/>
  <c r="E5" i="2" s="1"/>
  <c r="D13" i="3"/>
  <c r="E6" i="2" s="1"/>
  <c r="D14" i="3"/>
  <c r="E7" i="2" s="1"/>
  <c r="D15" i="3"/>
  <c r="E8" i="2" s="1"/>
  <c r="D16" i="3"/>
  <c r="E9" i="2" s="1"/>
  <c r="D17" i="3"/>
  <c r="E10" i="2" s="1"/>
  <c r="D18" i="3"/>
  <c r="E11" i="2" s="1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E19" i="2" s="1"/>
  <c r="D27" i="3"/>
  <c r="E20" i="2" s="1"/>
  <c r="D28" i="3"/>
  <c r="E21" i="2" s="1"/>
  <c r="D29" i="3"/>
  <c r="E22" i="2" s="1"/>
  <c r="D30" i="3"/>
  <c r="E23" i="2" s="1"/>
  <c r="D31" i="3"/>
  <c r="E24" i="2" s="1"/>
  <c r="D32" i="3"/>
  <c r="E25" i="2" s="1"/>
  <c r="D33" i="3"/>
  <c r="E26" i="2" s="1"/>
  <c r="D34" i="3"/>
  <c r="E27" i="2" s="1"/>
  <c r="D35" i="3"/>
  <c r="E28" i="2" s="1"/>
  <c r="U35" i="3"/>
  <c r="P35" i="3"/>
  <c r="I28" i="2" s="1"/>
  <c r="N35" i="3"/>
  <c r="H28" i="2" s="1"/>
  <c r="U34" i="3"/>
  <c r="P34" i="3"/>
  <c r="I27" i="2" s="1"/>
  <c r="N34" i="3"/>
  <c r="H27" i="2" s="1"/>
  <c r="U33" i="3"/>
  <c r="P33" i="3"/>
  <c r="I26" i="2" s="1"/>
  <c r="N33" i="3"/>
  <c r="H26" i="2" s="1"/>
  <c r="U32" i="3"/>
  <c r="P32" i="3"/>
  <c r="I25" i="2" s="1"/>
  <c r="N32" i="3"/>
  <c r="H25" i="2" s="1"/>
  <c r="U31" i="3"/>
  <c r="V31" i="3" s="1"/>
  <c r="P31" i="3"/>
  <c r="I24" i="2" s="1"/>
  <c r="N31" i="3"/>
  <c r="H24" i="2" s="1"/>
  <c r="U30" i="3"/>
  <c r="V30" i="3" s="1"/>
  <c r="P30" i="3"/>
  <c r="I23" i="2" s="1"/>
  <c r="N30" i="3"/>
  <c r="H23" i="2" s="1"/>
  <c r="U29" i="3"/>
  <c r="V29" i="3" s="1"/>
  <c r="P29" i="3"/>
  <c r="I22" i="2" s="1"/>
  <c r="N29" i="3"/>
  <c r="H22" i="2" s="1"/>
  <c r="U28" i="3"/>
  <c r="V28" i="3" s="1"/>
  <c r="P28" i="3"/>
  <c r="N28" i="3"/>
  <c r="H21" i="2" s="1"/>
  <c r="U27" i="3"/>
  <c r="V27" i="3" s="1"/>
  <c r="P27" i="3"/>
  <c r="I20" i="2" s="1"/>
  <c r="N27" i="3"/>
  <c r="H20" i="2" s="1"/>
  <c r="U26" i="3"/>
  <c r="V26" i="3" s="1"/>
  <c r="P26" i="3"/>
  <c r="I19" i="2" s="1"/>
  <c r="N26" i="3"/>
  <c r="H19" i="2" s="1"/>
  <c r="U25" i="3"/>
  <c r="V25" i="3" s="1"/>
  <c r="P25" i="3"/>
  <c r="I18" i="2" s="1"/>
  <c r="N25" i="3"/>
  <c r="H18" i="2" s="1"/>
  <c r="U24" i="3"/>
  <c r="V24" i="3" s="1"/>
  <c r="P24" i="3"/>
  <c r="N24" i="3"/>
  <c r="H17" i="2" s="1"/>
  <c r="V23" i="3"/>
  <c r="P23" i="3"/>
  <c r="I16" i="2" s="1"/>
  <c r="N23" i="3"/>
  <c r="H16" i="2" s="1"/>
  <c r="V22" i="3"/>
  <c r="P22" i="3"/>
  <c r="N22" i="3"/>
  <c r="H15" i="2" s="1"/>
  <c r="V21" i="3"/>
  <c r="P21" i="3"/>
  <c r="I14" i="2" s="1"/>
  <c r="N21" i="3"/>
  <c r="H14" i="2" s="1"/>
  <c r="V20" i="3"/>
  <c r="P20" i="3"/>
  <c r="I13" i="2" s="1"/>
  <c r="N20" i="3"/>
  <c r="H13" i="2" s="1"/>
  <c r="V19" i="3"/>
  <c r="P19" i="3"/>
  <c r="I12" i="2" s="1"/>
  <c r="N19" i="3"/>
  <c r="H12" i="2" s="1"/>
  <c r="V18" i="3"/>
  <c r="P18" i="3"/>
  <c r="I11" i="2" s="1"/>
  <c r="N18" i="3"/>
  <c r="H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U17" i="3"/>
  <c r="V17" i="3" s="1"/>
  <c r="P17" i="3"/>
  <c r="I10" i="2" s="1"/>
  <c r="N17" i="3"/>
  <c r="H10" i="2" s="1"/>
  <c r="U16" i="3"/>
  <c r="V16" i="3" s="1"/>
  <c r="P16" i="3"/>
  <c r="N16" i="3"/>
  <c r="H9" i="2" s="1"/>
  <c r="U15" i="3"/>
  <c r="V15" i="3" s="1"/>
  <c r="P15" i="3"/>
  <c r="I8" i="2" s="1"/>
  <c r="N15" i="3"/>
  <c r="H8" i="2" s="1"/>
  <c r="U14" i="3"/>
  <c r="V14" i="3" s="1"/>
  <c r="P14" i="3"/>
  <c r="I7" i="2" s="1"/>
  <c r="N14" i="3"/>
  <c r="H7" i="2" s="1"/>
  <c r="U13" i="3"/>
  <c r="V13" i="3" s="1"/>
  <c r="P13" i="3"/>
  <c r="I6" i="2" s="1"/>
  <c r="N13" i="3"/>
  <c r="H6" i="2" s="1"/>
  <c r="U12" i="3"/>
  <c r="V12" i="3" s="1"/>
  <c r="P12" i="3"/>
  <c r="N12" i="3"/>
  <c r="H5" i="2" s="1"/>
  <c r="U11" i="3"/>
  <c r="V11" i="3" s="1"/>
  <c r="P11" i="3"/>
  <c r="I4" i="2" s="1"/>
  <c r="N11" i="3"/>
  <c r="H4" i="2" s="1"/>
  <c r="U10" i="3"/>
  <c r="V10" i="3" s="1"/>
  <c r="P10" i="3"/>
  <c r="I3" i="2" s="1"/>
  <c r="N10" i="3"/>
  <c r="H3" i="2" s="1"/>
  <c r="B10" i="3"/>
  <c r="B11" i="3" s="1"/>
  <c r="B12" i="3" s="1"/>
  <c r="B13" i="3" s="1"/>
  <c r="B14" i="3" s="1"/>
  <c r="B15" i="3" s="1"/>
  <c r="B16" i="3" s="1"/>
  <c r="U9" i="3"/>
  <c r="J2" i="2" s="1"/>
  <c r="I2" i="1" s="1"/>
  <c r="P9" i="3"/>
  <c r="I2" i="2" s="1"/>
  <c r="N9" i="3"/>
  <c r="H2" i="2" s="1"/>
  <c r="U6" i="3"/>
  <c r="V6" i="3" s="1"/>
  <c r="P6" i="3"/>
  <c r="N6" i="3"/>
  <c r="H6" i="3"/>
  <c r="J6" i="3" s="1"/>
  <c r="B6" i="3"/>
  <c r="B30" i="2"/>
  <c r="B31" i="2"/>
  <c r="B32" i="2" s="1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0" i="1"/>
  <c r="B31" i="1"/>
  <c r="B3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V33" i="3" l="1"/>
  <c r="J26" i="2"/>
  <c r="I26" i="1" s="1"/>
  <c r="V32" i="3"/>
  <c r="J25" i="2"/>
  <c r="I25" i="1" s="1"/>
  <c r="V34" i="3"/>
  <c r="J27" i="2"/>
  <c r="I27" i="1" s="1"/>
  <c r="J29" i="2"/>
  <c r="I29" i="1" s="1"/>
  <c r="V35" i="3"/>
  <c r="J28" i="2"/>
  <c r="I28" i="1" s="1"/>
  <c r="J30" i="2"/>
  <c r="I30" i="1" s="1"/>
  <c r="R32" i="3"/>
  <c r="E7" i="1"/>
  <c r="J6" i="2"/>
  <c r="I6" i="1" s="1"/>
  <c r="I10" i="3"/>
  <c r="K10" i="3" s="1"/>
  <c r="E9" i="1"/>
  <c r="E5" i="1"/>
  <c r="I32" i="1"/>
  <c r="V36" i="3"/>
  <c r="I30" i="3"/>
  <c r="K30" i="3" s="1"/>
  <c r="J10" i="2"/>
  <c r="I10" i="1" s="1"/>
  <c r="G6" i="1"/>
  <c r="G10" i="1"/>
  <c r="G11" i="1"/>
  <c r="Q12" i="3"/>
  <c r="Q16" i="3"/>
  <c r="E11" i="1"/>
  <c r="E4" i="1"/>
  <c r="G3" i="1"/>
  <c r="G4" i="1"/>
  <c r="G8" i="1"/>
  <c r="G7" i="1"/>
  <c r="E10" i="1"/>
  <c r="E6" i="1"/>
  <c r="E8" i="1"/>
  <c r="G14" i="1"/>
  <c r="Q22" i="3"/>
  <c r="G18" i="1"/>
  <c r="I32" i="3"/>
  <c r="K32" i="3" s="1"/>
  <c r="E28" i="1"/>
  <c r="I35" i="3"/>
  <c r="K35" i="3" s="1"/>
  <c r="E3" i="2"/>
  <c r="E3" i="1" s="1"/>
  <c r="I9" i="2"/>
  <c r="G9" i="1" s="1"/>
  <c r="I5" i="2"/>
  <c r="G5" i="1" s="1"/>
  <c r="J9" i="2"/>
  <c r="I9" i="1" s="1"/>
  <c r="J5" i="2"/>
  <c r="I5" i="1" s="1"/>
  <c r="E24" i="1"/>
  <c r="I31" i="3"/>
  <c r="K31" i="3" s="1"/>
  <c r="E31" i="1"/>
  <c r="J24" i="2"/>
  <c r="I24" i="1" s="1"/>
  <c r="J8" i="2"/>
  <c r="I8" i="1" s="1"/>
  <c r="J4" i="2"/>
  <c r="I4" i="1" s="1"/>
  <c r="I33" i="3"/>
  <c r="K33" i="3" s="1"/>
  <c r="E29" i="1"/>
  <c r="I36" i="3"/>
  <c r="K36" i="3" s="1"/>
  <c r="G12" i="1"/>
  <c r="G16" i="1"/>
  <c r="Q24" i="3"/>
  <c r="G20" i="1"/>
  <c r="Q28" i="3"/>
  <c r="E27" i="1"/>
  <c r="I34" i="3"/>
  <c r="K34" i="3" s="1"/>
  <c r="E30" i="1"/>
  <c r="I37" i="3"/>
  <c r="K37" i="3" s="1"/>
  <c r="J11" i="2"/>
  <c r="I11" i="1" s="1"/>
  <c r="J7" i="2"/>
  <c r="I7" i="1" s="1"/>
  <c r="J3" i="2"/>
  <c r="I3" i="1" s="1"/>
  <c r="G2" i="1"/>
  <c r="K6" i="3"/>
  <c r="E2" i="1"/>
  <c r="V37" i="3"/>
  <c r="I31" i="1"/>
  <c r="J23" i="2"/>
  <c r="I23" i="1" s="1"/>
  <c r="G26" i="1"/>
  <c r="R36" i="3"/>
  <c r="Q36" i="3"/>
  <c r="G24" i="1"/>
  <c r="G28" i="1"/>
  <c r="G31" i="1"/>
  <c r="G25" i="1"/>
  <c r="G22" i="1"/>
  <c r="G23" i="1"/>
  <c r="Q34" i="3"/>
  <c r="G30" i="1"/>
  <c r="G29" i="1"/>
  <c r="R31" i="3"/>
  <c r="Q37" i="3"/>
  <c r="G32" i="1"/>
  <c r="Q30" i="3"/>
  <c r="R34" i="3"/>
  <c r="R37" i="3"/>
  <c r="G27" i="1"/>
  <c r="E23" i="1"/>
  <c r="E32" i="1"/>
  <c r="E25" i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I15" i="2"/>
  <c r="G15" i="1" s="1"/>
  <c r="G13" i="1"/>
  <c r="Q26" i="3"/>
  <c r="Q20" i="3"/>
  <c r="G19" i="1"/>
  <c r="I21" i="2"/>
  <c r="G21" i="1" s="1"/>
  <c r="I17" i="2"/>
  <c r="G17" i="1" s="1"/>
  <c r="I29" i="3"/>
  <c r="K29" i="3" s="1"/>
  <c r="E20" i="1"/>
  <c r="E16" i="1"/>
  <c r="E12" i="1"/>
  <c r="E19" i="1"/>
  <c r="E15" i="1"/>
  <c r="E22" i="1"/>
  <c r="E14" i="1"/>
  <c r="E18" i="1"/>
  <c r="I28" i="3"/>
  <c r="K28" i="3" s="1"/>
  <c r="I24" i="3"/>
  <c r="K24" i="3" s="1"/>
  <c r="I20" i="3"/>
  <c r="K20" i="3" s="1"/>
  <c r="E21" i="1"/>
  <c r="E17" i="2"/>
  <c r="E17" i="1" s="1"/>
  <c r="E13" i="2"/>
  <c r="E13" i="1" s="1"/>
  <c r="O40" i="3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I27" i="3"/>
  <c r="K27" i="3" s="1"/>
  <c r="I15" i="3"/>
  <c r="K15" i="3" s="1"/>
  <c r="I11" i="3"/>
  <c r="K11" i="3" s="1"/>
  <c r="I26" i="3"/>
  <c r="K26" i="3" s="1"/>
  <c r="I22" i="3"/>
  <c r="K22" i="3" s="1"/>
  <c r="I18" i="3"/>
  <c r="K18" i="3" s="1"/>
  <c r="I14" i="3"/>
  <c r="K14" i="3" s="1"/>
  <c r="I25" i="3"/>
  <c r="K25" i="3" s="1"/>
  <c r="R25" i="3"/>
  <c r="R24" i="3"/>
  <c r="R29" i="3"/>
  <c r="R12" i="3"/>
  <c r="R18" i="3"/>
  <c r="R26" i="3"/>
  <c r="R28" i="3"/>
  <c r="R30" i="3"/>
  <c r="R14" i="3"/>
  <c r="R20" i="3"/>
  <c r="R22" i="3"/>
  <c r="R33" i="3"/>
  <c r="R35" i="3"/>
  <c r="R23" i="3"/>
  <c r="M40" i="3"/>
  <c r="R10" i="3"/>
  <c r="R16" i="3"/>
  <c r="I9" i="3"/>
  <c r="K9" i="3" s="1"/>
  <c r="V9" i="3"/>
  <c r="T40" i="3"/>
  <c r="C40" i="3"/>
  <c r="R11" i="3"/>
  <c r="R13" i="3"/>
  <c r="X13" i="3" s="1"/>
  <c r="Z13" i="3" s="1"/>
  <c r="R15" i="3"/>
  <c r="I17" i="3"/>
  <c r="K17" i="3" s="1"/>
  <c r="R17" i="3"/>
  <c r="I23" i="3"/>
  <c r="K23" i="3" s="1"/>
  <c r="E40" i="3"/>
  <c r="Q6" i="3"/>
  <c r="R6" i="3" s="1"/>
  <c r="G40" i="3"/>
  <c r="I19" i="3"/>
  <c r="K19" i="3" s="1"/>
  <c r="R19" i="3"/>
  <c r="I21" i="3"/>
  <c r="K21" i="3" s="1"/>
  <c r="R21" i="3"/>
  <c r="R9" i="3"/>
  <c r="X6" i="3" l="1"/>
  <c r="Z6" i="3" s="1"/>
  <c r="X32" i="3"/>
  <c r="Z32" i="3" s="1"/>
  <c r="X10" i="3"/>
  <c r="Z10" i="3" s="1"/>
  <c r="V40" i="3"/>
  <c r="X24" i="3"/>
  <c r="Z24" i="3" s="1"/>
  <c r="E26" i="1"/>
  <c r="X31" i="3"/>
  <c r="Z31" i="3" s="1"/>
  <c r="X37" i="3"/>
  <c r="Z37" i="3" s="1"/>
  <c r="X30" i="3"/>
  <c r="Z30" i="3" s="1"/>
  <c r="X36" i="3"/>
  <c r="Z36" i="3" s="1"/>
  <c r="X20" i="3"/>
  <c r="Z20" i="3" s="1"/>
  <c r="X33" i="3"/>
  <c r="Z33" i="3" s="1"/>
  <c r="X34" i="3"/>
  <c r="Z34" i="3" s="1"/>
  <c r="X29" i="3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R40" i="3"/>
  <c r="Q40" i="3"/>
  <c r="K40" i="3"/>
  <c r="X9" i="3"/>
  <c r="X21" i="3"/>
  <c r="Z21" i="3" s="1"/>
  <c r="I40" i="3"/>
  <c r="X40" i="3" l="1"/>
  <c r="Z9" i="3"/>
  <c r="Z40" i="3" s="1"/>
</calcChain>
</file>

<file path=xl/sharedStrings.xml><?xml version="1.0" encoding="utf-8"?>
<sst xmlns="http://schemas.openxmlformats.org/spreadsheetml/2006/main" count="310" uniqueCount="123">
  <si>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</si>
  <si>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</si>
  <si>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</si>
  <si>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</si>
  <si>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</si>
  <si>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</si>
  <si>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</si>
  <si>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</si>
  <si>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</si>
  <si>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</si>
  <si>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</si>
  <si>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</si>
  <si>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</si>
  <si>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</si>
  <si>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</si>
  <si>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</si>
  <si>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</si>
  <si>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</si>
  <si>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</si>
  <si>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</si>
  <si>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</si>
  <si>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</si>
  <si>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</si>
  <si>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</si>
  <si>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</si>
  <si>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</si>
  <si>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</si>
  <si>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</si>
  <si>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</si>
  <si>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</si>
  <si>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</si>
  <si>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</si>
  <si>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</si>
  <si>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</si>
  <si>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</si>
  <si>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</si>
  <si>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</si>
  <si>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</si>
  <si>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</si>
  <si>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</si>
  <si>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</si>
  <si>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</si>
  <si>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</si>
  <si>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</si>
  <si>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</si>
  <si>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</si>
  <si>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</si>
  <si>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</si>
  <si>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</si>
  <si>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</si>
  <si>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</si>
  <si>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</si>
  <si>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</si>
  <si>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</si>
  <si>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</si>
  <si>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</si>
  <si>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</si>
  <si>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</si>
  <si>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</si>
  <si>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</si>
  <si>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</si>
  <si>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</si>
  <si>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</si>
  <si>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</si>
  <si>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</si>
  <si>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</si>
  <si>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</si>
  <si>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</si>
  <si>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</si>
  <si>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</si>
  <si>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</si>
  <si>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</si>
  <si>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</si>
  <si>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</si>
  <si>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</si>
  <si>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</si>
  <si>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</si>
  <si>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</si>
  <si>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</si>
  <si>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</si>
  <si>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</si>
  <si>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</si>
  <si>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</si>
  <si>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</si>
  <si>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</si>
  <si>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</si>
  <si>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</si>
  <si>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</si>
  <si>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</si>
  <si>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</si>
  <si>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</si>
  <si>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</si>
  <si>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</si>
  <si>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</si>
  <si>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</si>
  <si>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</si>
  <si>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</si>
  <si>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</si>
  <si>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</si>
  <si>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</si>
  <si>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</si>
  <si>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</si>
  <si>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</si>
  <si>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</si>
  <si>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</si>
  <si>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</si>
  <si>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</si>
  <si>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</si>
  <si>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</si>
  <si>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</si>
  <si>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</si>
  <si>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</si>
  <si>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</si>
  <si>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</si>
  <si>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</si>
  <si>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</si>
  <si>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L</t>
  </si>
  <si>
    <t>MA</t>
  </si>
  <si>
    <t>ME</t>
  </si>
  <si>
    <t>J</t>
  </si>
  <si>
    <t>V</t>
  </si>
  <si>
    <t>S</t>
  </si>
  <si>
    <t>juillet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</si>
</sst>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52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7" fillId="0" borderId="16" xfId="0" applyNumberFormat="1" applyFont="1" applyFill="1" applyBorder="1" applyAlignment="1">
      <alignment horizontal="center"/>
    </xf>
    <xf numFmtId="3" fontId="17" fillId="0" borderId="0" xfId="0" applyNumberFormat="1" applyFont="1" applyFill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3" fontId="19" fillId="0" borderId="0" xfId="0" applyNumberFormat="1" applyFont="1" applyBorder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3" fontId="17" fillId="0" borderId="15" xfId="0" applyNumberFormat="1" applyFont="1" applyBorder="1" applyAlignment="1">
      <alignment horizontal="center"/>
    </xf>
    <xf numFmtId="3" fontId="19" fillId="0" borderId="15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3" fontId="19" fillId="0" borderId="15" xfId="0" applyNumberFormat="1" applyFont="1" applyFill="1" applyBorder="1" applyAlignment="1">
      <alignment horizontal="center"/>
    </xf>
    <xf numFmtId="3" fontId="19" fillId="0" borderId="14" xfId="0" applyNumberFormat="1" applyFont="1" applyBorder="1" applyAlignment="1">
      <alignment horizontal="center"/>
    </xf>
    <xf numFmtId="3" fontId="17" fillId="0" borderId="17" xfId="0" applyNumberFormat="1" applyFont="1" applyFill="1" applyBorder="1" applyAlignment="1">
      <alignment horizontal="center"/>
    </xf>
    <xf numFmtId="3" fontId="19" fillId="0" borderId="17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17" fillId="0" borderId="30" xfId="0" applyNumberFormat="1" applyFont="1" applyBorder="1" applyAlignment="1">
      <alignment horizontal="center"/>
    </xf>
    <xf numFmtId="3" fontId="19" fillId="0" borderId="30" xfId="0" applyNumberFormat="1" applyFont="1" applyBorder="1" applyAlignment="1">
      <alignment horizont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165" fontId="17" fillId="0" borderId="14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3" fontId="17" fillId="0" borderId="16" xfId="0" applyNumberFormat="1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/>
    <xf numFmtId="0" fontId="0" fillId="0" borderId="0" xfId="0" applyBorder="1"/>
    <xf numFmtId="164" fontId="17" fillId="0" borderId="0" xfId="0" applyNumberFormat="1" applyFont="1" applyBorder="1" applyAlignment="1">
      <alignment horizont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M25" sqref="M25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7</v>
      </c>
      <c r="D2" s="6">
        <v>2021</v>
      </c>
      <c r="E2" s="8">
        <f>Submetring!E2+Submetring!F2+Submetring!G2</f>
        <v>14735</v>
      </c>
      <c r="F2" s="6">
        <v>0.251</v>
      </c>
      <c r="G2" s="8">
        <f>Submetring!H2+Submetring!I2</f>
        <v>911</v>
      </c>
      <c r="H2" s="6">
        <v>0.56711199999999995</v>
      </c>
      <c r="I2" s="8">
        <f>Submetring!J2</f>
        <v>287</v>
      </c>
      <c r="J2" s="6">
        <v>3.03</v>
      </c>
      <c r="K2" s="8">
        <f>Hotel!Y9</f>
        <v>95</v>
      </c>
    </row>
    <row r="3" spans="1:11" x14ac:dyDescent="0.25">
      <c r="A3" s="6" t="s">
        <v>11</v>
      </c>
      <c r="B3" s="9">
        <f>B2+1</f>
        <v>2</v>
      </c>
      <c r="C3" s="7">
        <v>7</v>
      </c>
      <c r="D3" s="6">
        <v>2021</v>
      </c>
      <c r="E3" s="8">
        <f>Submetring!E3+Submetring!F3+Submetring!G3</f>
        <v>14306</v>
      </c>
      <c r="F3" s="6">
        <v>0.251</v>
      </c>
      <c r="G3" s="8">
        <f>Submetring!H3+Submetring!I3</f>
        <v>1046</v>
      </c>
      <c r="H3" s="6">
        <v>0.56711199999999995</v>
      </c>
      <c r="I3" s="8">
        <f>Submetring!J3</f>
        <v>361</v>
      </c>
      <c r="J3" s="6">
        <v>3.03</v>
      </c>
      <c r="K3" s="8">
        <f>Hotel!Y10</f>
        <v>94</v>
      </c>
    </row>
    <row r="4" spans="1:11" x14ac:dyDescent="0.25">
      <c r="A4" s="6" t="s">
        <v>11</v>
      </c>
      <c r="B4" s="9">
        <f t="shared" ref="B4:B32" si="0">B3+1</f>
        <v>3</v>
      </c>
      <c r="C4" s="7">
        <v>7</v>
      </c>
      <c r="D4" s="6">
        <v>2021</v>
      </c>
      <c r="E4" s="8">
        <f>Submetring!E4+Submetring!F4+Submetring!G4</f>
        <v>14100</v>
      </c>
      <c r="F4" s="6">
        <v>0.251</v>
      </c>
      <c r="G4" s="8">
        <f>Submetring!H4+Submetring!I4</f>
        <v>919</v>
      </c>
      <c r="H4" s="6">
        <v>0.56711199999999995</v>
      </c>
      <c r="I4" s="8">
        <f>Submetring!J4</f>
        <v>370</v>
      </c>
      <c r="J4" s="6">
        <v>3.03</v>
      </c>
      <c r="K4" s="8">
        <f>Hotel!Y11</f>
        <v>107</v>
      </c>
    </row>
    <row r="5" spans="1:11" x14ac:dyDescent="0.25">
      <c r="A5" s="6" t="s">
        <v>11</v>
      </c>
      <c r="B5" s="9">
        <f t="shared" si="0"/>
        <v>4</v>
      </c>
      <c r="C5" s="7">
        <v>7</v>
      </c>
      <c r="D5" s="6">
        <v>2021</v>
      </c>
      <c r="E5" s="8">
        <f>Submetring!E5+Submetring!F5+Submetring!G5</f>
        <v>13636</v>
      </c>
      <c r="F5" s="6">
        <v>0.251</v>
      </c>
      <c r="G5" s="8">
        <f>Submetring!H5+Submetring!I5</f>
        <v>956</v>
      </c>
      <c r="H5" s="6">
        <v>0.56711199999999995</v>
      </c>
      <c r="I5" s="8">
        <f>Submetring!J5</f>
        <v>412</v>
      </c>
      <c r="J5" s="6">
        <v>3.03</v>
      </c>
      <c r="K5" s="8">
        <f>Hotel!Y12</f>
        <v>108</v>
      </c>
    </row>
    <row r="6" spans="1:11" x14ac:dyDescent="0.25">
      <c r="A6" s="6" t="s">
        <v>11</v>
      </c>
      <c r="B6" s="9">
        <f t="shared" si="0"/>
        <v>5</v>
      </c>
      <c r="C6" s="7">
        <v>7</v>
      </c>
      <c r="D6" s="6">
        <v>2021</v>
      </c>
      <c r="E6" s="8">
        <f>Submetring!E6+Submetring!F6+Submetring!G6</f>
        <v>13360</v>
      </c>
      <c r="F6" s="6">
        <v>0.251</v>
      </c>
      <c r="G6" s="8">
        <f>Submetring!H6+Submetring!I6</f>
        <v>962</v>
      </c>
      <c r="H6" s="6">
        <v>0.56711199999999995</v>
      </c>
      <c r="I6" s="8">
        <f>Submetring!J6</f>
        <v>415</v>
      </c>
      <c r="J6" s="6">
        <v>3.03</v>
      </c>
      <c r="K6" s="8">
        <f>Hotel!Y13</f>
        <v>87</v>
      </c>
    </row>
    <row r="7" spans="1:11" x14ac:dyDescent="0.25">
      <c r="A7" s="6" t="s">
        <v>11</v>
      </c>
      <c r="B7" s="9">
        <f t="shared" si="0"/>
        <v>6</v>
      </c>
      <c r="C7" s="7">
        <v>7</v>
      </c>
      <c r="D7" s="6">
        <v>2021</v>
      </c>
      <c r="E7" s="8">
        <f>Submetring!E7+Submetring!F7+Submetring!G7</f>
        <v>12936</v>
      </c>
      <c r="F7" s="6">
        <v>0.251</v>
      </c>
      <c r="G7" s="8">
        <f>Submetring!H7+Submetring!I7</f>
        <v>874</v>
      </c>
      <c r="H7" s="6">
        <v>0.56711199999999995</v>
      </c>
      <c r="I7" s="8">
        <f>Submetring!J7</f>
        <v>436</v>
      </c>
      <c r="J7" s="6">
        <v>3.03</v>
      </c>
      <c r="K7" s="8">
        <f>Hotel!Y14</f>
        <v>61</v>
      </c>
    </row>
    <row r="8" spans="1:11" x14ac:dyDescent="0.25">
      <c r="A8" s="6" t="s">
        <v>11</v>
      </c>
      <c r="B8" s="9">
        <f t="shared" si="0"/>
        <v>7</v>
      </c>
      <c r="C8" s="7">
        <v>7</v>
      </c>
      <c r="D8" s="6">
        <v>2021</v>
      </c>
      <c r="E8" s="8">
        <f>Submetring!E8+Submetring!F8+Submetring!G8</f>
        <v>14401</v>
      </c>
      <c r="F8" s="6">
        <v>0.251</v>
      </c>
      <c r="G8" s="8">
        <f>Submetring!H8+Submetring!I8</f>
        <v>934</v>
      </c>
      <c r="H8" s="6">
        <v>0.56711199999999995</v>
      </c>
      <c r="I8" s="8">
        <f>Submetring!J8</f>
        <v>421</v>
      </c>
      <c r="J8" s="6">
        <v>3.03</v>
      </c>
      <c r="K8" s="8">
        <f>Hotel!Y15</f>
        <v>67</v>
      </c>
    </row>
    <row r="9" spans="1:11" x14ac:dyDescent="0.25">
      <c r="A9" s="6" t="s">
        <v>11</v>
      </c>
      <c r="B9" s="9">
        <f t="shared" si="0"/>
        <v>8</v>
      </c>
      <c r="C9" s="7">
        <v>7</v>
      </c>
      <c r="D9" s="6">
        <v>2021</v>
      </c>
      <c r="E9" s="8">
        <f>Submetring!E9+Submetring!F9+Submetring!G9</f>
        <v>14406</v>
      </c>
      <c r="F9" s="6">
        <v>0.251</v>
      </c>
      <c r="G9" s="8">
        <f>Submetring!H9+Submetring!I9</f>
        <v>1037</v>
      </c>
      <c r="H9" s="6">
        <v>0.56711199999999995</v>
      </c>
      <c r="I9" s="8">
        <f>Submetring!J9</f>
        <v>399</v>
      </c>
      <c r="J9" s="6">
        <v>3.03</v>
      </c>
      <c r="K9" s="8">
        <f>Hotel!Y16</f>
        <v>76</v>
      </c>
    </row>
    <row r="10" spans="1:11" x14ac:dyDescent="0.25">
      <c r="A10" s="6" t="s">
        <v>11</v>
      </c>
      <c r="B10" s="9">
        <f t="shared" si="0"/>
        <v>9</v>
      </c>
      <c r="C10" s="7">
        <v>7</v>
      </c>
      <c r="D10" s="6">
        <v>2021</v>
      </c>
      <c r="E10" s="8">
        <f>Submetring!E10+Submetring!F10+Submetring!G10</f>
        <v>15031</v>
      </c>
      <c r="F10" s="6">
        <v>0.251</v>
      </c>
      <c r="G10" s="8">
        <f>Submetring!H10+Submetring!I10</f>
        <v>1069</v>
      </c>
      <c r="H10" s="6">
        <v>0.56711199999999995</v>
      </c>
      <c r="I10" s="8">
        <f>Submetring!J10</f>
        <v>303</v>
      </c>
      <c r="J10" s="6">
        <v>3.03</v>
      </c>
      <c r="K10" s="8">
        <f>Hotel!Y17</f>
        <v>85</v>
      </c>
    </row>
    <row r="11" spans="1:11" x14ac:dyDescent="0.25">
      <c r="A11" s="6" t="s">
        <v>11</v>
      </c>
      <c r="B11" s="9">
        <f t="shared" si="0"/>
        <v>10</v>
      </c>
      <c r="C11" s="7">
        <v>7</v>
      </c>
      <c r="D11" s="6">
        <v>2021</v>
      </c>
      <c r="E11" s="8">
        <f>Submetring!E11+Submetring!F11+Submetring!G11</f>
        <v>14280</v>
      </c>
      <c r="F11" s="6">
        <v>0.251</v>
      </c>
      <c r="G11" s="8">
        <f>Submetring!H11+Submetring!I11</f>
        <v>934</v>
      </c>
      <c r="H11" s="6">
        <v>0.56711199999999995</v>
      </c>
      <c r="I11" s="8">
        <f>Submetring!J11</f>
        <v>326</v>
      </c>
      <c r="J11" s="6">
        <v>3.03</v>
      </c>
      <c r="K11" s="8">
        <f>Hotel!Y18</f>
        <v>107</v>
      </c>
    </row>
    <row r="12" spans="1:11" x14ac:dyDescent="0.25">
      <c r="A12" s="6" t="s">
        <v>11</v>
      </c>
      <c r="B12" s="9">
        <f t="shared" si="0"/>
        <v>11</v>
      </c>
      <c r="C12" s="7">
        <v>7</v>
      </c>
      <c r="D12" s="6">
        <v>2021</v>
      </c>
      <c r="E12" s="8">
        <f>Submetring!E12+Submetring!F12+Submetring!G12</f>
        <v>13450</v>
      </c>
      <c r="F12" s="6">
        <v>0.251</v>
      </c>
      <c r="G12" s="8">
        <f>Submetring!H12+Submetring!I12</f>
        <v>1005</v>
      </c>
      <c r="H12" s="6">
        <v>0.56711199999999995</v>
      </c>
      <c r="I12" s="8">
        <f>Submetring!J12</f>
        <v>411</v>
      </c>
      <c r="J12" s="6">
        <v>3.03</v>
      </c>
      <c r="K12" s="8">
        <f>Hotel!Y19</f>
        <v>94</v>
      </c>
    </row>
    <row r="13" spans="1:11" x14ac:dyDescent="0.25">
      <c r="A13" s="6" t="s">
        <v>11</v>
      </c>
      <c r="B13" s="9">
        <f t="shared" si="0"/>
        <v>12</v>
      </c>
      <c r="C13" s="7">
        <v>7</v>
      </c>
      <c r="D13" s="6">
        <v>2021</v>
      </c>
      <c r="E13" s="8">
        <f>Submetring!E13+Submetring!F13+Submetring!G13</f>
        <v>13218</v>
      </c>
      <c r="F13" s="6">
        <v>0.251</v>
      </c>
      <c r="G13" s="8">
        <f>Submetring!H13+Submetring!I13</f>
        <v>887</v>
      </c>
      <c r="H13" s="6">
        <v>0.56711199999999995</v>
      </c>
      <c r="I13" s="8">
        <f>Submetring!J13</f>
        <v>327</v>
      </c>
      <c r="J13" s="6">
        <v>3.03</v>
      </c>
      <c r="K13" s="8">
        <f>Hotel!Y20</f>
        <v>81</v>
      </c>
    </row>
    <row r="14" spans="1:11" x14ac:dyDescent="0.25">
      <c r="A14" s="6" t="s">
        <v>11</v>
      </c>
      <c r="B14" s="9">
        <f t="shared" si="0"/>
        <v>13</v>
      </c>
      <c r="C14" s="7">
        <v>7</v>
      </c>
      <c r="D14" s="6">
        <v>2021</v>
      </c>
      <c r="E14" s="8">
        <f>Submetring!E14+Submetring!F14+Submetring!G14</f>
        <v>14069</v>
      </c>
      <c r="F14" s="6">
        <v>0.251</v>
      </c>
      <c r="G14" s="8">
        <f>Submetring!H14+Submetring!I14</f>
        <v>906</v>
      </c>
      <c r="H14" s="6">
        <v>0.56711199999999995</v>
      </c>
      <c r="I14" s="8">
        <f>Submetring!J14</f>
        <v>344</v>
      </c>
      <c r="J14" s="6">
        <v>3.03</v>
      </c>
      <c r="K14" s="8">
        <f>Hotel!Y21</f>
        <v>56</v>
      </c>
    </row>
    <row r="15" spans="1:11" x14ac:dyDescent="0.25">
      <c r="A15" s="6" t="s">
        <v>11</v>
      </c>
      <c r="B15" s="9">
        <f t="shared" si="0"/>
        <v>14</v>
      </c>
      <c r="C15" s="7">
        <v>7</v>
      </c>
      <c r="D15" s="6">
        <v>2021</v>
      </c>
      <c r="E15" s="8">
        <f>Submetring!E15+Submetring!F15+Submetring!G15</f>
        <v>13465</v>
      </c>
      <c r="F15" s="6">
        <v>0.251</v>
      </c>
      <c r="G15" s="8">
        <f>Submetring!H15+Submetring!I15</f>
        <v>810</v>
      </c>
      <c r="H15" s="6">
        <v>0.56711199999999995</v>
      </c>
      <c r="I15" s="8">
        <f>Submetring!J15</f>
        <v>398</v>
      </c>
      <c r="J15" s="6">
        <v>3.03</v>
      </c>
      <c r="K15" s="8">
        <f>Hotel!Y22</f>
        <v>51</v>
      </c>
    </row>
    <row r="16" spans="1:11" x14ac:dyDescent="0.25">
      <c r="A16" s="6" t="s">
        <v>11</v>
      </c>
      <c r="B16" s="9">
        <f t="shared" si="0"/>
        <v>15</v>
      </c>
      <c r="C16" s="7">
        <v>7</v>
      </c>
      <c r="D16" s="6">
        <v>2021</v>
      </c>
      <c r="E16" s="8">
        <f>Submetring!E16+Submetring!F16+Submetring!G16</f>
        <v>15409</v>
      </c>
      <c r="F16" s="6">
        <v>0.251</v>
      </c>
      <c r="G16" s="8">
        <f>Submetring!H16+Submetring!I16</f>
        <v>797</v>
      </c>
      <c r="H16" s="6">
        <v>0.56711199999999995</v>
      </c>
      <c r="I16" s="8">
        <f>Submetring!J16</f>
        <v>370</v>
      </c>
      <c r="J16" s="6">
        <v>3.03</v>
      </c>
      <c r="K16" s="8">
        <f>Hotel!Y23</f>
        <v>52</v>
      </c>
    </row>
    <row r="17" spans="1:11" x14ac:dyDescent="0.25">
      <c r="A17" s="6" t="s">
        <v>11</v>
      </c>
      <c r="B17" s="9">
        <f t="shared" si="0"/>
        <v>16</v>
      </c>
      <c r="C17" s="7">
        <v>7</v>
      </c>
      <c r="D17" s="6">
        <v>2021</v>
      </c>
      <c r="E17" s="8">
        <f>Submetring!E17+Submetring!F17+Submetring!G17</f>
        <v>10648</v>
      </c>
      <c r="F17" s="6">
        <v>0.251</v>
      </c>
      <c r="G17" s="8">
        <f>Submetring!H17+Submetring!I17</f>
        <v>1134</v>
      </c>
      <c r="H17" s="6">
        <v>0.56711199999999995</v>
      </c>
      <c r="I17" s="8">
        <f>Submetring!J17</f>
        <v>440</v>
      </c>
      <c r="J17" s="6">
        <v>3.03</v>
      </c>
      <c r="K17" s="8">
        <f>Hotel!Y24</f>
        <v>61</v>
      </c>
    </row>
    <row r="18" spans="1:11" x14ac:dyDescent="0.25">
      <c r="A18" s="6" t="s">
        <v>11</v>
      </c>
      <c r="B18" s="9">
        <f t="shared" si="0"/>
        <v>17</v>
      </c>
      <c r="C18" s="7">
        <v>7</v>
      </c>
      <c r="D18" s="6">
        <v>2021</v>
      </c>
      <c r="E18" s="8">
        <f>Submetring!E18+Submetring!F18+Submetring!G18</f>
        <v>12919</v>
      </c>
      <c r="F18" s="6">
        <v>0.251</v>
      </c>
      <c r="G18" s="8">
        <f>Submetring!H18+Submetring!I18</f>
        <v>956</v>
      </c>
      <c r="H18" s="6">
        <v>0.56711199999999995</v>
      </c>
      <c r="I18" s="8">
        <f>Submetring!J18</f>
        <v>438</v>
      </c>
      <c r="J18" s="6">
        <v>3.03</v>
      </c>
      <c r="K18" s="8">
        <f>Hotel!Y25</f>
        <v>71</v>
      </c>
    </row>
    <row r="19" spans="1:11" x14ac:dyDescent="0.25">
      <c r="A19" s="6" t="s">
        <v>11</v>
      </c>
      <c r="B19" s="9">
        <f t="shared" si="0"/>
        <v>18</v>
      </c>
      <c r="C19" s="7">
        <v>7</v>
      </c>
      <c r="D19" s="6">
        <v>2021</v>
      </c>
      <c r="E19" s="8">
        <f>Submetring!E19+Submetring!F19+Submetring!G19</f>
        <v>12695</v>
      </c>
      <c r="F19" s="6">
        <v>0.251</v>
      </c>
      <c r="G19" s="8">
        <f>Submetring!H19+Submetring!I19</f>
        <v>950</v>
      </c>
      <c r="H19" s="6">
        <v>0.56711199999999995</v>
      </c>
      <c r="I19" s="8">
        <f>Submetring!J19</f>
        <v>440</v>
      </c>
      <c r="J19" s="6">
        <v>3.03</v>
      </c>
      <c r="K19" s="8">
        <f>Hotel!Y26</f>
        <v>71</v>
      </c>
    </row>
    <row r="20" spans="1:11" x14ac:dyDescent="0.25">
      <c r="A20" s="6" t="s">
        <v>11</v>
      </c>
      <c r="B20" s="9">
        <f t="shared" si="0"/>
        <v>19</v>
      </c>
      <c r="C20" s="7">
        <v>7</v>
      </c>
      <c r="D20" s="6">
        <v>2021</v>
      </c>
      <c r="E20" s="8">
        <f>Submetring!E20+Submetring!F20+Submetring!G20</f>
        <v>12575</v>
      </c>
      <c r="F20" s="6">
        <v>0.251</v>
      </c>
      <c r="G20" s="8">
        <f>Submetring!H20+Submetring!I20</f>
        <v>924</v>
      </c>
      <c r="H20" s="6">
        <v>0.56711199999999995</v>
      </c>
      <c r="I20" s="8">
        <f>Submetring!J20</f>
        <v>443</v>
      </c>
      <c r="J20" s="6">
        <v>3.03</v>
      </c>
      <c r="K20" s="8">
        <f>Hotel!Y27</f>
        <v>48</v>
      </c>
    </row>
    <row r="21" spans="1:11" x14ac:dyDescent="0.25">
      <c r="A21" s="6" t="s">
        <v>11</v>
      </c>
      <c r="B21" s="9">
        <f t="shared" si="0"/>
        <v>20</v>
      </c>
      <c r="C21" s="7">
        <v>7</v>
      </c>
      <c r="D21" s="6">
        <v>2021</v>
      </c>
      <c r="E21" s="8">
        <f>Submetring!E21+Submetring!F21+Submetring!G21</f>
        <v>12426</v>
      </c>
      <c r="F21" s="6">
        <v>0.251</v>
      </c>
      <c r="G21" s="8">
        <f>Submetring!H21+Submetring!I21</f>
        <v>897</v>
      </c>
      <c r="H21" s="6">
        <v>0.56711199999999995</v>
      </c>
      <c r="I21" s="8">
        <f>Submetring!J21</f>
        <v>443</v>
      </c>
      <c r="J21" s="6">
        <v>3.03</v>
      </c>
      <c r="K21" s="8">
        <f>Hotel!Y28</f>
        <v>41</v>
      </c>
    </row>
    <row r="22" spans="1:11" x14ac:dyDescent="0.25">
      <c r="A22" s="6" t="s">
        <v>11</v>
      </c>
      <c r="B22" s="9">
        <f t="shared" si="0"/>
        <v>21</v>
      </c>
      <c r="C22" s="7">
        <v>7</v>
      </c>
      <c r="D22" s="6">
        <v>2021</v>
      </c>
      <c r="E22" s="8">
        <f>Submetring!E22+Submetring!F22+Submetring!G22</f>
        <v>12675</v>
      </c>
      <c r="F22" s="6">
        <v>0.251</v>
      </c>
      <c r="G22" s="8">
        <f>Submetring!H22+Submetring!I22</f>
        <v>854</v>
      </c>
      <c r="H22" s="6">
        <v>0.56711199999999995</v>
      </c>
      <c r="I22" s="8">
        <f>Submetring!J22</f>
        <v>344</v>
      </c>
      <c r="J22" s="6">
        <v>3.03</v>
      </c>
      <c r="K22" s="8">
        <f>Hotel!Y29</f>
        <v>53</v>
      </c>
    </row>
    <row r="23" spans="1:11" x14ac:dyDescent="0.25">
      <c r="A23" s="6" t="s">
        <v>11</v>
      </c>
      <c r="B23" s="9">
        <f t="shared" si="0"/>
        <v>22</v>
      </c>
      <c r="C23" s="7">
        <v>7</v>
      </c>
      <c r="D23" s="6">
        <v>2021</v>
      </c>
      <c r="E23" s="8">
        <f>Submetring!E23+Submetring!F23+Submetring!G23</f>
        <v>13837</v>
      </c>
      <c r="F23" s="6">
        <v>0.251</v>
      </c>
      <c r="G23" s="8">
        <f>Submetring!H23+Submetring!I23</f>
        <v>921</v>
      </c>
      <c r="H23" s="6">
        <v>0.56711199999999995</v>
      </c>
      <c r="I23" s="8">
        <f>Submetring!J23</f>
        <v>438</v>
      </c>
      <c r="J23" s="6">
        <v>3.03</v>
      </c>
      <c r="K23" s="8">
        <f>Hotel!Y30</f>
        <v>70</v>
      </c>
    </row>
    <row r="24" spans="1:11" x14ac:dyDescent="0.25">
      <c r="A24" s="6" t="s">
        <v>11</v>
      </c>
      <c r="B24" s="9">
        <f t="shared" si="0"/>
        <v>23</v>
      </c>
      <c r="C24" s="7">
        <v>7</v>
      </c>
      <c r="D24" s="6">
        <v>2021</v>
      </c>
      <c r="E24" s="8">
        <f>Submetring!E24+Submetring!F24+Submetring!G24</f>
        <v>14020</v>
      </c>
      <c r="F24" s="6">
        <v>0.251</v>
      </c>
      <c r="G24" s="8">
        <f>Submetring!H24+Submetring!I24</f>
        <v>911</v>
      </c>
      <c r="H24" s="6">
        <v>0.56711199999999995</v>
      </c>
      <c r="I24" s="8">
        <f>Submetring!J24</f>
        <v>470</v>
      </c>
      <c r="J24" s="6">
        <v>3.03</v>
      </c>
      <c r="K24" s="8">
        <f>Hotel!Y31</f>
        <v>63</v>
      </c>
    </row>
    <row r="25" spans="1:11" x14ac:dyDescent="0.25">
      <c r="A25" s="6" t="s">
        <v>11</v>
      </c>
      <c r="B25" s="9">
        <f t="shared" si="0"/>
        <v>24</v>
      </c>
      <c r="C25" s="7">
        <v>7</v>
      </c>
      <c r="D25" s="6">
        <v>2021</v>
      </c>
      <c r="E25" s="8">
        <f>Submetring!E25+Submetring!F25+Submetring!G25</f>
        <v>14097</v>
      </c>
      <c r="F25" s="6">
        <v>0.251</v>
      </c>
      <c r="G25" s="8">
        <f>Submetring!H25+Submetring!I25</f>
        <v>960</v>
      </c>
      <c r="H25" s="6">
        <v>0.56711199999999995</v>
      </c>
      <c r="I25" s="8">
        <f>Submetring!J25</f>
        <v>420</v>
      </c>
      <c r="J25" s="6">
        <v>3.03</v>
      </c>
      <c r="K25" s="8">
        <f>Hotel!Y32</f>
        <v>77</v>
      </c>
    </row>
    <row r="26" spans="1:11" x14ac:dyDescent="0.25">
      <c r="A26" s="6" t="s">
        <v>11</v>
      </c>
      <c r="B26" s="9">
        <f>B25+1</f>
        <v>25</v>
      </c>
      <c r="C26" s="7">
        <v>7</v>
      </c>
      <c r="D26" s="6">
        <v>2021</v>
      </c>
      <c r="E26" s="8">
        <f>Submetring!E26+Submetring!F26+Submetring!G26</f>
        <v>14003</v>
      </c>
      <c r="F26" s="6">
        <v>0.251</v>
      </c>
      <c r="G26" s="8">
        <f>Submetring!H26+Submetring!I26</f>
        <v>979</v>
      </c>
      <c r="H26" s="6">
        <v>0.56711199999999995</v>
      </c>
      <c r="I26" s="8">
        <f>Submetring!J26</f>
        <v>447</v>
      </c>
      <c r="J26" s="6">
        <v>3.03</v>
      </c>
      <c r="K26" s="8">
        <f>Hotel!Y33</f>
        <v>85</v>
      </c>
    </row>
    <row r="27" spans="1:11" x14ac:dyDescent="0.25">
      <c r="A27" s="6" t="s">
        <v>11</v>
      </c>
      <c r="B27" s="9">
        <f t="shared" si="0"/>
        <v>26</v>
      </c>
      <c r="C27" s="7">
        <v>7</v>
      </c>
      <c r="D27" s="6">
        <v>2021</v>
      </c>
      <c r="E27" s="8">
        <f>Submetring!E27+Submetring!F27+Submetring!G27</f>
        <v>14411</v>
      </c>
      <c r="F27" s="6">
        <v>0.251</v>
      </c>
      <c r="G27" s="8">
        <f>Submetring!H27+Submetring!I27</f>
        <v>864</v>
      </c>
      <c r="H27" s="6">
        <v>0.56711199999999995</v>
      </c>
      <c r="I27" s="8">
        <f>Submetring!J27</f>
        <v>406</v>
      </c>
      <c r="J27" s="6">
        <v>3.03</v>
      </c>
      <c r="K27" s="8">
        <f>Hotel!Y34</f>
        <v>68</v>
      </c>
    </row>
    <row r="28" spans="1:11" x14ac:dyDescent="0.25">
      <c r="A28" s="6" t="s">
        <v>11</v>
      </c>
      <c r="B28" s="9">
        <f t="shared" si="0"/>
        <v>27</v>
      </c>
      <c r="C28" s="7">
        <v>7</v>
      </c>
      <c r="D28" s="6">
        <v>2021</v>
      </c>
      <c r="E28" s="8">
        <f>Submetring!E28+Submetring!F28+Submetring!G28</f>
        <v>14765</v>
      </c>
      <c r="F28" s="6">
        <v>0.251</v>
      </c>
      <c r="G28" s="8">
        <f>Submetring!H28+Submetring!I28</f>
        <v>901</v>
      </c>
      <c r="H28" s="6">
        <v>0.56711199999999995</v>
      </c>
      <c r="I28" s="8">
        <f>Submetring!J28</f>
        <v>423</v>
      </c>
      <c r="J28" s="6">
        <v>3.03</v>
      </c>
      <c r="K28" s="8">
        <f>Hotel!Y35</f>
        <v>65</v>
      </c>
    </row>
    <row r="29" spans="1:11" x14ac:dyDescent="0.25">
      <c r="A29" s="6" t="s">
        <v>11</v>
      </c>
      <c r="B29" s="9">
        <f t="shared" si="0"/>
        <v>28</v>
      </c>
      <c r="C29" s="7">
        <v>7</v>
      </c>
      <c r="D29" s="6">
        <v>2021</v>
      </c>
      <c r="E29" s="8">
        <f>Submetring!E29+Submetring!F29+Submetring!G29</f>
        <v>14169</v>
      </c>
      <c r="F29" s="6">
        <v>0.251</v>
      </c>
      <c r="G29" s="8">
        <f>Submetring!H29+Submetring!I29</f>
        <v>874</v>
      </c>
      <c r="H29" s="6">
        <v>0.56711199999999995</v>
      </c>
      <c r="I29" s="8">
        <f>Submetring!J29</f>
        <v>454</v>
      </c>
      <c r="J29" s="6">
        <v>3.03</v>
      </c>
      <c r="K29" s="8">
        <f>Hotel!Y36</f>
        <v>63</v>
      </c>
    </row>
    <row r="30" spans="1:11" x14ac:dyDescent="0.25">
      <c r="A30" s="6" t="s">
        <v>11</v>
      </c>
      <c r="B30" s="9">
        <f t="shared" si="0"/>
        <v>29</v>
      </c>
      <c r="C30" s="7">
        <v>7</v>
      </c>
      <c r="D30" s="6">
        <v>2021</v>
      </c>
      <c r="E30" s="8">
        <f>Submetring!E30+Submetring!F30+Submetring!G30</f>
        <v>12694</v>
      </c>
      <c r="F30" s="6">
        <v>0.251</v>
      </c>
      <c r="G30" s="8">
        <f>Submetring!H30+Submetring!I30</f>
        <v>866</v>
      </c>
      <c r="H30" s="6">
        <v>0.56711199999999995</v>
      </c>
      <c r="I30" s="8">
        <f>Submetring!J30</f>
        <v>438</v>
      </c>
      <c r="J30" s="6">
        <v>3.03</v>
      </c>
      <c r="K30" s="8">
        <f>Hotel!Y37</f>
        <v>63</v>
      </c>
    </row>
    <row r="31" spans="1:11" x14ac:dyDescent="0.25">
      <c r="A31" s="6" t="s">
        <v>11</v>
      </c>
      <c r="B31" s="9">
        <f t="shared" si="0"/>
        <v>30</v>
      </c>
      <c r="C31" s="7">
        <v>7</v>
      </c>
      <c r="D31" s="6">
        <v>2021</v>
      </c>
      <c r="E31" s="8">
        <f>Submetring!E31+Submetring!F31+Submetring!G31</f>
        <v>13753</v>
      </c>
      <c r="F31" s="6">
        <v>0.251</v>
      </c>
      <c r="G31" s="8">
        <f>Submetring!H31+Submetring!I31</f>
        <v>866</v>
      </c>
      <c r="H31" s="6">
        <v>0.56711199999999995</v>
      </c>
      <c r="I31" s="8">
        <f>Submetring!J31</f>
        <v>438</v>
      </c>
      <c r="J31" s="6">
        <v>3.03</v>
      </c>
      <c r="K31" s="8">
        <f>Hotel!Y38</f>
        <v>73</v>
      </c>
    </row>
    <row r="32" spans="1:11" x14ac:dyDescent="0.25">
      <c r="A32" s="6" t="s">
        <v>11</v>
      </c>
      <c r="B32" s="9">
        <f t="shared" si="0"/>
        <v>31</v>
      </c>
      <c r="C32" s="7">
        <v>7</v>
      </c>
      <c r="D32" s="6">
        <v>2021</v>
      </c>
      <c r="E32" s="8">
        <f>Submetring!E32+Submetring!F32+Submetring!G32</f>
        <v>0</v>
      </c>
      <c r="F32" s="6">
        <v>0.251</v>
      </c>
      <c r="G32" s="8">
        <f>Submetring!H32+Submetring!I32</f>
        <v>0</v>
      </c>
      <c r="H32" s="6">
        <v>0.56711199999999995</v>
      </c>
      <c r="I32" s="8" t="str">
        <f>Submetring!J32</f>
        <v>0</v>
      </c>
      <c r="J32" s="6">
        <v>3.03</v>
      </c>
      <c r="K32" s="8">
        <f>Hotel!Y39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2"/>
  <sheetViews>
    <sheetView topLeftCell="A3" workbookViewId="0">
      <selection activeCell="F34" sqref="F34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9" t="s">
        <v>55</v>
      </c>
      <c r="AY1" s="19" t="s">
        <v>56</v>
      </c>
      <c r="AZ1" s="19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20" t="s">
        <v>26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2" t="s">
        <v>82</v>
      </c>
      <c r="CD1" s="22" t="s">
        <v>83</v>
      </c>
      <c r="CE1" s="22" t="s">
        <v>84</v>
      </c>
      <c r="CF1" s="22" t="s">
        <v>85</v>
      </c>
      <c r="CG1" s="22" t="s">
        <v>86</v>
      </c>
      <c r="CH1" s="22" t="s">
        <v>87</v>
      </c>
      <c r="CI1" s="22" t="s">
        <v>88</v>
      </c>
      <c r="CJ1" s="22" t="s">
        <v>89</v>
      </c>
      <c r="CK1" s="22" t="s">
        <v>90</v>
      </c>
      <c r="CL1" s="22" t="s">
        <v>91</v>
      </c>
      <c r="CM1" s="22" t="s">
        <v>92</v>
      </c>
      <c r="CN1" s="22" t="s">
        <v>93</v>
      </c>
      <c r="CO1" s="22" t="s">
        <v>94</v>
      </c>
    </row>
    <row r="2" spans="1:93" x14ac:dyDescent="0.25">
      <c r="A2" t="s">
        <v>11</v>
      </c>
      <c r="B2" s="10">
        <v>1</v>
      </c>
      <c r="C2" s="10">
        <v>7</v>
      </c>
      <c r="D2" s="10">
        <v>2021</v>
      </c>
      <c r="E2" s="11">
        <f>Hotel!D9</f>
        <v>5016</v>
      </c>
      <c r="F2" s="11">
        <f>Hotel!F9</f>
        <v>4997</v>
      </c>
      <c r="G2" s="11">
        <f>Hotel!H9</f>
        <v>4722</v>
      </c>
      <c r="H2" s="11">
        <f>Hotel!N9</f>
        <v>135</v>
      </c>
      <c r="I2" s="11">
        <f>Hotel!P9</f>
        <v>776</v>
      </c>
      <c r="J2" s="11">
        <f>Hotel!U9</f>
        <v>287</v>
      </c>
      <c r="K2" s="11">
        <f>Hotel!Y9</f>
        <v>95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>
        <f>IF(([1]Submeters!AY8-[1]Submeters!AY6)&lt;0,"0",[1]Submeters!AY8-[1]Submeters!AY6)</f>
        <v>389</v>
      </c>
      <c r="BJ2" s="23" t="e">
        <f>IF(([1]Submeters!AZ8-[1]Submeters!AZ6)&lt;0,"0",[1]Submeters!AZ8-[1]Submeters!AZ6)</f>
        <v>#REF!</v>
      </c>
      <c r="BK2" s="23" t="e">
        <f>IF(([1]Submeters!BA8-[1]Submeters!BA6)&lt;0,"0",[1]Submeters!BA8-[1]Submeters!BA6)</f>
        <v>#REF!</v>
      </c>
      <c r="BL2" s="23" t="e">
        <f>IF(([1]Submeters!BB8-[1]Submeters!BB6)&lt;0,"0",[1]Submeters!BB8-[1]Submeters!BB6)</f>
        <v>#REF!</v>
      </c>
      <c r="BM2" s="23" t="e">
        <f>IF(([1]Submeters!BC8-[1]Submeters!BC6)&lt;0,"0",[1]Submeters!BC8-[1]Submeters!BC6)</f>
        <v>#REF!</v>
      </c>
      <c r="BN2" s="23" t="e">
        <f>IF(([1]Submeters!BD8-[1]Submeters!BD6)&lt;0,"0",[1]Submeters!BD8-[1]Submeters!BD6)</f>
        <v>#REF!</v>
      </c>
      <c r="BO2" s="23" t="e">
        <f>IF(([1]Submeters!BE8-[1]Submeters!BE6)&lt;0,"0",[1]Submeters!BE8-[1]Submeters!BE6)</f>
        <v>#REF!</v>
      </c>
      <c r="BP2" s="23" t="e">
        <f>IF(([1]Submeters!BF8-[1]Submeters!BF6)&lt;0,"0",[1]Submeters!BF8-[1]Submeters!BF6)</f>
        <v>#REF!</v>
      </c>
      <c r="BQ2" s="23" t="e">
        <f>IF(([1]Submeters!BG8-[1]Submeters!BG6)&lt;0,"0",[1]Submeters!BG8-[1]Submeters!BG6)</f>
        <v>#REF!</v>
      </c>
      <c r="BR2" s="23" t="e">
        <f>IF(([1]Submeters!BH8-[1]Submeters!BH6)&lt;0,"0",[1]Submeters!BH8-[1]Submeters!BH6)</f>
        <v>#REF!</v>
      </c>
      <c r="BS2" s="23" t="e">
        <f>IF(([1]Submeters!BI8-[1]Submeters!BI6)&lt;0,"0",[1]Submeters!BI8-[1]Submeters!BI6)</f>
        <v>#REF!</v>
      </c>
      <c r="BT2" s="23" t="e">
        <f>IF(([1]Submeters!BJ8-[1]Submeters!BJ6)&lt;0,"0",[1]Submeters!BJ8-[1]Submeters!BJ6)</f>
        <v>#REF!</v>
      </c>
      <c r="BU2" s="23" t="e">
        <f>IF(([1]Submeters!BK8-[1]Submeters!BK6)&lt;0,"0",[1]Submeters!BK8-[1]Submeters!BK6)</f>
        <v>#REF!</v>
      </c>
      <c r="BV2" s="23" t="e">
        <f>IF(([1]Submeters!BL8-[1]Submeters!BL6)&lt;0,"0",[1]Submeters!BL8-[1]Submeters!BL6)</f>
        <v>#REF!</v>
      </c>
      <c r="BW2" s="23" t="e">
        <f>IF(([1]Submeters!BM8-[1]Submeters!BM6)&lt;0,"0",[1]Submeters!BM8-[1]Submeters!BM6)</f>
        <v>#REF!</v>
      </c>
      <c r="BX2" s="23" t="e">
        <f>IF(([1]Submeters!BN8-[1]Submeters!BN6)&lt;0,"0",[1]Submeters!BN8-[1]Submeters!BN6)</f>
        <v>#REF!</v>
      </c>
      <c r="BY2" s="23" t="e">
        <f>IF(([1]Submeters!BO8-[1]Submeters!BO6)&lt;0,"0",[1]Submeters!BO8-[1]Submeters!BO6)</f>
        <v>#REF!</v>
      </c>
      <c r="BZ2" s="23" t="e">
        <f>IF(([1]Submeters!BP8-[1]Submeters!BP6)&lt;0,"0",[1]Submeters!BP8-[1]Submeters!BP6)</f>
        <v>#REF!</v>
      </c>
      <c r="CA2" s="23" t="e">
        <f>IF(([1]Submeters!BQ8-[1]Submeters!BQ6)&lt;0,"0",[1]Submeters!BQ8-[1]Submeters!BQ6)</f>
        <v>#REF!</v>
      </c>
      <c r="CB2" s="23" t="e">
        <f>IF(([1]Submeters!BR8-[1]Submeters!BR6)&lt;0,"0",[1]Submeters!BR8-[1]Submeters!BR6)</f>
        <v>#REF!</v>
      </c>
      <c r="CC2" s="23" t="e">
        <f>IF(([1]Submeters!BS8-[1]Submeters!BS6)&lt;0,"0",[1]Submeters!BS8-[1]Submeters!BS6)</f>
        <v>#REF!</v>
      </c>
      <c r="CD2" s="23" t="e">
        <f>IF(([1]Submeters!BT8-[1]Submeters!BT6)&lt;0,"0",[1]Submeters!BT8-[1]Submeters!BT6)</f>
        <v>#REF!</v>
      </c>
      <c r="CE2" s="23" t="e">
        <f>IF(([1]Submeters!BU8-[1]Submeters!BU6)&lt;0,"0",[1]Submeters!BU8-[1]Submeters!BU6)</f>
        <v>#REF!</v>
      </c>
      <c r="CF2" s="23" t="e">
        <f>IF(([1]Submeters!BV8-[1]Submeters!BV6)&lt;0,"0",[1]Submeters!BV8-[1]Submeters!BV6)</f>
        <v>#REF!</v>
      </c>
      <c r="CG2" s="23" t="e">
        <f>IF(([1]Submeters!BW8-[1]Submeters!BW6)&lt;0,"0",[1]Submeters!BW8-[1]Submeters!BW6)</f>
        <v>#REF!</v>
      </c>
      <c r="CH2" s="23" t="e">
        <f>IF(([1]Submeters!BX8-[1]Submeters!BX6)&lt;0,"0",[1]Submeters!BX8-[1]Submeters!BX6)</f>
        <v>#REF!</v>
      </c>
      <c r="CI2" s="23" t="e">
        <f>IF(([1]Submeters!BY8-[1]Submeters!BY6)&lt;0,"0",[1]Submeters!BY8-[1]Submeters!BY6)</f>
        <v>#REF!</v>
      </c>
      <c r="CJ2" s="23" t="e">
        <f>IF(([1]Submeters!BZ8-[1]Submeters!BZ6)&lt;0,"0",[1]Submeters!BZ8-[1]Submeters!BZ6)</f>
        <v>#REF!</v>
      </c>
      <c r="CK2" s="23" t="e">
        <f>IF(([1]Submeters!CA8-[1]Submeters!CA6)&lt;0,"0",[1]Submeters!CA8-[1]Submeters!CA6)</f>
        <v>#REF!</v>
      </c>
      <c r="CL2" s="23" t="e">
        <f>IF(([1]Submeters!CB8-[1]Submeters!CB6)&lt;0,"0",[1]Submeters!CB8-[1]Submeters!CB6)</f>
        <v>#REF!</v>
      </c>
      <c r="CM2" s="23" t="e">
        <f>IF(([1]Submeters!CC8-[1]Submeters!CC6)&lt;0,"0",[1]Submeters!CC8-[1]Submeters!CC6)</f>
        <v>#REF!</v>
      </c>
      <c r="CN2" s="23" t="e">
        <f>IF(([1]Submeters!CD8-[1]Submeters!CD6)&lt;0,"0",[1]Submeters!CD8-[1]Submeters!CD6)</f>
        <v>#REF!</v>
      </c>
      <c r="CO2" s="23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7</v>
      </c>
      <c r="D3" s="10">
        <v>2021</v>
      </c>
      <c r="E3" s="11">
        <f>Hotel!D10</f>
        <v>4878</v>
      </c>
      <c r="F3" s="11">
        <f>Hotel!F10</f>
        <v>4871</v>
      </c>
      <c r="G3" s="11">
        <f>Hotel!H10</f>
        <v>4557</v>
      </c>
      <c r="H3" s="11">
        <f>Hotel!N10</f>
        <v>148</v>
      </c>
      <c r="I3" s="11">
        <f>Hotel!P10</f>
        <v>898</v>
      </c>
      <c r="J3" s="11">
        <f>Hotel!U10</f>
        <v>361</v>
      </c>
      <c r="K3" s="11">
        <f>Hotel!Y10</f>
        <v>94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>
        <f>IF(([1]Submeters!AY9-[1]Submeters!AY8)&lt;0,"0",[1]Submeters!AY9-[1]Submeters!AY8)</f>
        <v>328</v>
      </c>
      <c r="BJ3" s="23" t="e">
        <f>IF(([1]Submeters!AZ9-[1]Submeters!AZ8)&lt;0,"0",[1]Submeters!AZ9-[1]Submeters!AZ8)</f>
        <v>#REF!</v>
      </c>
      <c r="BK3" s="23" t="e">
        <f>IF(([1]Submeters!BA9-[1]Submeters!BA8)&lt;0,"0",[1]Submeters!BA9-[1]Submeters!BA8)</f>
        <v>#REF!</v>
      </c>
      <c r="BL3" s="23" t="e">
        <f>IF(([1]Submeters!BB9-[1]Submeters!BB8)&lt;0,"0",[1]Submeters!BB9-[1]Submeters!BB8)</f>
        <v>#REF!</v>
      </c>
      <c r="BM3" s="23" t="e">
        <f>IF(([1]Submeters!BC9-[1]Submeters!BC8)&lt;0,"0",[1]Submeters!BC9-[1]Submeters!BC8)</f>
        <v>#REF!</v>
      </c>
      <c r="BN3" s="23" t="e">
        <f>IF(([1]Submeters!BD9-[1]Submeters!BD8)&lt;0,"0",[1]Submeters!BD9-[1]Submeters!BD8)</f>
        <v>#REF!</v>
      </c>
      <c r="BO3" s="23" t="e">
        <f>IF(([1]Submeters!BE9-[1]Submeters!BE8)&lt;0,"0",[1]Submeters!BE9-[1]Submeters!BE8)</f>
        <v>#REF!</v>
      </c>
      <c r="BP3" s="23" t="e">
        <f>IF(([1]Submeters!BF9-[1]Submeters!BF8)&lt;0,"0",[1]Submeters!BF9-[1]Submeters!BF8)</f>
        <v>#REF!</v>
      </c>
      <c r="BQ3" s="23" t="e">
        <f>IF(([1]Submeters!BG9-[1]Submeters!BG8)&lt;0,"0",[1]Submeters!BG9-[1]Submeters!BG8)</f>
        <v>#REF!</v>
      </c>
      <c r="BR3" s="23" t="e">
        <f>IF(([1]Submeters!BH9-[1]Submeters!BH8)&lt;0,"0",[1]Submeters!BH9-[1]Submeters!BH8)</f>
        <v>#REF!</v>
      </c>
      <c r="BS3" s="23" t="e">
        <f>IF(([1]Submeters!BI9-[1]Submeters!BI8)&lt;0,"0",[1]Submeters!BI9-[1]Submeters!BI8)</f>
        <v>#REF!</v>
      </c>
      <c r="BT3" s="23" t="e">
        <f>IF(([1]Submeters!BJ9-[1]Submeters!BJ8)&lt;0,"0",[1]Submeters!BJ9-[1]Submeters!BJ8)</f>
        <v>#REF!</v>
      </c>
      <c r="BU3" s="23" t="e">
        <f>IF(([1]Submeters!BK9-[1]Submeters!BK8)&lt;0,"0",[1]Submeters!BK9-[1]Submeters!BK8)</f>
        <v>#REF!</v>
      </c>
      <c r="BV3" s="23" t="e">
        <f>IF(([1]Submeters!BL9-[1]Submeters!BL8)&lt;0,"0",[1]Submeters!BL9-[1]Submeters!BL8)</f>
        <v>#REF!</v>
      </c>
      <c r="BW3" s="23" t="e">
        <f>IF(([1]Submeters!BM9-[1]Submeters!BM8)&lt;0,"0",[1]Submeters!BM9-[1]Submeters!BM8)</f>
        <v>#REF!</v>
      </c>
      <c r="BX3" s="23" t="e">
        <f>IF(([1]Submeters!BN9-[1]Submeters!BN8)&lt;0,"0",[1]Submeters!BN9-[1]Submeters!BN8)</f>
        <v>#REF!</v>
      </c>
      <c r="BY3" s="23" t="e">
        <f>IF(([1]Submeters!BO9-[1]Submeters!BO8)&lt;0,"0",[1]Submeters!BO9-[1]Submeters!BO8)</f>
        <v>#REF!</v>
      </c>
      <c r="BZ3" s="23" t="e">
        <f>IF(([1]Submeters!BP9-[1]Submeters!BP8)&lt;0,"0",[1]Submeters!BP9-[1]Submeters!BP8)</f>
        <v>#REF!</v>
      </c>
      <c r="CA3" s="23" t="e">
        <f>IF(([1]Submeters!BQ9-[1]Submeters!BQ8)&lt;0,"0",[1]Submeters!BQ9-[1]Submeters!BQ8)</f>
        <v>#REF!</v>
      </c>
      <c r="CB3" s="23" t="e">
        <f>IF(([1]Submeters!BR9-[1]Submeters!BR8)&lt;0,"0",[1]Submeters!BR9-[1]Submeters!BR8)</f>
        <v>#REF!</v>
      </c>
      <c r="CC3" s="23" t="e">
        <f>IF(([1]Submeters!BS9-[1]Submeters!BS8)&lt;0,"0",[1]Submeters!BS9-[1]Submeters!BS8)</f>
        <v>#REF!</v>
      </c>
      <c r="CD3" s="23" t="e">
        <f>IF(([1]Submeters!BT9-[1]Submeters!BT8)&lt;0,"0",[1]Submeters!BT9-[1]Submeters!BT8)</f>
        <v>#REF!</v>
      </c>
      <c r="CE3" s="23" t="e">
        <f>IF(([1]Submeters!BU9-[1]Submeters!BU8)&lt;0,"0",[1]Submeters!BU9-[1]Submeters!BU8)</f>
        <v>#REF!</v>
      </c>
      <c r="CF3" s="23" t="e">
        <f>IF(([1]Submeters!BV9-[1]Submeters!BV8)&lt;0,"0",[1]Submeters!BV9-[1]Submeters!BV8)</f>
        <v>#REF!</v>
      </c>
      <c r="CG3" s="23" t="e">
        <f>IF(([1]Submeters!BW9-[1]Submeters!BW8)&lt;0,"0",[1]Submeters!BW9-[1]Submeters!BW8)</f>
        <v>#REF!</v>
      </c>
      <c r="CH3" s="23" t="e">
        <f>IF(([1]Submeters!BX9-[1]Submeters!BX8)&lt;0,"0",[1]Submeters!BX9-[1]Submeters!BX8)</f>
        <v>#REF!</v>
      </c>
      <c r="CI3" s="23" t="e">
        <f>IF(([1]Submeters!BY9-[1]Submeters!BY8)&lt;0,"0",[1]Submeters!BY9-[1]Submeters!BY8)</f>
        <v>#REF!</v>
      </c>
      <c r="CJ3" s="23" t="e">
        <f>IF(([1]Submeters!BZ9-[1]Submeters!BZ8)&lt;0,"0",[1]Submeters!BZ9-[1]Submeters!BZ8)</f>
        <v>#REF!</v>
      </c>
      <c r="CK3" s="23" t="e">
        <f>IF(([1]Submeters!CA9-[1]Submeters!CA8)&lt;0,"0",[1]Submeters!CA9-[1]Submeters!CA8)</f>
        <v>#REF!</v>
      </c>
      <c r="CL3" s="23" t="e">
        <f>IF(([1]Submeters!CB9-[1]Submeters!CB8)&lt;0,"0",[1]Submeters!CB9-[1]Submeters!CB8)</f>
        <v>#REF!</v>
      </c>
      <c r="CM3" s="23" t="e">
        <f>IF(([1]Submeters!CC9-[1]Submeters!CC8)&lt;0,"0",[1]Submeters!CC9-[1]Submeters!CC8)</f>
        <v>#REF!</v>
      </c>
      <c r="CN3" s="23" t="e">
        <f>IF(([1]Submeters!CD9-[1]Submeters!CD8)&lt;0,"0",[1]Submeters!CD9-[1]Submeters!CD8)</f>
        <v>#REF!</v>
      </c>
      <c r="CO3" s="23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32" si="0">B3+1</f>
        <v>3</v>
      </c>
      <c r="C4" s="10">
        <v>7</v>
      </c>
      <c r="D4" s="10">
        <v>2021</v>
      </c>
      <c r="E4" s="11">
        <f>Hotel!D11</f>
        <v>4798</v>
      </c>
      <c r="F4" s="11">
        <f>Hotel!F11</f>
        <v>4788</v>
      </c>
      <c r="G4" s="11">
        <f>Hotel!H11</f>
        <v>4514</v>
      </c>
      <c r="H4" s="11">
        <f>Hotel!N11</f>
        <v>138</v>
      </c>
      <c r="I4" s="11">
        <f>Hotel!P11</f>
        <v>781</v>
      </c>
      <c r="J4" s="11">
        <f>Hotel!U11</f>
        <v>370</v>
      </c>
      <c r="K4" s="11">
        <f>Hotel!Y11</f>
        <v>107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>
        <f>IF(([1]Submeters!AY10-[1]Submeters!AY9)&lt;0,"0",[1]Submeters!AY10-[1]Submeters!AY9)</f>
        <v>318</v>
      </c>
      <c r="BJ4" s="23" t="e">
        <f>IF(([1]Submeters!AZ10-[1]Submeters!AZ9)&lt;0,"0",[1]Submeters!AZ10-[1]Submeters!AZ9)</f>
        <v>#REF!</v>
      </c>
      <c r="BK4" s="23" t="e">
        <f>IF(([1]Submeters!BA10-[1]Submeters!BA9)&lt;0,"0",[1]Submeters!BA10-[1]Submeters!BA9)</f>
        <v>#REF!</v>
      </c>
      <c r="BL4" s="23" t="e">
        <f>IF(([1]Submeters!BB10-[1]Submeters!BB9)&lt;0,"0",[1]Submeters!BB10-[1]Submeters!BB9)</f>
        <v>#REF!</v>
      </c>
      <c r="BM4" s="23" t="e">
        <f>IF(([1]Submeters!BC10-[1]Submeters!BC9)&lt;0,"0",[1]Submeters!BC10-[1]Submeters!BC9)</f>
        <v>#REF!</v>
      </c>
      <c r="BN4" s="23" t="e">
        <f>IF(([1]Submeters!BD10-[1]Submeters!BD9)&lt;0,"0",[1]Submeters!BD10-[1]Submeters!BD9)</f>
        <v>#REF!</v>
      </c>
      <c r="BO4" s="23" t="e">
        <f>IF(([1]Submeters!BE10-[1]Submeters!BE9)&lt;0,"0",[1]Submeters!BE10-[1]Submeters!BE9)</f>
        <v>#REF!</v>
      </c>
      <c r="BP4" s="23" t="e">
        <f>IF(([1]Submeters!BF10-[1]Submeters!BF9)&lt;0,"0",[1]Submeters!BF10-[1]Submeters!BF9)</f>
        <v>#REF!</v>
      </c>
      <c r="BQ4" s="23" t="e">
        <f>IF(([1]Submeters!BG10-[1]Submeters!BG9)&lt;0,"0",[1]Submeters!BG10-[1]Submeters!BG9)</f>
        <v>#REF!</v>
      </c>
      <c r="BR4" s="23" t="e">
        <f>IF(([1]Submeters!BH10-[1]Submeters!BH9)&lt;0,"0",[1]Submeters!BH10-[1]Submeters!BH9)</f>
        <v>#REF!</v>
      </c>
      <c r="BS4" s="23" t="e">
        <f>IF(([1]Submeters!BI10-[1]Submeters!BI9)&lt;0,"0",[1]Submeters!BI10-[1]Submeters!BI9)</f>
        <v>#REF!</v>
      </c>
      <c r="BT4" s="23" t="e">
        <f>IF(([1]Submeters!BJ10-[1]Submeters!BJ9)&lt;0,"0",[1]Submeters!BJ10-[1]Submeters!BJ9)</f>
        <v>#REF!</v>
      </c>
      <c r="BU4" s="23" t="e">
        <f>IF(([1]Submeters!BK10-[1]Submeters!BK9)&lt;0,"0",[1]Submeters!BK10-[1]Submeters!BK9)</f>
        <v>#REF!</v>
      </c>
      <c r="BV4" s="23" t="e">
        <f>IF(([1]Submeters!BL10-[1]Submeters!BL9)&lt;0,"0",[1]Submeters!BL10-[1]Submeters!BL9)</f>
        <v>#REF!</v>
      </c>
      <c r="BW4" s="23" t="e">
        <f>IF(([1]Submeters!BM10-[1]Submeters!BM9)&lt;0,"0",[1]Submeters!BM10-[1]Submeters!BM9)</f>
        <v>#REF!</v>
      </c>
      <c r="BX4" s="23" t="e">
        <f>IF(([1]Submeters!BN10-[1]Submeters!BN9)&lt;0,"0",[1]Submeters!BN10-[1]Submeters!BN9)</f>
        <v>#REF!</v>
      </c>
      <c r="BY4" s="23" t="e">
        <f>IF(([1]Submeters!BO10-[1]Submeters!BO9)&lt;0,"0",[1]Submeters!BO10-[1]Submeters!BO9)</f>
        <v>#REF!</v>
      </c>
      <c r="BZ4" s="23" t="e">
        <f>IF(([1]Submeters!BP10-[1]Submeters!BP9)&lt;0,"0",[1]Submeters!BP10-[1]Submeters!BP9)</f>
        <v>#REF!</v>
      </c>
      <c r="CA4" s="23" t="e">
        <f>IF(([1]Submeters!BQ10-[1]Submeters!BQ9)&lt;0,"0",[1]Submeters!BQ10-[1]Submeters!BQ9)</f>
        <v>#REF!</v>
      </c>
      <c r="CB4" s="23" t="e">
        <f>IF(([1]Submeters!BR10-[1]Submeters!BR9)&lt;0,"0",[1]Submeters!BR10-[1]Submeters!BR9)</f>
        <v>#REF!</v>
      </c>
      <c r="CC4" s="23" t="e">
        <f>IF(([1]Submeters!BS10-[1]Submeters!BS9)&lt;0,"0",[1]Submeters!BS10-[1]Submeters!BS9)</f>
        <v>#REF!</v>
      </c>
      <c r="CD4" s="23" t="e">
        <f>IF(([1]Submeters!BT10-[1]Submeters!BT9)&lt;0,"0",[1]Submeters!BT10-[1]Submeters!BT9)</f>
        <v>#REF!</v>
      </c>
      <c r="CE4" s="23" t="e">
        <f>IF(([1]Submeters!BU10-[1]Submeters!BU9)&lt;0,"0",[1]Submeters!BU10-[1]Submeters!BU9)</f>
        <v>#REF!</v>
      </c>
      <c r="CF4" s="23" t="e">
        <f>IF(([1]Submeters!BV10-[1]Submeters!BV9)&lt;0,"0",[1]Submeters!BV10-[1]Submeters!BV9)</f>
        <v>#REF!</v>
      </c>
      <c r="CG4" s="23" t="e">
        <f>IF(([1]Submeters!BW10-[1]Submeters!BW9)&lt;0,"0",[1]Submeters!BW10-[1]Submeters!BW9)</f>
        <v>#REF!</v>
      </c>
      <c r="CH4" s="23" t="e">
        <f>IF(([1]Submeters!BX10-[1]Submeters!BX9)&lt;0,"0",[1]Submeters!BX10-[1]Submeters!BX9)</f>
        <v>#REF!</v>
      </c>
      <c r="CI4" s="23" t="e">
        <f>IF(([1]Submeters!BY10-[1]Submeters!BY9)&lt;0,"0",[1]Submeters!BY10-[1]Submeters!BY9)</f>
        <v>#REF!</v>
      </c>
      <c r="CJ4" s="23" t="e">
        <f>IF(([1]Submeters!BZ10-[1]Submeters!BZ9)&lt;0,"0",[1]Submeters!BZ10-[1]Submeters!BZ9)</f>
        <v>#REF!</v>
      </c>
      <c r="CK4" s="23" t="e">
        <f>IF(([1]Submeters!CA10-[1]Submeters!CA9)&lt;0,"0",[1]Submeters!CA10-[1]Submeters!CA9)</f>
        <v>#REF!</v>
      </c>
      <c r="CL4" s="23" t="e">
        <f>IF(([1]Submeters!CB10-[1]Submeters!CB9)&lt;0,"0",[1]Submeters!CB10-[1]Submeters!CB9)</f>
        <v>#REF!</v>
      </c>
      <c r="CM4" s="23" t="e">
        <f>IF(([1]Submeters!CC10-[1]Submeters!CC9)&lt;0,"0",[1]Submeters!CC10-[1]Submeters!CC9)</f>
        <v>#REF!</v>
      </c>
      <c r="CN4" s="23" t="e">
        <f>IF(([1]Submeters!CD10-[1]Submeters!CD9)&lt;0,"0",[1]Submeters!CD10-[1]Submeters!CD9)</f>
        <v>#REF!</v>
      </c>
      <c r="CO4" s="23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7</v>
      </c>
      <c r="D5" s="10">
        <v>2021</v>
      </c>
      <c r="E5" s="11">
        <f>Hotel!D12</f>
        <v>4711</v>
      </c>
      <c r="F5" s="11">
        <f>Hotel!F12</f>
        <v>4708</v>
      </c>
      <c r="G5" s="11">
        <f>Hotel!H12</f>
        <v>4217</v>
      </c>
      <c r="H5" s="11">
        <f>Hotel!N12</f>
        <v>144</v>
      </c>
      <c r="I5" s="11">
        <f>Hotel!P12</f>
        <v>812</v>
      </c>
      <c r="J5" s="11">
        <f>Hotel!U12</f>
        <v>412</v>
      </c>
      <c r="K5" s="11">
        <f>Hotel!Y12</f>
        <v>108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>
        <f>IF(([1]Submeters!AY11-[1]Submeters!AY10)&lt;0,"0",[1]Submeters!AY11-[1]Submeters!AY10)</f>
        <v>264</v>
      </c>
      <c r="BJ5" s="23" t="e">
        <f>IF(([1]Submeters!AZ11-[1]Submeters!AZ10)&lt;0,"0",[1]Submeters!AZ11-[1]Submeters!AZ10)</f>
        <v>#REF!</v>
      </c>
      <c r="BK5" s="23" t="e">
        <f>IF(([1]Submeters!BA11-[1]Submeters!BA10)&lt;0,"0",[1]Submeters!BA11-[1]Submeters!BA10)</f>
        <v>#REF!</v>
      </c>
      <c r="BL5" s="23" t="e">
        <f>IF(([1]Submeters!BB11-[1]Submeters!BB10)&lt;0,"0",[1]Submeters!BB11-[1]Submeters!BB10)</f>
        <v>#REF!</v>
      </c>
      <c r="BM5" s="23" t="e">
        <f>IF(([1]Submeters!BC11-[1]Submeters!BC10)&lt;0,"0",[1]Submeters!BC11-[1]Submeters!BC10)</f>
        <v>#REF!</v>
      </c>
      <c r="BN5" s="23" t="e">
        <f>IF(([1]Submeters!BD11-[1]Submeters!BD10)&lt;0,"0",[1]Submeters!BD11-[1]Submeters!BD10)</f>
        <v>#REF!</v>
      </c>
      <c r="BO5" s="23" t="e">
        <f>IF(([1]Submeters!BE11-[1]Submeters!BE10)&lt;0,"0",[1]Submeters!BE11-[1]Submeters!BE10)</f>
        <v>#REF!</v>
      </c>
      <c r="BP5" s="23" t="e">
        <f>IF(([1]Submeters!BF11-[1]Submeters!BF10)&lt;0,"0",[1]Submeters!BF11-[1]Submeters!BF10)</f>
        <v>#REF!</v>
      </c>
      <c r="BQ5" s="23" t="e">
        <f>IF(([1]Submeters!BG11-[1]Submeters!BG10)&lt;0,"0",[1]Submeters!BG11-[1]Submeters!BG10)</f>
        <v>#REF!</v>
      </c>
      <c r="BR5" s="23" t="e">
        <f>IF(([1]Submeters!BH11-[1]Submeters!BH10)&lt;0,"0",[1]Submeters!BH11-[1]Submeters!BH10)</f>
        <v>#REF!</v>
      </c>
      <c r="BS5" s="23" t="e">
        <f>IF(([1]Submeters!BI11-[1]Submeters!BI10)&lt;0,"0",[1]Submeters!BI11-[1]Submeters!BI10)</f>
        <v>#REF!</v>
      </c>
      <c r="BT5" s="23" t="e">
        <f>IF(([1]Submeters!BJ11-[1]Submeters!BJ10)&lt;0,"0",[1]Submeters!BJ11-[1]Submeters!BJ10)</f>
        <v>#REF!</v>
      </c>
      <c r="BU5" s="23" t="e">
        <f>IF(([1]Submeters!BK11-[1]Submeters!BK10)&lt;0,"0",[1]Submeters!BK11-[1]Submeters!BK10)</f>
        <v>#REF!</v>
      </c>
      <c r="BV5" s="23" t="e">
        <f>IF(([1]Submeters!BL11-[1]Submeters!BL10)&lt;0,"0",[1]Submeters!BL11-[1]Submeters!BL10)</f>
        <v>#REF!</v>
      </c>
      <c r="BW5" s="23" t="e">
        <f>IF(([1]Submeters!BM11-[1]Submeters!BM10)&lt;0,"0",[1]Submeters!BM11-[1]Submeters!BM10)</f>
        <v>#REF!</v>
      </c>
      <c r="BX5" s="23" t="e">
        <f>IF(([1]Submeters!BN11-[1]Submeters!BN10)&lt;0,"0",[1]Submeters!BN11-[1]Submeters!BN10)</f>
        <v>#REF!</v>
      </c>
      <c r="BY5" s="23" t="e">
        <f>IF(([1]Submeters!BO11-[1]Submeters!BO10)&lt;0,"0",[1]Submeters!BO11-[1]Submeters!BO10)</f>
        <v>#REF!</v>
      </c>
      <c r="BZ5" s="23" t="e">
        <f>IF(([1]Submeters!BP11-[1]Submeters!BP10)&lt;0,"0",[1]Submeters!BP11-[1]Submeters!BP10)</f>
        <v>#REF!</v>
      </c>
      <c r="CA5" s="23" t="e">
        <f>IF(([1]Submeters!BQ11-[1]Submeters!BQ10)&lt;0,"0",[1]Submeters!BQ11-[1]Submeters!BQ10)</f>
        <v>#REF!</v>
      </c>
      <c r="CB5" s="23" t="e">
        <f>IF(([1]Submeters!BR11-[1]Submeters!BR10)&lt;0,"0",[1]Submeters!BR11-[1]Submeters!BR10)</f>
        <v>#REF!</v>
      </c>
      <c r="CC5" s="23" t="e">
        <f>IF(([1]Submeters!BS11-[1]Submeters!BS10)&lt;0,"0",[1]Submeters!BS11-[1]Submeters!BS10)</f>
        <v>#REF!</v>
      </c>
      <c r="CD5" s="23" t="e">
        <f>IF(([1]Submeters!BT11-[1]Submeters!BT10)&lt;0,"0",[1]Submeters!BT11-[1]Submeters!BT10)</f>
        <v>#REF!</v>
      </c>
      <c r="CE5" s="23" t="e">
        <f>IF(([1]Submeters!BU11-[1]Submeters!BU10)&lt;0,"0",[1]Submeters!BU11-[1]Submeters!BU10)</f>
        <v>#REF!</v>
      </c>
      <c r="CF5" s="23" t="e">
        <f>IF(([1]Submeters!BV11-[1]Submeters!BV10)&lt;0,"0",[1]Submeters!BV11-[1]Submeters!BV10)</f>
        <v>#REF!</v>
      </c>
      <c r="CG5" s="23" t="e">
        <f>IF(([1]Submeters!BW11-[1]Submeters!BW10)&lt;0,"0",[1]Submeters!BW11-[1]Submeters!BW10)</f>
        <v>#REF!</v>
      </c>
      <c r="CH5" s="23" t="e">
        <f>IF(([1]Submeters!BX11-[1]Submeters!BX10)&lt;0,"0",[1]Submeters!BX11-[1]Submeters!BX10)</f>
        <v>#REF!</v>
      </c>
      <c r="CI5" s="23" t="e">
        <f>IF(([1]Submeters!BY11-[1]Submeters!BY10)&lt;0,"0",[1]Submeters!BY11-[1]Submeters!BY10)</f>
        <v>#REF!</v>
      </c>
      <c r="CJ5" s="23" t="e">
        <f>IF(([1]Submeters!BZ11-[1]Submeters!BZ10)&lt;0,"0",[1]Submeters!BZ11-[1]Submeters!BZ10)</f>
        <v>#REF!</v>
      </c>
      <c r="CK5" s="23" t="e">
        <f>IF(([1]Submeters!CA11-[1]Submeters!CA10)&lt;0,"0",[1]Submeters!CA11-[1]Submeters!CA10)</f>
        <v>#REF!</v>
      </c>
      <c r="CL5" s="23" t="e">
        <f>IF(([1]Submeters!CB11-[1]Submeters!CB10)&lt;0,"0",[1]Submeters!CB11-[1]Submeters!CB10)</f>
        <v>#REF!</v>
      </c>
      <c r="CM5" s="23" t="e">
        <f>IF(([1]Submeters!CC11-[1]Submeters!CC10)&lt;0,"0",[1]Submeters!CC11-[1]Submeters!CC10)</f>
        <v>#REF!</v>
      </c>
      <c r="CN5" s="23" t="e">
        <f>IF(([1]Submeters!CD11-[1]Submeters!CD10)&lt;0,"0",[1]Submeters!CD11-[1]Submeters!CD10)</f>
        <v>#REF!</v>
      </c>
      <c r="CO5" s="23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7</v>
      </c>
      <c r="D6" s="10">
        <v>2021</v>
      </c>
      <c r="E6" s="11">
        <f>Hotel!D13</f>
        <v>4481</v>
      </c>
      <c r="F6" s="11">
        <f>Hotel!F13</f>
        <v>4491</v>
      </c>
      <c r="G6" s="11">
        <f>Hotel!H13</f>
        <v>4388</v>
      </c>
      <c r="H6" s="11">
        <f>Hotel!N13</f>
        <v>140</v>
      </c>
      <c r="I6" s="11">
        <f>Hotel!P13</f>
        <v>822</v>
      </c>
      <c r="J6" s="11">
        <f>Hotel!U13</f>
        <v>415</v>
      </c>
      <c r="K6" s="11">
        <f>Hotel!Y13</f>
        <v>87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>
        <f>IF(([1]Submeters!AY12-[1]Submeters!AY11)&lt;0,"0",[1]Submeters!AY12-[1]Submeters!AY11)</f>
        <v>349</v>
      </c>
      <c r="BJ6" s="23" t="e">
        <f>IF(([1]Submeters!AZ12-[1]Submeters!AZ11)&lt;0,"0",[1]Submeters!AZ12-[1]Submeters!AZ11)</f>
        <v>#REF!</v>
      </c>
      <c r="BK6" s="23" t="e">
        <f>IF(([1]Submeters!BA12-[1]Submeters!BA11)&lt;0,"0",[1]Submeters!BA12-[1]Submeters!BA11)</f>
        <v>#REF!</v>
      </c>
      <c r="BL6" s="23" t="e">
        <f>IF(([1]Submeters!BB12-[1]Submeters!BB11)&lt;0,"0",[1]Submeters!BB12-[1]Submeters!BB11)</f>
        <v>#REF!</v>
      </c>
      <c r="BM6" s="23" t="e">
        <f>IF(([1]Submeters!BC12-[1]Submeters!BC11)&lt;0,"0",[1]Submeters!BC12-[1]Submeters!BC11)</f>
        <v>#REF!</v>
      </c>
      <c r="BN6" s="23" t="e">
        <f>IF(([1]Submeters!BD12-[1]Submeters!BD11)&lt;0,"0",[1]Submeters!BD12-[1]Submeters!BD11)</f>
        <v>#REF!</v>
      </c>
      <c r="BO6" s="23" t="e">
        <f>IF(([1]Submeters!BE12-[1]Submeters!BE11)&lt;0,"0",[1]Submeters!BE12-[1]Submeters!BE11)</f>
        <v>#REF!</v>
      </c>
      <c r="BP6" s="23" t="e">
        <f>IF(([1]Submeters!BF12-[1]Submeters!BF11)&lt;0,"0",[1]Submeters!BF12-[1]Submeters!BF11)</f>
        <v>#REF!</v>
      </c>
      <c r="BQ6" s="23" t="e">
        <f>IF(([1]Submeters!BG12-[1]Submeters!BG11)&lt;0,"0",[1]Submeters!BG12-[1]Submeters!BG11)</f>
        <v>#REF!</v>
      </c>
      <c r="BR6" s="23" t="e">
        <f>IF(([1]Submeters!BH12-[1]Submeters!BH11)&lt;0,"0",[1]Submeters!BH12-[1]Submeters!BH11)</f>
        <v>#REF!</v>
      </c>
      <c r="BS6" s="23" t="e">
        <f>IF(([1]Submeters!BI12-[1]Submeters!BI11)&lt;0,"0",[1]Submeters!BI12-[1]Submeters!BI11)</f>
        <v>#REF!</v>
      </c>
      <c r="BT6" s="23" t="e">
        <f>IF(([1]Submeters!BJ12-[1]Submeters!BJ11)&lt;0,"0",[1]Submeters!BJ12-[1]Submeters!BJ11)</f>
        <v>#REF!</v>
      </c>
      <c r="BU6" s="23" t="e">
        <f>IF(([1]Submeters!BK12-[1]Submeters!BK11)&lt;0,"0",[1]Submeters!BK12-[1]Submeters!BK11)</f>
        <v>#REF!</v>
      </c>
      <c r="BV6" s="23" t="e">
        <f>IF(([1]Submeters!BL12-[1]Submeters!BL11)&lt;0,"0",[1]Submeters!BL12-[1]Submeters!BL11)</f>
        <v>#REF!</v>
      </c>
      <c r="BW6" s="23" t="e">
        <f>IF(([1]Submeters!BM12-[1]Submeters!BM11)&lt;0,"0",[1]Submeters!BM12-[1]Submeters!BM11)</f>
        <v>#REF!</v>
      </c>
      <c r="BX6" s="23" t="e">
        <f>IF(([1]Submeters!BN12-[1]Submeters!BN11)&lt;0,"0",[1]Submeters!BN12-[1]Submeters!BN11)</f>
        <v>#REF!</v>
      </c>
      <c r="BY6" s="23" t="e">
        <f>IF(([1]Submeters!BO12-[1]Submeters!BO11)&lt;0,"0",[1]Submeters!BO12-[1]Submeters!BO11)</f>
        <v>#REF!</v>
      </c>
      <c r="BZ6" s="23" t="e">
        <f>IF(([1]Submeters!BP12-[1]Submeters!BP11)&lt;0,"0",[1]Submeters!BP12-[1]Submeters!BP11)</f>
        <v>#REF!</v>
      </c>
      <c r="CA6" s="23" t="e">
        <f>IF(([1]Submeters!BQ12-[1]Submeters!BQ11)&lt;0,"0",[1]Submeters!BQ12-[1]Submeters!BQ11)</f>
        <v>#REF!</v>
      </c>
      <c r="CB6" s="23" t="e">
        <f>IF(([1]Submeters!BR12-[1]Submeters!BR11)&lt;0,"0",[1]Submeters!BR12-[1]Submeters!BR11)</f>
        <v>#REF!</v>
      </c>
      <c r="CC6" s="23" t="e">
        <f>IF(([1]Submeters!BS12-[1]Submeters!BS11)&lt;0,"0",[1]Submeters!BS12-[1]Submeters!BS11)</f>
        <v>#REF!</v>
      </c>
      <c r="CD6" s="23" t="e">
        <f>IF(([1]Submeters!BT12-[1]Submeters!BT11)&lt;0,"0",[1]Submeters!BT12-[1]Submeters!BT11)</f>
        <v>#REF!</v>
      </c>
      <c r="CE6" s="23" t="e">
        <f>IF(([1]Submeters!BU12-[1]Submeters!BU11)&lt;0,"0",[1]Submeters!BU12-[1]Submeters!BU11)</f>
        <v>#REF!</v>
      </c>
      <c r="CF6" s="23" t="e">
        <f>IF(([1]Submeters!BV12-[1]Submeters!BV11)&lt;0,"0",[1]Submeters!BV12-[1]Submeters!BV11)</f>
        <v>#REF!</v>
      </c>
      <c r="CG6" s="23" t="e">
        <f>IF(([1]Submeters!BW12-[1]Submeters!BW11)&lt;0,"0",[1]Submeters!BW12-[1]Submeters!BW11)</f>
        <v>#REF!</v>
      </c>
      <c r="CH6" s="23" t="e">
        <f>IF(([1]Submeters!BX12-[1]Submeters!BX11)&lt;0,"0",[1]Submeters!BX12-[1]Submeters!BX11)</f>
        <v>#REF!</v>
      </c>
      <c r="CI6" s="23" t="e">
        <f>IF(([1]Submeters!BY12-[1]Submeters!BY11)&lt;0,"0",[1]Submeters!BY12-[1]Submeters!BY11)</f>
        <v>#REF!</v>
      </c>
      <c r="CJ6" s="23" t="e">
        <f>IF(([1]Submeters!BZ12-[1]Submeters!BZ11)&lt;0,"0",[1]Submeters!BZ12-[1]Submeters!BZ11)</f>
        <v>#REF!</v>
      </c>
      <c r="CK6" s="23" t="e">
        <f>IF(([1]Submeters!CA12-[1]Submeters!CA11)&lt;0,"0",[1]Submeters!CA12-[1]Submeters!CA11)</f>
        <v>#REF!</v>
      </c>
      <c r="CL6" s="23" t="e">
        <f>IF(([1]Submeters!CB12-[1]Submeters!CB11)&lt;0,"0",[1]Submeters!CB12-[1]Submeters!CB11)</f>
        <v>#REF!</v>
      </c>
      <c r="CM6" s="23" t="e">
        <f>IF(([1]Submeters!CC12-[1]Submeters!CC11)&lt;0,"0",[1]Submeters!CC12-[1]Submeters!CC11)</f>
        <v>#REF!</v>
      </c>
      <c r="CN6" s="23" t="e">
        <f>IF(([1]Submeters!CD12-[1]Submeters!CD11)&lt;0,"0",[1]Submeters!CD12-[1]Submeters!CD11)</f>
        <v>#REF!</v>
      </c>
      <c r="CO6" s="23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7</v>
      </c>
      <c r="D7" s="10">
        <v>2021</v>
      </c>
      <c r="E7" s="11">
        <f>Hotel!D14</f>
        <v>4422</v>
      </c>
      <c r="F7" s="11">
        <f>Hotel!F14</f>
        <v>4398</v>
      </c>
      <c r="G7" s="11">
        <f>Hotel!H14</f>
        <v>4116</v>
      </c>
      <c r="H7" s="11">
        <f>Hotel!N14</f>
        <v>83</v>
      </c>
      <c r="I7" s="11">
        <f>Hotel!P14</f>
        <v>791</v>
      </c>
      <c r="J7" s="11">
        <f>Hotel!U14</f>
        <v>436</v>
      </c>
      <c r="K7" s="11">
        <f>Hotel!Y14</f>
        <v>61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>
        <f>IF(([1]Submeters!AY13-[1]Submeters!AY12)&lt;0,"0",[1]Submeters!AY13-[1]Submeters!AY12)</f>
        <v>285</v>
      </c>
      <c r="BJ7" s="23" t="e">
        <f>IF(([1]Submeters!AZ13-[1]Submeters!AZ12)&lt;0,"0",[1]Submeters!AZ13-[1]Submeters!AZ12)</f>
        <v>#REF!</v>
      </c>
      <c r="BK7" s="23" t="e">
        <f>IF(([1]Submeters!BA13-[1]Submeters!BA12)&lt;0,"0",[1]Submeters!BA13-[1]Submeters!BA12)</f>
        <v>#REF!</v>
      </c>
      <c r="BL7" s="23" t="e">
        <f>IF(([1]Submeters!BB13-[1]Submeters!BB12)&lt;0,"0",[1]Submeters!BB13-[1]Submeters!BB12)</f>
        <v>#REF!</v>
      </c>
      <c r="BM7" s="23" t="e">
        <f>IF(([1]Submeters!BC13-[1]Submeters!BC12)&lt;0,"0",[1]Submeters!BC13-[1]Submeters!BC12)</f>
        <v>#REF!</v>
      </c>
      <c r="BN7" s="23" t="e">
        <f>IF(([1]Submeters!BD13-[1]Submeters!BD12)&lt;0,"0",[1]Submeters!BD13-[1]Submeters!BD12)</f>
        <v>#REF!</v>
      </c>
      <c r="BO7" s="23" t="e">
        <f>IF(([1]Submeters!BE13-[1]Submeters!BE12)&lt;0,"0",[1]Submeters!BE13-[1]Submeters!BE12)</f>
        <v>#REF!</v>
      </c>
      <c r="BP7" s="23" t="e">
        <f>IF(([1]Submeters!BF13-[1]Submeters!BF12)&lt;0,"0",[1]Submeters!BF13-[1]Submeters!BF12)</f>
        <v>#REF!</v>
      </c>
      <c r="BQ7" s="23" t="e">
        <f>IF(([1]Submeters!BG13-[1]Submeters!BG12)&lt;0,"0",[1]Submeters!BG13-[1]Submeters!BG12)</f>
        <v>#REF!</v>
      </c>
      <c r="BR7" s="23" t="e">
        <f>IF(([1]Submeters!BH13-[1]Submeters!BH12)&lt;0,"0",[1]Submeters!BH13-[1]Submeters!BH12)</f>
        <v>#REF!</v>
      </c>
      <c r="BS7" s="23" t="e">
        <f>IF(([1]Submeters!BI13-[1]Submeters!BI12)&lt;0,"0",[1]Submeters!BI13-[1]Submeters!BI12)</f>
        <v>#REF!</v>
      </c>
      <c r="BT7" s="23" t="e">
        <f>IF(([1]Submeters!BJ13-[1]Submeters!BJ12)&lt;0,"0",[1]Submeters!BJ13-[1]Submeters!BJ12)</f>
        <v>#REF!</v>
      </c>
      <c r="BU7" s="23" t="e">
        <f>IF(([1]Submeters!BK13-[1]Submeters!BK12)&lt;0,"0",[1]Submeters!BK13-[1]Submeters!BK12)</f>
        <v>#REF!</v>
      </c>
      <c r="BV7" s="23" t="e">
        <f>IF(([1]Submeters!BL13-[1]Submeters!BL12)&lt;0,"0",[1]Submeters!BL13-[1]Submeters!BL12)</f>
        <v>#REF!</v>
      </c>
      <c r="BW7" s="23" t="e">
        <f>IF(([1]Submeters!BM13-[1]Submeters!BM12)&lt;0,"0",[1]Submeters!BM13-[1]Submeters!BM12)</f>
        <v>#REF!</v>
      </c>
      <c r="BX7" s="23" t="e">
        <f>IF(([1]Submeters!BN13-[1]Submeters!BN12)&lt;0,"0",[1]Submeters!BN13-[1]Submeters!BN12)</f>
        <v>#REF!</v>
      </c>
      <c r="BY7" s="23" t="e">
        <f>IF(([1]Submeters!BO13-[1]Submeters!BO12)&lt;0,"0",[1]Submeters!BO13-[1]Submeters!BO12)</f>
        <v>#REF!</v>
      </c>
      <c r="BZ7" s="23" t="e">
        <f>IF(([1]Submeters!BP13-[1]Submeters!BP12)&lt;0,"0",[1]Submeters!BP13-[1]Submeters!BP12)</f>
        <v>#REF!</v>
      </c>
      <c r="CA7" s="23" t="e">
        <f>IF(([1]Submeters!BQ13-[1]Submeters!BQ12)&lt;0,"0",[1]Submeters!BQ13-[1]Submeters!BQ12)</f>
        <v>#REF!</v>
      </c>
      <c r="CB7" s="23" t="e">
        <f>IF(([1]Submeters!BR13-[1]Submeters!BR12)&lt;0,"0",[1]Submeters!BR13-[1]Submeters!BR12)</f>
        <v>#REF!</v>
      </c>
      <c r="CC7" s="23" t="e">
        <f>IF(([1]Submeters!BS13-[1]Submeters!BS12)&lt;0,"0",[1]Submeters!BS13-[1]Submeters!BS12)</f>
        <v>#REF!</v>
      </c>
      <c r="CD7" s="23" t="e">
        <f>IF(([1]Submeters!BT13-[1]Submeters!BT12)&lt;0,"0",[1]Submeters!BT13-[1]Submeters!BT12)</f>
        <v>#REF!</v>
      </c>
      <c r="CE7" s="23" t="e">
        <f>IF(([1]Submeters!BU13-[1]Submeters!BU12)&lt;0,"0",[1]Submeters!BU13-[1]Submeters!BU12)</f>
        <v>#REF!</v>
      </c>
      <c r="CF7" s="23" t="e">
        <f>IF(([1]Submeters!BV13-[1]Submeters!BV12)&lt;0,"0",[1]Submeters!BV13-[1]Submeters!BV12)</f>
        <v>#REF!</v>
      </c>
      <c r="CG7" s="23" t="e">
        <f>IF(([1]Submeters!BW13-[1]Submeters!BW12)&lt;0,"0",[1]Submeters!BW13-[1]Submeters!BW12)</f>
        <v>#REF!</v>
      </c>
      <c r="CH7" s="23" t="e">
        <f>IF(([1]Submeters!BX13-[1]Submeters!BX12)&lt;0,"0",[1]Submeters!BX13-[1]Submeters!BX12)</f>
        <v>#REF!</v>
      </c>
      <c r="CI7" s="23" t="e">
        <f>IF(([1]Submeters!BY13-[1]Submeters!BY12)&lt;0,"0",[1]Submeters!BY13-[1]Submeters!BY12)</f>
        <v>#REF!</v>
      </c>
      <c r="CJ7" s="23" t="e">
        <f>IF(([1]Submeters!BZ13-[1]Submeters!BZ12)&lt;0,"0",[1]Submeters!BZ13-[1]Submeters!BZ12)</f>
        <v>#REF!</v>
      </c>
      <c r="CK7" s="23" t="e">
        <f>IF(([1]Submeters!CA13-[1]Submeters!CA12)&lt;0,"0",[1]Submeters!CA13-[1]Submeters!CA12)</f>
        <v>#REF!</v>
      </c>
      <c r="CL7" s="23" t="e">
        <f>IF(([1]Submeters!CB13-[1]Submeters!CB12)&lt;0,"0",[1]Submeters!CB13-[1]Submeters!CB12)</f>
        <v>#REF!</v>
      </c>
      <c r="CM7" s="23" t="e">
        <f>IF(([1]Submeters!CC13-[1]Submeters!CC12)&lt;0,"0",[1]Submeters!CC13-[1]Submeters!CC12)</f>
        <v>#REF!</v>
      </c>
      <c r="CN7" s="23" t="e">
        <f>IF(([1]Submeters!CD13-[1]Submeters!CD12)&lt;0,"0",[1]Submeters!CD13-[1]Submeters!CD12)</f>
        <v>#REF!</v>
      </c>
      <c r="CO7" s="23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7</v>
      </c>
      <c r="D8" s="10">
        <v>2021</v>
      </c>
      <c r="E8" s="11">
        <f>Hotel!D15</f>
        <v>4921</v>
      </c>
      <c r="F8" s="11">
        <f>Hotel!F15</f>
        <v>4882</v>
      </c>
      <c r="G8" s="11">
        <f>Hotel!H15</f>
        <v>4598</v>
      </c>
      <c r="H8" s="11">
        <f>Hotel!N15</f>
        <v>130</v>
      </c>
      <c r="I8" s="11">
        <f>Hotel!P15</f>
        <v>804</v>
      </c>
      <c r="J8" s="11">
        <f>Hotel!U15</f>
        <v>421</v>
      </c>
      <c r="K8" s="11">
        <f>Hotel!Y15</f>
        <v>67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>
        <f>IF(([1]Submeters!AY14-[1]Submeters!AY13)&lt;0,"0",[1]Submeters!AY14-[1]Submeters!AY13)</f>
        <v>367</v>
      </c>
      <c r="BJ8" s="23" t="e">
        <f>IF(([1]Submeters!AZ14-[1]Submeters!AZ13)&lt;0,"0",[1]Submeters!AZ14-[1]Submeters!AZ13)</f>
        <v>#REF!</v>
      </c>
      <c r="BK8" s="23" t="e">
        <f>IF(([1]Submeters!BA14-[1]Submeters!BA13)&lt;0,"0",[1]Submeters!BA14-[1]Submeters!BA13)</f>
        <v>#REF!</v>
      </c>
      <c r="BL8" s="23" t="e">
        <f>IF(([1]Submeters!BB14-[1]Submeters!BB13)&lt;0,"0",[1]Submeters!BB14-[1]Submeters!BB13)</f>
        <v>#REF!</v>
      </c>
      <c r="BM8" s="23" t="e">
        <f>IF(([1]Submeters!BC14-[1]Submeters!BC13)&lt;0,"0",[1]Submeters!BC14-[1]Submeters!BC13)</f>
        <v>#REF!</v>
      </c>
      <c r="BN8" s="23" t="e">
        <f>IF(([1]Submeters!BD14-[1]Submeters!BD13)&lt;0,"0",[1]Submeters!BD14-[1]Submeters!BD13)</f>
        <v>#REF!</v>
      </c>
      <c r="BO8" s="23" t="e">
        <f>IF(([1]Submeters!BE14-[1]Submeters!BE13)&lt;0,"0",[1]Submeters!BE14-[1]Submeters!BE13)</f>
        <v>#REF!</v>
      </c>
      <c r="BP8" s="23" t="e">
        <f>IF(([1]Submeters!BF14-[1]Submeters!BF13)&lt;0,"0",[1]Submeters!BF14-[1]Submeters!BF13)</f>
        <v>#REF!</v>
      </c>
      <c r="BQ8" s="23" t="e">
        <f>IF(([1]Submeters!BG14-[1]Submeters!BG13)&lt;0,"0",[1]Submeters!BG14-[1]Submeters!BG13)</f>
        <v>#REF!</v>
      </c>
      <c r="BR8" s="23" t="e">
        <f>IF(([1]Submeters!BH14-[1]Submeters!BH13)&lt;0,"0",[1]Submeters!BH14-[1]Submeters!BH13)</f>
        <v>#REF!</v>
      </c>
      <c r="BS8" s="23" t="e">
        <f>IF(([1]Submeters!BI14-[1]Submeters!BI13)&lt;0,"0",[1]Submeters!BI14-[1]Submeters!BI13)</f>
        <v>#REF!</v>
      </c>
      <c r="BT8" s="23" t="e">
        <f>IF(([1]Submeters!BJ14-[1]Submeters!BJ13)&lt;0,"0",[1]Submeters!BJ14-[1]Submeters!BJ13)</f>
        <v>#REF!</v>
      </c>
      <c r="BU8" s="23" t="e">
        <f>IF(([1]Submeters!BK14-[1]Submeters!BK13)&lt;0,"0",[1]Submeters!BK14-[1]Submeters!BK13)</f>
        <v>#REF!</v>
      </c>
      <c r="BV8" s="23" t="e">
        <f>IF(([1]Submeters!BL14-[1]Submeters!BL13)&lt;0,"0",[1]Submeters!BL14-[1]Submeters!BL13)</f>
        <v>#REF!</v>
      </c>
      <c r="BW8" s="23" t="e">
        <f>IF(([1]Submeters!BM14-[1]Submeters!BM13)&lt;0,"0",[1]Submeters!BM14-[1]Submeters!BM13)</f>
        <v>#REF!</v>
      </c>
      <c r="BX8" s="23" t="e">
        <f>IF(([1]Submeters!BN14-[1]Submeters!BN13)&lt;0,"0",[1]Submeters!BN14-[1]Submeters!BN13)</f>
        <v>#REF!</v>
      </c>
      <c r="BY8" s="23" t="e">
        <f>IF(([1]Submeters!BO14-[1]Submeters!BO13)&lt;0,"0",[1]Submeters!BO14-[1]Submeters!BO13)</f>
        <v>#REF!</v>
      </c>
      <c r="BZ8" s="23" t="e">
        <f>IF(([1]Submeters!BP14-[1]Submeters!BP13)&lt;0,"0",[1]Submeters!BP14-[1]Submeters!BP13)</f>
        <v>#REF!</v>
      </c>
      <c r="CA8" s="23" t="e">
        <f>IF(([1]Submeters!BQ14-[1]Submeters!BQ13)&lt;0,"0",[1]Submeters!BQ14-[1]Submeters!BQ13)</f>
        <v>#REF!</v>
      </c>
      <c r="CB8" s="23" t="e">
        <f>IF(([1]Submeters!BR14-[1]Submeters!BR13)&lt;0,"0",[1]Submeters!BR14-[1]Submeters!BR13)</f>
        <v>#REF!</v>
      </c>
      <c r="CC8" s="23" t="e">
        <f>IF(([1]Submeters!BS14-[1]Submeters!BS13)&lt;0,"0",[1]Submeters!BS14-[1]Submeters!BS13)</f>
        <v>#REF!</v>
      </c>
      <c r="CD8" s="23" t="e">
        <f>IF(([1]Submeters!BT14-[1]Submeters!BT13)&lt;0,"0",[1]Submeters!BT14-[1]Submeters!BT13)</f>
        <v>#REF!</v>
      </c>
      <c r="CE8" s="23" t="e">
        <f>IF(([1]Submeters!BU14-[1]Submeters!BU13)&lt;0,"0",[1]Submeters!BU14-[1]Submeters!BU13)</f>
        <v>#REF!</v>
      </c>
      <c r="CF8" s="23" t="e">
        <f>IF(([1]Submeters!BV14-[1]Submeters!BV13)&lt;0,"0",[1]Submeters!BV14-[1]Submeters!BV13)</f>
        <v>#REF!</v>
      </c>
      <c r="CG8" s="23" t="e">
        <f>IF(([1]Submeters!BW14-[1]Submeters!BW13)&lt;0,"0",[1]Submeters!BW14-[1]Submeters!BW13)</f>
        <v>#REF!</v>
      </c>
      <c r="CH8" s="23" t="e">
        <f>IF(([1]Submeters!BX14-[1]Submeters!BX13)&lt;0,"0",[1]Submeters!BX14-[1]Submeters!BX13)</f>
        <v>#REF!</v>
      </c>
      <c r="CI8" s="23" t="e">
        <f>IF(([1]Submeters!BY14-[1]Submeters!BY13)&lt;0,"0",[1]Submeters!BY14-[1]Submeters!BY13)</f>
        <v>#REF!</v>
      </c>
      <c r="CJ8" s="23" t="e">
        <f>IF(([1]Submeters!BZ14-[1]Submeters!BZ13)&lt;0,"0",[1]Submeters!BZ14-[1]Submeters!BZ13)</f>
        <v>#REF!</v>
      </c>
      <c r="CK8" s="23" t="e">
        <f>IF(([1]Submeters!CA14-[1]Submeters!CA13)&lt;0,"0",[1]Submeters!CA14-[1]Submeters!CA13)</f>
        <v>#REF!</v>
      </c>
      <c r="CL8" s="23" t="e">
        <f>IF(([1]Submeters!CB14-[1]Submeters!CB13)&lt;0,"0",[1]Submeters!CB14-[1]Submeters!CB13)</f>
        <v>#REF!</v>
      </c>
      <c r="CM8" s="23" t="e">
        <f>IF(([1]Submeters!CC14-[1]Submeters!CC13)&lt;0,"0",[1]Submeters!CC14-[1]Submeters!CC13)</f>
        <v>#REF!</v>
      </c>
      <c r="CN8" s="23" t="e">
        <f>IF(([1]Submeters!CD14-[1]Submeters!CD13)&lt;0,"0",[1]Submeters!CD14-[1]Submeters!CD13)</f>
        <v>#REF!</v>
      </c>
      <c r="CO8" s="23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7</v>
      </c>
      <c r="D9" s="10">
        <v>2021</v>
      </c>
      <c r="E9" s="11">
        <f>Hotel!D16</f>
        <v>4919</v>
      </c>
      <c r="F9" s="11">
        <f>Hotel!F16</f>
        <v>4888</v>
      </c>
      <c r="G9" s="11">
        <f>Hotel!H16</f>
        <v>4599</v>
      </c>
      <c r="H9" s="11">
        <f>Hotel!N16</f>
        <v>130</v>
      </c>
      <c r="I9" s="11">
        <f>Hotel!P16</f>
        <v>907</v>
      </c>
      <c r="J9" s="11">
        <f>Hotel!U16</f>
        <v>399</v>
      </c>
      <c r="K9" s="11">
        <f>Hotel!Y16</f>
        <v>76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>
        <f>IF(([1]Submeters!AY15-[1]Submeters!AY14)&lt;0,"0",[1]Submeters!AY15-[1]Submeters!AY14)</f>
        <v>196</v>
      </c>
      <c r="BJ9" s="23" t="e">
        <f>IF(([1]Submeters!AZ15-[1]Submeters!AZ14)&lt;0,"0",[1]Submeters!AZ15-[1]Submeters!AZ14)</f>
        <v>#REF!</v>
      </c>
      <c r="BK9" s="23" t="e">
        <f>IF(([1]Submeters!BA15-[1]Submeters!BA14)&lt;0,"0",[1]Submeters!BA15-[1]Submeters!BA14)</f>
        <v>#REF!</v>
      </c>
      <c r="BL9" s="23" t="e">
        <f>IF(([1]Submeters!BB15-[1]Submeters!BB14)&lt;0,"0",[1]Submeters!BB15-[1]Submeters!BB14)</f>
        <v>#REF!</v>
      </c>
      <c r="BM9" s="23" t="e">
        <f>IF(([1]Submeters!BC15-[1]Submeters!BC14)&lt;0,"0",[1]Submeters!BC15-[1]Submeters!BC14)</f>
        <v>#REF!</v>
      </c>
      <c r="BN9" s="23" t="e">
        <f>IF(([1]Submeters!BD15-[1]Submeters!BD14)&lt;0,"0",[1]Submeters!BD15-[1]Submeters!BD14)</f>
        <v>#REF!</v>
      </c>
      <c r="BO9" s="23" t="e">
        <f>IF(([1]Submeters!BE15-[1]Submeters!BE14)&lt;0,"0",[1]Submeters!BE15-[1]Submeters!BE14)</f>
        <v>#REF!</v>
      </c>
      <c r="BP9" s="23" t="e">
        <f>IF(([1]Submeters!BF15-[1]Submeters!BF14)&lt;0,"0",[1]Submeters!BF15-[1]Submeters!BF14)</f>
        <v>#REF!</v>
      </c>
      <c r="BQ9" s="23" t="e">
        <f>IF(([1]Submeters!BG15-[1]Submeters!BG14)&lt;0,"0",[1]Submeters!BG15-[1]Submeters!BG14)</f>
        <v>#REF!</v>
      </c>
      <c r="BR9" s="23" t="e">
        <f>IF(([1]Submeters!BH15-[1]Submeters!BH14)&lt;0,"0",[1]Submeters!BH15-[1]Submeters!BH14)</f>
        <v>#REF!</v>
      </c>
      <c r="BS9" s="23" t="e">
        <f>IF(([1]Submeters!BI15-[1]Submeters!BI14)&lt;0,"0",[1]Submeters!BI15-[1]Submeters!BI14)</f>
        <v>#REF!</v>
      </c>
      <c r="BT9" s="23" t="e">
        <f>IF(([1]Submeters!BJ15-[1]Submeters!BJ14)&lt;0,"0",[1]Submeters!BJ15-[1]Submeters!BJ14)</f>
        <v>#REF!</v>
      </c>
      <c r="BU9" s="23" t="e">
        <f>IF(([1]Submeters!BK15-[1]Submeters!BK14)&lt;0,"0",[1]Submeters!BK15-[1]Submeters!BK14)</f>
        <v>#REF!</v>
      </c>
      <c r="BV9" s="23" t="e">
        <f>IF(([1]Submeters!BL15-[1]Submeters!BL14)&lt;0,"0",[1]Submeters!BL15-[1]Submeters!BL14)</f>
        <v>#REF!</v>
      </c>
      <c r="BW9" s="23" t="e">
        <f>IF(([1]Submeters!BM15-[1]Submeters!BM14)&lt;0,"0",[1]Submeters!BM15-[1]Submeters!BM14)</f>
        <v>#REF!</v>
      </c>
      <c r="BX9" s="23" t="e">
        <f>IF(([1]Submeters!BN15-[1]Submeters!BN14)&lt;0,"0",[1]Submeters!BN15-[1]Submeters!BN14)</f>
        <v>#REF!</v>
      </c>
      <c r="BY9" s="23" t="e">
        <f>IF(([1]Submeters!BO15-[1]Submeters!BO14)&lt;0,"0",[1]Submeters!BO15-[1]Submeters!BO14)</f>
        <v>#REF!</v>
      </c>
      <c r="BZ9" s="23" t="e">
        <f>IF(([1]Submeters!BP15-[1]Submeters!BP14)&lt;0,"0",[1]Submeters!BP15-[1]Submeters!BP14)</f>
        <v>#REF!</v>
      </c>
      <c r="CA9" s="23" t="e">
        <f>IF(([1]Submeters!BQ15-[1]Submeters!BQ14)&lt;0,"0",[1]Submeters!BQ15-[1]Submeters!BQ14)</f>
        <v>#REF!</v>
      </c>
      <c r="CB9" s="23" t="e">
        <f>IF(([1]Submeters!BR15-[1]Submeters!BR14)&lt;0,"0",[1]Submeters!BR15-[1]Submeters!BR14)</f>
        <v>#REF!</v>
      </c>
      <c r="CC9" s="23" t="e">
        <f>IF(([1]Submeters!BS15-[1]Submeters!BS14)&lt;0,"0",[1]Submeters!BS15-[1]Submeters!BS14)</f>
        <v>#REF!</v>
      </c>
      <c r="CD9" s="23" t="e">
        <f>IF(([1]Submeters!BT15-[1]Submeters!BT14)&lt;0,"0",[1]Submeters!BT15-[1]Submeters!BT14)</f>
        <v>#REF!</v>
      </c>
      <c r="CE9" s="23" t="e">
        <f>IF(([1]Submeters!BU15-[1]Submeters!BU14)&lt;0,"0",[1]Submeters!BU15-[1]Submeters!BU14)</f>
        <v>#REF!</v>
      </c>
      <c r="CF9" s="23" t="e">
        <f>IF(([1]Submeters!BV15-[1]Submeters!BV14)&lt;0,"0",[1]Submeters!BV15-[1]Submeters!BV14)</f>
        <v>#REF!</v>
      </c>
      <c r="CG9" s="23" t="e">
        <f>IF(([1]Submeters!BW15-[1]Submeters!BW14)&lt;0,"0",[1]Submeters!BW15-[1]Submeters!BW14)</f>
        <v>#REF!</v>
      </c>
      <c r="CH9" s="23" t="e">
        <f>IF(([1]Submeters!BX15-[1]Submeters!BX14)&lt;0,"0",[1]Submeters!BX15-[1]Submeters!BX14)</f>
        <v>#REF!</v>
      </c>
      <c r="CI9" s="23" t="e">
        <f>IF(([1]Submeters!BY15-[1]Submeters!BY14)&lt;0,"0",[1]Submeters!BY15-[1]Submeters!BY14)</f>
        <v>#REF!</v>
      </c>
      <c r="CJ9" s="23" t="e">
        <f>IF(([1]Submeters!BZ15-[1]Submeters!BZ14)&lt;0,"0",[1]Submeters!BZ15-[1]Submeters!BZ14)</f>
        <v>#REF!</v>
      </c>
      <c r="CK9" s="23" t="e">
        <f>IF(([1]Submeters!CA15-[1]Submeters!CA14)&lt;0,"0",[1]Submeters!CA15-[1]Submeters!CA14)</f>
        <v>#REF!</v>
      </c>
      <c r="CL9" s="23" t="e">
        <f>IF(([1]Submeters!CB15-[1]Submeters!CB14)&lt;0,"0",[1]Submeters!CB15-[1]Submeters!CB14)</f>
        <v>#REF!</v>
      </c>
      <c r="CM9" s="23" t="e">
        <f>IF(([1]Submeters!CC15-[1]Submeters!CC14)&lt;0,"0",[1]Submeters!CC15-[1]Submeters!CC14)</f>
        <v>#REF!</v>
      </c>
      <c r="CN9" s="23" t="e">
        <f>IF(([1]Submeters!CD15-[1]Submeters!CD14)&lt;0,"0",[1]Submeters!CD15-[1]Submeters!CD14)</f>
        <v>#REF!</v>
      </c>
      <c r="CO9" s="23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7</v>
      </c>
      <c r="D10" s="10">
        <v>2021</v>
      </c>
      <c r="E10" s="11">
        <f>Hotel!D17</f>
        <v>5138</v>
      </c>
      <c r="F10" s="11">
        <f>Hotel!F17</f>
        <v>5079</v>
      </c>
      <c r="G10" s="11">
        <f>Hotel!H17</f>
        <v>4814</v>
      </c>
      <c r="H10" s="11">
        <f>Hotel!N17</f>
        <v>121</v>
      </c>
      <c r="I10" s="11">
        <f>Hotel!P17</f>
        <v>948</v>
      </c>
      <c r="J10" s="11">
        <f>Hotel!U17</f>
        <v>303</v>
      </c>
      <c r="K10" s="11">
        <f>Hotel!Y17</f>
        <v>85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>
        <f>IF(([1]Submeters!AY16-[1]Submeters!AY15)&lt;0,"0",[1]Submeters!AY16-[1]Submeters!AY15)</f>
        <v>226</v>
      </c>
      <c r="BJ10" s="23" t="e">
        <f>IF(([1]Submeters!AZ16-[1]Submeters!AZ15)&lt;0,"0",[1]Submeters!AZ16-[1]Submeters!AZ15)</f>
        <v>#REF!</v>
      </c>
      <c r="BK10" s="23" t="e">
        <f>IF(([1]Submeters!BA16-[1]Submeters!BA15)&lt;0,"0",[1]Submeters!BA16-[1]Submeters!BA15)</f>
        <v>#REF!</v>
      </c>
      <c r="BL10" s="23" t="e">
        <f>IF(([1]Submeters!BB16-[1]Submeters!BB15)&lt;0,"0",[1]Submeters!BB16-[1]Submeters!BB15)</f>
        <v>#REF!</v>
      </c>
      <c r="BM10" s="23" t="e">
        <f>IF(([1]Submeters!BC16-[1]Submeters!BC15)&lt;0,"0",[1]Submeters!BC16-[1]Submeters!BC15)</f>
        <v>#REF!</v>
      </c>
      <c r="BN10" s="23" t="e">
        <f>IF(([1]Submeters!BD16-[1]Submeters!BD15)&lt;0,"0",[1]Submeters!BD16-[1]Submeters!BD15)</f>
        <v>#REF!</v>
      </c>
      <c r="BO10" s="23" t="e">
        <f>IF(([1]Submeters!BE16-[1]Submeters!BE15)&lt;0,"0",[1]Submeters!BE16-[1]Submeters!BE15)</f>
        <v>#REF!</v>
      </c>
      <c r="BP10" s="23" t="e">
        <f>IF(([1]Submeters!BF16-[1]Submeters!BF15)&lt;0,"0",[1]Submeters!BF16-[1]Submeters!BF15)</f>
        <v>#REF!</v>
      </c>
      <c r="BQ10" s="23" t="e">
        <f>IF(([1]Submeters!BG16-[1]Submeters!BG15)&lt;0,"0",[1]Submeters!BG16-[1]Submeters!BG15)</f>
        <v>#REF!</v>
      </c>
      <c r="BR10" s="23" t="e">
        <f>IF(([1]Submeters!BH16-[1]Submeters!BH15)&lt;0,"0",[1]Submeters!BH16-[1]Submeters!BH15)</f>
        <v>#REF!</v>
      </c>
      <c r="BS10" s="23" t="e">
        <f>IF(([1]Submeters!BI16-[1]Submeters!BI15)&lt;0,"0",[1]Submeters!BI16-[1]Submeters!BI15)</f>
        <v>#REF!</v>
      </c>
      <c r="BT10" s="23" t="e">
        <f>IF(([1]Submeters!BJ16-[1]Submeters!BJ15)&lt;0,"0",[1]Submeters!BJ16-[1]Submeters!BJ15)</f>
        <v>#REF!</v>
      </c>
      <c r="BU10" s="23" t="e">
        <f>IF(([1]Submeters!BK16-[1]Submeters!BK15)&lt;0,"0",[1]Submeters!BK16-[1]Submeters!BK15)</f>
        <v>#REF!</v>
      </c>
      <c r="BV10" s="23" t="e">
        <f>IF(([1]Submeters!BL16-[1]Submeters!BL15)&lt;0,"0",[1]Submeters!BL16-[1]Submeters!BL15)</f>
        <v>#REF!</v>
      </c>
      <c r="BW10" s="23" t="e">
        <f>IF(([1]Submeters!BM16-[1]Submeters!BM15)&lt;0,"0",[1]Submeters!BM16-[1]Submeters!BM15)</f>
        <v>#REF!</v>
      </c>
      <c r="BX10" s="23" t="e">
        <f>IF(([1]Submeters!BN16-[1]Submeters!BN15)&lt;0,"0",[1]Submeters!BN16-[1]Submeters!BN15)</f>
        <v>#REF!</v>
      </c>
      <c r="BY10" s="23" t="e">
        <f>IF(([1]Submeters!BO16-[1]Submeters!BO15)&lt;0,"0",[1]Submeters!BO16-[1]Submeters!BO15)</f>
        <v>#REF!</v>
      </c>
      <c r="BZ10" s="23" t="e">
        <f>IF(([1]Submeters!BP16-[1]Submeters!BP15)&lt;0,"0",[1]Submeters!BP16-[1]Submeters!BP15)</f>
        <v>#REF!</v>
      </c>
      <c r="CA10" s="23" t="e">
        <f>IF(([1]Submeters!BQ16-[1]Submeters!BQ15)&lt;0,"0",[1]Submeters!BQ16-[1]Submeters!BQ15)</f>
        <v>#REF!</v>
      </c>
      <c r="CB10" s="23" t="e">
        <f>IF(([1]Submeters!BR16-[1]Submeters!BR15)&lt;0,"0",[1]Submeters!BR16-[1]Submeters!BR15)</f>
        <v>#REF!</v>
      </c>
      <c r="CC10" s="23" t="e">
        <f>IF(([1]Submeters!BS16-[1]Submeters!BS15)&lt;0,"0",[1]Submeters!BS16-[1]Submeters!BS15)</f>
        <v>#REF!</v>
      </c>
      <c r="CD10" s="23" t="e">
        <f>IF(([1]Submeters!BT16-[1]Submeters!BT15)&lt;0,"0",[1]Submeters!BT16-[1]Submeters!BT15)</f>
        <v>#REF!</v>
      </c>
      <c r="CE10" s="23" t="e">
        <f>IF(([1]Submeters!BU16-[1]Submeters!BU15)&lt;0,"0",[1]Submeters!BU16-[1]Submeters!BU15)</f>
        <v>#REF!</v>
      </c>
      <c r="CF10" s="23" t="e">
        <f>IF(([1]Submeters!BV16-[1]Submeters!BV15)&lt;0,"0",[1]Submeters!BV16-[1]Submeters!BV15)</f>
        <v>#REF!</v>
      </c>
      <c r="CG10" s="23" t="e">
        <f>IF(([1]Submeters!BW16-[1]Submeters!BW15)&lt;0,"0",[1]Submeters!BW16-[1]Submeters!BW15)</f>
        <v>#REF!</v>
      </c>
      <c r="CH10" s="23" t="e">
        <f>IF(([1]Submeters!BX16-[1]Submeters!BX15)&lt;0,"0",[1]Submeters!BX16-[1]Submeters!BX15)</f>
        <v>#REF!</v>
      </c>
      <c r="CI10" s="23" t="e">
        <f>IF(([1]Submeters!BY16-[1]Submeters!BY15)&lt;0,"0",[1]Submeters!BY16-[1]Submeters!BY15)</f>
        <v>#REF!</v>
      </c>
      <c r="CJ10" s="23" t="e">
        <f>IF(([1]Submeters!BZ16-[1]Submeters!BZ15)&lt;0,"0",[1]Submeters!BZ16-[1]Submeters!BZ15)</f>
        <v>#REF!</v>
      </c>
      <c r="CK10" s="23" t="e">
        <f>IF(([1]Submeters!CA16-[1]Submeters!CA15)&lt;0,"0",[1]Submeters!CA16-[1]Submeters!CA15)</f>
        <v>#REF!</v>
      </c>
      <c r="CL10" s="23" t="e">
        <f>IF(([1]Submeters!CB16-[1]Submeters!CB15)&lt;0,"0",[1]Submeters!CB16-[1]Submeters!CB15)</f>
        <v>#REF!</v>
      </c>
      <c r="CM10" s="23" t="e">
        <f>IF(([1]Submeters!CC16-[1]Submeters!CC15)&lt;0,"0",[1]Submeters!CC16-[1]Submeters!CC15)</f>
        <v>#REF!</v>
      </c>
      <c r="CN10" s="23" t="e">
        <f>IF(([1]Submeters!CD16-[1]Submeters!CD15)&lt;0,"0",[1]Submeters!CD16-[1]Submeters!CD15)</f>
        <v>#REF!</v>
      </c>
      <c r="CO10" s="23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7</v>
      </c>
      <c r="D11" s="10">
        <v>2021</v>
      </c>
      <c r="E11" s="11">
        <f>Hotel!D18</f>
        <v>4878</v>
      </c>
      <c r="F11" s="11">
        <f>Hotel!F18</f>
        <v>4835</v>
      </c>
      <c r="G11" s="11">
        <f>Hotel!H18</f>
        <v>4567</v>
      </c>
      <c r="H11" s="11">
        <f>Hotel!N18</f>
        <v>147</v>
      </c>
      <c r="I11" s="11">
        <f>Hotel!P18</f>
        <v>787</v>
      </c>
      <c r="J11" s="11">
        <f>Hotel!U18</f>
        <v>326</v>
      </c>
      <c r="K11" s="11">
        <f>Hotel!Y18</f>
        <v>107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>
        <f>IF(([1]Submeters!AY17-[1]Submeters!AY16)&lt;0,"0",[1]Submeters!AY17-[1]Submeters!AY16)</f>
        <v>300</v>
      </c>
      <c r="BJ11" s="23" t="e">
        <f>IF(([1]Submeters!AZ17-[1]Submeters!AZ16)&lt;0,"0",[1]Submeters!AZ17-[1]Submeters!AZ16)</f>
        <v>#REF!</v>
      </c>
      <c r="BK11" s="23" t="e">
        <f>IF(([1]Submeters!BA17-[1]Submeters!BA16)&lt;0,"0",[1]Submeters!BA17-[1]Submeters!BA16)</f>
        <v>#REF!</v>
      </c>
      <c r="BL11" s="23" t="e">
        <f>IF(([1]Submeters!BB17-[1]Submeters!BB16)&lt;0,"0",[1]Submeters!BB17-[1]Submeters!BB16)</f>
        <v>#REF!</v>
      </c>
      <c r="BM11" s="23" t="e">
        <f>IF(([1]Submeters!BC17-[1]Submeters!BC16)&lt;0,"0",[1]Submeters!BC17-[1]Submeters!BC16)</f>
        <v>#REF!</v>
      </c>
      <c r="BN11" s="23" t="e">
        <f>IF(([1]Submeters!BD17-[1]Submeters!BD16)&lt;0,"0",[1]Submeters!BD17-[1]Submeters!BD16)</f>
        <v>#REF!</v>
      </c>
      <c r="BO11" s="23" t="e">
        <f>IF(([1]Submeters!BE17-[1]Submeters!BE16)&lt;0,"0",[1]Submeters!BE17-[1]Submeters!BE16)</f>
        <v>#REF!</v>
      </c>
      <c r="BP11" s="23" t="e">
        <f>IF(([1]Submeters!BF17-[1]Submeters!BF16)&lt;0,"0",[1]Submeters!BF17-[1]Submeters!BF16)</f>
        <v>#REF!</v>
      </c>
      <c r="BQ11" s="23" t="e">
        <f>IF(([1]Submeters!BG17-[1]Submeters!BG16)&lt;0,"0",[1]Submeters!BG17-[1]Submeters!BG16)</f>
        <v>#REF!</v>
      </c>
      <c r="BR11" s="23" t="e">
        <f>IF(([1]Submeters!BH17-[1]Submeters!BH16)&lt;0,"0",[1]Submeters!BH17-[1]Submeters!BH16)</f>
        <v>#REF!</v>
      </c>
      <c r="BS11" s="23" t="e">
        <f>IF(([1]Submeters!BI17-[1]Submeters!BI16)&lt;0,"0",[1]Submeters!BI17-[1]Submeters!BI16)</f>
        <v>#REF!</v>
      </c>
      <c r="BT11" s="23" t="e">
        <f>IF(([1]Submeters!BJ17-[1]Submeters!BJ16)&lt;0,"0",[1]Submeters!BJ17-[1]Submeters!BJ16)</f>
        <v>#REF!</v>
      </c>
      <c r="BU11" s="23" t="e">
        <f>IF(([1]Submeters!BK17-[1]Submeters!BK16)&lt;0,"0",[1]Submeters!BK17-[1]Submeters!BK16)</f>
        <v>#REF!</v>
      </c>
      <c r="BV11" s="23" t="e">
        <f>IF(([1]Submeters!BL17-[1]Submeters!BL16)&lt;0,"0",[1]Submeters!BL17-[1]Submeters!BL16)</f>
        <v>#REF!</v>
      </c>
      <c r="BW11" s="23" t="e">
        <f>IF(([1]Submeters!BM17-[1]Submeters!BM16)&lt;0,"0",[1]Submeters!BM17-[1]Submeters!BM16)</f>
        <v>#REF!</v>
      </c>
      <c r="BX11" s="23" t="e">
        <f>IF(([1]Submeters!BN17-[1]Submeters!BN16)&lt;0,"0",[1]Submeters!BN17-[1]Submeters!BN16)</f>
        <v>#REF!</v>
      </c>
      <c r="BY11" s="23" t="e">
        <f>IF(([1]Submeters!BO17-[1]Submeters!BO16)&lt;0,"0",[1]Submeters!BO17-[1]Submeters!BO16)</f>
        <v>#REF!</v>
      </c>
      <c r="BZ11" s="23" t="e">
        <f>IF(([1]Submeters!BP17-[1]Submeters!BP16)&lt;0,"0",[1]Submeters!BP17-[1]Submeters!BP16)</f>
        <v>#REF!</v>
      </c>
      <c r="CA11" s="23" t="e">
        <f>IF(([1]Submeters!BQ17-[1]Submeters!BQ16)&lt;0,"0",[1]Submeters!BQ17-[1]Submeters!BQ16)</f>
        <v>#REF!</v>
      </c>
      <c r="CB11" s="23" t="e">
        <f>IF(([1]Submeters!BR17-[1]Submeters!BR16)&lt;0,"0",[1]Submeters!BR17-[1]Submeters!BR16)</f>
        <v>#REF!</v>
      </c>
      <c r="CC11" s="23" t="e">
        <f>IF(([1]Submeters!BS17-[1]Submeters!BS16)&lt;0,"0",[1]Submeters!BS17-[1]Submeters!BS16)</f>
        <v>#REF!</v>
      </c>
      <c r="CD11" s="23" t="e">
        <f>IF(([1]Submeters!BT17-[1]Submeters!BT16)&lt;0,"0",[1]Submeters!BT17-[1]Submeters!BT16)</f>
        <v>#REF!</v>
      </c>
      <c r="CE11" s="23" t="e">
        <f>IF(([1]Submeters!BU17-[1]Submeters!BU16)&lt;0,"0",[1]Submeters!BU17-[1]Submeters!BU16)</f>
        <v>#REF!</v>
      </c>
      <c r="CF11" s="23" t="e">
        <f>IF(([1]Submeters!BV17-[1]Submeters!BV16)&lt;0,"0",[1]Submeters!BV17-[1]Submeters!BV16)</f>
        <v>#REF!</v>
      </c>
      <c r="CG11" s="23" t="e">
        <f>IF(([1]Submeters!BW17-[1]Submeters!BW16)&lt;0,"0",[1]Submeters!BW17-[1]Submeters!BW16)</f>
        <v>#REF!</v>
      </c>
      <c r="CH11" s="23" t="e">
        <f>IF(([1]Submeters!BX17-[1]Submeters!BX16)&lt;0,"0",[1]Submeters!BX17-[1]Submeters!BX16)</f>
        <v>#REF!</v>
      </c>
      <c r="CI11" s="23" t="e">
        <f>IF(([1]Submeters!BY17-[1]Submeters!BY16)&lt;0,"0",[1]Submeters!BY17-[1]Submeters!BY16)</f>
        <v>#REF!</v>
      </c>
      <c r="CJ11" s="23" t="e">
        <f>IF(([1]Submeters!BZ17-[1]Submeters!BZ16)&lt;0,"0",[1]Submeters!BZ17-[1]Submeters!BZ16)</f>
        <v>#REF!</v>
      </c>
      <c r="CK11" s="23" t="e">
        <f>IF(([1]Submeters!CA17-[1]Submeters!CA16)&lt;0,"0",[1]Submeters!CA17-[1]Submeters!CA16)</f>
        <v>#REF!</v>
      </c>
      <c r="CL11" s="23" t="e">
        <f>IF(([1]Submeters!CB17-[1]Submeters!CB16)&lt;0,"0",[1]Submeters!CB17-[1]Submeters!CB16)</f>
        <v>#REF!</v>
      </c>
      <c r="CM11" s="23" t="e">
        <f>IF(([1]Submeters!CC17-[1]Submeters!CC16)&lt;0,"0",[1]Submeters!CC17-[1]Submeters!CC16)</f>
        <v>#REF!</v>
      </c>
      <c r="CN11" s="23" t="e">
        <f>IF(([1]Submeters!CD17-[1]Submeters!CD16)&lt;0,"0",[1]Submeters!CD17-[1]Submeters!CD16)</f>
        <v>#REF!</v>
      </c>
      <c r="CO11" s="23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7</v>
      </c>
      <c r="D12" s="10">
        <v>2021</v>
      </c>
      <c r="E12" s="11">
        <f>Hotel!D19</f>
        <v>4586</v>
      </c>
      <c r="F12" s="11">
        <f>Hotel!F19</f>
        <v>4556</v>
      </c>
      <c r="G12" s="11">
        <f>Hotel!H19</f>
        <v>4308</v>
      </c>
      <c r="H12" s="11">
        <f>Hotel!N19</f>
        <v>167</v>
      </c>
      <c r="I12" s="11">
        <f>Hotel!P19</f>
        <v>838</v>
      </c>
      <c r="J12" s="11">
        <f>Hotel!U19</f>
        <v>411</v>
      </c>
      <c r="K12" s="11">
        <f>Hotel!Y19</f>
        <v>94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>
        <f>IF(([1]Submeters!AY18-[1]Submeters!AY17)&lt;0,"0",[1]Submeters!AY18-[1]Submeters!AY17)</f>
        <v>277</v>
      </c>
      <c r="BJ12" s="23" t="e">
        <f>IF(([1]Submeters!AZ18-[1]Submeters!AZ17)&lt;0,"0",[1]Submeters!AZ18-[1]Submeters!AZ17)</f>
        <v>#REF!</v>
      </c>
      <c r="BK12" s="23" t="e">
        <f>IF(([1]Submeters!BA18-[1]Submeters!BA17)&lt;0,"0",[1]Submeters!BA18-[1]Submeters!BA17)</f>
        <v>#REF!</v>
      </c>
      <c r="BL12" s="23" t="e">
        <f>IF(([1]Submeters!BB18-[1]Submeters!BB17)&lt;0,"0",[1]Submeters!BB18-[1]Submeters!BB17)</f>
        <v>#REF!</v>
      </c>
      <c r="BM12" s="23" t="e">
        <f>IF(([1]Submeters!BC18-[1]Submeters!BC17)&lt;0,"0",[1]Submeters!BC18-[1]Submeters!BC17)</f>
        <v>#REF!</v>
      </c>
      <c r="BN12" s="23" t="e">
        <f>IF(([1]Submeters!BD18-[1]Submeters!BD17)&lt;0,"0",[1]Submeters!BD18-[1]Submeters!BD17)</f>
        <v>#REF!</v>
      </c>
      <c r="BO12" s="23" t="e">
        <f>IF(([1]Submeters!BE18-[1]Submeters!BE17)&lt;0,"0",[1]Submeters!BE18-[1]Submeters!BE17)</f>
        <v>#REF!</v>
      </c>
      <c r="BP12" s="23" t="e">
        <f>IF(([1]Submeters!BF18-[1]Submeters!BF17)&lt;0,"0",[1]Submeters!BF18-[1]Submeters!BF17)</f>
        <v>#REF!</v>
      </c>
      <c r="BQ12" s="23" t="e">
        <f>IF(([1]Submeters!BG18-[1]Submeters!BG17)&lt;0,"0",[1]Submeters!BG18-[1]Submeters!BG17)</f>
        <v>#REF!</v>
      </c>
      <c r="BR12" s="23" t="e">
        <f>IF(([1]Submeters!BH18-[1]Submeters!BH17)&lt;0,"0",[1]Submeters!BH18-[1]Submeters!BH17)</f>
        <v>#REF!</v>
      </c>
      <c r="BS12" s="23" t="e">
        <f>IF(([1]Submeters!BI18-[1]Submeters!BI17)&lt;0,"0",[1]Submeters!BI18-[1]Submeters!BI17)</f>
        <v>#REF!</v>
      </c>
      <c r="BT12" s="23" t="e">
        <f>IF(([1]Submeters!BJ18-[1]Submeters!BJ17)&lt;0,"0",[1]Submeters!BJ18-[1]Submeters!BJ17)</f>
        <v>#REF!</v>
      </c>
      <c r="BU12" s="23" t="e">
        <f>IF(([1]Submeters!BK18-[1]Submeters!BK17)&lt;0,"0",[1]Submeters!BK18-[1]Submeters!BK17)</f>
        <v>#REF!</v>
      </c>
      <c r="BV12" s="23" t="e">
        <f>IF(([1]Submeters!BL18-[1]Submeters!BL17)&lt;0,"0",[1]Submeters!BL18-[1]Submeters!BL17)</f>
        <v>#REF!</v>
      </c>
      <c r="BW12" s="23" t="e">
        <f>IF(([1]Submeters!BM18-[1]Submeters!BM17)&lt;0,"0",[1]Submeters!BM18-[1]Submeters!BM17)</f>
        <v>#REF!</v>
      </c>
      <c r="BX12" s="23" t="e">
        <f>IF(([1]Submeters!BN18-[1]Submeters!BN17)&lt;0,"0",[1]Submeters!BN18-[1]Submeters!BN17)</f>
        <v>#REF!</v>
      </c>
      <c r="BY12" s="23" t="e">
        <f>IF(([1]Submeters!BO18-[1]Submeters!BO17)&lt;0,"0",[1]Submeters!BO18-[1]Submeters!BO17)</f>
        <v>#REF!</v>
      </c>
      <c r="BZ12" s="23" t="e">
        <f>IF(([1]Submeters!BP18-[1]Submeters!BP17)&lt;0,"0",[1]Submeters!BP18-[1]Submeters!BP17)</f>
        <v>#REF!</v>
      </c>
      <c r="CA12" s="23" t="e">
        <f>IF(([1]Submeters!BQ18-[1]Submeters!BQ17)&lt;0,"0",[1]Submeters!BQ18-[1]Submeters!BQ17)</f>
        <v>#REF!</v>
      </c>
      <c r="CB12" s="23" t="e">
        <f>IF(([1]Submeters!BR18-[1]Submeters!BR17)&lt;0,"0",[1]Submeters!BR18-[1]Submeters!BR17)</f>
        <v>#REF!</v>
      </c>
      <c r="CC12" s="23" t="e">
        <f>IF(([1]Submeters!BS18-[1]Submeters!BS17)&lt;0,"0",[1]Submeters!BS18-[1]Submeters!BS17)</f>
        <v>#REF!</v>
      </c>
      <c r="CD12" s="23" t="e">
        <f>IF(([1]Submeters!BT18-[1]Submeters!BT17)&lt;0,"0",[1]Submeters!BT18-[1]Submeters!BT17)</f>
        <v>#REF!</v>
      </c>
      <c r="CE12" s="23" t="e">
        <f>IF(([1]Submeters!BU18-[1]Submeters!BU17)&lt;0,"0",[1]Submeters!BU18-[1]Submeters!BU17)</f>
        <v>#REF!</v>
      </c>
      <c r="CF12" s="23" t="e">
        <f>IF(([1]Submeters!BV18-[1]Submeters!BV17)&lt;0,"0",[1]Submeters!BV18-[1]Submeters!BV17)</f>
        <v>#REF!</v>
      </c>
      <c r="CG12" s="23" t="e">
        <f>IF(([1]Submeters!BW18-[1]Submeters!BW17)&lt;0,"0",[1]Submeters!BW18-[1]Submeters!BW17)</f>
        <v>#REF!</v>
      </c>
      <c r="CH12" s="23" t="e">
        <f>IF(([1]Submeters!BX18-[1]Submeters!BX17)&lt;0,"0",[1]Submeters!BX18-[1]Submeters!BX17)</f>
        <v>#REF!</v>
      </c>
      <c r="CI12" s="23" t="e">
        <f>IF(([1]Submeters!BY18-[1]Submeters!BY17)&lt;0,"0",[1]Submeters!BY18-[1]Submeters!BY17)</f>
        <v>#REF!</v>
      </c>
      <c r="CJ12" s="23" t="e">
        <f>IF(([1]Submeters!BZ18-[1]Submeters!BZ17)&lt;0,"0",[1]Submeters!BZ18-[1]Submeters!BZ17)</f>
        <v>#REF!</v>
      </c>
      <c r="CK12" s="23" t="e">
        <f>IF(([1]Submeters!CA18-[1]Submeters!CA17)&lt;0,"0",[1]Submeters!CA18-[1]Submeters!CA17)</f>
        <v>#REF!</v>
      </c>
      <c r="CL12" s="23" t="e">
        <f>IF(([1]Submeters!CB18-[1]Submeters!CB17)&lt;0,"0",[1]Submeters!CB18-[1]Submeters!CB17)</f>
        <v>#REF!</v>
      </c>
      <c r="CM12" s="23" t="e">
        <f>IF(([1]Submeters!CC18-[1]Submeters!CC17)&lt;0,"0",[1]Submeters!CC18-[1]Submeters!CC17)</f>
        <v>#REF!</v>
      </c>
      <c r="CN12" s="23" t="e">
        <f>IF(([1]Submeters!CD18-[1]Submeters!CD17)&lt;0,"0",[1]Submeters!CD18-[1]Submeters!CD17)</f>
        <v>#REF!</v>
      </c>
      <c r="CO12" s="23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7</v>
      </c>
      <c r="D13" s="10">
        <v>2021</v>
      </c>
      <c r="E13" s="11">
        <f>Hotel!D20</f>
        <v>4510</v>
      </c>
      <c r="F13" s="11">
        <f>Hotel!F20</f>
        <v>4477</v>
      </c>
      <c r="G13" s="11">
        <f>Hotel!H20</f>
        <v>4231</v>
      </c>
      <c r="H13" s="11">
        <f>Hotel!N20</f>
        <v>134</v>
      </c>
      <c r="I13" s="11">
        <f>Hotel!P20</f>
        <v>753</v>
      </c>
      <c r="J13" s="11">
        <f>Hotel!U20</f>
        <v>327</v>
      </c>
      <c r="K13" s="11">
        <f>Hotel!Y20</f>
        <v>81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>
        <f>IF(([1]Submeters!AY19-[1]Submeters!AY18)&lt;0,"0",[1]Submeters!AY19-[1]Submeters!AY18)</f>
        <v>293</v>
      </c>
      <c r="BJ13" s="23" t="e">
        <f>IF(([1]Submeters!AZ19-[1]Submeters!AZ18)&lt;0,"0",[1]Submeters!AZ19-[1]Submeters!AZ18)</f>
        <v>#REF!</v>
      </c>
      <c r="BK13" s="23" t="e">
        <f>IF(([1]Submeters!BA19-[1]Submeters!BA18)&lt;0,"0",[1]Submeters!BA19-[1]Submeters!BA18)</f>
        <v>#REF!</v>
      </c>
      <c r="BL13" s="23" t="e">
        <f>IF(([1]Submeters!BB19-[1]Submeters!BB18)&lt;0,"0",[1]Submeters!BB19-[1]Submeters!BB18)</f>
        <v>#REF!</v>
      </c>
      <c r="BM13" s="23" t="e">
        <f>IF(([1]Submeters!BC19-[1]Submeters!BC18)&lt;0,"0",[1]Submeters!BC19-[1]Submeters!BC18)</f>
        <v>#REF!</v>
      </c>
      <c r="BN13" s="23" t="e">
        <f>IF(([1]Submeters!BD19-[1]Submeters!BD18)&lt;0,"0",[1]Submeters!BD19-[1]Submeters!BD18)</f>
        <v>#REF!</v>
      </c>
      <c r="BO13" s="23" t="e">
        <f>IF(([1]Submeters!BE19-[1]Submeters!BE18)&lt;0,"0",[1]Submeters!BE19-[1]Submeters!BE18)</f>
        <v>#REF!</v>
      </c>
      <c r="BP13" s="23" t="e">
        <f>IF(([1]Submeters!BF19-[1]Submeters!BF18)&lt;0,"0",[1]Submeters!BF19-[1]Submeters!BF18)</f>
        <v>#REF!</v>
      </c>
      <c r="BQ13" s="23" t="e">
        <f>IF(([1]Submeters!BG19-[1]Submeters!BG18)&lt;0,"0",[1]Submeters!BG19-[1]Submeters!BG18)</f>
        <v>#REF!</v>
      </c>
      <c r="BR13" s="23" t="e">
        <f>IF(([1]Submeters!BH19-[1]Submeters!BH18)&lt;0,"0",[1]Submeters!BH19-[1]Submeters!BH18)</f>
        <v>#REF!</v>
      </c>
      <c r="BS13" s="23" t="e">
        <f>IF(([1]Submeters!BI19-[1]Submeters!BI18)&lt;0,"0",[1]Submeters!BI19-[1]Submeters!BI18)</f>
        <v>#REF!</v>
      </c>
      <c r="BT13" s="23" t="e">
        <f>IF(([1]Submeters!BJ19-[1]Submeters!BJ18)&lt;0,"0",[1]Submeters!BJ19-[1]Submeters!BJ18)</f>
        <v>#REF!</v>
      </c>
      <c r="BU13" s="23" t="e">
        <f>IF(([1]Submeters!BK19-[1]Submeters!BK18)&lt;0,"0",[1]Submeters!BK19-[1]Submeters!BK18)</f>
        <v>#REF!</v>
      </c>
      <c r="BV13" s="23" t="e">
        <f>IF(([1]Submeters!BL19-[1]Submeters!BL18)&lt;0,"0",[1]Submeters!BL19-[1]Submeters!BL18)</f>
        <v>#REF!</v>
      </c>
      <c r="BW13" s="23" t="e">
        <f>IF(([1]Submeters!BM19-[1]Submeters!BM18)&lt;0,"0",[1]Submeters!BM19-[1]Submeters!BM18)</f>
        <v>#REF!</v>
      </c>
      <c r="BX13" s="23" t="e">
        <f>IF(([1]Submeters!BN19-[1]Submeters!BN18)&lt;0,"0",[1]Submeters!BN19-[1]Submeters!BN18)</f>
        <v>#REF!</v>
      </c>
      <c r="BY13" s="23" t="e">
        <f>IF(([1]Submeters!BO19-[1]Submeters!BO18)&lt;0,"0",[1]Submeters!BO19-[1]Submeters!BO18)</f>
        <v>#REF!</v>
      </c>
      <c r="BZ13" s="23" t="e">
        <f>IF(([1]Submeters!BP19-[1]Submeters!BP18)&lt;0,"0",[1]Submeters!BP19-[1]Submeters!BP18)</f>
        <v>#REF!</v>
      </c>
      <c r="CA13" s="23" t="e">
        <f>IF(([1]Submeters!BQ19-[1]Submeters!BQ18)&lt;0,"0",[1]Submeters!BQ19-[1]Submeters!BQ18)</f>
        <v>#REF!</v>
      </c>
      <c r="CB13" s="23" t="e">
        <f>IF(([1]Submeters!BR19-[1]Submeters!BR18)&lt;0,"0",[1]Submeters!BR19-[1]Submeters!BR18)</f>
        <v>#REF!</v>
      </c>
      <c r="CC13" s="23" t="e">
        <f>IF(([1]Submeters!BS19-[1]Submeters!BS18)&lt;0,"0",[1]Submeters!BS19-[1]Submeters!BS18)</f>
        <v>#REF!</v>
      </c>
      <c r="CD13" s="23" t="e">
        <f>IF(([1]Submeters!BT19-[1]Submeters!BT18)&lt;0,"0",[1]Submeters!BT19-[1]Submeters!BT18)</f>
        <v>#REF!</v>
      </c>
      <c r="CE13" s="23" t="e">
        <f>IF(([1]Submeters!BU19-[1]Submeters!BU18)&lt;0,"0",[1]Submeters!BU19-[1]Submeters!BU18)</f>
        <v>#REF!</v>
      </c>
      <c r="CF13" s="23" t="e">
        <f>IF(([1]Submeters!BV19-[1]Submeters!BV18)&lt;0,"0",[1]Submeters!BV19-[1]Submeters!BV18)</f>
        <v>#REF!</v>
      </c>
      <c r="CG13" s="23" t="e">
        <f>IF(([1]Submeters!BW19-[1]Submeters!BW18)&lt;0,"0",[1]Submeters!BW19-[1]Submeters!BW18)</f>
        <v>#REF!</v>
      </c>
      <c r="CH13" s="23" t="e">
        <f>IF(([1]Submeters!BX19-[1]Submeters!BX18)&lt;0,"0",[1]Submeters!BX19-[1]Submeters!BX18)</f>
        <v>#REF!</v>
      </c>
      <c r="CI13" s="23" t="e">
        <f>IF(([1]Submeters!BY19-[1]Submeters!BY18)&lt;0,"0",[1]Submeters!BY19-[1]Submeters!BY18)</f>
        <v>#REF!</v>
      </c>
      <c r="CJ13" s="23" t="e">
        <f>IF(([1]Submeters!BZ19-[1]Submeters!BZ18)&lt;0,"0",[1]Submeters!BZ19-[1]Submeters!BZ18)</f>
        <v>#REF!</v>
      </c>
      <c r="CK13" s="23" t="e">
        <f>IF(([1]Submeters!CA19-[1]Submeters!CA18)&lt;0,"0",[1]Submeters!CA19-[1]Submeters!CA18)</f>
        <v>#REF!</v>
      </c>
      <c r="CL13" s="23" t="e">
        <f>IF(([1]Submeters!CB19-[1]Submeters!CB18)&lt;0,"0",[1]Submeters!CB19-[1]Submeters!CB18)</f>
        <v>#REF!</v>
      </c>
      <c r="CM13" s="23" t="e">
        <f>IF(([1]Submeters!CC19-[1]Submeters!CC18)&lt;0,"0",[1]Submeters!CC19-[1]Submeters!CC18)</f>
        <v>#REF!</v>
      </c>
      <c r="CN13" s="23" t="e">
        <f>IF(([1]Submeters!CD19-[1]Submeters!CD18)&lt;0,"0",[1]Submeters!CD19-[1]Submeters!CD18)</f>
        <v>#REF!</v>
      </c>
      <c r="CO13" s="23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7</v>
      </c>
      <c r="D14" s="10">
        <v>2021</v>
      </c>
      <c r="E14" s="11">
        <f>Hotel!D21</f>
        <v>4814</v>
      </c>
      <c r="F14" s="11">
        <f>Hotel!F21</f>
        <v>4763</v>
      </c>
      <c r="G14" s="11">
        <f>Hotel!H21</f>
        <v>4492</v>
      </c>
      <c r="H14" s="11">
        <f>Hotel!N21</f>
        <v>111</v>
      </c>
      <c r="I14" s="11">
        <f>Hotel!P21</f>
        <v>795</v>
      </c>
      <c r="J14" s="11">
        <f>Hotel!U21</f>
        <v>344</v>
      </c>
      <c r="K14" s="11">
        <f>Hotel!Y21</f>
        <v>56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>
        <f>IF(([1]Submeters!AY20-[1]Submeters!AY19)&lt;0,"0",[1]Submeters!AY20-[1]Submeters!AY19)</f>
        <v>438</v>
      </c>
      <c r="BJ14" s="23" t="e">
        <f>IF(([1]Submeters!AZ20-[1]Submeters!AZ19)&lt;0,"0",[1]Submeters!AZ20-[1]Submeters!AZ19)</f>
        <v>#REF!</v>
      </c>
      <c r="BK14" s="23" t="e">
        <f>IF(([1]Submeters!BA20-[1]Submeters!BA19)&lt;0,"0",[1]Submeters!BA20-[1]Submeters!BA19)</f>
        <v>#REF!</v>
      </c>
      <c r="BL14" s="23" t="e">
        <f>IF(([1]Submeters!BB20-[1]Submeters!BB19)&lt;0,"0",[1]Submeters!BB20-[1]Submeters!BB19)</f>
        <v>#REF!</v>
      </c>
      <c r="BM14" s="23" t="e">
        <f>IF(([1]Submeters!BC20-[1]Submeters!BC19)&lt;0,"0",[1]Submeters!BC20-[1]Submeters!BC19)</f>
        <v>#REF!</v>
      </c>
      <c r="BN14" s="23" t="e">
        <f>IF(([1]Submeters!BD20-[1]Submeters!BD19)&lt;0,"0",[1]Submeters!BD20-[1]Submeters!BD19)</f>
        <v>#REF!</v>
      </c>
      <c r="BO14" s="23" t="e">
        <f>IF(([1]Submeters!BE20-[1]Submeters!BE19)&lt;0,"0",[1]Submeters!BE20-[1]Submeters!BE19)</f>
        <v>#REF!</v>
      </c>
      <c r="BP14" s="23" t="e">
        <f>IF(([1]Submeters!BF20-[1]Submeters!BF19)&lt;0,"0",[1]Submeters!BF20-[1]Submeters!BF19)</f>
        <v>#REF!</v>
      </c>
      <c r="BQ14" s="23" t="e">
        <f>IF(([1]Submeters!BG20-[1]Submeters!BG19)&lt;0,"0",[1]Submeters!BG20-[1]Submeters!BG19)</f>
        <v>#REF!</v>
      </c>
      <c r="BR14" s="23" t="e">
        <f>IF(([1]Submeters!BH20-[1]Submeters!BH19)&lt;0,"0",[1]Submeters!BH20-[1]Submeters!BH19)</f>
        <v>#REF!</v>
      </c>
      <c r="BS14" s="23" t="e">
        <f>IF(([1]Submeters!BI20-[1]Submeters!BI19)&lt;0,"0",[1]Submeters!BI20-[1]Submeters!BI19)</f>
        <v>#REF!</v>
      </c>
      <c r="BT14" s="23" t="e">
        <f>IF(([1]Submeters!BJ20-[1]Submeters!BJ19)&lt;0,"0",[1]Submeters!BJ20-[1]Submeters!BJ19)</f>
        <v>#REF!</v>
      </c>
      <c r="BU14" s="23" t="e">
        <f>IF(([1]Submeters!BK20-[1]Submeters!BK19)&lt;0,"0",[1]Submeters!BK20-[1]Submeters!BK19)</f>
        <v>#REF!</v>
      </c>
      <c r="BV14" s="23" t="e">
        <f>IF(([1]Submeters!BL20-[1]Submeters!BL19)&lt;0,"0",[1]Submeters!BL20-[1]Submeters!BL19)</f>
        <v>#REF!</v>
      </c>
      <c r="BW14" s="23" t="e">
        <f>IF(([1]Submeters!BM20-[1]Submeters!BM19)&lt;0,"0",[1]Submeters!BM20-[1]Submeters!BM19)</f>
        <v>#REF!</v>
      </c>
      <c r="BX14" s="23" t="e">
        <f>IF(([1]Submeters!BN20-[1]Submeters!BN19)&lt;0,"0",[1]Submeters!BN20-[1]Submeters!BN19)</f>
        <v>#REF!</v>
      </c>
      <c r="BY14" s="23" t="e">
        <f>IF(([1]Submeters!BO20-[1]Submeters!BO19)&lt;0,"0",[1]Submeters!BO20-[1]Submeters!BO19)</f>
        <v>#REF!</v>
      </c>
      <c r="BZ14" s="23" t="e">
        <f>IF(([1]Submeters!BP20-[1]Submeters!BP19)&lt;0,"0",[1]Submeters!BP20-[1]Submeters!BP19)</f>
        <v>#REF!</v>
      </c>
      <c r="CA14" s="23" t="e">
        <f>IF(([1]Submeters!BQ20-[1]Submeters!BQ19)&lt;0,"0",[1]Submeters!BQ20-[1]Submeters!BQ19)</f>
        <v>#REF!</v>
      </c>
      <c r="CB14" s="23" t="e">
        <f>IF(([1]Submeters!BR20-[1]Submeters!BR19)&lt;0,"0",[1]Submeters!BR20-[1]Submeters!BR19)</f>
        <v>#REF!</v>
      </c>
      <c r="CC14" s="23" t="e">
        <f>IF(([1]Submeters!BS20-[1]Submeters!BS19)&lt;0,"0",[1]Submeters!BS20-[1]Submeters!BS19)</f>
        <v>#REF!</v>
      </c>
      <c r="CD14" s="23" t="e">
        <f>IF(([1]Submeters!BT20-[1]Submeters!BT19)&lt;0,"0",[1]Submeters!BT20-[1]Submeters!BT19)</f>
        <v>#REF!</v>
      </c>
      <c r="CE14" s="23" t="e">
        <f>IF(([1]Submeters!BU20-[1]Submeters!BU19)&lt;0,"0",[1]Submeters!BU20-[1]Submeters!BU19)</f>
        <v>#REF!</v>
      </c>
      <c r="CF14" s="23" t="e">
        <f>IF(([1]Submeters!BV20-[1]Submeters!BV19)&lt;0,"0",[1]Submeters!BV20-[1]Submeters!BV19)</f>
        <v>#REF!</v>
      </c>
      <c r="CG14" s="23" t="e">
        <f>IF(([1]Submeters!BW20-[1]Submeters!BW19)&lt;0,"0",[1]Submeters!BW20-[1]Submeters!BW19)</f>
        <v>#REF!</v>
      </c>
      <c r="CH14" s="23" t="e">
        <f>IF(([1]Submeters!BX20-[1]Submeters!BX19)&lt;0,"0",[1]Submeters!BX20-[1]Submeters!BX19)</f>
        <v>#REF!</v>
      </c>
      <c r="CI14" s="23" t="e">
        <f>IF(([1]Submeters!BY20-[1]Submeters!BY19)&lt;0,"0",[1]Submeters!BY20-[1]Submeters!BY19)</f>
        <v>#REF!</v>
      </c>
      <c r="CJ14" s="23" t="e">
        <f>IF(([1]Submeters!BZ20-[1]Submeters!BZ19)&lt;0,"0",[1]Submeters!BZ20-[1]Submeters!BZ19)</f>
        <v>#REF!</v>
      </c>
      <c r="CK14" s="23" t="e">
        <f>IF(([1]Submeters!CA20-[1]Submeters!CA19)&lt;0,"0",[1]Submeters!CA20-[1]Submeters!CA19)</f>
        <v>#REF!</v>
      </c>
      <c r="CL14" s="23" t="e">
        <f>IF(([1]Submeters!CB20-[1]Submeters!CB19)&lt;0,"0",[1]Submeters!CB20-[1]Submeters!CB19)</f>
        <v>#REF!</v>
      </c>
      <c r="CM14" s="23" t="e">
        <f>IF(([1]Submeters!CC20-[1]Submeters!CC19)&lt;0,"0",[1]Submeters!CC20-[1]Submeters!CC19)</f>
        <v>#REF!</v>
      </c>
      <c r="CN14" s="23" t="e">
        <f>IF(([1]Submeters!CD20-[1]Submeters!CD19)&lt;0,"0",[1]Submeters!CD20-[1]Submeters!CD19)</f>
        <v>#REF!</v>
      </c>
      <c r="CO14" s="23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7</v>
      </c>
      <c r="D15" s="10">
        <v>2021</v>
      </c>
      <c r="E15" s="11">
        <f>Hotel!D22</f>
        <v>4411</v>
      </c>
      <c r="F15" s="11">
        <f>Hotel!F22</f>
        <v>4464</v>
      </c>
      <c r="G15" s="11">
        <f>Hotel!H22</f>
        <v>4590</v>
      </c>
      <c r="H15" s="11">
        <f>Hotel!N22</f>
        <v>115</v>
      </c>
      <c r="I15" s="11">
        <f>Hotel!P22</f>
        <v>695</v>
      </c>
      <c r="J15" s="11">
        <f>Hotel!U22</f>
        <v>398</v>
      </c>
      <c r="K15" s="11">
        <f>Hotel!Y22</f>
        <v>51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>
        <f>IF(([1]Submeters!AY21-[1]Submeters!AY20)&lt;0,"0",[1]Submeters!AY21-[1]Submeters!AY20)</f>
        <v>470</v>
      </c>
      <c r="BJ15" s="23" t="e">
        <f>IF(([1]Submeters!AZ21-[1]Submeters!AZ20)&lt;0,"0",[1]Submeters!AZ21-[1]Submeters!AZ20)</f>
        <v>#REF!</v>
      </c>
      <c r="BK15" s="23" t="e">
        <f>IF(([1]Submeters!BA21-[1]Submeters!BA20)&lt;0,"0",[1]Submeters!BA21-[1]Submeters!BA20)</f>
        <v>#REF!</v>
      </c>
      <c r="BL15" s="23" t="e">
        <f>IF(([1]Submeters!BB21-[1]Submeters!BB20)&lt;0,"0",[1]Submeters!BB21-[1]Submeters!BB20)</f>
        <v>#REF!</v>
      </c>
      <c r="BM15" s="23" t="e">
        <f>IF(([1]Submeters!BC21-[1]Submeters!BC20)&lt;0,"0",[1]Submeters!BC21-[1]Submeters!BC20)</f>
        <v>#REF!</v>
      </c>
      <c r="BN15" s="23" t="e">
        <f>IF(([1]Submeters!BD21-[1]Submeters!BD20)&lt;0,"0",[1]Submeters!BD21-[1]Submeters!BD20)</f>
        <v>#REF!</v>
      </c>
      <c r="BO15" s="23" t="e">
        <f>IF(([1]Submeters!BE21-[1]Submeters!BE20)&lt;0,"0",[1]Submeters!BE21-[1]Submeters!BE20)</f>
        <v>#REF!</v>
      </c>
      <c r="BP15" s="23" t="e">
        <f>IF(([1]Submeters!BF21-[1]Submeters!BF20)&lt;0,"0",[1]Submeters!BF21-[1]Submeters!BF20)</f>
        <v>#REF!</v>
      </c>
      <c r="BQ15" s="23" t="e">
        <f>IF(([1]Submeters!BG21-[1]Submeters!BG20)&lt;0,"0",[1]Submeters!BG21-[1]Submeters!BG20)</f>
        <v>#REF!</v>
      </c>
      <c r="BR15" s="23" t="e">
        <f>IF(([1]Submeters!BH21-[1]Submeters!BH20)&lt;0,"0",[1]Submeters!BH21-[1]Submeters!BH20)</f>
        <v>#REF!</v>
      </c>
      <c r="BS15" s="23" t="e">
        <f>IF(([1]Submeters!BI21-[1]Submeters!BI20)&lt;0,"0",[1]Submeters!BI21-[1]Submeters!BI20)</f>
        <v>#REF!</v>
      </c>
      <c r="BT15" s="23" t="e">
        <f>IF(([1]Submeters!BJ21-[1]Submeters!BJ20)&lt;0,"0",[1]Submeters!BJ21-[1]Submeters!BJ20)</f>
        <v>#REF!</v>
      </c>
      <c r="BU15" s="23" t="e">
        <f>IF(([1]Submeters!BK21-[1]Submeters!BK20)&lt;0,"0",[1]Submeters!BK21-[1]Submeters!BK20)</f>
        <v>#REF!</v>
      </c>
      <c r="BV15" s="23" t="e">
        <f>IF(([1]Submeters!BL21-[1]Submeters!BL20)&lt;0,"0",[1]Submeters!BL21-[1]Submeters!BL20)</f>
        <v>#REF!</v>
      </c>
      <c r="BW15" s="23" t="e">
        <f>IF(([1]Submeters!BM21-[1]Submeters!BM20)&lt;0,"0",[1]Submeters!BM21-[1]Submeters!BM20)</f>
        <v>#REF!</v>
      </c>
      <c r="BX15" s="23" t="e">
        <f>IF(([1]Submeters!BN21-[1]Submeters!BN20)&lt;0,"0",[1]Submeters!BN21-[1]Submeters!BN20)</f>
        <v>#REF!</v>
      </c>
      <c r="BY15" s="23" t="e">
        <f>IF(([1]Submeters!BO21-[1]Submeters!BO20)&lt;0,"0",[1]Submeters!BO21-[1]Submeters!BO20)</f>
        <v>#REF!</v>
      </c>
      <c r="BZ15" s="23" t="e">
        <f>IF(([1]Submeters!BP21-[1]Submeters!BP20)&lt;0,"0",[1]Submeters!BP21-[1]Submeters!BP20)</f>
        <v>#REF!</v>
      </c>
      <c r="CA15" s="23" t="e">
        <f>IF(([1]Submeters!BQ21-[1]Submeters!BQ20)&lt;0,"0",[1]Submeters!BQ21-[1]Submeters!BQ20)</f>
        <v>#REF!</v>
      </c>
      <c r="CB15" s="23" t="e">
        <f>IF(([1]Submeters!BR21-[1]Submeters!BR20)&lt;0,"0",[1]Submeters!BR21-[1]Submeters!BR20)</f>
        <v>#REF!</v>
      </c>
      <c r="CC15" s="23" t="e">
        <f>IF(([1]Submeters!BS21-[1]Submeters!BS20)&lt;0,"0",[1]Submeters!BS21-[1]Submeters!BS20)</f>
        <v>#REF!</v>
      </c>
      <c r="CD15" s="23" t="e">
        <f>IF(([1]Submeters!BT21-[1]Submeters!BT20)&lt;0,"0",[1]Submeters!BT21-[1]Submeters!BT20)</f>
        <v>#REF!</v>
      </c>
      <c r="CE15" s="23" t="e">
        <f>IF(([1]Submeters!BU21-[1]Submeters!BU20)&lt;0,"0",[1]Submeters!BU21-[1]Submeters!BU20)</f>
        <v>#REF!</v>
      </c>
      <c r="CF15" s="23" t="e">
        <f>IF(([1]Submeters!BV21-[1]Submeters!BV20)&lt;0,"0",[1]Submeters!BV21-[1]Submeters!BV20)</f>
        <v>#REF!</v>
      </c>
      <c r="CG15" s="23" t="e">
        <f>IF(([1]Submeters!BW21-[1]Submeters!BW20)&lt;0,"0",[1]Submeters!BW21-[1]Submeters!BW20)</f>
        <v>#REF!</v>
      </c>
      <c r="CH15" s="23" t="e">
        <f>IF(([1]Submeters!BX21-[1]Submeters!BX20)&lt;0,"0",[1]Submeters!BX21-[1]Submeters!BX20)</f>
        <v>#REF!</v>
      </c>
      <c r="CI15" s="23" t="e">
        <f>IF(([1]Submeters!BY21-[1]Submeters!BY20)&lt;0,"0",[1]Submeters!BY21-[1]Submeters!BY20)</f>
        <v>#REF!</v>
      </c>
      <c r="CJ15" s="23" t="e">
        <f>IF(([1]Submeters!BZ21-[1]Submeters!BZ20)&lt;0,"0",[1]Submeters!BZ21-[1]Submeters!BZ20)</f>
        <v>#REF!</v>
      </c>
      <c r="CK15" s="23" t="e">
        <f>IF(([1]Submeters!CA21-[1]Submeters!CA20)&lt;0,"0",[1]Submeters!CA21-[1]Submeters!CA20)</f>
        <v>#REF!</v>
      </c>
      <c r="CL15" s="23" t="e">
        <f>IF(([1]Submeters!CB21-[1]Submeters!CB20)&lt;0,"0",[1]Submeters!CB21-[1]Submeters!CB20)</f>
        <v>#REF!</v>
      </c>
      <c r="CM15" s="23" t="e">
        <f>IF(([1]Submeters!CC21-[1]Submeters!CC20)&lt;0,"0",[1]Submeters!CC21-[1]Submeters!CC20)</f>
        <v>#REF!</v>
      </c>
      <c r="CN15" s="23" t="e">
        <f>IF(([1]Submeters!CD21-[1]Submeters!CD20)&lt;0,"0",[1]Submeters!CD21-[1]Submeters!CD20)</f>
        <v>#REF!</v>
      </c>
      <c r="CO15" s="23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7</v>
      </c>
      <c r="D16" s="10">
        <v>2021</v>
      </c>
      <c r="E16" s="11">
        <f>Hotel!D23</f>
        <v>5703</v>
      </c>
      <c r="F16" s="11">
        <f>Hotel!F23</f>
        <v>4836</v>
      </c>
      <c r="G16" s="11">
        <f>Hotel!H23</f>
        <v>4870</v>
      </c>
      <c r="H16" s="11">
        <f>Hotel!N23</f>
        <v>110</v>
      </c>
      <c r="I16" s="11">
        <f>Hotel!P23</f>
        <v>687</v>
      </c>
      <c r="J16" s="11">
        <f>Hotel!U23</f>
        <v>370</v>
      </c>
      <c r="K16" s="11">
        <f>Hotel!Y23</f>
        <v>52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>
        <f>IF(([1]Submeters!AY22-[1]Submeters!AY21)&lt;0,"0",[1]Submeters!AY22-[1]Submeters!AY21)</f>
        <v>320</v>
      </c>
      <c r="BJ16" s="23" t="e">
        <f>IF(([1]Submeters!AZ22-[1]Submeters!AZ21)&lt;0,"0",[1]Submeters!AZ22-[1]Submeters!AZ21)</f>
        <v>#REF!</v>
      </c>
      <c r="BK16" s="23" t="e">
        <f>IF(([1]Submeters!BA22-[1]Submeters!BA21)&lt;0,"0",[1]Submeters!BA22-[1]Submeters!BA21)</f>
        <v>#REF!</v>
      </c>
      <c r="BL16" s="23" t="e">
        <f>IF(([1]Submeters!BB22-[1]Submeters!BB21)&lt;0,"0",[1]Submeters!BB22-[1]Submeters!BB21)</f>
        <v>#REF!</v>
      </c>
      <c r="BM16" s="23" t="e">
        <f>IF(([1]Submeters!BC22-[1]Submeters!BC21)&lt;0,"0",[1]Submeters!BC22-[1]Submeters!BC21)</f>
        <v>#REF!</v>
      </c>
      <c r="BN16" s="23" t="e">
        <f>IF(([1]Submeters!BD22-[1]Submeters!BD21)&lt;0,"0",[1]Submeters!BD22-[1]Submeters!BD21)</f>
        <v>#REF!</v>
      </c>
      <c r="BO16" s="23" t="e">
        <f>IF(([1]Submeters!BE22-[1]Submeters!BE21)&lt;0,"0",[1]Submeters!BE22-[1]Submeters!BE21)</f>
        <v>#REF!</v>
      </c>
      <c r="BP16" s="23" t="e">
        <f>IF(([1]Submeters!BF22-[1]Submeters!BF21)&lt;0,"0",[1]Submeters!BF22-[1]Submeters!BF21)</f>
        <v>#REF!</v>
      </c>
      <c r="BQ16" s="23" t="e">
        <f>IF(([1]Submeters!BG22-[1]Submeters!BG21)&lt;0,"0",[1]Submeters!BG22-[1]Submeters!BG21)</f>
        <v>#REF!</v>
      </c>
      <c r="BR16" s="23" t="e">
        <f>IF(([1]Submeters!BH22-[1]Submeters!BH21)&lt;0,"0",[1]Submeters!BH22-[1]Submeters!BH21)</f>
        <v>#REF!</v>
      </c>
      <c r="BS16" s="23" t="e">
        <f>IF(([1]Submeters!BI22-[1]Submeters!BI21)&lt;0,"0",[1]Submeters!BI22-[1]Submeters!BI21)</f>
        <v>#REF!</v>
      </c>
      <c r="BT16" s="23" t="e">
        <f>IF(([1]Submeters!BJ22-[1]Submeters!BJ21)&lt;0,"0",[1]Submeters!BJ22-[1]Submeters!BJ21)</f>
        <v>#REF!</v>
      </c>
      <c r="BU16" s="23" t="e">
        <f>IF(([1]Submeters!BK22-[1]Submeters!BK21)&lt;0,"0",[1]Submeters!BK22-[1]Submeters!BK21)</f>
        <v>#REF!</v>
      </c>
      <c r="BV16" s="23" t="e">
        <f>IF(([1]Submeters!BL22-[1]Submeters!BL21)&lt;0,"0",[1]Submeters!BL22-[1]Submeters!BL21)</f>
        <v>#REF!</v>
      </c>
      <c r="BW16" s="23" t="e">
        <f>IF(([1]Submeters!BM22-[1]Submeters!BM21)&lt;0,"0",[1]Submeters!BM22-[1]Submeters!BM21)</f>
        <v>#REF!</v>
      </c>
      <c r="BX16" s="23" t="e">
        <f>IF(([1]Submeters!BN22-[1]Submeters!BN21)&lt;0,"0",[1]Submeters!BN22-[1]Submeters!BN21)</f>
        <v>#REF!</v>
      </c>
      <c r="BY16" s="23" t="e">
        <f>IF(([1]Submeters!BO22-[1]Submeters!BO21)&lt;0,"0",[1]Submeters!BO22-[1]Submeters!BO21)</f>
        <v>#REF!</v>
      </c>
      <c r="BZ16" s="23" t="e">
        <f>IF(([1]Submeters!BP22-[1]Submeters!BP21)&lt;0,"0",[1]Submeters!BP22-[1]Submeters!BP21)</f>
        <v>#REF!</v>
      </c>
      <c r="CA16" s="23" t="e">
        <f>IF(([1]Submeters!BQ22-[1]Submeters!BQ21)&lt;0,"0",[1]Submeters!BQ22-[1]Submeters!BQ21)</f>
        <v>#REF!</v>
      </c>
      <c r="CB16" s="23" t="e">
        <f>IF(([1]Submeters!BR22-[1]Submeters!BR21)&lt;0,"0",[1]Submeters!BR22-[1]Submeters!BR21)</f>
        <v>#REF!</v>
      </c>
      <c r="CC16" s="23" t="e">
        <f>IF(([1]Submeters!BS22-[1]Submeters!BS21)&lt;0,"0",[1]Submeters!BS22-[1]Submeters!BS21)</f>
        <v>#REF!</v>
      </c>
      <c r="CD16" s="23" t="e">
        <f>IF(([1]Submeters!BT22-[1]Submeters!BT21)&lt;0,"0",[1]Submeters!BT22-[1]Submeters!BT21)</f>
        <v>#REF!</v>
      </c>
      <c r="CE16" s="23" t="e">
        <f>IF(([1]Submeters!BU22-[1]Submeters!BU21)&lt;0,"0",[1]Submeters!BU22-[1]Submeters!BU21)</f>
        <v>#REF!</v>
      </c>
      <c r="CF16" s="23" t="e">
        <f>IF(([1]Submeters!BV22-[1]Submeters!BV21)&lt;0,"0",[1]Submeters!BV22-[1]Submeters!BV21)</f>
        <v>#REF!</v>
      </c>
      <c r="CG16" s="23" t="e">
        <f>IF(([1]Submeters!BW22-[1]Submeters!BW21)&lt;0,"0",[1]Submeters!BW22-[1]Submeters!BW21)</f>
        <v>#REF!</v>
      </c>
      <c r="CH16" s="23" t="e">
        <f>IF(([1]Submeters!BX22-[1]Submeters!BX21)&lt;0,"0",[1]Submeters!BX22-[1]Submeters!BX21)</f>
        <v>#REF!</v>
      </c>
      <c r="CI16" s="23" t="e">
        <f>IF(([1]Submeters!BY22-[1]Submeters!BY21)&lt;0,"0",[1]Submeters!BY22-[1]Submeters!BY21)</f>
        <v>#REF!</v>
      </c>
      <c r="CJ16" s="23" t="e">
        <f>IF(([1]Submeters!BZ22-[1]Submeters!BZ21)&lt;0,"0",[1]Submeters!BZ22-[1]Submeters!BZ21)</f>
        <v>#REF!</v>
      </c>
      <c r="CK16" s="23" t="e">
        <f>IF(([1]Submeters!CA22-[1]Submeters!CA21)&lt;0,"0",[1]Submeters!CA22-[1]Submeters!CA21)</f>
        <v>#REF!</v>
      </c>
      <c r="CL16" s="23" t="e">
        <f>IF(([1]Submeters!CB22-[1]Submeters!CB21)&lt;0,"0",[1]Submeters!CB22-[1]Submeters!CB21)</f>
        <v>#REF!</v>
      </c>
      <c r="CM16" s="23" t="e">
        <f>IF(([1]Submeters!CC22-[1]Submeters!CC21)&lt;0,"0",[1]Submeters!CC22-[1]Submeters!CC21)</f>
        <v>#REF!</v>
      </c>
      <c r="CN16" s="23" t="e">
        <f>IF(([1]Submeters!CD22-[1]Submeters!CD21)&lt;0,"0",[1]Submeters!CD22-[1]Submeters!CD21)</f>
        <v>#REF!</v>
      </c>
      <c r="CO16" s="23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7</v>
      </c>
      <c r="D17" s="10">
        <v>2021</v>
      </c>
      <c r="E17" s="11">
        <f>Hotel!D24</f>
        <v>3369</v>
      </c>
      <c r="F17" s="11">
        <f>Hotel!F24</f>
        <v>4086</v>
      </c>
      <c r="G17" s="11">
        <f>Hotel!H24</f>
        <v>3193</v>
      </c>
      <c r="H17" s="11">
        <f>Hotel!N24</f>
        <v>127</v>
      </c>
      <c r="I17" s="11">
        <f>Hotel!P24</f>
        <v>1007</v>
      </c>
      <c r="J17" s="11">
        <f>Hotel!U24</f>
        <v>440</v>
      </c>
      <c r="K17" s="11">
        <f>Hotel!Y24</f>
        <v>61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>
        <f>IF(([1]Submeters!AY23-[1]Submeters!AY22)&lt;0,"0",[1]Submeters!AY23-[1]Submeters!AY22)</f>
        <v>268</v>
      </c>
      <c r="BJ17" s="23" t="e">
        <f>IF(([1]Submeters!AZ23-[1]Submeters!AZ22)&lt;0,"0",[1]Submeters!AZ23-[1]Submeters!AZ22)</f>
        <v>#REF!</v>
      </c>
      <c r="BK17" s="23" t="e">
        <f>IF(([1]Submeters!BA23-[1]Submeters!BA22)&lt;0,"0",[1]Submeters!BA23-[1]Submeters!BA22)</f>
        <v>#REF!</v>
      </c>
      <c r="BL17" s="23" t="e">
        <f>IF(([1]Submeters!BB23-[1]Submeters!BB22)&lt;0,"0",[1]Submeters!BB23-[1]Submeters!BB22)</f>
        <v>#REF!</v>
      </c>
      <c r="BM17" s="23" t="e">
        <f>IF(([1]Submeters!BC23-[1]Submeters!BC22)&lt;0,"0",[1]Submeters!BC23-[1]Submeters!BC22)</f>
        <v>#REF!</v>
      </c>
      <c r="BN17" s="23" t="e">
        <f>IF(([1]Submeters!BD23-[1]Submeters!BD22)&lt;0,"0",[1]Submeters!BD23-[1]Submeters!BD22)</f>
        <v>#REF!</v>
      </c>
      <c r="BO17" s="23" t="e">
        <f>IF(([1]Submeters!BE23-[1]Submeters!BE22)&lt;0,"0",[1]Submeters!BE23-[1]Submeters!BE22)</f>
        <v>#REF!</v>
      </c>
      <c r="BP17" s="23" t="e">
        <f>IF(([1]Submeters!BF23-[1]Submeters!BF22)&lt;0,"0",[1]Submeters!BF23-[1]Submeters!BF22)</f>
        <v>#REF!</v>
      </c>
      <c r="BQ17" s="23" t="e">
        <f>IF(([1]Submeters!BG23-[1]Submeters!BG22)&lt;0,"0",[1]Submeters!BG23-[1]Submeters!BG22)</f>
        <v>#REF!</v>
      </c>
      <c r="BR17" s="23" t="e">
        <f>IF(([1]Submeters!BH23-[1]Submeters!BH22)&lt;0,"0",[1]Submeters!BH23-[1]Submeters!BH22)</f>
        <v>#REF!</v>
      </c>
      <c r="BS17" s="23" t="e">
        <f>IF(([1]Submeters!BI23-[1]Submeters!BI22)&lt;0,"0",[1]Submeters!BI23-[1]Submeters!BI22)</f>
        <v>#REF!</v>
      </c>
      <c r="BT17" s="23" t="e">
        <f>IF(([1]Submeters!BJ23-[1]Submeters!BJ22)&lt;0,"0",[1]Submeters!BJ23-[1]Submeters!BJ22)</f>
        <v>#REF!</v>
      </c>
      <c r="BU17" s="23" t="e">
        <f>IF(([1]Submeters!BK23-[1]Submeters!BK22)&lt;0,"0",[1]Submeters!BK23-[1]Submeters!BK22)</f>
        <v>#REF!</v>
      </c>
      <c r="BV17" s="23" t="e">
        <f>IF(([1]Submeters!BL23-[1]Submeters!BL22)&lt;0,"0",[1]Submeters!BL23-[1]Submeters!BL22)</f>
        <v>#REF!</v>
      </c>
      <c r="BW17" s="23" t="e">
        <f>IF(([1]Submeters!BM23-[1]Submeters!BM22)&lt;0,"0",[1]Submeters!BM23-[1]Submeters!BM22)</f>
        <v>#REF!</v>
      </c>
      <c r="BX17" s="23" t="e">
        <f>IF(([1]Submeters!BN23-[1]Submeters!BN22)&lt;0,"0",[1]Submeters!BN23-[1]Submeters!BN22)</f>
        <v>#REF!</v>
      </c>
      <c r="BY17" s="23" t="e">
        <f>IF(([1]Submeters!BO23-[1]Submeters!BO22)&lt;0,"0",[1]Submeters!BO23-[1]Submeters!BO22)</f>
        <v>#REF!</v>
      </c>
      <c r="BZ17" s="23" t="e">
        <f>IF(([1]Submeters!BP23-[1]Submeters!BP22)&lt;0,"0",[1]Submeters!BP23-[1]Submeters!BP22)</f>
        <v>#REF!</v>
      </c>
      <c r="CA17" s="23" t="e">
        <f>IF(([1]Submeters!BQ23-[1]Submeters!BQ22)&lt;0,"0",[1]Submeters!BQ23-[1]Submeters!BQ22)</f>
        <v>#REF!</v>
      </c>
      <c r="CB17" s="23" t="e">
        <f>IF(([1]Submeters!BR23-[1]Submeters!BR22)&lt;0,"0",[1]Submeters!BR23-[1]Submeters!BR22)</f>
        <v>#REF!</v>
      </c>
      <c r="CC17" s="23" t="e">
        <f>IF(([1]Submeters!BS23-[1]Submeters!BS22)&lt;0,"0",[1]Submeters!BS23-[1]Submeters!BS22)</f>
        <v>#REF!</v>
      </c>
      <c r="CD17" s="23" t="e">
        <f>IF(([1]Submeters!BT23-[1]Submeters!BT22)&lt;0,"0",[1]Submeters!BT23-[1]Submeters!BT22)</f>
        <v>#REF!</v>
      </c>
      <c r="CE17" s="23" t="e">
        <f>IF(([1]Submeters!BU23-[1]Submeters!BU22)&lt;0,"0",[1]Submeters!BU23-[1]Submeters!BU22)</f>
        <v>#REF!</v>
      </c>
      <c r="CF17" s="23" t="e">
        <f>IF(([1]Submeters!BV23-[1]Submeters!BV22)&lt;0,"0",[1]Submeters!BV23-[1]Submeters!BV22)</f>
        <v>#REF!</v>
      </c>
      <c r="CG17" s="23" t="e">
        <f>IF(([1]Submeters!BW23-[1]Submeters!BW22)&lt;0,"0",[1]Submeters!BW23-[1]Submeters!BW22)</f>
        <v>#REF!</v>
      </c>
      <c r="CH17" s="23" t="e">
        <f>IF(([1]Submeters!BX23-[1]Submeters!BX22)&lt;0,"0",[1]Submeters!BX23-[1]Submeters!BX22)</f>
        <v>#REF!</v>
      </c>
      <c r="CI17" s="23" t="e">
        <f>IF(([1]Submeters!BY23-[1]Submeters!BY22)&lt;0,"0",[1]Submeters!BY23-[1]Submeters!BY22)</f>
        <v>#REF!</v>
      </c>
      <c r="CJ17" s="23" t="e">
        <f>IF(([1]Submeters!BZ23-[1]Submeters!BZ22)&lt;0,"0",[1]Submeters!BZ23-[1]Submeters!BZ22)</f>
        <v>#REF!</v>
      </c>
      <c r="CK17" s="23" t="e">
        <f>IF(([1]Submeters!CA23-[1]Submeters!CA22)&lt;0,"0",[1]Submeters!CA23-[1]Submeters!CA22)</f>
        <v>#REF!</v>
      </c>
      <c r="CL17" s="23" t="e">
        <f>IF(([1]Submeters!CB23-[1]Submeters!CB22)&lt;0,"0",[1]Submeters!CB23-[1]Submeters!CB22)</f>
        <v>#REF!</v>
      </c>
      <c r="CM17" s="23" t="e">
        <f>IF(([1]Submeters!CC23-[1]Submeters!CC22)&lt;0,"0",[1]Submeters!CC23-[1]Submeters!CC22)</f>
        <v>#REF!</v>
      </c>
      <c r="CN17" s="23" t="e">
        <f>IF(([1]Submeters!CD23-[1]Submeters!CD22)&lt;0,"0",[1]Submeters!CD23-[1]Submeters!CD22)</f>
        <v>#REF!</v>
      </c>
      <c r="CO17" s="23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7</v>
      </c>
      <c r="D18" s="10">
        <v>2021</v>
      </c>
      <c r="E18" s="11">
        <f>Hotel!D25</f>
        <v>4397</v>
      </c>
      <c r="F18" s="11">
        <f>Hotel!F25</f>
        <v>4382</v>
      </c>
      <c r="G18" s="11">
        <f>Hotel!H25</f>
        <v>4140</v>
      </c>
      <c r="H18" s="11">
        <f>Hotel!N25</f>
        <v>134</v>
      </c>
      <c r="I18" s="11">
        <f>Hotel!P25</f>
        <v>822</v>
      </c>
      <c r="J18" s="11">
        <f>Hotel!U25</f>
        <v>438</v>
      </c>
      <c r="K18" s="11">
        <f>Hotel!Y25</f>
        <v>71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>
        <f>IF(([1]Submeters!AY24-[1]Submeters!AY23)&lt;0,"0",[1]Submeters!AY24-[1]Submeters!AY23)</f>
        <v>225</v>
      </c>
      <c r="BJ18" s="23" t="e">
        <f>IF(([1]Submeters!AZ24-[1]Submeters!AZ23)&lt;0,"0",[1]Submeters!AZ24-[1]Submeters!AZ23)</f>
        <v>#REF!</v>
      </c>
      <c r="BK18" s="23" t="e">
        <f>IF(([1]Submeters!BA24-[1]Submeters!BA23)&lt;0,"0",[1]Submeters!BA24-[1]Submeters!BA23)</f>
        <v>#REF!</v>
      </c>
      <c r="BL18" s="23" t="e">
        <f>IF(([1]Submeters!BB24-[1]Submeters!BB23)&lt;0,"0",[1]Submeters!BB24-[1]Submeters!BB23)</f>
        <v>#REF!</v>
      </c>
      <c r="BM18" s="23" t="e">
        <f>IF(([1]Submeters!BC24-[1]Submeters!BC23)&lt;0,"0",[1]Submeters!BC24-[1]Submeters!BC23)</f>
        <v>#REF!</v>
      </c>
      <c r="BN18" s="23" t="e">
        <f>IF(([1]Submeters!BD24-[1]Submeters!BD23)&lt;0,"0",[1]Submeters!BD24-[1]Submeters!BD23)</f>
        <v>#REF!</v>
      </c>
      <c r="BO18" s="23" t="e">
        <f>IF(([1]Submeters!BE24-[1]Submeters!BE23)&lt;0,"0",[1]Submeters!BE24-[1]Submeters!BE23)</f>
        <v>#REF!</v>
      </c>
      <c r="BP18" s="23" t="e">
        <f>IF(([1]Submeters!BF24-[1]Submeters!BF23)&lt;0,"0",[1]Submeters!BF24-[1]Submeters!BF23)</f>
        <v>#REF!</v>
      </c>
      <c r="BQ18" s="23" t="e">
        <f>IF(([1]Submeters!BG24-[1]Submeters!BG23)&lt;0,"0",[1]Submeters!BG24-[1]Submeters!BG23)</f>
        <v>#REF!</v>
      </c>
      <c r="BR18" s="23" t="e">
        <f>IF(([1]Submeters!BH24-[1]Submeters!BH23)&lt;0,"0",[1]Submeters!BH24-[1]Submeters!BH23)</f>
        <v>#REF!</v>
      </c>
      <c r="BS18" s="23" t="e">
        <f>IF(([1]Submeters!BI24-[1]Submeters!BI23)&lt;0,"0",[1]Submeters!BI24-[1]Submeters!BI23)</f>
        <v>#REF!</v>
      </c>
      <c r="BT18" s="23" t="e">
        <f>IF(([1]Submeters!BJ24-[1]Submeters!BJ23)&lt;0,"0",[1]Submeters!BJ24-[1]Submeters!BJ23)</f>
        <v>#REF!</v>
      </c>
      <c r="BU18" s="23" t="e">
        <f>IF(([1]Submeters!BK24-[1]Submeters!BK23)&lt;0,"0",[1]Submeters!BK24-[1]Submeters!BK23)</f>
        <v>#REF!</v>
      </c>
      <c r="BV18" s="23" t="e">
        <f>IF(([1]Submeters!BL24-[1]Submeters!BL23)&lt;0,"0",[1]Submeters!BL24-[1]Submeters!BL23)</f>
        <v>#REF!</v>
      </c>
      <c r="BW18" s="23" t="e">
        <f>IF(([1]Submeters!BM24-[1]Submeters!BM23)&lt;0,"0",[1]Submeters!BM24-[1]Submeters!BM23)</f>
        <v>#REF!</v>
      </c>
      <c r="BX18" s="23" t="e">
        <f>IF(([1]Submeters!BN24-[1]Submeters!BN23)&lt;0,"0",[1]Submeters!BN24-[1]Submeters!BN23)</f>
        <v>#REF!</v>
      </c>
      <c r="BY18" s="23" t="e">
        <f>IF(([1]Submeters!BO24-[1]Submeters!BO23)&lt;0,"0",[1]Submeters!BO24-[1]Submeters!BO23)</f>
        <v>#REF!</v>
      </c>
      <c r="BZ18" s="23" t="e">
        <f>IF(([1]Submeters!BP24-[1]Submeters!BP23)&lt;0,"0",[1]Submeters!BP24-[1]Submeters!BP23)</f>
        <v>#REF!</v>
      </c>
      <c r="CA18" s="23" t="e">
        <f>IF(([1]Submeters!BQ24-[1]Submeters!BQ23)&lt;0,"0",[1]Submeters!BQ24-[1]Submeters!BQ23)</f>
        <v>#REF!</v>
      </c>
      <c r="CB18" s="23" t="e">
        <f>IF(([1]Submeters!BR24-[1]Submeters!BR23)&lt;0,"0",[1]Submeters!BR24-[1]Submeters!BR23)</f>
        <v>#REF!</v>
      </c>
      <c r="CC18" s="23" t="e">
        <f>IF(([1]Submeters!BS24-[1]Submeters!BS23)&lt;0,"0",[1]Submeters!BS24-[1]Submeters!BS23)</f>
        <v>#REF!</v>
      </c>
      <c r="CD18" s="23" t="e">
        <f>IF(([1]Submeters!BT24-[1]Submeters!BT23)&lt;0,"0",[1]Submeters!BT24-[1]Submeters!BT23)</f>
        <v>#REF!</v>
      </c>
      <c r="CE18" s="23" t="e">
        <f>IF(([1]Submeters!BU24-[1]Submeters!BU23)&lt;0,"0",[1]Submeters!BU24-[1]Submeters!BU23)</f>
        <v>#REF!</v>
      </c>
      <c r="CF18" s="23" t="e">
        <f>IF(([1]Submeters!BV24-[1]Submeters!BV23)&lt;0,"0",[1]Submeters!BV24-[1]Submeters!BV23)</f>
        <v>#REF!</v>
      </c>
      <c r="CG18" s="23" t="e">
        <f>IF(([1]Submeters!BW24-[1]Submeters!BW23)&lt;0,"0",[1]Submeters!BW24-[1]Submeters!BW23)</f>
        <v>#REF!</v>
      </c>
      <c r="CH18" s="23" t="e">
        <f>IF(([1]Submeters!BX24-[1]Submeters!BX23)&lt;0,"0",[1]Submeters!BX24-[1]Submeters!BX23)</f>
        <v>#REF!</v>
      </c>
      <c r="CI18" s="23" t="e">
        <f>IF(([1]Submeters!BY24-[1]Submeters!BY23)&lt;0,"0",[1]Submeters!BY24-[1]Submeters!BY23)</f>
        <v>#REF!</v>
      </c>
      <c r="CJ18" s="23" t="e">
        <f>IF(([1]Submeters!BZ24-[1]Submeters!BZ23)&lt;0,"0",[1]Submeters!BZ24-[1]Submeters!BZ23)</f>
        <v>#REF!</v>
      </c>
      <c r="CK18" s="23" t="e">
        <f>IF(([1]Submeters!CA24-[1]Submeters!CA23)&lt;0,"0",[1]Submeters!CA24-[1]Submeters!CA23)</f>
        <v>#REF!</v>
      </c>
      <c r="CL18" s="23" t="e">
        <f>IF(([1]Submeters!CB24-[1]Submeters!CB23)&lt;0,"0",[1]Submeters!CB24-[1]Submeters!CB23)</f>
        <v>#REF!</v>
      </c>
      <c r="CM18" s="23" t="e">
        <f>IF(([1]Submeters!CC24-[1]Submeters!CC23)&lt;0,"0",[1]Submeters!CC24-[1]Submeters!CC23)</f>
        <v>#REF!</v>
      </c>
      <c r="CN18" s="23" t="e">
        <f>IF(([1]Submeters!CD24-[1]Submeters!CD23)&lt;0,"0",[1]Submeters!CD24-[1]Submeters!CD23)</f>
        <v>#REF!</v>
      </c>
      <c r="CO18" s="23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7</v>
      </c>
      <c r="D19" s="10">
        <v>2021</v>
      </c>
      <c r="E19" s="11">
        <f>Hotel!D26</f>
        <v>4325</v>
      </c>
      <c r="F19" s="11">
        <f>Hotel!F26</f>
        <v>4306</v>
      </c>
      <c r="G19" s="11">
        <f>Hotel!H26</f>
        <v>4064</v>
      </c>
      <c r="H19" s="11">
        <f>Hotel!N26</f>
        <v>137</v>
      </c>
      <c r="I19" s="11">
        <f>Hotel!P26</f>
        <v>813</v>
      </c>
      <c r="J19" s="11">
        <f>Hotel!U26</f>
        <v>440</v>
      </c>
      <c r="K19" s="11">
        <f>Hotel!Y26</f>
        <v>71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>
        <f>IF(([1]Submeters!AY25-[1]Submeters!AY24)&lt;0,"0",[1]Submeters!AY25-[1]Submeters!AY24)</f>
        <v>320</v>
      </c>
      <c r="BJ19" s="23" t="e">
        <f>IF(([1]Submeters!AZ25-[1]Submeters!AZ24)&lt;0,"0",[1]Submeters!AZ25-[1]Submeters!AZ24)</f>
        <v>#REF!</v>
      </c>
      <c r="BK19" s="23" t="e">
        <f>IF(([1]Submeters!BA25-[1]Submeters!BA24)&lt;0,"0",[1]Submeters!BA25-[1]Submeters!BA24)</f>
        <v>#REF!</v>
      </c>
      <c r="BL19" s="23" t="e">
        <f>IF(([1]Submeters!BB25-[1]Submeters!BB24)&lt;0,"0",[1]Submeters!BB25-[1]Submeters!BB24)</f>
        <v>#REF!</v>
      </c>
      <c r="BM19" s="23" t="e">
        <f>IF(([1]Submeters!BC25-[1]Submeters!BC24)&lt;0,"0",[1]Submeters!BC25-[1]Submeters!BC24)</f>
        <v>#REF!</v>
      </c>
      <c r="BN19" s="23" t="e">
        <f>IF(([1]Submeters!BD25-[1]Submeters!BD24)&lt;0,"0",[1]Submeters!BD25-[1]Submeters!BD24)</f>
        <v>#REF!</v>
      </c>
      <c r="BO19" s="23" t="e">
        <f>IF(([1]Submeters!BE25-[1]Submeters!BE24)&lt;0,"0",[1]Submeters!BE25-[1]Submeters!BE24)</f>
        <v>#REF!</v>
      </c>
      <c r="BP19" s="23" t="e">
        <f>IF(([1]Submeters!BF25-[1]Submeters!BF24)&lt;0,"0",[1]Submeters!BF25-[1]Submeters!BF24)</f>
        <v>#REF!</v>
      </c>
      <c r="BQ19" s="23" t="e">
        <f>IF(([1]Submeters!BG25-[1]Submeters!BG24)&lt;0,"0",[1]Submeters!BG25-[1]Submeters!BG24)</f>
        <v>#REF!</v>
      </c>
      <c r="BR19" s="23" t="e">
        <f>IF(([1]Submeters!BH25-[1]Submeters!BH24)&lt;0,"0",[1]Submeters!BH25-[1]Submeters!BH24)</f>
        <v>#REF!</v>
      </c>
      <c r="BS19" s="23" t="e">
        <f>IF(([1]Submeters!BI25-[1]Submeters!BI24)&lt;0,"0",[1]Submeters!BI25-[1]Submeters!BI24)</f>
        <v>#REF!</v>
      </c>
      <c r="BT19" s="23" t="e">
        <f>IF(([1]Submeters!BJ25-[1]Submeters!BJ24)&lt;0,"0",[1]Submeters!BJ25-[1]Submeters!BJ24)</f>
        <v>#REF!</v>
      </c>
      <c r="BU19" s="23" t="e">
        <f>IF(([1]Submeters!BK25-[1]Submeters!BK24)&lt;0,"0",[1]Submeters!BK25-[1]Submeters!BK24)</f>
        <v>#REF!</v>
      </c>
      <c r="BV19" s="23" t="e">
        <f>IF(([1]Submeters!BL25-[1]Submeters!BL24)&lt;0,"0",[1]Submeters!BL25-[1]Submeters!BL24)</f>
        <v>#REF!</v>
      </c>
      <c r="BW19" s="23" t="e">
        <f>IF(([1]Submeters!BM25-[1]Submeters!BM24)&lt;0,"0",[1]Submeters!BM25-[1]Submeters!BM24)</f>
        <v>#REF!</v>
      </c>
      <c r="BX19" s="23" t="e">
        <f>IF(([1]Submeters!BN25-[1]Submeters!BN24)&lt;0,"0",[1]Submeters!BN25-[1]Submeters!BN24)</f>
        <v>#REF!</v>
      </c>
      <c r="BY19" s="23" t="e">
        <f>IF(([1]Submeters!BO25-[1]Submeters!BO24)&lt;0,"0",[1]Submeters!BO25-[1]Submeters!BO24)</f>
        <v>#REF!</v>
      </c>
      <c r="BZ19" s="23" t="e">
        <f>IF(([1]Submeters!BP25-[1]Submeters!BP24)&lt;0,"0",[1]Submeters!BP25-[1]Submeters!BP24)</f>
        <v>#REF!</v>
      </c>
      <c r="CA19" s="23" t="e">
        <f>IF(([1]Submeters!BQ25-[1]Submeters!BQ24)&lt;0,"0",[1]Submeters!BQ25-[1]Submeters!BQ24)</f>
        <v>#REF!</v>
      </c>
      <c r="CB19" s="23" t="e">
        <f>IF(([1]Submeters!BR25-[1]Submeters!BR24)&lt;0,"0",[1]Submeters!BR25-[1]Submeters!BR24)</f>
        <v>#REF!</v>
      </c>
      <c r="CC19" s="23" t="e">
        <f>IF(([1]Submeters!BS25-[1]Submeters!BS24)&lt;0,"0",[1]Submeters!BS25-[1]Submeters!BS24)</f>
        <v>#REF!</v>
      </c>
      <c r="CD19" s="23" t="e">
        <f>IF(([1]Submeters!BT25-[1]Submeters!BT24)&lt;0,"0",[1]Submeters!BT25-[1]Submeters!BT24)</f>
        <v>#REF!</v>
      </c>
      <c r="CE19" s="23" t="e">
        <f>IF(([1]Submeters!BU25-[1]Submeters!BU24)&lt;0,"0",[1]Submeters!BU25-[1]Submeters!BU24)</f>
        <v>#REF!</v>
      </c>
      <c r="CF19" s="23" t="e">
        <f>IF(([1]Submeters!BV25-[1]Submeters!BV24)&lt;0,"0",[1]Submeters!BV25-[1]Submeters!BV24)</f>
        <v>#REF!</v>
      </c>
      <c r="CG19" s="23" t="e">
        <f>IF(([1]Submeters!BW25-[1]Submeters!BW24)&lt;0,"0",[1]Submeters!BW25-[1]Submeters!BW24)</f>
        <v>#REF!</v>
      </c>
      <c r="CH19" s="23" t="e">
        <f>IF(([1]Submeters!BX25-[1]Submeters!BX24)&lt;0,"0",[1]Submeters!BX25-[1]Submeters!BX24)</f>
        <v>#REF!</v>
      </c>
      <c r="CI19" s="23" t="e">
        <f>IF(([1]Submeters!BY25-[1]Submeters!BY24)&lt;0,"0",[1]Submeters!BY25-[1]Submeters!BY24)</f>
        <v>#REF!</v>
      </c>
      <c r="CJ19" s="23" t="e">
        <f>IF(([1]Submeters!BZ25-[1]Submeters!BZ24)&lt;0,"0",[1]Submeters!BZ25-[1]Submeters!BZ24)</f>
        <v>#REF!</v>
      </c>
      <c r="CK19" s="23" t="e">
        <f>IF(([1]Submeters!CA25-[1]Submeters!CA24)&lt;0,"0",[1]Submeters!CA25-[1]Submeters!CA24)</f>
        <v>#REF!</v>
      </c>
      <c r="CL19" s="23" t="e">
        <f>IF(([1]Submeters!CB25-[1]Submeters!CB24)&lt;0,"0",[1]Submeters!CB25-[1]Submeters!CB24)</f>
        <v>#REF!</v>
      </c>
      <c r="CM19" s="23" t="e">
        <f>IF(([1]Submeters!CC25-[1]Submeters!CC24)&lt;0,"0",[1]Submeters!CC25-[1]Submeters!CC24)</f>
        <v>#REF!</v>
      </c>
      <c r="CN19" s="23" t="e">
        <f>IF(([1]Submeters!CD25-[1]Submeters!CD24)&lt;0,"0",[1]Submeters!CD25-[1]Submeters!CD24)</f>
        <v>#REF!</v>
      </c>
      <c r="CO19" s="23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7</v>
      </c>
      <c r="D20" s="10">
        <v>2021</v>
      </c>
      <c r="E20" s="11">
        <f>Hotel!D27</f>
        <v>4282</v>
      </c>
      <c r="F20" s="11">
        <f>Hotel!F27</f>
        <v>4279</v>
      </c>
      <c r="G20" s="11">
        <f>Hotel!H27</f>
        <v>4014</v>
      </c>
      <c r="H20" s="11">
        <f>Hotel!N27</f>
        <v>137</v>
      </c>
      <c r="I20" s="11">
        <f>Hotel!P27</f>
        <v>787</v>
      </c>
      <c r="J20" s="11">
        <f>Hotel!U27</f>
        <v>443</v>
      </c>
      <c r="K20" s="11">
        <f>Hotel!Y27</f>
        <v>48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>
        <f>IF(([1]Submeters!AY26-[1]Submeters!AY25)&lt;0,"0",[1]Submeters!AY26-[1]Submeters!AY25)</f>
        <v>318</v>
      </c>
      <c r="BJ20" s="23" t="e">
        <f>IF(([1]Submeters!AZ26-[1]Submeters!AZ25)&lt;0,"0",[1]Submeters!AZ26-[1]Submeters!AZ25)</f>
        <v>#REF!</v>
      </c>
      <c r="BK20" s="23" t="e">
        <f>IF(([1]Submeters!BA26-[1]Submeters!BA25)&lt;0,"0",[1]Submeters!BA26-[1]Submeters!BA25)</f>
        <v>#REF!</v>
      </c>
      <c r="BL20" s="23" t="e">
        <f>IF(([1]Submeters!BB26-[1]Submeters!BB25)&lt;0,"0",[1]Submeters!BB26-[1]Submeters!BB25)</f>
        <v>#REF!</v>
      </c>
      <c r="BM20" s="23" t="e">
        <f>IF(([1]Submeters!BC26-[1]Submeters!BC25)&lt;0,"0",[1]Submeters!BC26-[1]Submeters!BC25)</f>
        <v>#REF!</v>
      </c>
      <c r="BN20" s="23" t="e">
        <f>IF(([1]Submeters!BD26-[1]Submeters!BD25)&lt;0,"0",[1]Submeters!BD26-[1]Submeters!BD25)</f>
        <v>#REF!</v>
      </c>
      <c r="BO20" s="23" t="e">
        <f>IF(([1]Submeters!BE26-[1]Submeters!BE25)&lt;0,"0",[1]Submeters!BE26-[1]Submeters!BE25)</f>
        <v>#REF!</v>
      </c>
      <c r="BP20" s="23" t="e">
        <f>IF(([1]Submeters!BF26-[1]Submeters!BF25)&lt;0,"0",[1]Submeters!BF26-[1]Submeters!BF25)</f>
        <v>#REF!</v>
      </c>
      <c r="BQ20" s="23" t="e">
        <f>IF(([1]Submeters!BG26-[1]Submeters!BG25)&lt;0,"0",[1]Submeters!BG26-[1]Submeters!BG25)</f>
        <v>#REF!</v>
      </c>
      <c r="BR20" s="23" t="e">
        <f>IF(([1]Submeters!BH26-[1]Submeters!BH25)&lt;0,"0",[1]Submeters!BH26-[1]Submeters!BH25)</f>
        <v>#REF!</v>
      </c>
      <c r="BS20" s="23" t="e">
        <f>IF(([1]Submeters!BI26-[1]Submeters!BI25)&lt;0,"0",[1]Submeters!BI26-[1]Submeters!BI25)</f>
        <v>#REF!</v>
      </c>
      <c r="BT20" s="23" t="e">
        <f>IF(([1]Submeters!BJ26-[1]Submeters!BJ25)&lt;0,"0",[1]Submeters!BJ26-[1]Submeters!BJ25)</f>
        <v>#REF!</v>
      </c>
      <c r="BU20" s="23" t="e">
        <f>IF(([1]Submeters!BK26-[1]Submeters!BK25)&lt;0,"0",[1]Submeters!BK26-[1]Submeters!BK25)</f>
        <v>#REF!</v>
      </c>
      <c r="BV20" s="23" t="e">
        <f>IF(([1]Submeters!BL26-[1]Submeters!BL25)&lt;0,"0",[1]Submeters!BL26-[1]Submeters!BL25)</f>
        <v>#REF!</v>
      </c>
      <c r="BW20" s="23" t="e">
        <f>IF(([1]Submeters!BM26-[1]Submeters!BM25)&lt;0,"0",[1]Submeters!BM26-[1]Submeters!BM25)</f>
        <v>#REF!</v>
      </c>
      <c r="BX20" s="23" t="e">
        <f>IF(([1]Submeters!BN26-[1]Submeters!BN25)&lt;0,"0",[1]Submeters!BN26-[1]Submeters!BN25)</f>
        <v>#REF!</v>
      </c>
      <c r="BY20" s="23" t="e">
        <f>IF(([1]Submeters!BO26-[1]Submeters!BO25)&lt;0,"0",[1]Submeters!BO26-[1]Submeters!BO25)</f>
        <v>#REF!</v>
      </c>
      <c r="BZ20" s="23" t="e">
        <f>IF(([1]Submeters!BP26-[1]Submeters!BP25)&lt;0,"0",[1]Submeters!BP26-[1]Submeters!BP25)</f>
        <v>#REF!</v>
      </c>
      <c r="CA20" s="23" t="e">
        <f>IF(([1]Submeters!BQ26-[1]Submeters!BQ25)&lt;0,"0",[1]Submeters!BQ26-[1]Submeters!BQ25)</f>
        <v>#REF!</v>
      </c>
      <c r="CB20" s="23" t="e">
        <f>IF(([1]Submeters!BR26-[1]Submeters!BR25)&lt;0,"0",[1]Submeters!BR26-[1]Submeters!BR25)</f>
        <v>#REF!</v>
      </c>
      <c r="CC20" s="23" t="e">
        <f>IF(([1]Submeters!BS26-[1]Submeters!BS25)&lt;0,"0",[1]Submeters!BS26-[1]Submeters!BS25)</f>
        <v>#REF!</v>
      </c>
      <c r="CD20" s="23" t="e">
        <f>IF(([1]Submeters!BT26-[1]Submeters!BT25)&lt;0,"0",[1]Submeters!BT26-[1]Submeters!BT25)</f>
        <v>#REF!</v>
      </c>
      <c r="CE20" s="23" t="e">
        <f>IF(([1]Submeters!BU26-[1]Submeters!BU25)&lt;0,"0",[1]Submeters!BU26-[1]Submeters!BU25)</f>
        <v>#REF!</v>
      </c>
      <c r="CF20" s="23" t="e">
        <f>IF(([1]Submeters!BV26-[1]Submeters!BV25)&lt;0,"0",[1]Submeters!BV26-[1]Submeters!BV25)</f>
        <v>#REF!</v>
      </c>
      <c r="CG20" s="23" t="e">
        <f>IF(([1]Submeters!BW26-[1]Submeters!BW25)&lt;0,"0",[1]Submeters!BW26-[1]Submeters!BW25)</f>
        <v>#REF!</v>
      </c>
      <c r="CH20" s="23" t="e">
        <f>IF(([1]Submeters!BX26-[1]Submeters!BX25)&lt;0,"0",[1]Submeters!BX26-[1]Submeters!BX25)</f>
        <v>#REF!</v>
      </c>
      <c r="CI20" s="23" t="e">
        <f>IF(([1]Submeters!BY26-[1]Submeters!BY25)&lt;0,"0",[1]Submeters!BY26-[1]Submeters!BY25)</f>
        <v>#REF!</v>
      </c>
      <c r="CJ20" s="23" t="e">
        <f>IF(([1]Submeters!BZ26-[1]Submeters!BZ25)&lt;0,"0",[1]Submeters!BZ26-[1]Submeters!BZ25)</f>
        <v>#REF!</v>
      </c>
      <c r="CK20" s="23" t="e">
        <f>IF(([1]Submeters!CA26-[1]Submeters!CA25)&lt;0,"0",[1]Submeters!CA26-[1]Submeters!CA25)</f>
        <v>#REF!</v>
      </c>
      <c r="CL20" s="23" t="e">
        <f>IF(([1]Submeters!CB26-[1]Submeters!CB25)&lt;0,"0",[1]Submeters!CB26-[1]Submeters!CB25)</f>
        <v>#REF!</v>
      </c>
      <c r="CM20" s="23" t="e">
        <f>IF(([1]Submeters!CC26-[1]Submeters!CC25)&lt;0,"0",[1]Submeters!CC26-[1]Submeters!CC25)</f>
        <v>#REF!</v>
      </c>
      <c r="CN20" s="23" t="e">
        <f>IF(([1]Submeters!CD26-[1]Submeters!CD25)&lt;0,"0",[1]Submeters!CD26-[1]Submeters!CD25)</f>
        <v>#REF!</v>
      </c>
      <c r="CO20" s="23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7</v>
      </c>
      <c r="D21" s="10">
        <v>2021</v>
      </c>
      <c r="E21" s="11">
        <f>Hotel!D28</f>
        <v>4227</v>
      </c>
      <c r="F21" s="11">
        <f>Hotel!F28</f>
        <v>4124</v>
      </c>
      <c r="G21" s="11">
        <f>Hotel!H28</f>
        <v>4075</v>
      </c>
      <c r="H21" s="11">
        <f>Hotel!N28</f>
        <v>89</v>
      </c>
      <c r="I21" s="11">
        <f>Hotel!P28</f>
        <v>808</v>
      </c>
      <c r="J21" s="11">
        <f>Hotel!U28</f>
        <v>443</v>
      </c>
      <c r="K21" s="11">
        <f>Hotel!Y28</f>
        <v>41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 t="e">
        <f>IF(([1]Submeters!AY27-[1]Submeters!AY26)&lt;0,"0",[1]Submeters!AY27-[1]Submeters!AY26)</f>
        <v>#REF!</v>
      </c>
      <c r="BJ21" s="23" t="e">
        <f>IF(([1]Submeters!AZ27-[1]Submeters!AZ26)&lt;0,"0",[1]Submeters!AZ27-[1]Submeters!AZ26)</f>
        <v>#REF!</v>
      </c>
      <c r="BK21" s="23" t="e">
        <f>IF(([1]Submeters!BA27-[1]Submeters!BA26)&lt;0,"0",[1]Submeters!BA27-[1]Submeters!BA26)</f>
        <v>#REF!</v>
      </c>
      <c r="BL21" s="23" t="e">
        <f>IF(([1]Submeters!BB27-[1]Submeters!BB26)&lt;0,"0",[1]Submeters!BB27-[1]Submeters!BB26)</f>
        <v>#REF!</v>
      </c>
      <c r="BM21" s="23" t="e">
        <f>IF(([1]Submeters!BC27-[1]Submeters!BC26)&lt;0,"0",[1]Submeters!BC27-[1]Submeters!BC26)</f>
        <v>#REF!</v>
      </c>
      <c r="BN21" s="23" t="e">
        <f>IF(([1]Submeters!BD27-[1]Submeters!BD26)&lt;0,"0",[1]Submeters!BD27-[1]Submeters!BD26)</f>
        <v>#REF!</v>
      </c>
      <c r="BO21" s="23" t="e">
        <f>IF(([1]Submeters!BE27-[1]Submeters!BE26)&lt;0,"0",[1]Submeters!BE27-[1]Submeters!BE26)</f>
        <v>#REF!</v>
      </c>
      <c r="BP21" s="23" t="e">
        <f>IF(([1]Submeters!BF27-[1]Submeters!BF26)&lt;0,"0",[1]Submeters!BF27-[1]Submeters!BF26)</f>
        <v>#REF!</v>
      </c>
      <c r="BQ21" s="23" t="e">
        <f>IF(([1]Submeters!BG27-[1]Submeters!BG26)&lt;0,"0",[1]Submeters!BG27-[1]Submeters!BG26)</f>
        <v>#REF!</v>
      </c>
      <c r="BR21" s="23" t="e">
        <f>IF(([1]Submeters!BH27-[1]Submeters!BH26)&lt;0,"0",[1]Submeters!BH27-[1]Submeters!BH26)</f>
        <v>#REF!</v>
      </c>
      <c r="BS21" s="23" t="e">
        <f>IF(([1]Submeters!BI27-[1]Submeters!BI26)&lt;0,"0",[1]Submeters!BI27-[1]Submeters!BI26)</f>
        <v>#REF!</v>
      </c>
      <c r="BT21" s="23" t="e">
        <f>IF(([1]Submeters!BJ27-[1]Submeters!BJ26)&lt;0,"0",[1]Submeters!BJ27-[1]Submeters!BJ26)</f>
        <v>#REF!</v>
      </c>
      <c r="BU21" s="23" t="e">
        <f>IF(([1]Submeters!BK27-[1]Submeters!BK26)&lt;0,"0",[1]Submeters!BK27-[1]Submeters!BK26)</f>
        <v>#REF!</v>
      </c>
      <c r="BV21" s="23" t="e">
        <f>IF(([1]Submeters!BL27-[1]Submeters!BL26)&lt;0,"0",[1]Submeters!BL27-[1]Submeters!BL26)</f>
        <v>#REF!</v>
      </c>
      <c r="BW21" s="23" t="e">
        <f>IF(([1]Submeters!BM27-[1]Submeters!BM26)&lt;0,"0",[1]Submeters!BM27-[1]Submeters!BM26)</f>
        <v>#REF!</v>
      </c>
      <c r="BX21" s="23" t="e">
        <f>IF(([1]Submeters!BN27-[1]Submeters!BN26)&lt;0,"0",[1]Submeters!BN27-[1]Submeters!BN26)</f>
        <v>#REF!</v>
      </c>
      <c r="BY21" s="23" t="e">
        <f>IF(([1]Submeters!BO27-[1]Submeters!BO26)&lt;0,"0",[1]Submeters!BO27-[1]Submeters!BO26)</f>
        <v>#REF!</v>
      </c>
      <c r="BZ21" s="23" t="e">
        <f>IF(([1]Submeters!BP27-[1]Submeters!BP26)&lt;0,"0",[1]Submeters!BP27-[1]Submeters!BP26)</f>
        <v>#REF!</v>
      </c>
      <c r="CA21" s="23" t="e">
        <f>IF(([1]Submeters!BQ27-[1]Submeters!BQ26)&lt;0,"0",[1]Submeters!BQ27-[1]Submeters!BQ26)</f>
        <v>#REF!</v>
      </c>
      <c r="CB21" s="23" t="e">
        <f>IF(([1]Submeters!BR27-[1]Submeters!BR26)&lt;0,"0",[1]Submeters!BR27-[1]Submeters!BR26)</f>
        <v>#REF!</v>
      </c>
      <c r="CC21" s="23" t="e">
        <f>IF(([1]Submeters!BS27-[1]Submeters!BS26)&lt;0,"0",[1]Submeters!BS27-[1]Submeters!BS26)</f>
        <v>#REF!</v>
      </c>
      <c r="CD21" s="23" t="e">
        <f>IF(([1]Submeters!BT27-[1]Submeters!BT26)&lt;0,"0",[1]Submeters!BT27-[1]Submeters!BT26)</f>
        <v>#REF!</v>
      </c>
      <c r="CE21" s="23" t="e">
        <f>IF(([1]Submeters!BU27-[1]Submeters!BU26)&lt;0,"0",[1]Submeters!BU27-[1]Submeters!BU26)</f>
        <v>#REF!</v>
      </c>
      <c r="CF21" s="23" t="e">
        <f>IF(([1]Submeters!BV27-[1]Submeters!BV26)&lt;0,"0",[1]Submeters!BV27-[1]Submeters!BV26)</f>
        <v>#REF!</v>
      </c>
      <c r="CG21" s="23" t="e">
        <f>IF(([1]Submeters!BW27-[1]Submeters!BW26)&lt;0,"0",[1]Submeters!BW27-[1]Submeters!BW26)</f>
        <v>#REF!</v>
      </c>
      <c r="CH21" s="23" t="e">
        <f>IF(([1]Submeters!BX27-[1]Submeters!BX26)&lt;0,"0",[1]Submeters!BX27-[1]Submeters!BX26)</f>
        <v>#REF!</v>
      </c>
      <c r="CI21" s="23" t="e">
        <f>IF(([1]Submeters!BY27-[1]Submeters!BY26)&lt;0,"0",[1]Submeters!BY27-[1]Submeters!BY26)</f>
        <v>#REF!</v>
      </c>
      <c r="CJ21" s="23" t="e">
        <f>IF(([1]Submeters!BZ27-[1]Submeters!BZ26)&lt;0,"0",[1]Submeters!BZ27-[1]Submeters!BZ26)</f>
        <v>#REF!</v>
      </c>
      <c r="CK21" s="23" t="e">
        <f>IF(([1]Submeters!CA27-[1]Submeters!CA26)&lt;0,"0",[1]Submeters!CA27-[1]Submeters!CA26)</f>
        <v>#REF!</v>
      </c>
      <c r="CL21" s="23" t="e">
        <f>IF(([1]Submeters!CB27-[1]Submeters!CB26)&lt;0,"0",[1]Submeters!CB27-[1]Submeters!CB26)</f>
        <v>#REF!</v>
      </c>
      <c r="CM21" s="23" t="e">
        <f>IF(([1]Submeters!CC27-[1]Submeters!CC26)&lt;0,"0",[1]Submeters!CC27-[1]Submeters!CC26)</f>
        <v>#REF!</v>
      </c>
      <c r="CN21" s="23" t="e">
        <f>IF(([1]Submeters!CD27-[1]Submeters!CD26)&lt;0,"0",[1]Submeters!CD27-[1]Submeters!CD26)</f>
        <v>#REF!</v>
      </c>
      <c r="CO21" s="23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7</v>
      </c>
      <c r="D22" s="10">
        <v>2021</v>
      </c>
      <c r="E22" s="11">
        <f>Hotel!D29</f>
        <v>4311</v>
      </c>
      <c r="F22" s="11">
        <f>Hotel!F29</f>
        <v>4420</v>
      </c>
      <c r="G22" s="11">
        <f>Hotel!H29</f>
        <v>3944</v>
      </c>
      <c r="H22" s="11">
        <f>Hotel!N29</f>
        <v>124</v>
      </c>
      <c r="I22" s="11">
        <f>Hotel!P29</f>
        <v>730</v>
      </c>
      <c r="J22" s="11">
        <f>Hotel!U29</f>
        <v>344</v>
      </c>
      <c r="K22" s="11">
        <f>Hotel!Y29</f>
        <v>53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 t="e">
        <f>IF(([1]Submeters!AY28-[1]Submeters!AY27)&lt;0,"0",[1]Submeters!AY28-[1]Submeters!AY27)</f>
        <v>#REF!</v>
      </c>
      <c r="BJ22" s="23" t="e">
        <f>IF(([1]Submeters!AZ28-[1]Submeters!AZ27)&lt;0,"0",[1]Submeters!AZ28-[1]Submeters!AZ27)</f>
        <v>#REF!</v>
      </c>
      <c r="BK22" s="23" t="e">
        <f>IF(([1]Submeters!BA28-[1]Submeters!BA27)&lt;0,"0",[1]Submeters!BA28-[1]Submeters!BA27)</f>
        <v>#REF!</v>
      </c>
      <c r="BL22" s="23" t="e">
        <f>IF(([1]Submeters!BB28-[1]Submeters!BB27)&lt;0,"0",[1]Submeters!BB28-[1]Submeters!BB27)</f>
        <v>#REF!</v>
      </c>
      <c r="BM22" s="23" t="e">
        <f>IF(([1]Submeters!BC28-[1]Submeters!BC27)&lt;0,"0",[1]Submeters!BC28-[1]Submeters!BC27)</f>
        <v>#REF!</v>
      </c>
      <c r="BN22" s="23" t="e">
        <f>IF(([1]Submeters!BD28-[1]Submeters!BD27)&lt;0,"0",[1]Submeters!BD28-[1]Submeters!BD27)</f>
        <v>#REF!</v>
      </c>
      <c r="BO22" s="23" t="e">
        <f>IF(([1]Submeters!BE28-[1]Submeters!BE27)&lt;0,"0",[1]Submeters!BE28-[1]Submeters!BE27)</f>
        <v>#REF!</v>
      </c>
      <c r="BP22" s="23" t="e">
        <f>IF(([1]Submeters!BF28-[1]Submeters!BF27)&lt;0,"0",[1]Submeters!BF28-[1]Submeters!BF27)</f>
        <v>#REF!</v>
      </c>
      <c r="BQ22" s="23" t="e">
        <f>IF(([1]Submeters!BG28-[1]Submeters!BG27)&lt;0,"0",[1]Submeters!BG28-[1]Submeters!BG27)</f>
        <v>#REF!</v>
      </c>
      <c r="BR22" s="23" t="e">
        <f>IF(([1]Submeters!BH28-[1]Submeters!BH27)&lt;0,"0",[1]Submeters!BH28-[1]Submeters!BH27)</f>
        <v>#REF!</v>
      </c>
      <c r="BS22" s="23" t="e">
        <f>IF(([1]Submeters!BI28-[1]Submeters!BI27)&lt;0,"0",[1]Submeters!BI28-[1]Submeters!BI27)</f>
        <v>#REF!</v>
      </c>
      <c r="BT22" s="23" t="e">
        <f>IF(([1]Submeters!BJ28-[1]Submeters!BJ27)&lt;0,"0",[1]Submeters!BJ28-[1]Submeters!BJ27)</f>
        <v>#REF!</v>
      </c>
      <c r="BU22" s="23" t="e">
        <f>IF(([1]Submeters!BK28-[1]Submeters!BK27)&lt;0,"0",[1]Submeters!BK28-[1]Submeters!BK27)</f>
        <v>#REF!</v>
      </c>
      <c r="BV22" s="23" t="e">
        <f>IF(([1]Submeters!BL28-[1]Submeters!BL27)&lt;0,"0",[1]Submeters!BL28-[1]Submeters!BL27)</f>
        <v>#REF!</v>
      </c>
      <c r="BW22" s="23" t="e">
        <f>IF(([1]Submeters!BM28-[1]Submeters!BM27)&lt;0,"0",[1]Submeters!BM28-[1]Submeters!BM27)</f>
        <v>#REF!</v>
      </c>
      <c r="BX22" s="23" t="e">
        <f>IF(([1]Submeters!BN28-[1]Submeters!BN27)&lt;0,"0",[1]Submeters!BN28-[1]Submeters!BN27)</f>
        <v>#REF!</v>
      </c>
      <c r="BY22" s="23" t="e">
        <f>IF(([1]Submeters!BO28-[1]Submeters!BO27)&lt;0,"0",[1]Submeters!BO28-[1]Submeters!BO27)</f>
        <v>#REF!</v>
      </c>
      <c r="BZ22" s="23" t="e">
        <f>IF(([1]Submeters!BP28-[1]Submeters!BP27)&lt;0,"0",[1]Submeters!BP28-[1]Submeters!BP27)</f>
        <v>#REF!</v>
      </c>
      <c r="CA22" s="23" t="e">
        <f>IF(([1]Submeters!BQ28-[1]Submeters!BQ27)&lt;0,"0",[1]Submeters!BQ28-[1]Submeters!BQ27)</f>
        <v>#REF!</v>
      </c>
      <c r="CB22" s="23" t="e">
        <f>IF(([1]Submeters!BR28-[1]Submeters!BR27)&lt;0,"0",[1]Submeters!BR28-[1]Submeters!BR27)</f>
        <v>#REF!</v>
      </c>
      <c r="CC22" s="23" t="e">
        <f>IF(([1]Submeters!BS28-[1]Submeters!BS27)&lt;0,"0",[1]Submeters!BS28-[1]Submeters!BS27)</f>
        <v>#REF!</v>
      </c>
      <c r="CD22" s="23" t="e">
        <f>IF(([1]Submeters!BT28-[1]Submeters!BT27)&lt;0,"0",[1]Submeters!BT28-[1]Submeters!BT27)</f>
        <v>#REF!</v>
      </c>
      <c r="CE22" s="23" t="e">
        <f>IF(([1]Submeters!BU28-[1]Submeters!BU27)&lt;0,"0",[1]Submeters!BU28-[1]Submeters!BU27)</f>
        <v>#REF!</v>
      </c>
      <c r="CF22" s="23" t="e">
        <f>IF(([1]Submeters!BV28-[1]Submeters!BV27)&lt;0,"0",[1]Submeters!BV28-[1]Submeters!BV27)</f>
        <v>#REF!</v>
      </c>
      <c r="CG22" s="23" t="e">
        <f>IF(([1]Submeters!BW28-[1]Submeters!BW27)&lt;0,"0",[1]Submeters!BW28-[1]Submeters!BW27)</f>
        <v>#REF!</v>
      </c>
      <c r="CH22" s="23" t="e">
        <f>IF(([1]Submeters!BX28-[1]Submeters!BX27)&lt;0,"0",[1]Submeters!BX28-[1]Submeters!BX27)</f>
        <v>#REF!</v>
      </c>
      <c r="CI22" s="23" t="e">
        <f>IF(([1]Submeters!BY28-[1]Submeters!BY27)&lt;0,"0",[1]Submeters!BY28-[1]Submeters!BY27)</f>
        <v>#REF!</v>
      </c>
      <c r="CJ22" s="23" t="e">
        <f>IF(([1]Submeters!BZ28-[1]Submeters!BZ27)&lt;0,"0",[1]Submeters!BZ28-[1]Submeters!BZ27)</f>
        <v>#REF!</v>
      </c>
      <c r="CK22" s="23" t="e">
        <f>IF(([1]Submeters!CA28-[1]Submeters!CA27)&lt;0,"0",[1]Submeters!CA28-[1]Submeters!CA27)</f>
        <v>#REF!</v>
      </c>
      <c r="CL22" s="23" t="e">
        <f>IF(([1]Submeters!CB28-[1]Submeters!CB27)&lt;0,"0",[1]Submeters!CB28-[1]Submeters!CB27)</f>
        <v>#REF!</v>
      </c>
      <c r="CM22" s="23" t="e">
        <f>IF(([1]Submeters!CC28-[1]Submeters!CC27)&lt;0,"0",[1]Submeters!CC28-[1]Submeters!CC27)</f>
        <v>#REF!</v>
      </c>
      <c r="CN22" s="23" t="e">
        <f>IF(([1]Submeters!CD28-[1]Submeters!CD27)&lt;0,"0",[1]Submeters!CD28-[1]Submeters!CD27)</f>
        <v>#REF!</v>
      </c>
      <c r="CO22" s="23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7</v>
      </c>
      <c r="D23" s="10">
        <v>2021</v>
      </c>
      <c r="E23" s="11">
        <f>Hotel!D30</f>
        <v>4715</v>
      </c>
      <c r="F23" s="11">
        <f>Hotel!F30</f>
        <v>4704</v>
      </c>
      <c r="G23" s="11">
        <f>Hotel!H30</f>
        <v>4418</v>
      </c>
      <c r="H23" s="11">
        <f>Hotel!N30</f>
        <v>130</v>
      </c>
      <c r="I23" s="11">
        <f>Hotel!P30</f>
        <v>791</v>
      </c>
      <c r="J23" s="11">
        <f>Hotel!U30</f>
        <v>438</v>
      </c>
      <c r="K23" s="11">
        <f>Hotel!Y30</f>
        <v>70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 t="e">
        <f>IF(([1]Submeters!AY29-[1]Submeters!AY28)&lt;0,"0",[1]Submeters!AY29-[1]Submeters!AY28)</f>
        <v>#REF!</v>
      </c>
      <c r="BJ23" s="23" t="e">
        <f>IF(([1]Submeters!AZ29-[1]Submeters!AZ28)&lt;0,"0",[1]Submeters!AZ29-[1]Submeters!AZ28)</f>
        <v>#REF!</v>
      </c>
      <c r="BK23" s="23" t="e">
        <f>IF(([1]Submeters!BA29-[1]Submeters!BA28)&lt;0,"0",[1]Submeters!BA29-[1]Submeters!BA28)</f>
        <v>#REF!</v>
      </c>
      <c r="BL23" s="23" t="e">
        <f>IF(([1]Submeters!BB29-[1]Submeters!BB28)&lt;0,"0",[1]Submeters!BB29-[1]Submeters!BB28)</f>
        <v>#REF!</v>
      </c>
      <c r="BM23" s="23" t="e">
        <f>IF(([1]Submeters!BC29-[1]Submeters!BC28)&lt;0,"0",[1]Submeters!BC29-[1]Submeters!BC28)</f>
        <v>#REF!</v>
      </c>
      <c r="BN23" s="23" t="e">
        <f>IF(([1]Submeters!BD29-[1]Submeters!BD28)&lt;0,"0",[1]Submeters!BD29-[1]Submeters!BD28)</f>
        <v>#REF!</v>
      </c>
      <c r="BO23" s="23" t="e">
        <f>IF(([1]Submeters!BE29-[1]Submeters!BE28)&lt;0,"0",[1]Submeters!BE29-[1]Submeters!BE28)</f>
        <v>#REF!</v>
      </c>
      <c r="BP23" s="23" t="e">
        <f>IF(([1]Submeters!BF29-[1]Submeters!BF28)&lt;0,"0",[1]Submeters!BF29-[1]Submeters!BF28)</f>
        <v>#REF!</v>
      </c>
      <c r="BQ23" s="23" t="e">
        <f>IF(([1]Submeters!BG29-[1]Submeters!BG28)&lt;0,"0",[1]Submeters!BG29-[1]Submeters!BG28)</f>
        <v>#REF!</v>
      </c>
      <c r="BR23" s="23" t="e">
        <f>IF(([1]Submeters!BH29-[1]Submeters!BH28)&lt;0,"0",[1]Submeters!BH29-[1]Submeters!BH28)</f>
        <v>#REF!</v>
      </c>
      <c r="BS23" s="23" t="e">
        <f>IF(([1]Submeters!BI29-[1]Submeters!BI28)&lt;0,"0",[1]Submeters!BI29-[1]Submeters!BI28)</f>
        <v>#REF!</v>
      </c>
      <c r="BT23" s="23" t="e">
        <f>IF(([1]Submeters!BJ29-[1]Submeters!BJ28)&lt;0,"0",[1]Submeters!BJ29-[1]Submeters!BJ28)</f>
        <v>#REF!</v>
      </c>
      <c r="BU23" s="23" t="e">
        <f>IF(([1]Submeters!BK29-[1]Submeters!BK28)&lt;0,"0",[1]Submeters!BK29-[1]Submeters!BK28)</f>
        <v>#REF!</v>
      </c>
      <c r="BV23" s="23" t="e">
        <f>IF(([1]Submeters!BL29-[1]Submeters!BL28)&lt;0,"0",[1]Submeters!BL29-[1]Submeters!BL28)</f>
        <v>#REF!</v>
      </c>
      <c r="BW23" s="23" t="e">
        <f>IF(([1]Submeters!BM29-[1]Submeters!BM28)&lt;0,"0",[1]Submeters!BM29-[1]Submeters!BM28)</f>
        <v>#REF!</v>
      </c>
      <c r="BX23" s="23" t="e">
        <f>IF(([1]Submeters!BN29-[1]Submeters!BN28)&lt;0,"0",[1]Submeters!BN29-[1]Submeters!BN28)</f>
        <v>#REF!</v>
      </c>
      <c r="BY23" s="23" t="e">
        <f>IF(([1]Submeters!BO29-[1]Submeters!BO28)&lt;0,"0",[1]Submeters!BO29-[1]Submeters!BO28)</f>
        <v>#REF!</v>
      </c>
      <c r="BZ23" s="23" t="e">
        <f>IF(([1]Submeters!BP29-[1]Submeters!BP28)&lt;0,"0",[1]Submeters!BP29-[1]Submeters!BP28)</f>
        <v>#REF!</v>
      </c>
      <c r="CA23" s="23" t="e">
        <f>IF(([1]Submeters!BQ29-[1]Submeters!BQ28)&lt;0,"0",[1]Submeters!BQ29-[1]Submeters!BQ28)</f>
        <v>#REF!</v>
      </c>
      <c r="CB23" s="23" t="e">
        <f>IF(([1]Submeters!BR29-[1]Submeters!BR28)&lt;0,"0",[1]Submeters!BR29-[1]Submeters!BR28)</f>
        <v>#REF!</v>
      </c>
      <c r="CC23" s="23" t="e">
        <f>IF(([1]Submeters!BS29-[1]Submeters!BS28)&lt;0,"0",[1]Submeters!BS29-[1]Submeters!BS28)</f>
        <v>#REF!</v>
      </c>
      <c r="CD23" s="23" t="e">
        <f>IF(([1]Submeters!BT29-[1]Submeters!BT28)&lt;0,"0",[1]Submeters!BT29-[1]Submeters!BT28)</f>
        <v>#REF!</v>
      </c>
      <c r="CE23" s="23" t="e">
        <f>IF(([1]Submeters!BU29-[1]Submeters!BU28)&lt;0,"0",[1]Submeters!BU29-[1]Submeters!BU28)</f>
        <v>#REF!</v>
      </c>
      <c r="CF23" s="23" t="e">
        <f>IF(([1]Submeters!BV29-[1]Submeters!BV28)&lt;0,"0",[1]Submeters!BV29-[1]Submeters!BV28)</f>
        <v>#REF!</v>
      </c>
      <c r="CG23" s="23" t="e">
        <f>IF(([1]Submeters!BW29-[1]Submeters!BW28)&lt;0,"0",[1]Submeters!BW29-[1]Submeters!BW28)</f>
        <v>#REF!</v>
      </c>
      <c r="CH23" s="23" t="e">
        <f>IF(([1]Submeters!BX29-[1]Submeters!BX28)&lt;0,"0",[1]Submeters!BX29-[1]Submeters!BX28)</f>
        <v>#REF!</v>
      </c>
      <c r="CI23" s="23" t="e">
        <f>IF(([1]Submeters!BY29-[1]Submeters!BY28)&lt;0,"0",[1]Submeters!BY29-[1]Submeters!BY28)</f>
        <v>#REF!</v>
      </c>
      <c r="CJ23" s="23" t="e">
        <f>IF(([1]Submeters!BZ29-[1]Submeters!BZ28)&lt;0,"0",[1]Submeters!BZ29-[1]Submeters!BZ28)</f>
        <v>#REF!</v>
      </c>
      <c r="CK23" s="23" t="e">
        <f>IF(([1]Submeters!CA29-[1]Submeters!CA28)&lt;0,"0",[1]Submeters!CA29-[1]Submeters!CA28)</f>
        <v>#REF!</v>
      </c>
      <c r="CL23" s="23" t="e">
        <f>IF(([1]Submeters!CB29-[1]Submeters!CB28)&lt;0,"0",[1]Submeters!CB29-[1]Submeters!CB28)</f>
        <v>#REF!</v>
      </c>
      <c r="CM23" s="23" t="e">
        <f>IF(([1]Submeters!CC29-[1]Submeters!CC28)&lt;0,"0",[1]Submeters!CC29-[1]Submeters!CC28)</f>
        <v>#REF!</v>
      </c>
      <c r="CN23" s="23" t="e">
        <f>IF(([1]Submeters!CD29-[1]Submeters!CD28)&lt;0,"0",[1]Submeters!CD29-[1]Submeters!CD28)</f>
        <v>#REF!</v>
      </c>
      <c r="CO23" s="23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7</v>
      </c>
      <c r="D24" s="10">
        <v>2021</v>
      </c>
      <c r="E24" s="11">
        <f>Hotel!D31</f>
        <v>4766</v>
      </c>
      <c r="F24" s="11">
        <f>Hotel!F31</f>
        <v>4766</v>
      </c>
      <c r="G24" s="11">
        <f>Hotel!H31</f>
        <v>4488</v>
      </c>
      <c r="H24" s="11">
        <f>Hotel!N31</f>
        <v>119</v>
      </c>
      <c r="I24" s="11">
        <f>Hotel!P31</f>
        <v>792</v>
      </c>
      <c r="J24" s="11">
        <f>Hotel!U31</f>
        <v>470</v>
      </c>
      <c r="K24" s="11">
        <f>Hotel!Y31</f>
        <v>63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 t="e">
        <f>IF(([1]Submeters!AY30-[1]Submeters!AY29)&lt;0,"0",[1]Submeters!AY30-[1]Submeters!AY29)</f>
        <v>#REF!</v>
      </c>
      <c r="BJ24" s="23" t="e">
        <f>IF(([1]Submeters!AZ30-[1]Submeters!AZ29)&lt;0,"0",[1]Submeters!AZ30-[1]Submeters!AZ29)</f>
        <v>#REF!</v>
      </c>
      <c r="BK24" s="23" t="e">
        <f>IF(([1]Submeters!BA30-[1]Submeters!BA29)&lt;0,"0",[1]Submeters!BA30-[1]Submeters!BA29)</f>
        <v>#REF!</v>
      </c>
      <c r="BL24" s="23" t="e">
        <f>IF(([1]Submeters!BB30-[1]Submeters!BB29)&lt;0,"0",[1]Submeters!BB30-[1]Submeters!BB29)</f>
        <v>#REF!</v>
      </c>
      <c r="BM24" s="23" t="e">
        <f>IF(([1]Submeters!BC30-[1]Submeters!BC29)&lt;0,"0",[1]Submeters!BC30-[1]Submeters!BC29)</f>
        <v>#REF!</v>
      </c>
      <c r="BN24" s="23" t="e">
        <f>IF(([1]Submeters!BD30-[1]Submeters!BD29)&lt;0,"0",[1]Submeters!BD30-[1]Submeters!BD29)</f>
        <v>#REF!</v>
      </c>
      <c r="BO24" s="23" t="e">
        <f>IF(([1]Submeters!BE30-[1]Submeters!BE29)&lt;0,"0",[1]Submeters!BE30-[1]Submeters!BE29)</f>
        <v>#REF!</v>
      </c>
      <c r="BP24" s="23" t="e">
        <f>IF(([1]Submeters!BF30-[1]Submeters!BF29)&lt;0,"0",[1]Submeters!BF30-[1]Submeters!BF29)</f>
        <v>#REF!</v>
      </c>
      <c r="BQ24" s="23" t="e">
        <f>IF(([1]Submeters!BG30-[1]Submeters!BG29)&lt;0,"0",[1]Submeters!BG30-[1]Submeters!BG29)</f>
        <v>#REF!</v>
      </c>
      <c r="BR24" s="23" t="e">
        <f>IF(([1]Submeters!BH30-[1]Submeters!BH29)&lt;0,"0",[1]Submeters!BH30-[1]Submeters!BH29)</f>
        <v>#REF!</v>
      </c>
      <c r="BS24" s="23" t="e">
        <f>IF(([1]Submeters!BI30-[1]Submeters!BI29)&lt;0,"0",[1]Submeters!BI30-[1]Submeters!BI29)</f>
        <v>#REF!</v>
      </c>
      <c r="BT24" s="23" t="e">
        <f>IF(([1]Submeters!BJ30-[1]Submeters!BJ29)&lt;0,"0",[1]Submeters!BJ30-[1]Submeters!BJ29)</f>
        <v>#REF!</v>
      </c>
      <c r="BU24" s="23" t="e">
        <f>IF(([1]Submeters!BK30-[1]Submeters!BK29)&lt;0,"0",[1]Submeters!BK30-[1]Submeters!BK29)</f>
        <v>#REF!</v>
      </c>
      <c r="BV24" s="23" t="e">
        <f>IF(([1]Submeters!BL30-[1]Submeters!BL29)&lt;0,"0",[1]Submeters!BL30-[1]Submeters!BL29)</f>
        <v>#REF!</v>
      </c>
      <c r="BW24" s="23" t="e">
        <f>IF(([1]Submeters!BM30-[1]Submeters!BM29)&lt;0,"0",[1]Submeters!BM30-[1]Submeters!BM29)</f>
        <v>#REF!</v>
      </c>
      <c r="BX24" s="23" t="e">
        <f>IF(([1]Submeters!BN30-[1]Submeters!BN29)&lt;0,"0",[1]Submeters!BN30-[1]Submeters!BN29)</f>
        <v>#REF!</v>
      </c>
      <c r="BY24" s="23" t="e">
        <f>IF(([1]Submeters!BO30-[1]Submeters!BO29)&lt;0,"0",[1]Submeters!BO30-[1]Submeters!BO29)</f>
        <v>#REF!</v>
      </c>
      <c r="BZ24" s="23" t="e">
        <f>IF(([1]Submeters!BP30-[1]Submeters!BP29)&lt;0,"0",[1]Submeters!BP30-[1]Submeters!BP29)</f>
        <v>#REF!</v>
      </c>
      <c r="CA24" s="23" t="e">
        <f>IF(([1]Submeters!BQ30-[1]Submeters!BQ29)&lt;0,"0",[1]Submeters!BQ30-[1]Submeters!BQ29)</f>
        <v>#REF!</v>
      </c>
      <c r="CB24" s="23" t="e">
        <f>IF(([1]Submeters!BR30-[1]Submeters!BR29)&lt;0,"0",[1]Submeters!BR30-[1]Submeters!BR29)</f>
        <v>#REF!</v>
      </c>
      <c r="CC24" s="23" t="e">
        <f>IF(([1]Submeters!BS30-[1]Submeters!BS29)&lt;0,"0",[1]Submeters!BS30-[1]Submeters!BS29)</f>
        <v>#REF!</v>
      </c>
      <c r="CD24" s="23" t="e">
        <f>IF(([1]Submeters!BT30-[1]Submeters!BT29)&lt;0,"0",[1]Submeters!BT30-[1]Submeters!BT29)</f>
        <v>#REF!</v>
      </c>
      <c r="CE24" s="23" t="e">
        <f>IF(([1]Submeters!BU30-[1]Submeters!BU29)&lt;0,"0",[1]Submeters!BU30-[1]Submeters!BU29)</f>
        <v>#REF!</v>
      </c>
      <c r="CF24" s="23" t="e">
        <f>IF(([1]Submeters!BV30-[1]Submeters!BV29)&lt;0,"0",[1]Submeters!BV30-[1]Submeters!BV29)</f>
        <v>#REF!</v>
      </c>
      <c r="CG24" s="23" t="e">
        <f>IF(([1]Submeters!BW30-[1]Submeters!BW29)&lt;0,"0",[1]Submeters!BW30-[1]Submeters!BW29)</f>
        <v>#REF!</v>
      </c>
      <c r="CH24" s="23" t="e">
        <f>IF(([1]Submeters!BX30-[1]Submeters!BX29)&lt;0,"0",[1]Submeters!BX30-[1]Submeters!BX29)</f>
        <v>#REF!</v>
      </c>
      <c r="CI24" s="23" t="e">
        <f>IF(([1]Submeters!BY30-[1]Submeters!BY29)&lt;0,"0",[1]Submeters!BY30-[1]Submeters!BY29)</f>
        <v>#REF!</v>
      </c>
      <c r="CJ24" s="23" t="e">
        <f>IF(([1]Submeters!BZ30-[1]Submeters!BZ29)&lt;0,"0",[1]Submeters!BZ30-[1]Submeters!BZ29)</f>
        <v>#REF!</v>
      </c>
      <c r="CK24" s="23" t="e">
        <f>IF(([1]Submeters!CA30-[1]Submeters!CA29)&lt;0,"0",[1]Submeters!CA30-[1]Submeters!CA29)</f>
        <v>#REF!</v>
      </c>
      <c r="CL24" s="23" t="e">
        <f>IF(([1]Submeters!CB30-[1]Submeters!CB29)&lt;0,"0",[1]Submeters!CB30-[1]Submeters!CB29)</f>
        <v>#REF!</v>
      </c>
      <c r="CM24" s="23" t="e">
        <f>IF(([1]Submeters!CC30-[1]Submeters!CC29)&lt;0,"0",[1]Submeters!CC30-[1]Submeters!CC29)</f>
        <v>#REF!</v>
      </c>
      <c r="CN24" s="23" t="e">
        <f>IF(([1]Submeters!CD30-[1]Submeters!CD29)&lt;0,"0",[1]Submeters!CD30-[1]Submeters!CD29)</f>
        <v>#REF!</v>
      </c>
      <c r="CO24" s="23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7</v>
      </c>
      <c r="D25" s="10">
        <v>2021</v>
      </c>
      <c r="E25" s="11">
        <f>Hotel!D32</f>
        <v>4788</v>
      </c>
      <c r="F25" s="11">
        <f>Hotel!F32</f>
        <v>4791</v>
      </c>
      <c r="G25" s="11">
        <f>Hotel!H32</f>
        <v>4518</v>
      </c>
      <c r="H25" s="11">
        <f>Hotel!N32</f>
        <v>143</v>
      </c>
      <c r="I25" s="11">
        <f>Hotel!P32</f>
        <v>817</v>
      </c>
      <c r="J25" s="11">
        <f>Hotel!U32</f>
        <v>420</v>
      </c>
      <c r="K25" s="11">
        <f>Hotel!Y32</f>
        <v>77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 t="e">
        <f>IF(([1]Submeters!AY31-[1]Submeters!AY30)&lt;0,"0",[1]Submeters!AY31-[1]Submeters!AY30)</f>
        <v>#REF!</v>
      </c>
      <c r="BJ25" s="23" t="e">
        <f>IF(([1]Submeters!AZ31-[1]Submeters!AZ30)&lt;0,"0",[1]Submeters!AZ31-[1]Submeters!AZ30)</f>
        <v>#REF!</v>
      </c>
      <c r="BK25" s="23" t="e">
        <f>IF(([1]Submeters!BA31-[1]Submeters!BA30)&lt;0,"0",[1]Submeters!BA31-[1]Submeters!BA30)</f>
        <v>#REF!</v>
      </c>
      <c r="BL25" s="23" t="e">
        <f>IF(([1]Submeters!BB31-[1]Submeters!BB30)&lt;0,"0",[1]Submeters!BB31-[1]Submeters!BB30)</f>
        <v>#REF!</v>
      </c>
      <c r="BM25" s="23" t="e">
        <f>IF(([1]Submeters!BC31-[1]Submeters!BC30)&lt;0,"0",[1]Submeters!BC31-[1]Submeters!BC30)</f>
        <v>#REF!</v>
      </c>
      <c r="BN25" s="23" t="e">
        <f>IF(([1]Submeters!BD31-[1]Submeters!BD30)&lt;0,"0",[1]Submeters!BD31-[1]Submeters!BD30)</f>
        <v>#REF!</v>
      </c>
      <c r="BO25" s="23" t="e">
        <f>IF(([1]Submeters!BE31-[1]Submeters!BE30)&lt;0,"0",[1]Submeters!BE31-[1]Submeters!BE30)</f>
        <v>#REF!</v>
      </c>
      <c r="BP25" s="23" t="e">
        <f>IF(([1]Submeters!BF31-[1]Submeters!BF30)&lt;0,"0",[1]Submeters!BF31-[1]Submeters!BF30)</f>
        <v>#REF!</v>
      </c>
      <c r="BQ25" s="23" t="e">
        <f>IF(([1]Submeters!BG31-[1]Submeters!BG30)&lt;0,"0",[1]Submeters!BG31-[1]Submeters!BG30)</f>
        <v>#REF!</v>
      </c>
      <c r="BR25" s="23" t="e">
        <f>IF(([1]Submeters!BH31-[1]Submeters!BH30)&lt;0,"0",[1]Submeters!BH31-[1]Submeters!BH30)</f>
        <v>#REF!</v>
      </c>
      <c r="BS25" s="23" t="e">
        <f>IF(([1]Submeters!BI31-[1]Submeters!BI30)&lt;0,"0",[1]Submeters!BI31-[1]Submeters!BI30)</f>
        <v>#REF!</v>
      </c>
      <c r="BT25" s="23" t="e">
        <f>IF(([1]Submeters!BJ31-[1]Submeters!BJ30)&lt;0,"0",[1]Submeters!BJ31-[1]Submeters!BJ30)</f>
        <v>#REF!</v>
      </c>
      <c r="BU25" s="23" t="e">
        <f>IF(([1]Submeters!BK31-[1]Submeters!BK30)&lt;0,"0",[1]Submeters!BK31-[1]Submeters!BK30)</f>
        <v>#REF!</v>
      </c>
      <c r="BV25" s="23" t="e">
        <f>IF(([1]Submeters!BL31-[1]Submeters!BL30)&lt;0,"0",[1]Submeters!BL31-[1]Submeters!BL30)</f>
        <v>#REF!</v>
      </c>
      <c r="BW25" s="23" t="e">
        <f>IF(([1]Submeters!BM31-[1]Submeters!BM30)&lt;0,"0",[1]Submeters!BM31-[1]Submeters!BM30)</f>
        <v>#REF!</v>
      </c>
      <c r="BX25" s="23" t="e">
        <f>IF(([1]Submeters!BN31-[1]Submeters!BN30)&lt;0,"0",[1]Submeters!BN31-[1]Submeters!BN30)</f>
        <v>#REF!</v>
      </c>
      <c r="BY25" s="23" t="e">
        <f>IF(([1]Submeters!BO31-[1]Submeters!BO30)&lt;0,"0",[1]Submeters!BO31-[1]Submeters!BO30)</f>
        <v>#REF!</v>
      </c>
      <c r="BZ25" s="23" t="e">
        <f>IF(([1]Submeters!BP31-[1]Submeters!BP30)&lt;0,"0",[1]Submeters!BP31-[1]Submeters!BP30)</f>
        <v>#REF!</v>
      </c>
      <c r="CA25" s="23" t="e">
        <f>IF(([1]Submeters!BQ31-[1]Submeters!BQ30)&lt;0,"0",[1]Submeters!BQ31-[1]Submeters!BQ30)</f>
        <v>#REF!</v>
      </c>
      <c r="CB25" s="23" t="e">
        <f>IF(([1]Submeters!BR31-[1]Submeters!BR30)&lt;0,"0",[1]Submeters!BR31-[1]Submeters!BR30)</f>
        <v>#REF!</v>
      </c>
      <c r="CC25" s="23" t="e">
        <f>IF(([1]Submeters!BS31-[1]Submeters!BS30)&lt;0,"0",[1]Submeters!BS31-[1]Submeters!BS30)</f>
        <v>#REF!</v>
      </c>
      <c r="CD25" s="23" t="e">
        <f>IF(([1]Submeters!BT31-[1]Submeters!BT30)&lt;0,"0",[1]Submeters!BT31-[1]Submeters!BT30)</f>
        <v>#REF!</v>
      </c>
      <c r="CE25" s="23" t="e">
        <f>IF(([1]Submeters!BU31-[1]Submeters!BU30)&lt;0,"0",[1]Submeters!BU31-[1]Submeters!BU30)</f>
        <v>#REF!</v>
      </c>
      <c r="CF25" s="23" t="e">
        <f>IF(([1]Submeters!BV31-[1]Submeters!BV30)&lt;0,"0",[1]Submeters!BV31-[1]Submeters!BV30)</f>
        <v>#REF!</v>
      </c>
      <c r="CG25" s="23" t="e">
        <f>IF(([1]Submeters!BW31-[1]Submeters!BW30)&lt;0,"0",[1]Submeters!BW31-[1]Submeters!BW30)</f>
        <v>#REF!</v>
      </c>
      <c r="CH25" s="23" t="e">
        <f>IF(([1]Submeters!BX31-[1]Submeters!BX30)&lt;0,"0",[1]Submeters!BX31-[1]Submeters!BX30)</f>
        <v>#REF!</v>
      </c>
      <c r="CI25" s="23" t="e">
        <f>IF(([1]Submeters!BY31-[1]Submeters!BY30)&lt;0,"0",[1]Submeters!BY31-[1]Submeters!BY30)</f>
        <v>#REF!</v>
      </c>
      <c r="CJ25" s="23" t="e">
        <f>IF(([1]Submeters!BZ31-[1]Submeters!BZ30)&lt;0,"0",[1]Submeters!BZ31-[1]Submeters!BZ30)</f>
        <v>#REF!</v>
      </c>
      <c r="CK25" s="23" t="e">
        <f>IF(([1]Submeters!CA31-[1]Submeters!CA30)&lt;0,"0",[1]Submeters!CA31-[1]Submeters!CA30)</f>
        <v>#REF!</v>
      </c>
      <c r="CL25" s="23" t="e">
        <f>IF(([1]Submeters!CB31-[1]Submeters!CB30)&lt;0,"0",[1]Submeters!CB31-[1]Submeters!CB30)</f>
        <v>#REF!</v>
      </c>
      <c r="CM25" s="23" t="e">
        <f>IF(([1]Submeters!CC31-[1]Submeters!CC30)&lt;0,"0",[1]Submeters!CC31-[1]Submeters!CC30)</f>
        <v>#REF!</v>
      </c>
      <c r="CN25" s="23" t="e">
        <f>IF(([1]Submeters!CD31-[1]Submeters!CD30)&lt;0,"0",[1]Submeters!CD31-[1]Submeters!CD30)</f>
        <v>#REF!</v>
      </c>
      <c r="CO25" s="23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7</v>
      </c>
      <c r="D26" s="10">
        <v>2021</v>
      </c>
      <c r="E26" s="11">
        <f>Hotel!D33</f>
        <v>4793</v>
      </c>
      <c r="F26" s="11">
        <f>Hotel!F33</f>
        <v>4766</v>
      </c>
      <c r="G26" s="11">
        <f>Hotel!H33</f>
        <v>4444</v>
      </c>
      <c r="H26" s="11">
        <f>Hotel!N33</f>
        <v>146</v>
      </c>
      <c r="I26" s="11">
        <f>Hotel!P33</f>
        <v>833</v>
      </c>
      <c r="J26" s="11">
        <f>Hotel!U33</f>
        <v>447</v>
      </c>
      <c r="K26" s="11">
        <f>Hotel!Y33</f>
        <v>85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 t="e">
        <f>IF(([1]Submeters!AY32-[1]Submeters!AY31)&lt;0,"0",[1]Submeters!AY32-[1]Submeters!AY31)</f>
        <v>#REF!</v>
      </c>
      <c r="BJ26" s="23" t="e">
        <f>IF(([1]Submeters!AZ32-[1]Submeters!AZ31)&lt;0,"0",[1]Submeters!AZ32-[1]Submeters!AZ31)</f>
        <v>#REF!</v>
      </c>
      <c r="BK26" s="23" t="e">
        <f>IF(([1]Submeters!BA32-[1]Submeters!BA31)&lt;0,"0",[1]Submeters!BA32-[1]Submeters!BA31)</f>
        <v>#REF!</v>
      </c>
      <c r="BL26" s="23" t="e">
        <f>IF(([1]Submeters!BB32-[1]Submeters!BB31)&lt;0,"0",[1]Submeters!BB32-[1]Submeters!BB31)</f>
        <v>#REF!</v>
      </c>
      <c r="BM26" s="23" t="e">
        <f>IF(([1]Submeters!BC32-[1]Submeters!BC31)&lt;0,"0",[1]Submeters!BC32-[1]Submeters!BC31)</f>
        <v>#REF!</v>
      </c>
      <c r="BN26" s="23" t="e">
        <f>IF(([1]Submeters!BD32-[1]Submeters!BD31)&lt;0,"0",[1]Submeters!BD32-[1]Submeters!BD31)</f>
        <v>#REF!</v>
      </c>
      <c r="BO26" s="23" t="e">
        <f>IF(([1]Submeters!BE32-[1]Submeters!BE31)&lt;0,"0",[1]Submeters!BE32-[1]Submeters!BE31)</f>
        <v>#REF!</v>
      </c>
      <c r="BP26" s="23" t="e">
        <f>IF(([1]Submeters!BF32-[1]Submeters!BF31)&lt;0,"0",[1]Submeters!BF32-[1]Submeters!BF31)</f>
        <v>#REF!</v>
      </c>
      <c r="BQ26" s="23" t="e">
        <f>IF(([1]Submeters!BG32-[1]Submeters!BG31)&lt;0,"0",[1]Submeters!BG32-[1]Submeters!BG31)</f>
        <v>#REF!</v>
      </c>
      <c r="BR26" s="23" t="e">
        <f>IF(([1]Submeters!BH32-[1]Submeters!BH31)&lt;0,"0",[1]Submeters!BH32-[1]Submeters!BH31)</f>
        <v>#REF!</v>
      </c>
      <c r="BS26" s="23" t="e">
        <f>IF(([1]Submeters!BI32-[1]Submeters!BI31)&lt;0,"0",[1]Submeters!BI32-[1]Submeters!BI31)</f>
        <v>#REF!</v>
      </c>
      <c r="BT26" s="23" t="e">
        <f>IF(([1]Submeters!BJ32-[1]Submeters!BJ31)&lt;0,"0",[1]Submeters!BJ32-[1]Submeters!BJ31)</f>
        <v>#REF!</v>
      </c>
      <c r="BU26" s="23" t="e">
        <f>IF(([1]Submeters!BK32-[1]Submeters!BK31)&lt;0,"0",[1]Submeters!BK32-[1]Submeters!BK31)</f>
        <v>#REF!</v>
      </c>
      <c r="BV26" s="23" t="e">
        <f>IF(([1]Submeters!BL32-[1]Submeters!BL31)&lt;0,"0",[1]Submeters!BL32-[1]Submeters!BL31)</f>
        <v>#REF!</v>
      </c>
      <c r="BW26" s="23" t="e">
        <f>IF(([1]Submeters!BM32-[1]Submeters!BM31)&lt;0,"0",[1]Submeters!BM32-[1]Submeters!BM31)</f>
        <v>#REF!</v>
      </c>
      <c r="BX26" s="23" t="e">
        <f>IF(([1]Submeters!BN32-[1]Submeters!BN31)&lt;0,"0",[1]Submeters!BN32-[1]Submeters!BN31)</f>
        <v>#REF!</v>
      </c>
      <c r="BY26" s="23" t="e">
        <f>IF(([1]Submeters!BO32-[1]Submeters!BO31)&lt;0,"0",[1]Submeters!BO32-[1]Submeters!BO31)</f>
        <v>#REF!</v>
      </c>
      <c r="BZ26" s="23" t="e">
        <f>IF(([1]Submeters!BP32-[1]Submeters!BP31)&lt;0,"0",[1]Submeters!BP32-[1]Submeters!BP31)</f>
        <v>#REF!</v>
      </c>
      <c r="CA26" s="23" t="e">
        <f>IF(([1]Submeters!BQ32-[1]Submeters!BQ31)&lt;0,"0",[1]Submeters!BQ32-[1]Submeters!BQ31)</f>
        <v>#REF!</v>
      </c>
      <c r="CB26" s="23" t="e">
        <f>IF(([1]Submeters!BR32-[1]Submeters!BR31)&lt;0,"0",[1]Submeters!BR32-[1]Submeters!BR31)</f>
        <v>#REF!</v>
      </c>
      <c r="CC26" s="23" t="e">
        <f>IF(([1]Submeters!BS32-[1]Submeters!BS31)&lt;0,"0",[1]Submeters!BS32-[1]Submeters!BS31)</f>
        <v>#REF!</v>
      </c>
      <c r="CD26" s="23" t="e">
        <f>IF(([1]Submeters!BT32-[1]Submeters!BT31)&lt;0,"0",[1]Submeters!BT32-[1]Submeters!BT31)</f>
        <v>#REF!</v>
      </c>
      <c r="CE26" s="23" t="e">
        <f>IF(([1]Submeters!BU32-[1]Submeters!BU31)&lt;0,"0",[1]Submeters!BU32-[1]Submeters!BU31)</f>
        <v>#REF!</v>
      </c>
      <c r="CF26" s="23" t="e">
        <f>IF(([1]Submeters!BV32-[1]Submeters!BV31)&lt;0,"0",[1]Submeters!BV32-[1]Submeters!BV31)</f>
        <v>#REF!</v>
      </c>
      <c r="CG26" s="23" t="e">
        <f>IF(([1]Submeters!BW32-[1]Submeters!BW31)&lt;0,"0",[1]Submeters!BW32-[1]Submeters!BW31)</f>
        <v>#REF!</v>
      </c>
      <c r="CH26" s="23" t="e">
        <f>IF(([1]Submeters!BX32-[1]Submeters!BX31)&lt;0,"0",[1]Submeters!BX32-[1]Submeters!BX31)</f>
        <v>#REF!</v>
      </c>
      <c r="CI26" s="23" t="e">
        <f>IF(([1]Submeters!BY32-[1]Submeters!BY31)&lt;0,"0",[1]Submeters!BY32-[1]Submeters!BY31)</f>
        <v>#REF!</v>
      </c>
      <c r="CJ26" s="23" t="e">
        <f>IF(([1]Submeters!BZ32-[1]Submeters!BZ31)&lt;0,"0",[1]Submeters!BZ32-[1]Submeters!BZ31)</f>
        <v>#REF!</v>
      </c>
      <c r="CK26" s="23" t="e">
        <f>IF(([1]Submeters!CA32-[1]Submeters!CA31)&lt;0,"0",[1]Submeters!CA32-[1]Submeters!CA31)</f>
        <v>#REF!</v>
      </c>
      <c r="CL26" s="23" t="e">
        <f>IF(([1]Submeters!CB32-[1]Submeters!CB31)&lt;0,"0",[1]Submeters!CB32-[1]Submeters!CB31)</f>
        <v>#REF!</v>
      </c>
      <c r="CM26" s="23" t="e">
        <f>IF(([1]Submeters!CC32-[1]Submeters!CC31)&lt;0,"0",[1]Submeters!CC32-[1]Submeters!CC31)</f>
        <v>#REF!</v>
      </c>
      <c r="CN26" s="23" t="e">
        <f>IF(([1]Submeters!CD32-[1]Submeters!CD31)&lt;0,"0",[1]Submeters!CD32-[1]Submeters!CD31)</f>
        <v>#REF!</v>
      </c>
      <c r="CO26" s="23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7</v>
      </c>
      <c r="D27" s="10">
        <v>2021</v>
      </c>
      <c r="E27" s="11">
        <f>Hotel!D34</f>
        <v>4883</v>
      </c>
      <c r="F27" s="11">
        <f>Hotel!F34</f>
        <v>4866</v>
      </c>
      <c r="G27" s="11">
        <f>Hotel!H34</f>
        <v>4662</v>
      </c>
      <c r="H27" s="11">
        <f>Hotel!N34</f>
        <v>139</v>
      </c>
      <c r="I27" s="11">
        <f>Hotel!P34</f>
        <v>725</v>
      </c>
      <c r="J27" s="11">
        <f>Hotel!U34</f>
        <v>406</v>
      </c>
      <c r="K27" s="11">
        <f>Hotel!Y34</f>
        <v>68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 t="e">
        <f>IF(([1]Submeters!AY33-[1]Submeters!AY32)&lt;0,"0",[1]Submeters!AY33-[1]Submeters!AY32)</f>
        <v>#REF!</v>
      </c>
      <c r="BJ27" s="23" t="e">
        <f>IF(([1]Submeters!AZ33-[1]Submeters!AZ32)&lt;0,"0",[1]Submeters!AZ33-[1]Submeters!AZ32)</f>
        <v>#REF!</v>
      </c>
      <c r="BK27" s="23" t="e">
        <f>IF(([1]Submeters!BA33-[1]Submeters!BA32)&lt;0,"0",[1]Submeters!BA33-[1]Submeters!BA32)</f>
        <v>#REF!</v>
      </c>
      <c r="BL27" s="23" t="e">
        <f>IF(([1]Submeters!BB33-[1]Submeters!BB32)&lt;0,"0",[1]Submeters!BB33-[1]Submeters!BB32)</f>
        <v>#REF!</v>
      </c>
      <c r="BM27" s="23" t="e">
        <f>IF(([1]Submeters!BC33-[1]Submeters!BC32)&lt;0,"0",[1]Submeters!BC33-[1]Submeters!BC32)</f>
        <v>#REF!</v>
      </c>
      <c r="BN27" s="23" t="e">
        <f>IF(([1]Submeters!BD33-[1]Submeters!BD32)&lt;0,"0",[1]Submeters!BD33-[1]Submeters!BD32)</f>
        <v>#REF!</v>
      </c>
      <c r="BO27" s="23" t="e">
        <f>IF(([1]Submeters!BE33-[1]Submeters!BE32)&lt;0,"0",[1]Submeters!BE33-[1]Submeters!BE32)</f>
        <v>#REF!</v>
      </c>
      <c r="BP27" s="23" t="e">
        <f>IF(([1]Submeters!BF33-[1]Submeters!BF32)&lt;0,"0",[1]Submeters!BF33-[1]Submeters!BF32)</f>
        <v>#REF!</v>
      </c>
      <c r="BQ27" s="23" t="e">
        <f>IF(([1]Submeters!BG33-[1]Submeters!BG32)&lt;0,"0",[1]Submeters!BG33-[1]Submeters!BG32)</f>
        <v>#REF!</v>
      </c>
      <c r="BR27" s="23" t="e">
        <f>IF(([1]Submeters!BH33-[1]Submeters!BH32)&lt;0,"0",[1]Submeters!BH33-[1]Submeters!BH32)</f>
        <v>#REF!</v>
      </c>
      <c r="BS27" s="23" t="e">
        <f>IF(([1]Submeters!BI33-[1]Submeters!BI32)&lt;0,"0",[1]Submeters!BI33-[1]Submeters!BI32)</f>
        <v>#REF!</v>
      </c>
      <c r="BT27" s="23" t="e">
        <f>IF(([1]Submeters!BJ33-[1]Submeters!BJ32)&lt;0,"0",[1]Submeters!BJ33-[1]Submeters!BJ32)</f>
        <v>#REF!</v>
      </c>
      <c r="BU27" s="23" t="e">
        <f>IF(([1]Submeters!BK33-[1]Submeters!BK32)&lt;0,"0",[1]Submeters!BK33-[1]Submeters!BK32)</f>
        <v>#REF!</v>
      </c>
      <c r="BV27" s="23" t="e">
        <f>IF(([1]Submeters!BL33-[1]Submeters!BL32)&lt;0,"0",[1]Submeters!BL33-[1]Submeters!BL32)</f>
        <v>#REF!</v>
      </c>
      <c r="BW27" s="23" t="e">
        <f>IF(([1]Submeters!BM33-[1]Submeters!BM32)&lt;0,"0",[1]Submeters!BM33-[1]Submeters!BM32)</f>
        <v>#REF!</v>
      </c>
      <c r="BX27" s="23" t="e">
        <f>IF(([1]Submeters!BN33-[1]Submeters!BN32)&lt;0,"0",[1]Submeters!BN33-[1]Submeters!BN32)</f>
        <v>#REF!</v>
      </c>
      <c r="BY27" s="23" t="e">
        <f>IF(([1]Submeters!BO33-[1]Submeters!BO32)&lt;0,"0",[1]Submeters!BO33-[1]Submeters!BO32)</f>
        <v>#REF!</v>
      </c>
      <c r="BZ27" s="23" t="e">
        <f>IF(([1]Submeters!BP33-[1]Submeters!BP32)&lt;0,"0",[1]Submeters!BP33-[1]Submeters!BP32)</f>
        <v>#REF!</v>
      </c>
      <c r="CA27" s="23" t="e">
        <f>IF(([1]Submeters!BQ33-[1]Submeters!BQ32)&lt;0,"0",[1]Submeters!BQ33-[1]Submeters!BQ32)</f>
        <v>#REF!</v>
      </c>
      <c r="CB27" s="23" t="e">
        <f>IF(([1]Submeters!BR33-[1]Submeters!BR32)&lt;0,"0",[1]Submeters!BR33-[1]Submeters!BR32)</f>
        <v>#REF!</v>
      </c>
      <c r="CC27" s="23" t="e">
        <f>IF(([1]Submeters!BS33-[1]Submeters!BS32)&lt;0,"0",[1]Submeters!BS33-[1]Submeters!BS32)</f>
        <v>#REF!</v>
      </c>
      <c r="CD27" s="23" t="e">
        <f>IF(([1]Submeters!BT33-[1]Submeters!BT32)&lt;0,"0",[1]Submeters!BT33-[1]Submeters!BT32)</f>
        <v>#REF!</v>
      </c>
      <c r="CE27" s="23" t="e">
        <f>IF(([1]Submeters!BU33-[1]Submeters!BU32)&lt;0,"0",[1]Submeters!BU33-[1]Submeters!BU32)</f>
        <v>#REF!</v>
      </c>
      <c r="CF27" s="23" t="e">
        <f>IF(([1]Submeters!BV33-[1]Submeters!BV32)&lt;0,"0",[1]Submeters!BV33-[1]Submeters!BV32)</f>
        <v>#REF!</v>
      </c>
      <c r="CG27" s="23" t="e">
        <f>IF(([1]Submeters!BW33-[1]Submeters!BW32)&lt;0,"0",[1]Submeters!BW33-[1]Submeters!BW32)</f>
        <v>#REF!</v>
      </c>
      <c r="CH27" s="23" t="e">
        <f>IF(([1]Submeters!BX33-[1]Submeters!BX32)&lt;0,"0",[1]Submeters!BX33-[1]Submeters!BX32)</f>
        <v>#REF!</v>
      </c>
      <c r="CI27" s="23" t="e">
        <f>IF(([1]Submeters!BY33-[1]Submeters!BY32)&lt;0,"0",[1]Submeters!BY33-[1]Submeters!BY32)</f>
        <v>#REF!</v>
      </c>
      <c r="CJ27" s="23" t="e">
        <f>IF(([1]Submeters!BZ33-[1]Submeters!BZ32)&lt;0,"0",[1]Submeters!BZ33-[1]Submeters!BZ32)</f>
        <v>#REF!</v>
      </c>
      <c r="CK27" s="23" t="e">
        <f>IF(([1]Submeters!CA33-[1]Submeters!CA32)&lt;0,"0",[1]Submeters!CA33-[1]Submeters!CA32)</f>
        <v>#REF!</v>
      </c>
      <c r="CL27" s="23" t="e">
        <f>IF(([1]Submeters!CB33-[1]Submeters!CB32)&lt;0,"0",[1]Submeters!CB33-[1]Submeters!CB32)</f>
        <v>#REF!</v>
      </c>
      <c r="CM27" s="23" t="e">
        <f>IF(([1]Submeters!CC33-[1]Submeters!CC32)&lt;0,"0",[1]Submeters!CC33-[1]Submeters!CC32)</f>
        <v>#REF!</v>
      </c>
      <c r="CN27" s="23" t="e">
        <f>IF(([1]Submeters!CD33-[1]Submeters!CD32)&lt;0,"0",[1]Submeters!CD33-[1]Submeters!CD32)</f>
        <v>#REF!</v>
      </c>
      <c r="CO27" s="23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7</v>
      </c>
      <c r="D28" s="10">
        <v>2021</v>
      </c>
      <c r="E28" s="11">
        <f>Hotel!D35</f>
        <v>5033</v>
      </c>
      <c r="F28" s="11">
        <f>Hotel!F35</f>
        <v>4998</v>
      </c>
      <c r="G28" s="11">
        <f>Hotel!H35</f>
        <v>4734</v>
      </c>
      <c r="H28" s="11">
        <f>Hotel!N35</f>
        <v>110</v>
      </c>
      <c r="I28" s="11">
        <f>Hotel!P35</f>
        <v>791</v>
      </c>
      <c r="J28" s="11">
        <f>Hotel!U35</f>
        <v>423</v>
      </c>
      <c r="K28" s="11">
        <f>Hotel!Y35</f>
        <v>65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>
        <f>IF(([1]Submeters!AY34-[1]Submeters!AY33)&lt;0,"0",[1]Submeters!AY34-[1]Submeters!AY33)</f>
        <v>309</v>
      </c>
      <c r="BJ28" s="23" t="e">
        <f>IF(([1]Submeters!AZ34-[1]Submeters!AZ33)&lt;0,"0",[1]Submeters!AZ34-[1]Submeters!AZ33)</f>
        <v>#REF!</v>
      </c>
      <c r="BK28" s="23" t="e">
        <f>IF(([1]Submeters!BA34-[1]Submeters!BA33)&lt;0,"0",[1]Submeters!BA34-[1]Submeters!BA33)</f>
        <v>#REF!</v>
      </c>
      <c r="BL28" s="23" t="e">
        <f>IF(([1]Submeters!BB34-[1]Submeters!BB33)&lt;0,"0",[1]Submeters!BB34-[1]Submeters!BB33)</f>
        <v>#REF!</v>
      </c>
      <c r="BM28" s="23" t="e">
        <f>IF(([1]Submeters!BC34-[1]Submeters!BC33)&lt;0,"0",[1]Submeters!BC34-[1]Submeters!BC33)</f>
        <v>#REF!</v>
      </c>
      <c r="BN28" s="23" t="e">
        <f>IF(([1]Submeters!BD34-[1]Submeters!BD33)&lt;0,"0",[1]Submeters!BD34-[1]Submeters!BD33)</f>
        <v>#REF!</v>
      </c>
      <c r="BO28" s="23" t="e">
        <f>IF(([1]Submeters!BE34-[1]Submeters!BE33)&lt;0,"0",[1]Submeters!BE34-[1]Submeters!BE33)</f>
        <v>#REF!</v>
      </c>
      <c r="BP28" s="23" t="e">
        <f>IF(([1]Submeters!BF34-[1]Submeters!BF33)&lt;0,"0",[1]Submeters!BF34-[1]Submeters!BF33)</f>
        <v>#REF!</v>
      </c>
      <c r="BQ28" s="23" t="e">
        <f>IF(([1]Submeters!BG34-[1]Submeters!BG33)&lt;0,"0",[1]Submeters!BG34-[1]Submeters!BG33)</f>
        <v>#REF!</v>
      </c>
      <c r="BR28" s="23" t="e">
        <f>IF(([1]Submeters!BH34-[1]Submeters!BH33)&lt;0,"0",[1]Submeters!BH34-[1]Submeters!BH33)</f>
        <v>#REF!</v>
      </c>
      <c r="BS28" s="23" t="e">
        <f>IF(([1]Submeters!BI34-[1]Submeters!BI33)&lt;0,"0",[1]Submeters!BI34-[1]Submeters!BI33)</f>
        <v>#REF!</v>
      </c>
      <c r="BT28" s="23" t="e">
        <f>IF(([1]Submeters!BJ34-[1]Submeters!BJ33)&lt;0,"0",[1]Submeters!BJ34-[1]Submeters!BJ33)</f>
        <v>#REF!</v>
      </c>
      <c r="BU28" s="23" t="e">
        <f>IF(([1]Submeters!BK34-[1]Submeters!BK33)&lt;0,"0",[1]Submeters!BK34-[1]Submeters!BK33)</f>
        <v>#REF!</v>
      </c>
      <c r="BV28" s="23" t="e">
        <f>IF(([1]Submeters!BL34-[1]Submeters!BL33)&lt;0,"0",[1]Submeters!BL34-[1]Submeters!BL33)</f>
        <v>#REF!</v>
      </c>
      <c r="BW28" s="23" t="e">
        <f>IF(([1]Submeters!BM34-[1]Submeters!BM33)&lt;0,"0",[1]Submeters!BM34-[1]Submeters!BM33)</f>
        <v>#REF!</v>
      </c>
      <c r="BX28" s="23" t="e">
        <f>IF(([1]Submeters!BN34-[1]Submeters!BN33)&lt;0,"0",[1]Submeters!BN34-[1]Submeters!BN33)</f>
        <v>#REF!</v>
      </c>
      <c r="BY28" s="23" t="e">
        <f>IF(([1]Submeters!BO34-[1]Submeters!BO33)&lt;0,"0",[1]Submeters!BO34-[1]Submeters!BO33)</f>
        <v>#REF!</v>
      </c>
      <c r="BZ28" s="23" t="e">
        <f>IF(([1]Submeters!BP34-[1]Submeters!BP33)&lt;0,"0",[1]Submeters!BP34-[1]Submeters!BP33)</f>
        <v>#REF!</v>
      </c>
      <c r="CA28" s="23" t="e">
        <f>IF(([1]Submeters!BQ34-[1]Submeters!BQ33)&lt;0,"0",[1]Submeters!BQ34-[1]Submeters!BQ33)</f>
        <v>#REF!</v>
      </c>
      <c r="CB28" s="23" t="e">
        <f>IF(([1]Submeters!BR34-[1]Submeters!BR33)&lt;0,"0",[1]Submeters!BR34-[1]Submeters!BR33)</f>
        <v>#REF!</v>
      </c>
      <c r="CC28" s="23" t="e">
        <f>IF(([1]Submeters!BS34-[1]Submeters!BS33)&lt;0,"0",[1]Submeters!BS34-[1]Submeters!BS33)</f>
        <v>#REF!</v>
      </c>
      <c r="CD28" s="23" t="e">
        <f>IF(([1]Submeters!BT34-[1]Submeters!BT33)&lt;0,"0",[1]Submeters!BT34-[1]Submeters!BT33)</f>
        <v>#REF!</v>
      </c>
      <c r="CE28" s="23" t="e">
        <f>IF(([1]Submeters!BU34-[1]Submeters!BU33)&lt;0,"0",[1]Submeters!BU34-[1]Submeters!BU33)</f>
        <v>#REF!</v>
      </c>
      <c r="CF28" s="23" t="e">
        <f>IF(([1]Submeters!BV34-[1]Submeters!BV33)&lt;0,"0",[1]Submeters!BV34-[1]Submeters!BV33)</f>
        <v>#REF!</v>
      </c>
      <c r="CG28" s="23" t="e">
        <f>IF(([1]Submeters!BW34-[1]Submeters!BW33)&lt;0,"0",[1]Submeters!BW34-[1]Submeters!BW33)</f>
        <v>#REF!</v>
      </c>
      <c r="CH28" s="23" t="e">
        <f>IF(([1]Submeters!BX34-[1]Submeters!BX33)&lt;0,"0",[1]Submeters!BX34-[1]Submeters!BX33)</f>
        <v>#REF!</v>
      </c>
      <c r="CI28" s="23" t="e">
        <f>IF(([1]Submeters!BY34-[1]Submeters!BY33)&lt;0,"0",[1]Submeters!BY34-[1]Submeters!BY33)</f>
        <v>#REF!</v>
      </c>
      <c r="CJ28" s="23" t="e">
        <f>IF(([1]Submeters!BZ34-[1]Submeters!BZ33)&lt;0,"0",[1]Submeters!BZ34-[1]Submeters!BZ33)</f>
        <v>#REF!</v>
      </c>
      <c r="CK28" s="23" t="e">
        <f>IF(([1]Submeters!CA34-[1]Submeters!CA33)&lt;0,"0",[1]Submeters!CA34-[1]Submeters!CA33)</f>
        <v>#REF!</v>
      </c>
      <c r="CL28" s="23" t="e">
        <f>IF(([1]Submeters!CB34-[1]Submeters!CB33)&lt;0,"0",[1]Submeters!CB34-[1]Submeters!CB33)</f>
        <v>#REF!</v>
      </c>
      <c r="CM28" s="23" t="e">
        <f>IF(([1]Submeters!CC34-[1]Submeters!CC33)&lt;0,"0",[1]Submeters!CC34-[1]Submeters!CC33)</f>
        <v>#REF!</v>
      </c>
      <c r="CN28" s="23" t="e">
        <f>IF(([1]Submeters!CD34-[1]Submeters!CD33)&lt;0,"0",[1]Submeters!CD34-[1]Submeters!CD33)</f>
        <v>#REF!</v>
      </c>
      <c r="CO28" s="23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7</v>
      </c>
      <c r="D29" s="10">
        <v>2021</v>
      </c>
      <c r="E29" s="11">
        <f>Hotel!D36</f>
        <v>4824</v>
      </c>
      <c r="F29" s="11">
        <f>Hotel!F36</f>
        <v>4800</v>
      </c>
      <c r="G29" s="11">
        <f>Hotel!H36</f>
        <v>4545</v>
      </c>
      <c r="H29" s="11">
        <f>Hotel!N36</f>
        <v>134</v>
      </c>
      <c r="I29" s="11">
        <f>Hotel!P36</f>
        <v>740</v>
      </c>
      <c r="J29" s="11">
        <f>Hotel!U36</f>
        <v>454</v>
      </c>
      <c r="K29" s="11">
        <f>Hotel!Y36</f>
        <v>63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>
        <f>IF(([1]Submeters!AY35-[1]Submeters!AY34)&lt;0,"0",[1]Submeters!AY35-[1]Submeters!AY34)</f>
        <v>301</v>
      </c>
      <c r="BJ29" s="23" t="e">
        <f>IF(([1]Submeters!AZ35-[1]Submeters!AZ34)&lt;0,"0",[1]Submeters!AZ35-[1]Submeters!AZ34)</f>
        <v>#REF!</v>
      </c>
      <c r="BK29" s="23" t="e">
        <f>IF(([1]Submeters!BA35-[1]Submeters!BA34)&lt;0,"0",[1]Submeters!BA35-[1]Submeters!BA34)</f>
        <v>#REF!</v>
      </c>
      <c r="BL29" s="23" t="e">
        <f>IF(([1]Submeters!BB35-[1]Submeters!BB34)&lt;0,"0",[1]Submeters!BB35-[1]Submeters!BB34)</f>
        <v>#REF!</v>
      </c>
      <c r="BM29" s="23" t="e">
        <f>IF(([1]Submeters!BC35-[1]Submeters!BC34)&lt;0,"0",[1]Submeters!BC35-[1]Submeters!BC34)</f>
        <v>#REF!</v>
      </c>
      <c r="BN29" s="23" t="e">
        <f>IF(([1]Submeters!BD35-[1]Submeters!BD34)&lt;0,"0",[1]Submeters!BD35-[1]Submeters!BD34)</f>
        <v>#REF!</v>
      </c>
      <c r="BO29" s="23" t="e">
        <f>IF(([1]Submeters!BE35-[1]Submeters!BE34)&lt;0,"0",[1]Submeters!BE35-[1]Submeters!BE34)</f>
        <v>#REF!</v>
      </c>
      <c r="BP29" s="23" t="e">
        <f>IF(([1]Submeters!BF35-[1]Submeters!BF34)&lt;0,"0",[1]Submeters!BF35-[1]Submeters!BF34)</f>
        <v>#REF!</v>
      </c>
      <c r="BQ29" s="23" t="e">
        <f>IF(([1]Submeters!BG35-[1]Submeters!BG34)&lt;0,"0",[1]Submeters!BG35-[1]Submeters!BG34)</f>
        <v>#REF!</v>
      </c>
      <c r="BR29" s="23" t="e">
        <f>IF(([1]Submeters!BH35-[1]Submeters!BH34)&lt;0,"0",[1]Submeters!BH35-[1]Submeters!BH34)</f>
        <v>#REF!</v>
      </c>
      <c r="BS29" s="23" t="e">
        <f>IF(([1]Submeters!BI35-[1]Submeters!BI34)&lt;0,"0",[1]Submeters!BI35-[1]Submeters!BI34)</f>
        <v>#REF!</v>
      </c>
      <c r="BT29" s="23" t="e">
        <f>IF(([1]Submeters!BJ35-[1]Submeters!BJ34)&lt;0,"0",[1]Submeters!BJ35-[1]Submeters!BJ34)</f>
        <v>#REF!</v>
      </c>
      <c r="BU29" s="23" t="e">
        <f>IF(([1]Submeters!BK35-[1]Submeters!BK34)&lt;0,"0",[1]Submeters!BK35-[1]Submeters!BK34)</f>
        <v>#REF!</v>
      </c>
      <c r="BV29" s="23" t="e">
        <f>IF(([1]Submeters!BL35-[1]Submeters!BL34)&lt;0,"0",[1]Submeters!BL35-[1]Submeters!BL34)</f>
        <v>#REF!</v>
      </c>
      <c r="BW29" s="23" t="e">
        <f>IF(([1]Submeters!BM35-[1]Submeters!BM34)&lt;0,"0",[1]Submeters!BM35-[1]Submeters!BM34)</f>
        <v>#REF!</v>
      </c>
      <c r="BX29" s="23" t="e">
        <f>IF(([1]Submeters!BN35-[1]Submeters!BN34)&lt;0,"0",[1]Submeters!BN35-[1]Submeters!BN34)</f>
        <v>#REF!</v>
      </c>
      <c r="BY29" s="23" t="e">
        <f>IF(([1]Submeters!BO35-[1]Submeters!BO34)&lt;0,"0",[1]Submeters!BO35-[1]Submeters!BO34)</f>
        <v>#REF!</v>
      </c>
      <c r="BZ29" s="23" t="e">
        <f>IF(([1]Submeters!BP35-[1]Submeters!BP34)&lt;0,"0",[1]Submeters!BP35-[1]Submeters!BP34)</f>
        <v>#REF!</v>
      </c>
      <c r="CA29" s="23" t="e">
        <f>IF(([1]Submeters!BQ35-[1]Submeters!BQ34)&lt;0,"0",[1]Submeters!BQ35-[1]Submeters!BQ34)</f>
        <v>#REF!</v>
      </c>
      <c r="CB29" s="23" t="e">
        <f>IF(([1]Submeters!BR35-[1]Submeters!BR34)&lt;0,"0",[1]Submeters!BR35-[1]Submeters!BR34)</f>
        <v>#REF!</v>
      </c>
      <c r="CC29" s="23" t="e">
        <f>IF(([1]Submeters!BS35-[1]Submeters!BS34)&lt;0,"0",[1]Submeters!BS35-[1]Submeters!BS34)</f>
        <v>#REF!</v>
      </c>
      <c r="CD29" s="23" t="e">
        <f>IF(([1]Submeters!BT35-[1]Submeters!BT34)&lt;0,"0",[1]Submeters!BT35-[1]Submeters!BT34)</f>
        <v>#REF!</v>
      </c>
      <c r="CE29" s="23" t="e">
        <f>IF(([1]Submeters!BU35-[1]Submeters!BU34)&lt;0,"0",[1]Submeters!BU35-[1]Submeters!BU34)</f>
        <v>#REF!</v>
      </c>
      <c r="CF29" s="23" t="e">
        <f>IF(([1]Submeters!BV35-[1]Submeters!BV34)&lt;0,"0",[1]Submeters!BV35-[1]Submeters!BV34)</f>
        <v>#REF!</v>
      </c>
      <c r="CG29" s="23" t="e">
        <f>IF(([1]Submeters!BW35-[1]Submeters!BW34)&lt;0,"0",[1]Submeters!BW35-[1]Submeters!BW34)</f>
        <v>#REF!</v>
      </c>
      <c r="CH29" s="23" t="e">
        <f>IF(([1]Submeters!BX35-[1]Submeters!BX34)&lt;0,"0",[1]Submeters!BX35-[1]Submeters!BX34)</f>
        <v>#REF!</v>
      </c>
      <c r="CI29" s="23" t="e">
        <f>IF(([1]Submeters!BY35-[1]Submeters!BY34)&lt;0,"0",[1]Submeters!BY35-[1]Submeters!BY34)</f>
        <v>#REF!</v>
      </c>
      <c r="CJ29" s="23" t="e">
        <f>IF(([1]Submeters!BZ35-[1]Submeters!BZ34)&lt;0,"0",[1]Submeters!BZ35-[1]Submeters!BZ34)</f>
        <v>#REF!</v>
      </c>
      <c r="CK29" s="23" t="e">
        <f>IF(([1]Submeters!CA35-[1]Submeters!CA34)&lt;0,"0",[1]Submeters!CA35-[1]Submeters!CA34)</f>
        <v>#REF!</v>
      </c>
      <c r="CL29" s="23" t="e">
        <f>IF(([1]Submeters!CB35-[1]Submeters!CB34)&lt;0,"0",[1]Submeters!CB35-[1]Submeters!CB34)</f>
        <v>#REF!</v>
      </c>
      <c r="CM29" s="23" t="e">
        <f>IF(([1]Submeters!CC35-[1]Submeters!CC34)&lt;0,"0",[1]Submeters!CC35-[1]Submeters!CC34)</f>
        <v>#REF!</v>
      </c>
      <c r="CN29" s="23" t="e">
        <f>IF(([1]Submeters!CD35-[1]Submeters!CD34)&lt;0,"0",[1]Submeters!CD35-[1]Submeters!CD34)</f>
        <v>#REF!</v>
      </c>
      <c r="CO29" s="23" t="e">
        <f>IF(([1]Submeters!CE35-[1]Submeters!CE34)&lt;0,"0",[1]Submeters!CE35-[1]Submeters!CE34)</f>
        <v>#REF!</v>
      </c>
    </row>
    <row r="30" spans="1:93" x14ac:dyDescent="0.25">
      <c r="A30" t="s">
        <v>11</v>
      </c>
      <c r="B30" s="10">
        <f t="shared" si="0"/>
        <v>29</v>
      </c>
      <c r="C30" s="10">
        <v>7</v>
      </c>
      <c r="D30" s="10">
        <v>2021</v>
      </c>
      <c r="E30" s="11">
        <f>Hotel!D37</f>
        <v>4341</v>
      </c>
      <c r="F30" s="11">
        <f>Hotel!F37</f>
        <v>4290</v>
      </c>
      <c r="G30" s="11">
        <f>Hotel!H37</f>
        <v>4063</v>
      </c>
      <c r="H30" s="11">
        <f>Hotel!N37</f>
        <v>134</v>
      </c>
      <c r="I30" s="11">
        <f>Hotel!P37</f>
        <v>732</v>
      </c>
      <c r="J30" s="11">
        <f>Hotel!U37</f>
        <v>438</v>
      </c>
      <c r="K30" s="11">
        <f>Hotel!Y37</f>
        <v>63</v>
      </c>
    </row>
    <row r="31" spans="1:93" x14ac:dyDescent="0.25">
      <c r="A31" t="s">
        <v>11</v>
      </c>
      <c r="B31" s="10">
        <f t="shared" si="0"/>
        <v>30</v>
      </c>
      <c r="C31" s="10">
        <v>7</v>
      </c>
      <c r="D31" s="10">
        <v>2021</v>
      </c>
      <c r="E31" s="11">
        <f>Hotel!D38</f>
        <v>4696</v>
      </c>
      <c r="F31" s="11">
        <f>Hotel!F38</f>
        <v>4645</v>
      </c>
      <c r="G31" s="11">
        <f>Hotel!H38</f>
        <v>4412</v>
      </c>
      <c r="H31" s="11">
        <f>Hotel!N38</f>
        <v>125</v>
      </c>
      <c r="I31" s="11">
        <f>Hotel!P38</f>
        <v>741</v>
      </c>
      <c r="J31" s="11">
        <f>Hotel!U38</f>
        <v>438</v>
      </c>
      <c r="K31" s="11">
        <f>Hotel!Y38</f>
        <v>73</v>
      </c>
    </row>
    <row r="32" spans="1:93" x14ac:dyDescent="0.25">
      <c r="A32" t="s">
        <v>11</v>
      </c>
      <c r="B32" s="10">
        <f t="shared" si="0"/>
        <v>31</v>
      </c>
      <c r="C32" s="10">
        <v>7</v>
      </c>
      <c r="D32" s="10">
        <v>2021</v>
      </c>
      <c r="E32" s="11" t="str">
        <f>Hotel!D39</f>
        <v>0</v>
      </c>
      <c r="F32" s="11" t="str">
        <f>Hotel!F39</f>
        <v>0</v>
      </c>
      <c r="G32" s="11" t="str">
        <f>Hotel!H39</f>
        <v>0</v>
      </c>
      <c r="H32" s="11" t="str">
        <f>Hotel!N39</f>
        <v>0</v>
      </c>
      <c r="I32" s="11" t="str">
        <f>Hotel!P39</f>
        <v>0</v>
      </c>
      <c r="J32" s="11" t="str">
        <f>Hotel!U39</f>
        <v>0</v>
      </c>
      <c r="K32" s="11">
        <f>Hotel!Y39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opLeftCell="A10" zoomScale="106" zoomScaleNormal="106" workbookViewId="0">
      <selection activeCell="AB36" sqref="AB36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1" max="21" width="10.5703125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33"/>
      <c r="C1" s="133"/>
      <c r="D1" s="133"/>
      <c r="E1" s="133"/>
      <c r="F1" s="134" t="s">
        <v>95</v>
      </c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6"/>
      <c r="W1" s="134" t="s">
        <v>122</v>
      </c>
      <c r="X1" s="135"/>
      <c r="Y1" s="135"/>
      <c r="Z1" s="136"/>
    </row>
    <row r="2" spans="1:27" x14ac:dyDescent="0.25">
      <c r="A2" s="10"/>
      <c r="B2" s="133"/>
      <c r="C2" s="133"/>
      <c r="D2" s="133"/>
      <c r="E2" s="133"/>
      <c r="F2" s="137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9"/>
      <c r="W2" s="137"/>
      <c r="X2" s="138"/>
      <c r="Y2" s="138"/>
      <c r="Z2" s="139"/>
    </row>
    <row r="3" spans="1:27" x14ac:dyDescent="0.25">
      <c r="A3" s="10"/>
      <c r="B3" s="133"/>
      <c r="C3" s="133"/>
      <c r="D3" s="133"/>
      <c r="E3" s="133"/>
      <c r="F3" s="137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9"/>
      <c r="W3" s="137">
        <v>2021</v>
      </c>
      <c r="X3" s="138"/>
      <c r="Y3" s="138"/>
      <c r="Z3" s="139"/>
    </row>
    <row r="4" spans="1:27" x14ac:dyDescent="0.25">
      <c r="A4" s="10"/>
      <c r="B4" s="133"/>
      <c r="C4" s="133"/>
      <c r="D4" s="133"/>
      <c r="E4" s="133"/>
      <c r="F4" s="140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2"/>
      <c r="W4" s="140"/>
      <c r="X4" s="141"/>
      <c r="Y4" s="141"/>
      <c r="Z4" s="142"/>
    </row>
    <row r="5" spans="1:27" x14ac:dyDescent="0.25">
      <c r="A5" s="10"/>
      <c r="B5" s="10"/>
      <c r="C5" s="24"/>
      <c r="E5" s="24"/>
      <c r="G5" s="24"/>
      <c r="M5" s="24"/>
      <c r="O5" s="24"/>
      <c r="P5" s="25"/>
      <c r="Q5" s="25"/>
      <c r="R5" s="25"/>
      <c r="T5" s="24"/>
    </row>
    <row r="6" spans="1:27" x14ac:dyDescent="0.25">
      <c r="A6" s="26" t="s">
        <v>96</v>
      </c>
      <c r="B6" s="27">
        <f>B5+1</f>
        <v>1</v>
      </c>
      <c r="C6" s="29">
        <v>5512818</v>
      </c>
      <c r="D6" s="28"/>
      <c r="E6" s="29">
        <v>5465807</v>
      </c>
      <c r="F6" s="30"/>
      <c r="G6" s="132">
        <v>5164431</v>
      </c>
      <c r="H6" s="31">
        <f>G6-G5</f>
        <v>5164431</v>
      </c>
      <c r="I6" s="32"/>
      <c r="J6" s="33">
        <f>D6+F6+H6</f>
        <v>5164431</v>
      </c>
      <c r="K6" s="33" t="e">
        <f>D6*0.152+F6*0.238+H6*0.115+#REF!*0.218</f>
        <v>#REF!</v>
      </c>
      <c r="L6" s="34"/>
      <c r="M6" s="35">
        <v>145198</v>
      </c>
      <c r="N6" s="31" t="e">
        <f>M6-#REF!</f>
        <v>#REF!</v>
      </c>
      <c r="O6" s="36">
        <v>2254207</v>
      </c>
      <c r="P6" s="33" t="e">
        <f>O6-#REF!</f>
        <v>#REF!</v>
      </c>
      <c r="Q6" s="33" t="e">
        <f>N6+P6</f>
        <v>#REF!</v>
      </c>
      <c r="R6" s="31" t="e">
        <f>Q6*1.2285*10.033*0.0371</f>
        <v>#REF!</v>
      </c>
      <c r="S6" s="34"/>
      <c r="T6" s="37">
        <v>271331</v>
      </c>
      <c r="U6" s="38" t="e">
        <f>T6-#REF!</f>
        <v>#REF!</v>
      </c>
      <c r="V6" s="38" t="e">
        <f>U6*(1.025+1.028)</f>
        <v>#REF!</v>
      </c>
      <c r="W6" s="34"/>
      <c r="X6" s="31" t="e">
        <f>K6+R6+V6</f>
        <v>#REF!</v>
      </c>
      <c r="Y6" s="27">
        <v>100</v>
      </c>
      <c r="Z6" s="31" t="e">
        <f>X6/Y6</f>
        <v>#REF!</v>
      </c>
      <c r="AA6" s="39"/>
    </row>
    <row r="7" spans="1:27" x14ac:dyDescent="0.25">
      <c r="A7" s="10"/>
      <c r="B7" s="40"/>
      <c r="C7" s="143" t="s">
        <v>97</v>
      </c>
      <c r="D7" s="144"/>
      <c r="E7" s="144"/>
      <c r="F7" s="144"/>
      <c r="G7" s="144"/>
      <c r="H7" s="144"/>
      <c r="I7" s="144"/>
      <c r="J7" s="144"/>
      <c r="K7" s="145"/>
      <c r="L7" s="41"/>
      <c r="M7" s="143" t="s">
        <v>98</v>
      </c>
      <c r="N7" s="144"/>
      <c r="O7" s="144"/>
      <c r="P7" s="144"/>
      <c r="Q7" s="144"/>
      <c r="R7" s="145"/>
      <c r="S7" s="41"/>
      <c r="T7" s="146" t="s">
        <v>99</v>
      </c>
      <c r="U7" s="146"/>
      <c r="V7" s="147"/>
      <c r="W7" s="41"/>
      <c r="X7" s="42" t="s">
        <v>100</v>
      </c>
      <c r="Y7" s="43" t="s">
        <v>101</v>
      </c>
      <c r="Z7" s="44" t="s">
        <v>100</v>
      </c>
    </row>
    <row r="8" spans="1:27" x14ac:dyDescent="0.25">
      <c r="A8" s="10"/>
      <c r="B8" s="40"/>
      <c r="C8" s="45" t="s">
        <v>102</v>
      </c>
      <c r="D8" s="46" t="s">
        <v>103</v>
      </c>
      <c r="E8" s="45" t="s">
        <v>104</v>
      </c>
      <c r="F8" s="46" t="s">
        <v>103</v>
      </c>
      <c r="G8" s="45" t="s">
        <v>105</v>
      </c>
      <c r="H8" s="46" t="s">
        <v>103</v>
      </c>
      <c r="I8" s="45" t="s">
        <v>106</v>
      </c>
      <c r="J8" s="47" t="s">
        <v>107</v>
      </c>
      <c r="K8" s="48" t="s">
        <v>108</v>
      </c>
      <c r="L8" s="49"/>
      <c r="M8" s="50" t="s">
        <v>109</v>
      </c>
      <c r="N8" s="47" t="s">
        <v>103</v>
      </c>
      <c r="O8" s="51" t="s">
        <v>110</v>
      </c>
      <c r="P8" s="52" t="s">
        <v>103</v>
      </c>
      <c r="Q8" s="53" t="s">
        <v>111</v>
      </c>
      <c r="R8" s="52" t="s">
        <v>108</v>
      </c>
      <c r="S8" s="49"/>
      <c r="T8" s="45" t="s">
        <v>112</v>
      </c>
      <c r="U8" s="47" t="s">
        <v>103</v>
      </c>
      <c r="V8" s="54" t="s">
        <v>108</v>
      </c>
      <c r="W8" s="55"/>
      <c r="X8" s="56" t="s">
        <v>113</v>
      </c>
      <c r="Y8" s="57" t="s">
        <v>114</v>
      </c>
      <c r="Z8" s="58" t="s">
        <v>115</v>
      </c>
    </row>
    <row r="9" spans="1:27" x14ac:dyDescent="0.25">
      <c r="A9" s="10" t="s">
        <v>118</v>
      </c>
      <c r="B9" s="59">
        <v>1</v>
      </c>
      <c r="C9" s="60">
        <v>5517834</v>
      </c>
      <c r="D9" s="61">
        <f>IF((C9-C6&lt;0), "0",C9-C6)</f>
        <v>5016</v>
      </c>
      <c r="E9" s="62">
        <v>5470804</v>
      </c>
      <c r="F9" s="61">
        <f>IF((E9-E6&lt;0), "0",E9-E6)</f>
        <v>4997</v>
      </c>
      <c r="G9" s="63">
        <v>5169153</v>
      </c>
      <c r="H9" s="61">
        <f>IF((G9-G6&lt;0), "0",G9-G6)</f>
        <v>4722</v>
      </c>
      <c r="I9" s="60">
        <f>H9+F9+D9</f>
        <v>14735</v>
      </c>
      <c r="J9" s="64">
        <v>0.99</v>
      </c>
      <c r="K9" s="65">
        <f>I9*0.251</f>
        <v>3698.4850000000001</v>
      </c>
      <c r="L9" s="66"/>
      <c r="M9" s="60">
        <v>145333</v>
      </c>
      <c r="N9" s="61">
        <f>IF((M9-M6&lt;0), "0",M9-M6)</f>
        <v>135</v>
      </c>
      <c r="O9" s="60">
        <v>2254983</v>
      </c>
      <c r="P9" s="61">
        <f>IF((O9-O6&lt;0), "0",O9-O6)</f>
        <v>776</v>
      </c>
      <c r="Q9" s="67">
        <f t="shared" ref="Q9:Q39" si="0">N9+P9</f>
        <v>911</v>
      </c>
      <c r="R9" s="68">
        <f>(P9+N9*1.2285)*0.056*10.127</f>
        <v>534.13301941999998</v>
      </c>
      <c r="S9" s="69"/>
      <c r="T9" s="70">
        <v>271618</v>
      </c>
      <c r="U9" s="61">
        <f>IF((T9-T6&lt;0), "0",T9-T6)</f>
        <v>287</v>
      </c>
      <c r="V9" s="71">
        <f>U9*(1.315+1.54)</f>
        <v>819.38499999999999</v>
      </c>
      <c r="W9" s="72"/>
      <c r="X9" s="73">
        <f t="shared" ref="X9:X39" si="1">K9+R9+V9</f>
        <v>5052.0030194200008</v>
      </c>
      <c r="Y9" s="74">
        <v>95</v>
      </c>
      <c r="Z9" s="75">
        <f>X9/Y9</f>
        <v>53.178979151789484</v>
      </c>
    </row>
    <row r="10" spans="1:27" x14ac:dyDescent="0.25">
      <c r="A10" s="10" t="s">
        <v>119</v>
      </c>
      <c r="B10" s="59">
        <f>B9+1</f>
        <v>2</v>
      </c>
      <c r="C10" s="76">
        <v>5522712</v>
      </c>
      <c r="D10" s="61">
        <f t="shared" ref="D10:D39" si="2">IF((C10-C9&lt;0), "0",C10-C9)</f>
        <v>4878</v>
      </c>
      <c r="E10" s="77">
        <v>5475675</v>
      </c>
      <c r="F10" s="61">
        <f>IF((E10-E9&lt;0), "0",E10-E9)</f>
        <v>4871</v>
      </c>
      <c r="G10" s="77">
        <v>5173710</v>
      </c>
      <c r="H10" s="61">
        <f t="shared" ref="H10:H39" si="3">IF((G10-G9&lt;0), "0",G10-G9)</f>
        <v>4557</v>
      </c>
      <c r="I10" s="60">
        <f t="shared" ref="I10:I39" si="4">H10+F10+D10</f>
        <v>14306</v>
      </c>
      <c r="J10" s="64">
        <v>0.97</v>
      </c>
      <c r="K10" s="65">
        <f t="shared" ref="K10:K39" si="5">I10*0.251</f>
        <v>3590.806</v>
      </c>
      <c r="L10" s="66"/>
      <c r="M10" s="77">
        <v>145481</v>
      </c>
      <c r="N10" s="61">
        <f>IF((M10-M9&lt;0), "0",M10-M9)</f>
        <v>148</v>
      </c>
      <c r="O10" s="77">
        <v>2255881</v>
      </c>
      <c r="P10" s="61">
        <f>IF((O10-O9&lt;0), "0",O10-O9)</f>
        <v>898</v>
      </c>
      <c r="Q10" s="67">
        <f t="shared" si="0"/>
        <v>1046</v>
      </c>
      <c r="R10" s="68">
        <f t="shared" ref="R10:R39" si="6">(P10+N10*1.2285)*0.056*10.127</f>
        <v>612.37774561600008</v>
      </c>
      <c r="S10" s="69"/>
      <c r="T10" s="78">
        <v>271979</v>
      </c>
      <c r="U10" s="61">
        <f>IF((T10-T9&lt;0), "0",T10-T9)</f>
        <v>361</v>
      </c>
      <c r="V10" s="71">
        <f t="shared" ref="V10:V39" si="7">U10*(1.315+1.54)</f>
        <v>1030.655</v>
      </c>
      <c r="W10" s="72"/>
      <c r="X10" s="79">
        <f t="shared" si="1"/>
        <v>5233.8387456159999</v>
      </c>
      <c r="Y10" s="80">
        <v>94</v>
      </c>
      <c r="Z10" s="81">
        <f t="shared" ref="Z10:Z39" si="8">X10/Y10</f>
        <v>55.679135591659573</v>
      </c>
    </row>
    <row r="11" spans="1:27" x14ac:dyDescent="0.25">
      <c r="A11" s="10" t="s">
        <v>120</v>
      </c>
      <c r="B11" s="59">
        <f t="shared" ref="B11:B39" si="9">B10+1</f>
        <v>3</v>
      </c>
      <c r="C11" s="76">
        <v>5527510</v>
      </c>
      <c r="D11" s="61">
        <f t="shared" si="2"/>
        <v>4798</v>
      </c>
      <c r="E11" s="76">
        <v>5480463</v>
      </c>
      <c r="F11" s="61">
        <f t="shared" ref="F11:F39" si="10">IF((E11-E10&lt;0), "0",E11-E10)</f>
        <v>4788</v>
      </c>
      <c r="G11" s="77">
        <v>5178224</v>
      </c>
      <c r="H11" s="61">
        <f t="shared" si="3"/>
        <v>4514</v>
      </c>
      <c r="I11" s="60">
        <f t="shared" si="4"/>
        <v>14100</v>
      </c>
      <c r="J11" s="64">
        <v>0.97</v>
      </c>
      <c r="K11" s="65">
        <f t="shared" si="5"/>
        <v>3539.1</v>
      </c>
      <c r="L11" s="66"/>
      <c r="M11" s="77">
        <v>145619</v>
      </c>
      <c r="N11" s="61">
        <f t="shared" ref="N11:N39" si="11">IF((M11-M10&lt;0), "0",M11-M10)</f>
        <v>138</v>
      </c>
      <c r="O11" s="77">
        <v>2256662</v>
      </c>
      <c r="P11" s="61">
        <f t="shared" ref="P11:P39" si="12">IF((O11-O10&lt;0), "0",O11-O10)</f>
        <v>781</v>
      </c>
      <c r="Q11" s="67">
        <f t="shared" si="0"/>
        <v>919</v>
      </c>
      <c r="R11" s="68">
        <f t="shared" si="6"/>
        <v>539.05867069600004</v>
      </c>
      <c r="S11" s="69"/>
      <c r="T11" s="82">
        <v>272349</v>
      </c>
      <c r="U11" s="61">
        <f t="shared" ref="U11:U39" si="13">IF((T11-T10&lt;0), "0",T11-T10)</f>
        <v>370</v>
      </c>
      <c r="V11" s="71">
        <f t="shared" si="7"/>
        <v>1056.3499999999999</v>
      </c>
      <c r="W11" s="72"/>
      <c r="X11" s="79">
        <f t="shared" si="1"/>
        <v>5134.5086706959992</v>
      </c>
      <c r="Y11" s="80">
        <v>107</v>
      </c>
      <c r="Z11" s="81">
        <f t="shared" si="8"/>
        <v>47.986062342953261</v>
      </c>
    </row>
    <row r="12" spans="1:27" x14ac:dyDescent="0.25">
      <c r="A12" s="10" t="s">
        <v>121</v>
      </c>
      <c r="B12" s="59">
        <f t="shared" si="9"/>
        <v>4</v>
      </c>
      <c r="C12" s="76">
        <v>5532221</v>
      </c>
      <c r="D12" s="61">
        <f t="shared" si="2"/>
        <v>4711</v>
      </c>
      <c r="E12" s="76">
        <v>5485171</v>
      </c>
      <c r="F12" s="61">
        <f t="shared" si="10"/>
        <v>4708</v>
      </c>
      <c r="G12" s="77">
        <v>5182441</v>
      </c>
      <c r="H12" s="61">
        <f t="shared" si="3"/>
        <v>4217</v>
      </c>
      <c r="I12" s="60">
        <f t="shared" si="4"/>
        <v>13636</v>
      </c>
      <c r="J12" s="64">
        <v>0.96</v>
      </c>
      <c r="K12" s="65">
        <f t="shared" si="5"/>
        <v>3422.636</v>
      </c>
      <c r="L12" s="66"/>
      <c r="M12" s="77">
        <v>145763</v>
      </c>
      <c r="N12" s="61">
        <f t="shared" si="11"/>
        <v>144</v>
      </c>
      <c r="O12" s="77">
        <v>2257474</v>
      </c>
      <c r="P12" s="61">
        <f t="shared" si="12"/>
        <v>812</v>
      </c>
      <c r="Q12" s="67">
        <f t="shared" si="0"/>
        <v>956</v>
      </c>
      <c r="R12" s="68">
        <f t="shared" si="6"/>
        <v>560.81932524800004</v>
      </c>
      <c r="S12" s="69"/>
      <c r="T12" s="78">
        <v>272761</v>
      </c>
      <c r="U12" s="61">
        <f t="shared" si="13"/>
        <v>412</v>
      </c>
      <c r="V12" s="71">
        <f t="shared" si="7"/>
        <v>1176.26</v>
      </c>
      <c r="W12" s="72"/>
      <c r="X12" s="79">
        <f t="shared" si="1"/>
        <v>5159.7153252480002</v>
      </c>
      <c r="Y12" s="80">
        <v>108</v>
      </c>
      <c r="Z12" s="81">
        <f t="shared" si="8"/>
        <v>47.775141900444446</v>
      </c>
    </row>
    <row r="13" spans="1:27" x14ac:dyDescent="0.25">
      <c r="A13" s="10" t="s">
        <v>96</v>
      </c>
      <c r="B13" s="59">
        <f t="shared" si="9"/>
        <v>5</v>
      </c>
      <c r="C13" s="63">
        <v>5536702</v>
      </c>
      <c r="D13" s="61">
        <f t="shared" si="2"/>
        <v>4481</v>
      </c>
      <c r="E13" s="76">
        <v>5489662</v>
      </c>
      <c r="F13" s="61">
        <f t="shared" si="10"/>
        <v>4491</v>
      </c>
      <c r="G13" s="63">
        <v>5186829</v>
      </c>
      <c r="H13" s="61">
        <f t="shared" si="3"/>
        <v>4388</v>
      </c>
      <c r="I13" s="60">
        <f t="shared" si="4"/>
        <v>13360</v>
      </c>
      <c r="J13" s="64">
        <v>0.98</v>
      </c>
      <c r="K13" s="65">
        <f t="shared" si="5"/>
        <v>3353.36</v>
      </c>
      <c r="L13" s="66"/>
      <c r="M13" s="77">
        <v>145903</v>
      </c>
      <c r="N13" s="61">
        <f t="shared" si="11"/>
        <v>140</v>
      </c>
      <c r="O13" s="76">
        <v>2258296</v>
      </c>
      <c r="P13" s="61">
        <f t="shared" si="12"/>
        <v>822</v>
      </c>
      <c r="Q13" s="67">
        <f t="shared" si="0"/>
        <v>962</v>
      </c>
      <c r="R13" s="68">
        <f t="shared" si="6"/>
        <v>563.70365688000004</v>
      </c>
      <c r="S13" s="69"/>
      <c r="T13" s="83">
        <v>273176</v>
      </c>
      <c r="U13" s="61">
        <f t="shared" si="13"/>
        <v>415</v>
      </c>
      <c r="V13" s="71">
        <f t="shared" si="7"/>
        <v>1184.825</v>
      </c>
      <c r="W13" s="72"/>
      <c r="X13" s="79">
        <f t="shared" si="1"/>
        <v>5101.8886568799999</v>
      </c>
      <c r="Y13" s="80">
        <v>87</v>
      </c>
      <c r="Z13" s="81">
        <f t="shared" si="8"/>
        <v>58.642398354942529</v>
      </c>
    </row>
    <row r="14" spans="1:27" x14ac:dyDescent="0.25">
      <c r="A14" s="10" t="s">
        <v>116</v>
      </c>
      <c r="B14" s="59">
        <f t="shared" si="9"/>
        <v>6</v>
      </c>
      <c r="C14" s="76">
        <v>5541124</v>
      </c>
      <c r="D14" s="61">
        <f t="shared" si="2"/>
        <v>4422</v>
      </c>
      <c r="E14" s="76">
        <v>5494060</v>
      </c>
      <c r="F14" s="61">
        <f t="shared" si="10"/>
        <v>4398</v>
      </c>
      <c r="G14" s="63">
        <v>5190945</v>
      </c>
      <c r="H14" s="61">
        <f t="shared" si="3"/>
        <v>4116</v>
      </c>
      <c r="I14" s="60">
        <f t="shared" si="4"/>
        <v>12936</v>
      </c>
      <c r="J14" s="64">
        <v>0.98</v>
      </c>
      <c r="K14" s="65">
        <f t="shared" si="5"/>
        <v>3246.9360000000001</v>
      </c>
      <c r="L14" s="66"/>
      <c r="M14" s="77">
        <v>145986</v>
      </c>
      <c r="N14" s="61">
        <f t="shared" si="11"/>
        <v>83</v>
      </c>
      <c r="O14" s="76">
        <v>2259087</v>
      </c>
      <c r="P14" s="61">
        <f t="shared" si="12"/>
        <v>791</v>
      </c>
      <c r="Q14" s="67">
        <f t="shared" si="0"/>
        <v>874</v>
      </c>
      <c r="R14" s="68">
        <f t="shared" si="6"/>
        <v>506.41145063600004</v>
      </c>
      <c r="S14" s="69"/>
      <c r="T14" s="83">
        <v>273612</v>
      </c>
      <c r="U14" s="61">
        <f t="shared" si="13"/>
        <v>436</v>
      </c>
      <c r="V14" s="71">
        <f t="shared" si="7"/>
        <v>1244.78</v>
      </c>
      <c r="W14" s="72"/>
      <c r="X14" s="79">
        <f t="shared" si="1"/>
        <v>4998.1274506360005</v>
      </c>
      <c r="Y14" s="80">
        <v>61</v>
      </c>
      <c r="Z14" s="81">
        <f t="shared" si="8"/>
        <v>81.936515584196727</v>
      </c>
    </row>
    <row r="15" spans="1:27" x14ac:dyDescent="0.25">
      <c r="A15" s="10" t="s">
        <v>117</v>
      </c>
      <c r="B15" s="59">
        <f t="shared" si="9"/>
        <v>7</v>
      </c>
      <c r="C15" s="76">
        <v>5546045</v>
      </c>
      <c r="D15" s="61">
        <f t="shared" si="2"/>
        <v>4921</v>
      </c>
      <c r="E15" s="76">
        <v>5498942</v>
      </c>
      <c r="F15" s="61">
        <f t="shared" si="10"/>
        <v>4882</v>
      </c>
      <c r="G15" s="76">
        <v>5195543</v>
      </c>
      <c r="H15" s="61">
        <f t="shared" si="3"/>
        <v>4598</v>
      </c>
      <c r="I15" s="60">
        <f t="shared" si="4"/>
        <v>14401</v>
      </c>
      <c r="J15" s="64">
        <v>0.97</v>
      </c>
      <c r="K15" s="65">
        <f t="shared" si="5"/>
        <v>3614.6509999999998</v>
      </c>
      <c r="L15" s="66"/>
      <c r="M15" s="77">
        <v>146116</v>
      </c>
      <c r="N15" s="61">
        <f t="shared" si="11"/>
        <v>130</v>
      </c>
      <c r="O15" s="76">
        <v>2259891</v>
      </c>
      <c r="P15" s="61">
        <f t="shared" si="12"/>
        <v>804</v>
      </c>
      <c r="Q15" s="67">
        <f t="shared" si="0"/>
        <v>934</v>
      </c>
      <c r="R15" s="68">
        <f t="shared" si="6"/>
        <v>546.52866996</v>
      </c>
      <c r="S15" s="69"/>
      <c r="T15" s="83">
        <v>274033</v>
      </c>
      <c r="U15" s="61">
        <f t="shared" si="13"/>
        <v>421</v>
      </c>
      <c r="V15" s="71">
        <f t="shared" si="7"/>
        <v>1201.9549999999999</v>
      </c>
      <c r="W15" s="72"/>
      <c r="X15" s="79">
        <f t="shared" si="1"/>
        <v>5363.1346699599999</v>
      </c>
      <c r="Y15" s="80">
        <v>67</v>
      </c>
      <c r="Z15" s="81">
        <f t="shared" si="8"/>
        <v>80.046786118805969</v>
      </c>
    </row>
    <row r="16" spans="1:27" x14ac:dyDescent="0.25">
      <c r="A16" s="10" t="s">
        <v>118</v>
      </c>
      <c r="B16" s="59">
        <f t="shared" si="9"/>
        <v>8</v>
      </c>
      <c r="C16" s="76">
        <v>5550964</v>
      </c>
      <c r="D16" s="61">
        <f t="shared" si="2"/>
        <v>4919</v>
      </c>
      <c r="E16" s="76">
        <v>5503830</v>
      </c>
      <c r="F16" s="61">
        <f t="shared" si="10"/>
        <v>4888</v>
      </c>
      <c r="G16" s="76">
        <v>5200142</v>
      </c>
      <c r="H16" s="61">
        <f t="shared" si="3"/>
        <v>4599</v>
      </c>
      <c r="I16" s="60">
        <f t="shared" si="4"/>
        <v>14406</v>
      </c>
      <c r="J16" s="64">
        <v>0.97</v>
      </c>
      <c r="K16" s="65">
        <f t="shared" si="5"/>
        <v>3615.9059999999999</v>
      </c>
      <c r="L16" s="66"/>
      <c r="M16" s="77">
        <v>146246</v>
      </c>
      <c r="N16" s="61">
        <f t="shared" si="11"/>
        <v>130</v>
      </c>
      <c r="O16" s="76">
        <v>2260798</v>
      </c>
      <c r="P16" s="61">
        <f t="shared" si="12"/>
        <v>907</v>
      </c>
      <c r="Q16" s="67">
        <f t="shared" si="0"/>
        <v>1037</v>
      </c>
      <c r="R16" s="68">
        <f t="shared" si="6"/>
        <v>604.94120596000005</v>
      </c>
      <c r="S16" s="69"/>
      <c r="T16" s="83">
        <v>274432</v>
      </c>
      <c r="U16" s="61">
        <f t="shared" si="13"/>
        <v>399</v>
      </c>
      <c r="V16" s="71">
        <f t="shared" si="7"/>
        <v>1139.145</v>
      </c>
      <c r="W16" s="72"/>
      <c r="X16" s="79">
        <f t="shared" si="1"/>
        <v>5359.9922059599994</v>
      </c>
      <c r="Y16" s="80">
        <v>76</v>
      </c>
      <c r="Z16" s="81">
        <f t="shared" si="8"/>
        <v>70.526213236315783</v>
      </c>
    </row>
    <row r="17" spans="1:26" x14ac:dyDescent="0.25">
      <c r="A17" s="10" t="s">
        <v>119</v>
      </c>
      <c r="B17" s="59">
        <v>9</v>
      </c>
      <c r="C17" s="84">
        <v>5556102</v>
      </c>
      <c r="D17" s="61">
        <f t="shared" si="2"/>
        <v>5138</v>
      </c>
      <c r="E17" s="84">
        <v>5508909</v>
      </c>
      <c r="F17" s="61">
        <f t="shared" si="10"/>
        <v>5079</v>
      </c>
      <c r="G17" s="84">
        <v>5204956</v>
      </c>
      <c r="H17" s="61">
        <f t="shared" si="3"/>
        <v>4814</v>
      </c>
      <c r="I17" s="60">
        <f t="shared" si="4"/>
        <v>15031</v>
      </c>
      <c r="J17" s="64">
        <v>0.97</v>
      </c>
      <c r="K17" s="65">
        <f t="shared" si="5"/>
        <v>3772.7809999999999</v>
      </c>
      <c r="L17" s="66"/>
      <c r="M17" s="84">
        <v>146367</v>
      </c>
      <c r="N17" s="61">
        <f t="shared" si="11"/>
        <v>121</v>
      </c>
      <c r="O17" s="84">
        <v>2261746</v>
      </c>
      <c r="P17" s="61">
        <f t="shared" si="12"/>
        <v>948</v>
      </c>
      <c r="Q17" s="67">
        <f t="shared" si="0"/>
        <v>1069</v>
      </c>
      <c r="R17" s="68">
        <f t="shared" si="6"/>
        <v>621.92252413200004</v>
      </c>
      <c r="S17" s="69"/>
      <c r="T17" s="85">
        <v>274735</v>
      </c>
      <c r="U17" s="61">
        <f t="shared" si="13"/>
        <v>303</v>
      </c>
      <c r="V17" s="71">
        <f t="shared" si="7"/>
        <v>865.06499999999994</v>
      </c>
      <c r="W17" s="72"/>
      <c r="X17" s="79">
        <f t="shared" si="1"/>
        <v>5259.7685241319996</v>
      </c>
      <c r="Y17" s="80">
        <v>85</v>
      </c>
      <c r="Z17" s="81">
        <f t="shared" si="8"/>
        <v>61.87962969567058</v>
      </c>
    </row>
    <row r="18" spans="1:26" x14ac:dyDescent="0.25">
      <c r="A18" s="10" t="s">
        <v>120</v>
      </c>
      <c r="B18" s="86">
        <f t="shared" si="9"/>
        <v>10</v>
      </c>
      <c r="C18" s="84">
        <v>5560980</v>
      </c>
      <c r="D18" s="61">
        <f t="shared" si="2"/>
        <v>4878</v>
      </c>
      <c r="E18" s="76">
        <v>5513744</v>
      </c>
      <c r="F18" s="61">
        <f t="shared" si="10"/>
        <v>4835</v>
      </c>
      <c r="G18" s="76">
        <v>5209523</v>
      </c>
      <c r="H18" s="61">
        <f t="shared" si="3"/>
        <v>4567</v>
      </c>
      <c r="I18" s="60">
        <f t="shared" si="4"/>
        <v>14280</v>
      </c>
      <c r="J18" s="64">
        <v>0.97</v>
      </c>
      <c r="K18" s="65">
        <f t="shared" si="5"/>
        <v>3584.28</v>
      </c>
      <c r="L18" s="87"/>
      <c r="M18" s="77">
        <v>146514</v>
      </c>
      <c r="N18" s="61">
        <f t="shared" si="11"/>
        <v>147</v>
      </c>
      <c r="O18" s="76">
        <v>2262533</v>
      </c>
      <c r="P18" s="61">
        <f t="shared" si="12"/>
        <v>787</v>
      </c>
      <c r="Q18" s="67">
        <f t="shared" si="0"/>
        <v>934</v>
      </c>
      <c r="R18" s="68">
        <f t="shared" si="6"/>
        <v>548.73161652400006</v>
      </c>
      <c r="S18" s="88"/>
      <c r="T18" s="83">
        <v>275061</v>
      </c>
      <c r="U18" s="61">
        <f t="shared" si="13"/>
        <v>326</v>
      </c>
      <c r="V18" s="71">
        <f t="shared" si="7"/>
        <v>930.73</v>
      </c>
      <c r="W18" s="72"/>
      <c r="X18" s="79">
        <f t="shared" si="1"/>
        <v>5063.7416165240011</v>
      </c>
      <c r="Y18" s="80">
        <v>107</v>
      </c>
      <c r="Z18" s="89">
        <f t="shared" si="8"/>
        <v>47.324688004897205</v>
      </c>
    </row>
    <row r="19" spans="1:26" x14ac:dyDescent="0.25">
      <c r="A19" s="10" t="s">
        <v>121</v>
      </c>
      <c r="B19" s="90">
        <f t="shared" si="9"/>
        <v>11</v>
      </c>
      <c r="C19" s="76">
        <v>5565566</v>
      </c>
      <c r="D19" s="61">
        <f t="shared" si="2"/>
        <v>4586</v>
      </c>
      <c r="E19" s="76">
        <v>5518300</v>
      </c>
      <c r="F19" s="61">
        <f t="shared" si="10"/>
        <v>4556</v>
      </c>
      <c r="G19" s="76">
        <v>5213831</v>
      </c>
      <c r="H19" s="61">
        <f t="shared" si="3"/>
        <v>4308</v>
      </c>
      <c r="I19" s="60">
        <f t="shared" si="4"/>
        <v>13450</v>
      </c>
      <c r="J19" s="64">
        <v>0.97</v>
      </c>
      <c r="K19" s="65">
        <f t="shared" si="5"/>
        <v>3375.95</v>
      </c>
      <c r="L19" s="66"/>
      <c r="M19" s="77">
        <v>146681</v>
      </c>
      <c r="N19" s="61">
        <f t="shared" si="11"/>
        <v>167</v>
      </c>
      <c r="O19" s="91">
        <v>2263371</v>
      </c>
      <c r="P19" s="61">
        <f t="shared" si="12"/>
        <v>838</v>
      </c>
      <c r="Q19" s="67">
        <f t="shared" si="0"/>
        <v>1005</v>
      </c>
      <c r="R19" s="68">
        <f t="shared" si="6"/>
        <v>591.5882703640001</v>
      </c>
      <c r="S19" s="69"/>
      <c r="T19" s="92">
        <v>275472</v>
      </c>
      <c r="U19" s="61">
        <f t="shared" si="13"/>
        <v>411</v>
      </c>
      <c r="V19" s="71">
        <f t="shared" si="7"/>
        <v>1173.405</v>
      </c>
      <c r="W19" s="72"/>
      <c r="X19" s="79">
        <f t="shared" si="1"/>
        <v>5140.9432703639995</v>
      </c>
      <c r="Y19" s="80">
        <v>94</v>
      </c>
      <c r="Z19" s="75">
        <f t="shared" si="8"/>
        <v>54.690885854936163</v>
      </c>
    </row>
    <row r="20" spans="1:26" x14ac:dyDescent="0.25">
      <c r="A20" s="10" t="s">
        <v>96</v>
      </c>
      <c r="B20" s="59">
        <f t="shared" si="9"/>
        <v>12</v>
      </c>
      <c r="C20" s="76">
        <v>5570076</v>
      </c>
      <c r="D20" s="61">
        <f t="shared" si="2"/>
        <v>4510</v>
      </c>
      <c r="E20" s="76">
        <v>5522777</v>
      </c>
      <c r="F20" s="61">
        <f t="shared" si="10"/>
        <v>4477</v>
      </c>
      <c r="G20" s="76">
        <v>5218062</v>
      </c>
      <c r="H20" s="61">
        <f t="shared" si="3"/>
        <v>4231</v>
      </c>
      <c r="I20" s="60">
        <f t="shared" si="4"/>
        <v>13218</v>
      </c>
      <c r="J20" s="64">
        <v>0.98</v>
      </c>
      <c r="K20" s="65">
        <f t="shared" si="5"/>
        <v>3317.7179999999998</v>
      </c>
      <c r="L20" s="66"/>
      <c r="M20" s="77">
        <v>146815</v>
      </c>
      <c r="N20" s="61">
        <f t="shared" si="11"/>
        <v>134</v>
      </c>
      <c r="O20" s="76">
        <v>2264124</v>
      </c>
      <c r="P20" s="61">
        <f t="shared" si="12"/>
        <v>753</v>
      </c>
      <c r="Q20" s="67">
        <f t="shared" si="0"/>
        <v>887</v>
      </c>
      <c r="R20" s="68">
        <f t="shared" si="6"/>
        <v>520.39274632800004</v>
      </c>
      <c r="S20" s="69"/>
      <c r="T20" s="83">
        <v>275799</v>
      </c>
      <c r="U20" s="61">
        <f t="shared" si="13"/>
        <v>327</v>
      </c>
      <c r="V20" s="71">
        <f t="shared" si="7"/>
        <v>933.58500000000004</v>
      </c>
      <c r="W20" s="72"/>
      <c r="X20" s="79">
        <f t="shared" si="1"/>
        <v>4771.6957463279996</v>
      </c>
      <c r="Y20" s="80">
        <v>81</v>
      </c>
      <c r="Z20" s="81">
        <f t="shared" si="8"/>
        <v>58.909824028740736</v>
      </c>
    </row>
    <row r="21" spans="1:26" x14ac:dyDescent="0.25">
      <c r="A21" s="10" t="s">
        <v>116</v>
      </c>
      <c r="B21" s="59">
        <f t="shared" si="9"/>
        <v>13</v>
      </c>
      <c r="C21" s="84">
        <v>5574890</v>
      </c>
      <c r="D21" s="61">
        <f t="shared" si="2"/>
        <v>4814</v>
      </c>
      <c r="E21" s="76">
        <v>5527540</v>
      </c>
      <c r="F21" s="61">
        <f t="shared" si="10"/>
        <v>4763</v>
      </c>
      <c r="G21" s="76">
        <v>5222554</v>
      </c>
      <c r="H21" s="61">
        <f t="shared" si="3"/>
        <v>4492</v>
      </c>
      <c r="I21" s="60">
        <f t="shared" si="4"/>
        <v>14069</v>
      </c>
      <c r="J21" s="64">
        <v>0.97</v>
      </c>
      <c r="K21" s="65">
        <f t="shared" si="5"/>
        <v>3531.319</v>
      </c>
      <c r="L21" s="66"/>
      <c r="M21" s="77">
        <v>146926</v>
      </c>
      <c r="N21" s="61">
        <f t="shared" si="11"/>
        <v>111</v>
      </c>
      <c r="O21" s="76">
        <v>2264919</v>
      </c>
      <c r="P21" s="61">
        <f t="shared" si="12"/>
        <v>795</v>
      </c>
      <c r="Q21" s="67">
        <f t="shared" si="0"/>
        <v>906</v>
      </c>
      <c r="R21" s="68">
        <f t="shared" si="6"/>
        <v>528.18741721200001</v>
      </c>
      <c r="S21" s="69"/>
      <c r="T21" s="83">
        <v>276143</v>
      </c>
      <c r="U21" s="61">
        <f t="shared" si="13"/>
        <v>344</v>
      </c>
      <c r="V21" s="71">
        <f t="shared" si="7"/>
        <v>982.12</v>
      </c>
      <c r="W21" s="72"/>
      <c r="X21" s="79">
        <f t="shared" si="1"/>
        <v>5041.626417212</v>
      </c>
      <c r="Y21" s="80">
        <v>56</v>
      </c>
      <c r="Z21" s="81">
        <f t="shared" si="8"/>
        <v>90.029043164499996</v>
      </c>
    </row>
    <row r="22" spans="1:26" x14ac:dyDescent="0.25">
      <c r="A22" s="10" t="s">
        <v>117</v>
      </c>
      <c r="B22" s="59">
        <f t="shared" si="9"/>
        <v>14</v>
      </c>
      <c r="C22" s="84">
        <v>5579301</v>
      </c>
      <c r="D22" s="61">
        <f t="shared" si="2"/>
        <v>4411</v>
      </c>
      <c r="E22" s="76">
        <v>5532004</v>
      </c>
      <c r="F22" s="61">
        <f t="shared" si="10"/>
        <v>4464</v>
      </c>
      <c r="G22" s="76">
        <v>5227144</v>
      </c>
      <c r="H22" s="61">
        <f t="shared" si="3"/>
        <v>4590</v>
      </c>
      <c r="I22" s="60">
        <f t="shared" si="4"/>
        <v>13465</v>
      </c>
      <c r="J22" s="64">
        <v>0.97</v>
      </c>
      <c r="K22" s="65">
        <f t="shared" si="5"/>
        <v>3379.7150000000001</v>
      </c>
      <c r="L22" s="66"/>
      <c r="M22" s="77">
        <v>147041</v>
      </c>
      <c r="N22" s="61">
        <f t="shared" si="11"/>
        <v>115</v>
      </c>
      <c r="O22" s="76">
        <v>2265614</v>
      </c>
      <c r="P22" s="61">
        <f t="shared" si="12"/>
        <v>695</v>
      </c>
      <c r="Q22" s="67">
        <f t="shared" si="0"/>
        <v>810</v>
      </c>
      <c r="R22" s="68">
        <f t="shared" si="6"/>
        <v>474.26300558000008</v>
      </c>
      <c r="S22" s="69"/>
      <c r="T22" s="83">
        <v>276541</v>
      </c>
      <c r="U22" s="61">
        <f t="shared" si="13"/>
        <v>398</v>
      </c>
      <c r="V22" s="71">
        <f t="shared" si="7"/>
        <v>1136.29</v>
      </c>
      <c r="W22" s="72"/>
      <c r="X22" s="79">
        <f t="shared" si="1"/>
        <v>4990.2680055800001</v>
      </c>
      <c r="Y22" s="80">
        <v>51</v>
      </c>
      <c r="Z22" s="81">
        <f t="shared" si="8"/>
        <v>97.848392266274516</v>
      </c>
    </row>
    <row r="23" spans="1:26" x14ac:dyDescent="0.25">
      <c r="A23" s="10" t="s">
        <v>118</v>
      </c>
      <c r="B23" s="59">
        <f t="shared" si="9"/>
        <v>15</v>
      </c>
      <c r="C23" s="76">
        <v>5585004</v>
      </c>
      <c r="D23" s="61">
        <f t="shared" si="2"/>
        <v>5703</v>
      </c>
      <c r="E23" s="76">
        <v>5536840</v>
      </c>
      <c r="F23" s="61">
        <f t="shared" si="10"/>
        <v>4836</v>
      </c>
      <c r="G23" s="76">
        <v>5232014</v>
      </c>
      <c r="H23" s="61">
        <f t="shared" si="3"/>
        <v>4870</v>
      </c>
      <c r="I23" s="60">
        <f t="shared" si="4"/>
        <v>15409</v>
      </c>
      <c r="J23" s="64">
        <v>0.98</v>
      </c>
      <c r="K23" s="65">
        <f t="shared" si="5"/>
        <v>3867.6590000000001</v>
      </c>
      <c r="L23" s="66"/>
      <c r="M23" s="77">
        <v>147151</v>
      </c>
      <c r="N23" s="61">
        <f t="shared" si="11"/>
        <v>110</v>
      </c>
      <c r="O23" s="76">
        <v>2266301</v>
      </c>
      <c r="P23" s="61">
        <f t="shared" si="12"/>
        <v>687</v>
      </c>
      <c r="Q23" s="67">
        <f t="shared" si="0"/>
        <v>797</v>
      </c>
      <c r="R23" s="68">
        <f t="shared" si="6"/>
        <v>466.24262412000007</v>
      </c>
      <c r="S23" s="69"/>
      <c r="T23" s="83">
        <v>276911</v>
      </c>
      <c r="U23" s="61">
        <f t="shared" si="13"/>
        <v>370</v>
      </c>
      <c r="V23" s="71">
        <f t="shared" si="7"/>
        <v>1056.3499999999999</v>
      </c>
      <c r="W23" s="72"/>
      <c r="X23" s="79">
        <f t="shared" si="1"/>
        <v>5390.251624120001</v>
      </c>
      <c r="Y23" s="80">
        <v>52</v>
      </c>
      <c r="Z23" s="81">
        <f t="shared" si="8"/>
        <v>103.65868507923079</v>
      </c>
    </row>
    <row r="24" spans="1:26" x14ac:dyDescent="0.25">
      <c r="A24" s="10" t="s">
        <v>119</v>
      </c>
      <c r="B24" s="59">
        <f t="shared" si="9"/>
        <v>16</v>
      </c>
      <c r="C24" s="76">
        <v>5588373</v>
      </c>
      <c r="D24" s="61">
        <f t="shared" si="2"/>
        <v>3369</v>
      </c>
      <c r="E24" s="76">
        <v>5540926</v>
      </c>
      <c r="F24" s="61">
        <f t="shared" si="10"/>
        <v>4086</v>
      </c>
      <c r="G24" s="76">
        <v>5235207</v>
      </c>
      <c r="H24" s="61">
        <f t="shared" si="3"/>
        <v>3193</v>
      </c>
      <c r="I24" s="60">
        <f t="shared" si="4"/>
        <v>10648</v>
      </c>
      <c r="J24" s="64">
        <v>0.97</v>
      </c>
      <c r="K24" s="65">
        <f t="shared" si="5"/>
        <v>2672.6480000000001</v>
      </c>
      <c r="L24" s="66"/>
      <c r="M24" s="77">
        <v>147278</v>
      </c>
      <c r="N24" s="61">
        <f t="shared" si="11"/>
        <v>127</v>
      </c>
      <c r="O24" s="76">
        <v>2267308</v>
      </c>
      <c r="P24" s="61">
        <f t="shared" si="12"/>
        <v>1007</v>
      </c>
      <c r="Q24" s="67">
        <f t="shared" si="0"/>
        <v>1134</v>
      </c>
      <c r="R24" s="68">
        <f t="shared" si="6"/>
        <v>659.56231468400006</v>
      </c>
      <c r="S24" s="69"/>
      <c r="T24" s="83">
        <v>277351</v>
      </c>
      <c r="U24" s="61">
        <f t="shared" si="13"/>
        <v>440</v>
      </c>
      <c r="V24" s="71">
        <f t="shared" si="7"/>
        <v>1256.2</v>
      </c>
      <c r="W24" s="72"/>
      <c r="X24" s="79">
        <f t="shared" si="1"/>
        <v>4588.4103146839998</v>
      </c>
      <c r="Y24" s="80">
        <v>61</v>
      </c>
      <c r="Z24" s="81">
        <f t="shared" si="8"/>
        <v>75.219841224327865</v>
      </c>
    </row>
    <row r="25" spans="1:26" x14ac:dyDescent="0.25">
      <c r="A25" s="10" t="s">
        <v>120</v>
      </c>
      <c r="B25" s="59">
        <f t="shared" si="9"/>
        <v>17</v>
      </c>
      <c r="C25" s="76">
        <v>5592770</v>
      </c>
      <c r="D25" s="61">
        <f t="shared" si="2"/>
        <v>4397</v>
      </c>
      <c r="E25" s="76">
        <v>5545308</v>
      </c>
      <c r="F25" s="61">
        <f t="shared" si="10"/>
        <v>4382</v>
      </c>
      <c r="G25" s="76">
        <v>5239347</v>
      </c>
      <c r="H25" s="61">
        <f t="shared" si="3"/>
        <v>4140</v>
      </c>
      <c r="I25" s="60">
        <f t="shared" si="4"/>
        <v>12919</v>
      </c>
      <c r="J25" s="64">
        <v>0.97</v>
      </c>
      <c r="K25" s="65">
        <f t="shared" si="5"/>
        <v>3242.6689999999999</v>
      </c>
      <c r="L25" s="66"/>
      <c r="M25" s="77">
        <v>147412</v>
      </c>
      <c r="N25" s="61">
        <f t="shared" si="11"/>
        <v>134</v>
      </c>
      <c r="O25" s="76">
        <v>2268130</v>
      </c>
      <c r="P25" s="61">
        <f t="shared" si="12"/>
        <v>822</v>
      </c>
      <c r="Q25" s="67">
        <f t="shared" si="0"/>
        <v>956</v>
      </c>
      <c r="R25" s="68">
        <f t="shared" si="6"/>
        <v>559.52347432800002</v>
      </c>
      <c r="S25" s="69"/>
      <c r="T25" s="83">
        <v>277789</v>
      </c>
      <c r="U25" s="61">
        <f t="shared" si="13"/>
        <v>438</v>
      </c>
      <c r="V25" s="71">
        <f t="shared" si="7"/>
        <v>1250.49</v>
      </c>
      <c r="W25" s="72"/>
      <c r="X25" s="79">
        <f t="shared" si="1"/>
        <v>5052.6824743279994</v>
      </c>
      <c r="Y25" s="80">
        <v>71</v>
      </c>
      <c r="Z25" s="81">
        <f t="shared" si="8"/>
        <v>71.164541891943657</v>
      </c>
    </row>
    <row r="26" spans="1:26" x14ac:dyDescent="0.25">
      <c r="A26" s="10" t="s">
        <v>121</v>
      </c>
      <c r="B26" s="59">
        <f t="shared" si="9"/>
        <v>18</v>
      </c>
      <c r="C26" s="76">
        <v>5597095</v>
      </c>
      <c r="D26" s="61">
        <f t="shared" si="2"/>
        <v>4325</v>
      </c>
      <c r="E26" s="76">
        <v>5549614</v>
      </c>
      <c r="F26" s="61">
        <f t="shared" si="10"/>
        <v>4306</v>
      </c>
      <c r="G26" s="76">
        <v>5243411</v>
      </c>
      <c r="H26" s="61">
        <f t="shared" si="3"/>
        <v>4064</v>
      </c>
      <c r="I26" s="60">
        <f t="shared" si="4"/>
        <v>12695</v>
      </c>
      <c r="J26" s="64">
        <v>0.98</v>
      </c>
      <c r="K26" s="65">
        <f t="shared" si="5"/>
        <v>3186.4450000000002</v>
      </c>
      <c r="L26" s="66"/>
      <c r="M26" s="77">
        <v>147549</v>
      </c>
      <c r="N26" s="61">
        <f t="shared" si="11"/>
        <v>137</v>
      </c>
      <c r="O26" s="76">
        <v>2268943</v>
      </c>
      <c r="P26" s="61">
        <f t="shared" si="12"/>
        <v>813</v>
      </c>
      <c r="Q26" s="67">
        <f t="shared" si="0"/>
        <v>950</v>
      </c>
      <c r="R26" s="68">
        <f t="shared" si="6"/>
        <v>556.50955760400007</v>
      </c>
      <c r="S26" s="69"/>
      <c r="T26" s="83">
        <v>278229</v>
      </c>
      <c r="U26" s="61">
        <f t="shared" si="13"/>
        <v>440</v>
      </c>
      <c r="V26" s="71">
        <f t="shared" si="7"/>
        <v>1256.2</v>
      </c>
      <c r="W26" s="72"/>
      <c r="X26" s="79">
        <f t="shared" si="1"/>
        <v>4999.1545576039998</v>
      </c>
      <c r="Y26" s="80">
        <v>71</v>
      </c>
      <c r="Z26" s="81">
        <f t="shared" si="8"/>
        <v>70.410627571887318</v>
      </c>
    </row>
    <row r="27" spans="1:26" x14ac:dyDescent="0.25">
      <c r="A27" s="10" t="s">
        <v>96</v>
      </c>
      <c r="B27" s="59">
        <f t="shared" si="9"/>
        <v>19</v>
      </c>
      <c r="C27" s="76">
        <v>5601377</v>
      </c>
      <c r="D27" s="61">
        <f t="shared" si="2"/>
        <v>4282</v>
      </c>
      <c r="E27" s="76">
        <v>5553893</v>
      </c>
      <c r="F27" s="61">
        <f t="shared" si="10"/>
        <v>4279</v>
      </c>
      <c r="G27" s="76">
        <v>5247425</v>
      </c>
      <c r="H27" s="61">
        <f t="shared" si="3"/>
        <v>4014</v>
      </c>
      <c r="I27" s="60">
        <f t="shared" si="4"/>
        <v>12575</v>
      </c>
      <c r="J27" s="64">
        <v>0.98</v>
      </c>
      <c r="K27" s="65">
        <f t="shared" si="5"/>
        <v>3156.3249999999998</v>
      </c>
      <c r="L27" s="93"/>
      <c r="M27" s="77">
        <v>147686</v>
      </c>
      <c r="N27" s="61">
        <f t="shared" si="11"/>
        <v>137</v>
      </c>
      <c r="O27" s="76">
        <v>2269730</v>
      </c>
      <c r="P27" s="61">
        <f t="shared" si="12"/>
        <v>787</v>
      </c>
      <c r="Q27" s="67">
        <f t="shared" si="0"/>
        <v>924</v>
      </c>
      <c r="R27" s="68">
        <f t="shared" si="6"/>
        <v>541.76464560399995</v>
      </c>
      <c r="S27" s="69"/>
      <c r="T27" s="83">
        <v>278672</v>
      </c>
      <c r="U27" s="61">
        <f t="shared" si="13"/>
        <v>443</v>
      </c>
      <c r="V27" s="71">
        <f t="shared" si="7"/>
        <v>1264.7650000000001</v>
      </c>
      <c r="W27" s="72"/>
      <c r="X27" s="79">
        <f t="shared" si="1"/>
        <v>4962.8546456040003</v>
      </c>
      <c r="Y27" s="80">
        <v>48</v>
      </c>
      <c r="Z27" s="81">
        <f t="shared" si="8"/>
        <v>103.39280511675001</v>
      </c>
    </row>
    <row r="28" spans="1:26" x14ac:dyDescent="0.25">
      <c r="A28" s="10" t="s">
        <v>116</v>
      </c>
      <c r="B28" s="86">
        <f t="shared" si="9"/>
        <v>20</v>
      </c>
      <c r="C28" s="84">
        <v>5605604</v>
      </c>
      <c r="D28" s="61">
        <f t="shared" si="2"/>
        <v>4227</v>
      </c>
      <c r="E28" s="84">
        <v>5558017</v>
      </c>
      <c r="F28" s="61">
        <f t="shared" si="10"/>
        <v>4124</v>
      </c>
      <c r="G28" s="84">
        <v>5251500</v>
      </c>
      <c r="H28" s="61">
        <f t="shared" si="3"/>
        <v>4075</v>
      </c>
      <c r="I28" s="60">
        <f t="shared" si="4"/>
        <v>12426</v>
      </c>
      <c r="J28" s="64">
        <v>0.99</v>
      </c>
      <c r="K28" s="65">
        <f t="shared" si="5"/>
        <v>3118.9259999999999</v>
      </c>
      <c r="L28" s="94"/>
      <c r="M28" s="77">
        <v>147775</v>
      </c>
      <c r="N28" s="61">
        <f t="shared" si="11"/>
        <v>89</v>
      </c>
      <c r="O28" s="76">
        <v>2270538</v>
      </c>
      <c r="P28" s="61">
        <f t="shared" si="12"/>
        <v>808</v>
      </c>
      <c r="Q28" s="67">
        <f t="shared" si="0"/>
        <v>897</v>
      </c>
      <c r="R28" s="68">
        <f t="shared" si="6"/>
        <v>520.23253718800004</v>
      </c>
      <c r="S28" s="76"/>
      <c r="T28" s="83">
        <v>279115</v>
      </c>
      <c r="U28" s="61">
        <f t="shared" si="13"/>
        <v>443</v>
      </c>
      <c r="V28" s="71">
        <f t="shared" si="7"/>
        <v>1264.7650000000001</v>
      </c>
      <c r="W28" s="72"/>
      <c r="X28" s="95">
        <f t="shared" si="1"/>
        <v>4903.9235371880004</v>
      </c>
      <c r="Y28" s="80">
        <v>41</v>
      </c>
      <c r="Z28" s="89">
        <f t="shared" si="8"/>
        <v>119.60789115092683</v>
      </c>
    </row>
    <row r="29" spans="1:26" x14ac:dyDescent="0.25">
      <c r="A29" s="10" t="s">
        <v>117</v>
      </c>
      <c r="B29" s="90">
        <f t="shared" si="9"/>
        <v>21</v>
      </c>
      <c r="C29" s="76">
        <v>5609915</v>
      </c>
      <c r="D29" s="61">
        <f t="shared" si="2"/>
        <v>4311</v>
      </c>
      <c r="E29" s="76">
        <v>5562437</v>
      </c>
      <c r="F29" s="61">
        <f t="shared" si="10"/>
        <v>4420</v>
      </c>
      <c r="G29" s="76">
        <v>5255444</v>
      </c>
      <c r="H29" s="61">
        <f t="shared" si="3"/>
        <v>3944</v>
      </c>
      <c r="I29" s="60">
        <f t="shared" si="4"/>
        <v>12675</v>
      </c>
      <c r="J29" s="64">
        <v>0.97</v>
      </c>
      <c r="K29" s="65">
        <f t="shared" si="5"/>
        <v>3181.4250000000002</v>
      </c>
      <c r="L29" s="66"/>
      <c r="M29" s="77">
        <v>147899</v>
      </c>
      <c r="N29" s="61">
        <f t="shared" si="11"/>
        <v>124</v>
      </c>
      <c r="O29" s="76">
        <v>2271268</v>
      </c>
      <c r="P29" s="61">
        <f t="shared" si="12"/>
        <v>730</v>
      </c>
      <c r="Q29" s="67">
        <f t="shared" si="0"/>
        <v>854</v>
      </c>
      <c r="R29" s="68">
        <f t="shared" si="6"/>
        <v>500.38219940800008</v>
      </c>
      <c r="S29" s="69"/>
      <c r="T29" s="83">
        <v>279459</v>
      </c>
      <c r="U29" s="61">
        <f t="shared" si="13"/>
        <v>344</v>
      </c>
      <c r="V29" s="71">
        <f t="shared" si="7"/>
        <v>982.12</v>
      </c>
      <c r="W29" s="72"/>
      <c r="X29" s="73">
        <f t="shared" si="1"/>
        <v>4663.927199408</v>
      </c>
      <c r="Y29" s="80">
        <v>53</v>
      </c>
      <c r="Z29" s="75">
        <f t="shared" si="8"/>
        <v>87.998626403924533</v>
      </c>
    </row>
    <row r="30" spans="1:26" x14ac:dyDescent="0.25">
      <c r="A30" s="10" t="s">
        <v>118</v>
      </c>
      <c r="B30" s="59">
        <f t="shared" si="9"/>
        <v>22</v>
      </c>
      <c r="C30" s="76">
        <v>5614630</v>
      </c>
      <c r="D30" s="61">
        <f t="shared" si="2"/>
        <v>4715</v>
      </c>
      <c r="E30" s="76">
        <v>5567141</v>
      </c>
      <c r="F30" s="61">
        <f t="shared" si="10"/>
        <v>4704</v>
      </c>
      <c r="G30" s="76">
        <v>5259862</v>
      </c>
      <c r="H30" s="61">
        <f t="shared" si="3"/>
        <v>4418</v>
      </c>
      <c r="I30" s="60">
        <f t="shared" si="4"/>
        <v>13837</v>
      </c>
      <c r="J30" s="64">
        <v>0.97</v>
      </c>
      <c r="K30" s="65">
        <f t="shared" si="5"/>
        <v>3473.087</v>
      </c>
      <c r="L30" s="66"/>
      <c r="M30" s="77">
        <v>148029</v>
      </c>
      <c r="N30" s="61">
        <f t="shared" si="11"/>
        <v>130</v>
      </c>
      <c r="O30" s="76">
        <v>2272059</v>
      </c>
      <c r="P30" s="61">
        <f t="shared" si="12"/>
        <v>791</v>
      </c>
      <c r="Q30" s="67">
        <f t="shared" si="0"/>
        <v>921</v>
      </c>
      <c r="R30" s="68">
        <f t="shared" si="6"/>
        <v>539.15621396000006</v>
      </c>
      <c r="S30" s="69"/>
      <c r="T30" s="83">
        <v>279897</v>
      </c>
      <c r="U30" s="61">
        <f t="shared" si="13"/>
        <v>438</v>
      </c>
      <c r="V30" s="71">
        <f t="shared" si="7"/>
        <v>1250.49</v>
      </c>
      <c r="W30" s="72"/>
      <c r="X30" s="79">
        <f t="shared" si="1"/>
        <v>5262.7332139600003</v>
      </c>
      <c r="Y30" s="80">
        <v>70</v>
      </c>
      <c r="Z30" s="81">
        <f t="shared" si="8"/>
        <v>75.181903056571429</v>
      </c>
    </row>
    <row r="31" spans="1:26" x14ac:dyDescent="0.25">
      <c r="A31" s="10" t="s">
        <v>119</v>
      </c>
      <c r="B31" s="59">
        <f t="shared" si="9"/>
        <v>23</v>
      </c>
      <c r="C31" s="76">
        <v>5619396</v>
      </c>
      <c r="D31" s="61">
        <f t="shared" si="2"/>
        <v>4766</v>
      </c>
      <c r="E31" s="76">
        <v>5571907</v>
      </c>
      <c r="F31" s="61">
        <f t="shared" si="10"/>
        <v>4766</v>
      </c>
      <c r="G31" s="76">
        <v>5264350</v>
      </c>
      <c r="H31" s="61">
        <f t="shared" si="3"/>
        <v>4488</v>
      </c>
      <c r="I31" s="60">
        <f t="shared" si="4"/>
        <v>14020</v>
      </c>
      <c r="J31" s="64">
        <v>0.97</v>
      </c>
      <c r="K31" s="65">
        <f t="shared" si="5"/>
        <v>3519.02</v>
      </c>
      <c r="L31" s="66"/>
      <c r="M31" s="77">
        <v>148148</v>
      </c>
      <c r="N31" s="61">
        <f t="shared" si="11"/>
        <v>119</v>
      </c>
      <c r="O31" s="76">
        <v>2272851</v>
      </c>
      <c r="P31" s="61">
        <f t="shared" si="12"/>
        <v>792</v>
      </c>
      <c r="Q31" s="67">
        <f t="shared" si="0"/>
        <v>911</v>
      </c>
      <c r="R31" s="68">
        <f t="shared" si="6"/>
        <v>532.05965794800011</v>
      </c>
      <c r="S31" s="69"/>
      <c r="T31" s="83">
        <v>280367</v>
      </c>
      <c r="U31" s="61">
        <f t="shared" si="13"/>
        <v>470</v>
      </c>
      <c r="V31" s="71">
        <f t="shared" si="7"/>
        <v>1341.85</v>
      </c>
      <c r="W31" s="72"/>
      <c r="X31" s="96">
        <f t="shared" si="1"/>
        <v>5392.9296579479997</v>
      </c>
      <c r="Y31" s="80">
        <v>63</v>
      </c>
      <c r="Z31" s="81">
        <f t="shared" si="8"/>
        <v>85.602058062666657</v>
      </c>
    </row>
    <row r="32" spans="1:26" x14ac:dyDescent="0.25">
      <c r="A32" s="10" t="s">
        <v>120</v>
      </c>
      <c r="B32" s="59">
        <f t="shared" si="9"/>
        <v>24</v>
      </c>
      <c r="C32" s="76">
        <v>5624184</v>
      </c>
      <c r="D32" s="61">
        <f t="shared" si="2"/>
        <v>4788</v>
      </c>
      <c r="E32" s="76">
        <v>5576698</v>
      </c>
      <c r="F32" s="61">
        <f t="shared" si="10"/>
        <v>4791</v>
      </c>
      <c r="G32" s="76">
        <v>5268868</v>
      </c>
      <c r="H32" s="61">
        <f t="shared" si="3"/>
        <v>4518</v>
      </c>
      <c r="I32" s="60">
        <f t="shared" si="4"/>
        <v>14097</v>
      </c>
      <c r="J32" s="64">
        <v>0.97</v>
      </c>
      <c r="K32" s="65">
        <f t="shared" si="5"/>
        <v>3538.3470000000002</v>
      </c>
      <c r="L32" s="66"/>
      <c r="M32" s="77">
        <v>148291</v>
      </c>
      <c r="N32" s="61">
        <f t="shared" si="11"/>
        <v>143</v>
      </c>
      <c r="O32" s="76">
        <v>2273668</v>
      </c>
      <c r="P32" s="61">
        <f t="shared" si="12"/>
        <v>817</v>
      </c>
      <c r="Q32" s="67">
        <f t="shared" si="0"/>
        <v>960</v>
      </c>
      <c r="R32" s="68">
        <f t="shared" si="6"/>
        <v>562.95818815600012</v>
      </c>
      <c r="S32" s="69"/>
      <c r="T32" s="83">
        <v>280787</v>
      </c>
      <c r="U32" s="61">
        <f t="shared" si="13"/>
        <v>420</v>
      </c>
      <c r="V32" s="71">
        <f t="shared" si="7"/>
        <v>1199.0999999999999</v>
      </c>
      <c r="W32" s="72"/>
      <c r="X32" s="96">
        <f t="shared" si="1"/>
        <v>5300.4051881560008</v>
      </c>
      <c r="Y32" s="80">
        <v>77</v>
      </c>
      <c r="Z32" s="81">
        <f t="shared" si="8"/>
        <v>68.836431015012991</v>
      </c>
    </row>
    <row r="33" spans="1:26" x14ac:dyDescent="0.25">
      <c r="A33" s="10" t="s">
        <v>121</v>
      </c>
      <c r="B33" s="59">
        <f t="shared" si="9"/>
        <v>25</v>
      </c>
      <c r="C33" s="76">
        <v>5628977</v>
      </c>
      <c r="D33" s="61">
        <f t="shared" si="2"/>
        <v>4793</v>
      </c>
      <c r="E33" s="76">
        <v>5581464</v>
      </c>
      <c r="F33" s="61">
        <f t="shared" si="10"/>
        <v>4766</v>
      </c>
      <c r="G33" s="76">
        <v>5273312</v>
      </c>
      <c r="H33" s="61">
        <f t="shared" si="3"/>
        <v>4444</v>
      </c>
      <c r="I33" s="60">
        <f t="shared" si="4"/>
        <v>14003</v>
      </c>
      <c r="J33" s="64">
        <v>0.97</v>
      </c>
      <c r="K33" s="65">
        <f t="shared" si="5"/>
        <v>3514.7530000000002</v>
      </c>
      <c r="L33" s="66"/>
      <c r="M33" s="77">
        <v>148437</v>
      </c>
      <c r="N33" s="61">
        <f t="shared" si="11"/>
        <v>146</v>
      </c>
      <c r="O33" s="76">
        <v>2274501</v>
      </c>
      <c r="P33" s="61">
        <f t="shared" si="12"/>
        <v>833</v>
      </c>
      <c r="Q33" s="67">
        <f t="shared" si="0"/>
        <v>979</v>
      </c>
      <c r="R33" s="68">
        <f t="shared" si="6"/>
        <v>574.1220714320001</v>
      </c>
      <c r="S33" s="69"/>
      <c r="T33" s="83">
        <v>281234</v>
      </c>
      <c r="U33" s="61">
        <f t="shared" si="13"/>
        <v>447</v>
      </c>
      <c r="V33" s="71">
        <f t="shared" si="7"/>
        <v>1276.1849999999999</v>
      </c>
      <c r="W33" s="72"/>
      <c r="X33" s="96">
        <f t="shared" si="1"/>
        <v>5365.0600714320008</v>
      </c>
      <c r="Y33" s="80">
        <v>85</v>
      </c>
      <c r="Z33" s="81">
        <f t="shared" si="8"/>
        <v>63.118353781552948</v>
      </c>
    </row>
    <row r="34" spans="1:26" x14ac:dyDescent="0.25">
      <c r="A34" s="10" t="s">
        <v>96</v>
      </c>
      <c r="B34" s="59">
        <f t="shared" si="9"/>
        <v>26</v>
      </c>
      <c r="C34" s="84">
        <v>5633860</v>
      </c>
      <c r="D34" s="61">
        <f t="shared" si="2"/>
        <v>4883</v>
      </c>
      <c r="E34" s="76">
        <v>5586330</v>
      </c>
      <c r="F34" s="61">
        <f t="shared" si="10"/>
        <v>4866</v>
      </c>
      <c r="G34" s="76">
        <v>5277974</v>
      </c>
      <c r="H34" s="61">
        <f t="shared" si="3"/>
        <v>4662</v>
      </c>
      <c r="I34" s="60">
        <f t="shared" si="4"/>
        <v>14411</v>
      </c>
      <c r="J34" s="64">
        <v>0.97</v>
      </c>
      <c r="K34" s="65">
        <f t="shared" si="5"/>
        <v>3617.1610000000001</v>
      </c>
      <c r="L34" s="66"/>
      <c r="M34" s="77">
        <v>148576</v>
      </c>
      <c r="N34" s="61">
        <f t="shared" si="11"/>
        <v>139</v>
      </c>
      <c r="O34" s="76">
        <v>2275226</v>
      </c>
      <c r="P34" s="61">
        <f t="shared" si="12"/>
        <v>725</v>
      </c>
      <c r="Q34" s="67">
        <f t="shared" si="0"/>
        <v>864</v>
      </c>
      <c r="R34" s="68">
        <f t="shared" si="6"/>
        <v>507.99709578800002</v>
      </c>
      <c r="S34" s="69"/>
      <c r="T34" s="83">
        <v>281640</v>
      </c>
      <c r="U34" s="61">
        <f t="shared" si="13"/>
        <v>406</v>
      </c>
      <c r="V34" s="71">
        <f t="shared" si="7"/>
        <v>1159.1299999999999</v>
      </c>
      <c r="W34" s="72"/>
      <c r="X34" s="96">
        <f t="shared" si="1"/>
        <v>5284.2880957879997</v>
      </c>
      <c r="Y34" s="80">
        <v>68</v>
      </c>
      <c r="Z34" s="81">
        <f t="shared" si="8"/>
        <v>77.710119055705874</v>
      </c>
    </row>
    <row r="35" spans="1:26" x14ac:dyDescent="0.25">
      <c r="A35" s="10" t="s">
        <v>116</v>
      </c>
      <c r="B35" s="59">
        <f t="shared" si="9"/>
        <v>27</v>
      </c>
      <c r="C35" s="84">
        <v>5638893</v>
      </c>
      <c r="D35" s="61">
        <f t="shared" si="2"/>
        <v>5033</v>
      </c>
      <c r="E35" s="76">
        <v>5591328</v>
      </c>
      <c r="F35" s="61">
        <f t="shared" si="10"/>
        <v>4998</v>
      </c>
      <c r="G35" s="76">
        <v>5282708</v>
      </c>
      <c r="H35" s="61">
        <f t="shared" si="3"/>
        <v>4734</v>
      </c>
      <c r="I35" s="60">
        <f t="shared" si="4"/>
        <v>14765</v>
      </c>
      <c r="J35" s="64">
        <v>0.97</v>
      </c>
      <c r="K35" s="65">
        <f t="shared" si="5"/>
        <v>3706.0149999999999</v>
      </c>
      <c r="L35" s="66"/>
      <c r="M35" s="77">
        <v>148686</v>
      </c>
      <c r="N35" s="61">
        <f t="shared" si="11"/>
        <v>110</v>
      </c>
      <c r="O35" s="76">
        <v>2276017</v>
      </c>
      <c r="P35" s="61">
        <f t="shared" si="12"/>
        <v>791</v>
      </c>
      <c r="Q35" s="67">
        <f t="shared" si="0"/>
        <v>901</v>
      </c>
      <c r="R35" s="68">
        <f t="shared" si="6"/>
        <v>525.22227212000007</v>
      </c>
      <c r="S35" s="69"/>
      <c r="T35" s="83">
        <v>282063</v>
      </c>
      <c r="U35" s="61">
        <f t="shared" si="13"/>
        <v>423</v>
      </c>
      <c r="V35" s="71">
        <f t="shared" si="7"/>
        <v>1207.665</v>
      </c>
      <c r="W35" s="72"/>
      <c r="X35" s="96">
        <f t="shared" si="1"/>
        <v>5438.9022721199999</v>
      </c>
      <c r="Y35" s="80">
        <v>65</v>
      </c>
      <c r="Z35" s="81">
        <f t="shared" si="8"/>
        <v>83.675419571076915</v>
      </c>
    </row>
    <row r="36" spans="1:26" x14ac:dyDescent="0.25">
      <c r="A36" s="10" t="s">
        <v>117</v>
      </c>
      <c r="B36" s="59">
        <f t="shared" si="9"/>
        <v>28</v>
      </c>
      <c r="C36" s="84">
        <v>5643717</v>
      </c>
      <c r="D36" s="61">
        <f t="shared" si="2"/>
        <v>4824</v>
      </c>
      <c r="E36" s="76">
        <v>5596128</v>
      </c>
      <c r="F36" s="61">
        <f t="shared" si="10"/>
        <v>4800</v>
      </c>
      <c r="G36" s="76">
        <v>5287253</v>
      </c>
      <c r="H36" s="61">
        <f t="shared" si="3"/>
        <v>4545</v>
      </c>
      <c r="I36" s="60">
        <f t="shared" si="4"/>
        <v>14169</v>
      </c>
      <c r="J36" s="64">
        <v>0.97</v>
      </c>
      <c r="K36" s="65">
        <f t="shared" si="5"/>
        <v>3556.4189999999999</v>
      </c>
      <c r="L36" s="66"/>
      <c r="M36" s="77">
        <v>148820</v>
      </c>
      <c r="N36" s="61">
        <f t="shared" si="11"/>
        <v>134</v>
      </c>
      <c r="O36" s="76">
        <v>2276757</v>
      </c>
      <c r="P36" s="61">
        <f t="shared" si="12"/>
        <v>740</v>
      </c>
      <c r="Q36" s="67">
        <f t="shared" si="0"/>
        <v>874</v>
      </c>
      <c r="R36" s="68">
        <f t="shared" si="6"/>
        <v>513.0202903280001</v>
      </c>
      <c r="S36" s="69"/>
      <c r="T36" s="83">
        <v>282517</v>
      </c>
      <c r="U36" s="61">
        <f t="shared" si="13"/>
        <v>454</v>
      </c>
      <c r="V36" s="71">
        <f t="shared" si="7"/>
        <v>1296.17</v>
      </c>
      <c r="W36" s="72"/>
      <c r="X36" s="96">
        <f t="shared" si="1"/>
        <v>5365.6092903280005</v>
      </c>
      <c r="Y36" s="80">
        <v>63</v>
      </c>
      <c r="Z36" s="81">
        <f t="shared" si="8"/>
        <v>85.168401433777788</v>
      </c>
    </row>
    <row r="37" spans="1:26" x14ac:dyDescent="0.25">
      <c r="A37" s="10" t="s">
        <v>118</v>
      </c>
      <c r="B37" s="59">
        <f t="shared" si="9"/>
        <v>29</v>
      </c>
      <c r="C37" s="63">
        <v>5648058</v>
      </c>
      <c r="D37" s="61">
        <f t="shared" si="2"/>
        <v>4341</v>
      </c>
      <c r="E37" s="109">
        <v>5600418</v>
      </c>
      <c r="F37" s="61">
        <f t="shared" si="10"/>
        <v>4290</v>
      </c>
      <c r="G37" s="60">
        <v>5291316</v>
      </c>
      <c r="H37" s="61">
        <f t="shared" si="3"/>
        <v>4063</v>
      </c>
      <c r="I37" s="60">
        <f t="shared" si="4"/>
        <v>12694</v>
      </c>
      <c r="J37" s="64">
        <v>0.97</v>
      </c>
      <c r="K37" s="65">
        <f t="shared" si="5"/>
        <v>3186.194</v>
      </c>
      <c r="L37" s="66"/>
      <c r="M37" s="60">
        <v>148954</v>
      </c>
      <c r="N37" s="61">
        <f t="shared" si="11"/>
        <v>134</v>
      </c>
      <c r="O37" s="60">
        <v>2277489</v>
      </c>
      <c r="P37" s="61">
        <f t="shared" si="12"/>
        <v>732</v>
      </c>
      <c r="Q37" s="67">
        <f t="shared" si="0"/>
        <v>866</v>
      </c>
      <c r="R37" s="68">
        <f t="shared" si="6"/>
        <v>508.48339432800003</v>
      </c>
      <c r="S37" s="69"/>
      <c r="T37" s="83">
        <v>282955</v>
      </c>
      <c r="U37" s="61">
        <f t="shared" si="13"/>
        <v>438</v>
      </c>
      <c r="V37" s="71">
        <f t="shared" si="7"/>
        <v>1250.49</v>
      </c>
      <c r="W37" s="72"/>
      <c r="X37" s="96">
        <f t="shared" si="1"/>
        <v>4945.1673943280002</v>
      </c>
      <c r="Y37" s="110">
        <v>63</v>
      </c>
      <c r="Z37" s="81">
        <f t="shared" si="8"/>
        <v>78.494720544888892</v>
      </c>
    </row>
    <row r="38" spans="1:26" x14ac:dyDescent="0.25">
      <c r="A38" s="10" t="s">
        <v>119</v>
      </c>
      <c r="B38" s="59">
        <f t="shared" si="9"/>
        <v>30</v>
      </c>
      <c r="C38" s="63">
        <v>5652754</v>
      </c>
      <c r="D38" s="61">
        <f t="shared" si="2"/>
        <v>4696</v>
      </c>
      <c r="E38" s="109">
        <v>5605063</v>
      </c>
      <c r="F38" s="61">
        <f t="shared" si="10"/>
        <v>4645</v>
      </c>
      <c r="G38" s="60">
        <v>5295728</v>
      </c>
      <c r="H38" s="61">
        <f t="shared" si="3"/>
        <v>4412</v>
      </c>
      <c r="I38" s="60">
        <f t="shared" si="4"/>
        <v>13753</v>
      </c>
      <c r="J38" s="64">
        <v>0.97</v>
      </c>
      <c r="K38" s="65">
        <f t="shared" si="5"/>
        <v>3452.0030000000002</v>
      </c>
      <c r="L38" s="66"/>
      <c r="M38" s="60">
        <v>149079</v>
      </c>
      <c r="N38" s="61">
        <f t="shared" si="11"/>
        <v>125</v>
      </c>
      <c r="O38" s="60">
        <v>2278230</v>
      </c>
      <c r="P38" s="61">
        <f t="shared" si="12"/>
        <v>741</v>
      </c>
      <c r="Q38" s="67">
        <f t="shared" si="0"/>
        <v>866</v>
      </c>
      <c r="R38" s="68">
        <f t="shared" si="6"/>
        <v>507.31712850000002</v>
      </c>
      <c r="S38" s="69"/>
      <c r="T38" s="83">
        <v>283393</v>
      </c>
      <c r="U38" s="61">
        <f t="shared" si="13"/>
        <v>438</v>
      </c>
      <c r="V38" s="71">
        <f t="shared" si="7"/>
        <v>1250.49</v>
      </c>
      <c r="W38" s="72"/>
      <c r="X38" s="96">
        <f t="shared" si="1"/>
        <v>5209.8101285000002</v>
      </c>
      <c r="Y38" s="110">
        <v>73</v>
      </c>
      <c r="Z38" s="81">
        <f t="shared" si="8"/>
        <v>71.367262034246579</v>
      </c>
    </row>
    <row r="39" spans="1:26" x14ac:dyDescent="0.25">
      <c r="A39" s="10" t="s">
        <v>120</v>
      </c>
      <c r="B39" s="59">
        <f t="shared" si="9"/>
        <v>31</v>
      </c>
      <c r="C39" s="63"/>
      <c r="D39" s="61" t="str">
        <f t="shared" si="2"/>
        <v>0</v>
      </c>
      <c r="E39" s="109"/>
      <c r="F39" s="61" t="str">
        <f t="shared" si="10"/>
        <v>0</v>
      </c>
      <c r="G39" s="60"/>
      <c r="H39" s="61" t="str">
        <f t="shared" si="3"/>
        <v>0</v>
      </c>
      <c r="I39" s="60">
        <f t="shared" si="4"/>
        <v>0</v>
      </c>
      <c r="J39" s="64"/>
      <c r="K39" s="65">
        <f t="shared" si="5"/>
        <v>0</v>
      </c>
      <c r="L39" s="66"/>
      <c r="M39" s="60"/>
      <c r="N39" s="61" t="str">
        <f t="shared" si="11"/>
        <v>0</v>
      </c>
      <c r="O39" s="60"/>
      <c r="P39" s="61" t="str">
        <f t="shared" si="12"/>
        <v>0</v>
      </c>
      <c r="Q39" s="67">
        <f t="shared" si="0"/>
        <v>0</v>
      </c>
      <c r="R39" s="68">
        <f t="shared" si="6"/>
        <v>0</v>
      </c>
      <c r="S39" s="69"/>
      <c r="T39" s="83"/>
      <c r="U39" s="61" t="str">
        <f t="shared" si="13"/>
        <v>0</v>
      </c>
      <c r="V39" s="71">
        <f t="shared" si="7"/>
        <v>0</v>
      </c>
      <c r="W39" s="72"/>
      <c r="X39" s="96">
        <f t="shared" si="1"/>
        <v>0</v>
      </c>
      <c r="Y39" s="110"/>
      <c r="Z39" s="81" t="e">
        <f t="shared" si="8"/>
        <v>#DIV/0!</v>
      </c>
    </row>
    <row r="40" spans="1:26" x14ac:dyDescent="0.25">
      <c r="A40" s="10"/>
      <c r="B40" s="97"/>
      <c r="C40" s="98">
        <f>SUMIF(D9:D36,"&gt;0")</f>
        <v>130899</v>
      </c>
      <c r="D40" s="99"/>
      <c r="E40" s="148">
        <f>SUMIF(F9:F36,"&gt;0")</f>
        <v>130321</v>
      </c>
      <c r="F40" s="149"/>
      <c r="G40" s="150">
        <f>SUMIF(H9:H36,"&gt;0")</f>
        <v>122822</v>
      </c>
      <c r="H40" s="149"/>
      <c r="I40" s="100">
        <f>SUMIF(I9:I36,"&gt;0")</f>
        <v>384042</v>
      </c>
      <c r="J40" s="101"/>
      <c r="K40" s="102">
        <f>SUMIF(K9:K36,"&gt;0")</f>
        <v>96394.542000000001</v>
      </c>
      <c r="L40" s="100"/>
      <c r="M40" s="150">
        <f>SUMIF(N9:N36,"&gt;0")</f>
        <v>3622</v>
      </c>
      <c r="N40" s="149"/>
      <c r="O40" s="150">
        <f>SUMIF(P9:P36,"&gt;0")</f>
        <v>22550</v>
      </c>
      <c r="P40" s="149"/>
      <c r="Q40" s="101">
        <f>SUMIF(Q9:Q36,"&gt;0")</f>
        <v>26172</v>
      </c>
      <c r="R40" s="102">
        <f>SUMIF(R9:R36,"&gt;0")</f>
        <v>15311.812467224003</v>
      </c>
      <c r="S40" s="103"/>
      <c r="T40" s="151">
        <f>SUMIF(U9:U36,"&gt;0")</f>
        <v>11186</v>
      </c>
      <c r="U40" s="151"/>
      <c r="V40" s="104">
        <f>SUMIF(V9:V36,"&gt;0")</f>
        <v>31936.03</v>
      </c>
      <c r="W40" s="105"/>
      <c r="X40" s="106">
        <f>SUMIF(X9:X36,"&gt;0")</f>
        <v>143642.38446722404</v>
      </c>
      <c r="Y40" s="107">
        <f>SUM(Y9:Y38)</f>
        <v>2193</v>
      </c>
      <c r="Z40" s="108">
        <f>(SUMIF(Z9:Z36,"&gt;0")/31)</f>
        <v>67.006432248757505</v>
      </c>
    </row>
  </sheetData>
  <mergeCells count="12">
    <mergeCell ref="E40:F40"/>
    <mergeCell ref="G40:H40"/>
    <mergeCell ref="M40:N40"/>
    <mergeCell ref="O40:P40"/>
    <mergeCell ref="T40:U40"/>
    <mergeCell ref="B1:E4"/>
    <mergeCell ref="F1:V4"/>
    <mergeCell ref="W1:Z2"/>
    <mergeCell ref="W3:Z4"/>
    <mergeCell ref="C7:K7"/>
    <mergeCell ref="M7:R7"/>
    <mergeCell ref="T7:V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50"/>
  <sheetViews>
    <sheetView tabSelected="1" topLeftCell="U1" zoomScaleNormal="100" workbookViewId="0">
      <selection activeCell="G50" sqref="G50"/>
    </sheetView>
  </sheetViews>
  <sheetFormatPr defaultRowHeight="15" x14ac:dyDescent="0.25"/>
  <cols>
    <col min="33" max="33" width="12.28515625" customWidth="1"/>
    <col min="34" max="34" width="12.140625" customWidth="1"/>
  </cols>
  <sheetData>
    <row r="6" spans="1:83" ht="15.75" thickBot="1" x14ac:dyDescent="0.3">
      <c r="B6" s="111">
        <v>49433</v>
      </c>
      <c r="C6" s="112">
        <v>79236</v>
      </c>
      <c r="D6" s="113">
        <v>15207</v>
      </c>
      <c r="E6" s="113">
        <v>13719</v>
      </c>
      <c r="F6" s="113">
        <v>189420</v>
      </c>
      <c r="G6" s="113">
        <v>3495</v>
      </c>
      <c r="H6" s="112">
        <v>1485</v>
      </c>
      <c r="I6" s="113">
        <v>380288</v>
      </c>
      <c r="J6" s="113">
        <v>68377</v>
      </c>
      <c r="K6" s="113">
        <v>7921</v>
      </c>
      <c r="L6" s="113">
        <v>29890</v>
      </c>
      <c r="M6" s="113">
        <v>52115</v>
      </c>
      <c r="N6" s="113">
        <v>38542</v>
      </c>
      <c r="O6" s="113">
        <v>181658</v>
      </c>
      <c r="P6" s="113">
        <v>375920</v>
      </c>
      <c r="Q6" s="113">
        <v>2808</v>
      </c>
      <c r="R6" s="113">
        <v>18050</v>
      </c>
      <c r="S6" s="113">
        <v>25503</v>
      </c>
      <c r="T6" s="113">
        <v>278413</v>
      </c>
      <c r="U6" s="113">
        <v>375407</v>
      </c>
      <c r="V6" s="113">
        <v>40159</v>
      </c>
      <c r="W6" s="113">
        <v>5416</v>
      </c>
      <c r="X6" s="113">
        <v>13927</v>
      </c>
      <c r="Y6" s="113">
        <v>86195</v>
      </c>
      <c r="Z6" s="112">
        <v>540</v>
      </c>
      <c r="AA6" s="113">
        <v>170186</v>
      </c>
      <c r="AB6" s="113">
        <v>7562</v>
      </c>
      <c r="AC6" s="113">
        <v>1974</v>
      </c>
      <c r="AD6" s="113">
        <v>17975</v>
      </c>
      <c r="AE6" s="113">
        <v>76508</v>
      </c>
      <c r="AF6" s="113">
        <v>205359</v>
      </c>
      <c r="AG6" s="113">
        <v>1125790</v>
      </c>
      <c r="AH6" s="113">
        <v>11123</v>
      </c>
      <c r="AI6" s="113">
        <v>483379</v>
      </c>
      <c r="AJ6" s="113">
        <v>637743</v>
      </c>
      <c r="AK6" s="113">
        <v>9334</v>
      </c>
      <c r="AL6" s="114">
        <v>29315</v>
      </c>
      <c r="AM6" s="113">
        <v>28542</v>
      </c>
      <c r="AN6" s="115">
        <v>596531</v>
      </c>
      <c r="AO6" s="115">
        <v>5246</v>
      </c>
      <c r="AP6" s="116">
        <v>0</v>
      </c>
      <c r="AQ6" s="113">
        <v>109712</v>
      </c>
      <c r="AR6" s="113">
        <v>217210</v>
      </c>
      <c r="AS6" s="113">
        <v>63112</v>
      </c>
      <c r="AT6" s="113">
        <v>560</v>
      </c>
      <c r="AU6" s="113">
        <v>107079</v>
      </c>
      <c r="AV6" s="113">
        <v>44534</v>
      </c>
      <c r="AW6" s="113">
        <v>38275</v>
      </c>
      <c r="AX6" s="113">
        <v>175158</v>
      </c>
      <c r="AY6" s="117">
        <v>481902</v>
      </c>
    </row>
    <row r="7" spans="1:83" ht="90" x14ac:dyDescent="0.25">
      <c r="A7" s="118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9" t="s">
        <v>55</v>
      </c>
      <c r="AO7" s="19" t="s">
        <v>56</v>
      </c>
      <c r="AP7" s="19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20" t="s">
        <v>26</v>
      </c>
      <c r="AZ7" s="119" t="s">
        <v>63</v>
      </c>
      <c r="BA7" s="119" t="s">
        <v>64</v>
      </c>
      <c r="BB7" s="119" t="s">
        <v>65</v>
      </c>
      <c r="BC7" s="119" t="s">
        <v>66</v>
      </c>
      <c r="BD7" s="119" t="s">
        <v>67</v>
      </c>
      <c r="BE7" s="119" t="s">
        <v>68</v>
      </c>
      <c r="BF7" s="119" t="s">
        <v>69</v>
      </c>
      <c r="BG7" s="119" t="s">
        <v>70</v>
      </c>
      <c r="BH7" s="119" t="s">
        <v>71</v>
      </c>
      <c r="BI7" s="119" t="s">
        <v>72</v>
      </c>
      <c r="BJ7" s="119" t="s">
        <v>73</v>
      </c>
      <c r="BK7" s="119" t="s">
        <v>74</v>
      </c>
      <c r="BL7" s="119" t="s">
        <v>75</v>
      </c>
      <c r="BM7" s="119" t="s">
        <v>76</v>
      </c>
      <c r="BN7" s="119" t="s">
        <v>77</v>
      </c>
      <c r="BO7" s="119" t="s">
        <v>78</v>
      </c>
      <c r="BP7" s="119" t="s">
        <v>79</v>
      </c>
      <c r="BQ7" s="119" t="s">
        <v>80</v>
      </c>
      <c r="BR7" s="119" t="s">
        <v>81</v>
      </c>
      <c r="BS7" s="120" t="s">
        <v>82</v>
      </c>
      <c r="BT7" s="120" t="s">
        <v>83</v>
      </c>
      <c r="BU7" s="120" t="s">
        <v>84</v>
      </c>
      <c r="BV7" s="120" t="s">
        <v>85</v>
      </c>
      <c r="BW7" s="120" t="s">
        <v>86</v>
      </c>
      <c r="BX7" s="120" t="s">
        <v>87</v>
      </c>
      <c r="BY7" s="120" t="s">
        <v>88</v>
      </c>
      <c r="BZ7" s="120" t="s">
        <v>89</v>
      </c>
      <c r="CA7" s="120" t="s">
        <v>90</v>
      </c>
      <c r="CB7" s="120" t="s">
        <v>91</v>
      </c>
      <c r="CC7" s="120" t="s">
        <v>92</v>
      </c>
      <c r="CD7" s="120" t="s">
        <v>93</v>
      </c>
      <c r="CE7" s="120" t="s">
        <v>94</v>
      </c>
    </row>
    <row r="8" spans="1:83" ht="15.75" thickBot="1" x14ac:dyDescent="0.3">
      <c r="A8">
        <v>1</v>
      </c>
      <c r="B8" s="121">
        <v>76005</v>
      </c>
      <c r="C8" s="122">
        <v>104487</v>
      </c>
      <c r="D8" s="122">
        <v>19292</v>
      </c>
      <c r="E8" s="122">
        <v>21138</v>
      </c>
      <c r="F8" s="122">
        <v>268147</v>
      </c>
      <c r="G8" s="122">
        <v>4829</v>
      </c>
      <c r="H8" s="122">
        <v>9337</v>
      </c>
      <c r="I8" s="122">
        <v>528297</v>
      </c>
      <c r="J8" s="122">
        <v>89775</v>
      </c>
      <c r="K8" s="122">
        <v>8060</v>
      </c>
      <c r="L8" s="122">
        <v>39016</v>
      </c>
      <c r="M8" s="122">
        <v>60702</v>
      </c>
      <c r="N8" s="122">
        <v>54573</v>
      </c>
      <c r="O8" s="122">
        <v>263725</v>
      </c>
      <c r="P8" s="122">
        <v>544634</v>
      </c>
      <c r="Q8" s="122">
        <v>4884</v>
      </c>
      <c r="R8" s="122">
        <v>26218</v>
      </c>
      <c r="S8" s="122">
        <v>25503</v>
      </c>
      <c r="T8" s="122">
        <v>368647</v>
      </c>
      <c r="U8" s="122">
        <v>525294</v>
      </c>
      <c r="V8" s="122">
        <v>57989</v>
      </c>
      <c r="W8" s="122">
        <v>7387</v>
      </c>
      <c r="X8" s="122">
        <v>21556</v>
      </c>
      <c r="Y8" s="122">
        <v>121858</v>
      </c>
      <c r="Z8" s="122">
        <v>1281</v>
      </c>
      <c r="AA8" s="122">
        <v>231786</v>
      </c>
      <c r="AB8" s="122">
        <v>11310</v>
      </c>
      <c r="AC8" s="122">
        <v>2701</v>
      </c>
      <c r="AD8" s="122">
        <v>24272</v>
      </c>
      <c r="AE8" s="122">
        <v>118692</v>
      </c>
      <c r="AF8" s="122">
        <v>303198</v>
      </c>
      <c r="AG8" s="122">
        <v>1492881</v>
      </c>
      <c r="AH8" s="122">
        <v>13656</v>
      </c>
      <c r="AI8" s="122">
        <v>493476</v>
      </c>
      <c r="AJ8" s="122">
        <v>890654</v>
      </c>
      <c r="AK8" s="122">
        <v>14122</v>
      </c>
      <c r="AL8" s="123">
        <v>47871</v>
      </c>
      <c r="AM8" s="122">
        <v>45801</v>
      </c>
      <c r="AN8" s="124">
        <v>824610</v>
      </c>
      <c r="AO8" s="124">
        <v>5710</v>
      </c>
      <c r="AP8" s="124">
        <v>0</v>
      </c>
      <c r="AQ8" s="122">
        <v>148302</v>
      </c>
      <c r="AR8" s="122">
        <v>295525</v>
      </c>
      <c r="AS8" s="122">
        <v>84144</v>
      </c>
      <c r="AT8" s="122">
        <v>846</v>
      </c>
      <c r="AU8" s="122">
        <v>157813</v>
      </c>
      <c r="AV8" s="122">
        <v>59998</v>
      </c>
      <c r="AW8" s="122">
        <v>50195</v>
      </c>
      <c r="AX8" s="122">
        <v>252018</v>
      </c>
      <c r="AY8" s="125">
        <v>676211</v>
      </c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26"/>
      <c r="BN8" s="126"/>
      <c r="BO8" s="126"/>
      <c r="BP8" s="126"/>
      <c r="BQ8" s="126"/>
      <c r="BR8" s="126"/>
      <c r="BS8" s="126"/>
      <c r="BT8" s="126"/>
      <c r="BU8" s="126"/>
      <c r="BV8" s="126"/>
      <c r="BW8" s="126"/>
      <c r="BX8" s="126"/>
      <c r="BY8" s="126"/>
      <c r="BZ8" s="126"/>
      <c r="CA8" s="126"/>
      <c r="CB8" s="126"/>
      <c r="CC8" s="126"/>
      <c r="CD8" s="126"/>
      <c r="CE8" s="126"/>
    </row>
    <row r="9" spans="1:83" x14ac:dyDescent="0.25">
      <c r="A9">
        <v>2</v>
      </c>
      <c r="B9" s="112">
        <v>76088</v>
      </c>
      <c r="C9" s="112">
        <v>104630</v>
      </c>
      <c r="D9" s="112">
        <v>19304</v>
      </c>
      <c r="E9" s="112">
        <v>21154</v>
      </c>
      <c r="F9" s="112">
        <v>268313</v>
      </c>
      <c r="G9" s="112">
        <v>4830</v>
      </c>
      <c r="H9" s="112">
        <v>9362</v>
      </c>
      <c r="I9" s="112">
        <v>528682</v>
      </c>
      <c r="J9" s="112">
        <v>89804</v>
      </c>
      <c r="K9" s="112">
        <v>8061</v>
      </c>
      <c r="L9" s="112">
        <v>39045</v>
      </c>
      <c r="M9" s="112">
        <v>60733</v>
      </c>
      <c r="N9" s="112">
        <v>54610</v>
      </c>
      <c r="O9" s="112">
        <v>263922</v>
      </c>
      <c r="P9" s="112">
        <v>545225</v>
      </c>
      <c r="Q9" s="112">
        <v>4890</v>
      </c>
      <c r="R9" s="112">
        <v>26232</v>
      </c>
      <c r="S9" s="112">
        <v>25503</v>
      </c>
      <c r="T9" s="112">
        <v>368859</v>
      </c>
      <c r="U9" s="112">
        <v>525640</v>
      </c>
      <c r="V9" s="112">
        <v>58033</v>
      </c>
      <c r="W9" s="112">
        <v>7388</v>
      </c>
      <c r="X9" s="112">
        <v>21571</v>
      </c>
      <c r="Y9" s="112">
        <v>121935</v>
      </c>
      <c r="Z9" s="112">
        <v>1281</v>
      </c>
      <c r="AA9" s="112">
        <v>231924</v>
      </c>
      <c r="AB9" s="112">
        <v>11310</v>
      </c>
      <c r="AC9" s="112">
        <v>2702</v>
      </c>
      <c r="AD9" s="112">
        <v>24290</v>
      </c>
      <c r="AE9" s="112">
        <v>118784</v>
      </c>
      <c r="AF9" s="112">
        <v>303492</v>
      </c>
      <c r="AG9" s="112">
        <v>1494055</v>
      </c>
      <c r="AH9" s="112">
        <v>13666</v>
      </c>
      <c r="AI9" s="112">
        <v>493493</v>
      </c>
      <c r="AJ9" s="112">
        <v>891373</v>
      </c>
      <c r="AK9" s="112">
        <v>14135</v>
      </c>
      <c r="AL9" s="127">
        <v>47885</v>
      </c>
      <c r="AM9" s="112">
        <v>45885</v>
      </c>
      <c r="AN9" s="116">
        <v>825392</v>
      </c>
      <c r="AO9" s="116">
        <v>5710</v>
      </c>
      <c r="AP9" s="116">
        <v>0</v>
      </c>
      <c r="AQ9" s="112">
        <v>148426</v>
      </c>
      <c r="AR9" s="112">
        <v>295783</v>
      </c>
      <c r="AS9" s="112">
        <v>84224</v>
      </c>
      <c r="AT9" s="112">
        <v>846</v>
      </c>
      <c r="AU9" s="112">
        <v>157977</v>
      </c>
      <c r="AV9" s="112">
        <v>60042</v>
      </c>
      <c r="AW9" s="112">
        <v>50234</v>
      </c>
      <c r="AX9" s="112">
        <v>252199</v>
      </c>
      <c r="AY9" s="112">
        <v>676755</v>
      </c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26"/>
      <c r="BN9" s="126"/>
      <c r="BO9" s="126"/>
      <c r="BP9" s="126"/>
      <c r="BQ9" s="126"/>
      <c r="BR9" s="126"/>
      <c r="BS9" s="126"/>
      <c r="BT9" s="126"/>
      <c r="BU9" s="126"/>
      <c r="BV9" s="126"/>
      <c r="BW9" s="126"/>
      <c r="BX9" s="126"/>
      <c r="BY9" s="126"/>
      <c r="BZ9" s="126"/>
      <c r="CA9" s="126"/>
      <c r="CB9" s="126"/>
      <c r="CC9" s="126"/>
      <c r="CD9" s="126"/>
      <c r="CE9" s="126"/>
    </row>
    <row r="10" spans="1:83" x14ac:dyDescent="0.25">
      <c r="A10">
        <v>3</v>
      </c>
      <c r="B10" s="112">
        <v>76175</v>
      </c>
      <c r="C10" s="112">
        <v>104794</v>
      </c>
      <c r="D10" s="112">
        <v>19323</v>
      </c>
      <c r="E10" s="112">
        <v>21162</v>
      </c>
      <c r="F10" s="112">
        <v>268485</v>
      </c>
      <c r="G10" s="112">
        <v>4832</v>
      </c>
      <c r="H10" s="112">
        <v>9392</v>
      </c>
      <c r="I10" s="112">
        <v>529049</v>
      </c>
      <c r="J10" s="112">
        <v>89840</v>
      </c>
      <c r="K10" s="112">
        <v>8061</v>
      </c>
      <c r="L10" s="112">
        <v>39076</v>
      </c>
      <c r="M10" s="112">
        <v>60757</v>
      </c>
      <c r="N10" s="112">
        <v>54647</v>
      </c>
      <c r="O10" s="112">
        <v>264124</v>
      </c>
      <c r="P10" s="112">
        <v>545932</v>
      </c>
      <c r="Q10" s="112">
        <v>4898</v>
      </c>
      <c r="R10" s="112">
        <v>26245</v>
      </c>
      <c r="S10" s="112">
        <v>25503</v>
      </c>
      <c r="T10" s="112">
        <v>369049</v>
      </c>
      <c r="U10" s="112">
        <v>525997</v>
      </c>
      <c r="V10" s="112">
        <v>58079</v>
      </c>
      <c r="W10" s="112">
        <v>7400</v>
      </c>
      <c r="X10" s="112">
        <v>21587</v>
      </c>
      <c r="Y10" s="112">
        <v>122015</v>
      </c>
      <c r="Z10" s="112">
        <v>1281</v>
      </c>
      <c r="AA10" s="112">
        <v>232064</v>
      </c>
      <c r="AB10" s="112">
        <v>11312</v>
      </c>
      <c r="AC10" s="112">
        <v>2704</v>
      </c>
      <c r="AD10" s="112">
        <v>24314</v>
      </c>
      <c r="AE10" s="112">
        <v>118880</v>
      </c>
      <c r="AF10" s="112">
        <v>303725</v>
      </c>
      <c r="AG10" s="112">
        <v>1495180</v>
      </c>
      <c r="AH10" s="112">
        <v>13677</v>
      </c>
      <c r="AI10" s="112">
        <v>493510</v>
      </c>
      <c r="AJ10" s="112">
        <v>892167</v>
      </c>
      <c r="AK10" s="112">
        <v>14147</v>
      </c>
      <c r="AL10" s="127">
        <v>47900</v>
      </c>
      <c r="AM10" s="112">
        <v>45966</v>
      </c>
      <c r="AN10" s="116">
        <v>825939</v>
      </c>
      <c r="AO10" s="116">
        <v>5710</v>
      </c>
      <c r="AP10" s="116">
        <v>0</v>
      </c>
      <c r="AQ10" s="112">
        <v>148562</v>
      </c>
      <c r="AR10" s="112">
        <v>296026</v>
      </c>
      <c r="AS10" s="112">
        <v>84299</v>
      </c>
      <c r="AT10" s="112">
        <v>847</v>
      </c>
      <c r="AU10" s="112">
        <v>158136</v>
      </c>
      <c r="AV10" s="112">
        <v>60087</v>
      </c>
      <c r="AW10" s="112">
        <v>50257</v>
      </c>
      <c r="AX10" s="112">
        <v>252324</v>
      </c>
      <c r="AY10" s="112">
        <v>677300</v>
      </c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26"/>
      <c r="BN10" s="12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A10" s="126"/>
      <c r="CB10" s="126"/>
      <c r="CC10" s="126"/>
      <c r="CD10" s="126"/>
      <c r="CE10" s="126"/>
    </row>
    <row r="11" spans="1:83" x14ac:dyDescent="0.25">
      <c r="A11">
        <v>4</v>
      </c>
      <c r="B11" s="112">
        <v>76265</v>
      </c>
      <c r="C11" s="112">
        <v>104959</v>
      </c>
      <c r="D11" s="112">
        <v>19335</v>
      </c>
      <c r="E11" s="112">
        <v>21179</v>
      </c>
      <c r="F11" s="112">
        <v>268670</v>
      </c>
      <c r="G11" s="112">
        <v>4835</v>
      </c>
      <c r="H11" s="112">
        <v>9428</v>
      </c>
      <c r="I11" s="112">
        <v>529439</v>
      </c>
      <c r="J11" s="112">
        <v>89879</v>
      </c>
      <c r="K11" s="112">
        <v>8062</v>
      </c>
      <c r="L11" s="112">
        <v>39096</v>
      </c>
      <c r="M11" s="112">
        <v>60774</v>
      </c>
      <c r="N11" s="112">
        <v>54683</v>
      </c>
      <c r="O11" s="112">
        <v>264333</v>
      </c>
      <c r="P11" s="112">
        <v>546513</v>
      </c>
      <c r="Q11" s="112">
        <v>4903</v>
      </c>
      <c r="R11" s="112">
        <v>26258</v>
      </c>
      <c r="S11" s="112">
        <v>25503</v>
      </c>
      <c r="T11" s="112">
        <v>369244</v>
      </c>
      <c r="U11" s="112">
        <v>526352</v>
      </c>
      <c r="V11" s="112">
        <v>58125</v>
      </c>
      <c r="W11" s="112">
        <v>7410</v>
      </c>
      <c r="X11" s="112">
        <v>21604</v>
      </c>
      <c r="Y11" s="112">
        <v>122091</v>
      </c>
      <c r="Z11" s="112">
        <v>1281</v>
      </c>
      <c r="AA11" s="112">
        <v>232204</v>
      </c>
      <c r="AB11" s="112">
        <v>11313</v>
      </c>
      <c r="AC11" s="112">
        <v>2706</v>
      </c>
      <c r="AD11" s="112">
        <v>24339</v>
      </c>
      <c r="AE11" s="112">
        <v>118971</v>
      </c>
      <c r="AF11" s="112">
        <v>303964</v>
      </c>
      <c r="AG11" s="112">
        <v>1496167</v>
      </c>
      <c r="AH11" s="112">
        <v>13689</v>
      </c>
      <c r="AI11" s="112">
        <v>493528</v>
      </c>
      <c r="AJ11" s="112">
        <v>892843</v>
      </c>
      <c r="AK11" s="112">
        <v>14162</v>
      </c>
      <c r="AL11" s="127">
        <v>47915</v>
      </c>
      <c r="AM11" s="112">
        <v>46053</v>
      </c>
      <c r="AN11" s="116">
        <v>826784</v>
      </c>
      <c r="AO11" s="116">
        <v>5710</v>
      </c>
      <c r="AP11" s="116">
        <v>0</v>
      </c>
      <c r="AQ11" s="112">
        <v>148686</v>
      </c>
      <c r="AR11" s="112">
        <v>296266</v>
      </c>
      <c r="AS11" s="112">
        <v>84364</v>
      </c>
      <c r="AT11" s="112">
        <v>848</v>
      </c>
      <c r="AU11" s="112">
        <v>158299</v>
      </c>
      <c r="AV11" s="112">
        <v>60132</v>
      </c>
      <c r="AW11" s="112">
        <v>50310</v>
      </c>
      <c r="AX11" s="112">
        <v>252429</v>
      </c>
      <c r="AY11" s="112">
        <v>677875</v>
      </c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26"/>
      <c r="BN11" s="126"/>
      <c r="BO11" s="126"/>
      <c r="BP11" s="126"/>
      <c r="BQ11" s="126"/>
      <c r="BR11" s="126"/>
      <c r="BS11" s="126"/>
      <c r="BT11" s="126"/>
      <c r="BU11" s="126"/>
      <c r="BV11" s="126"/>
      <c r="BW11" s="126"/>
      <c r="BX11" s="126"/>
      <c r="BY11" s="126"/>
      <c r="BZ11" s="126"/>
      <c r="CA11" s="126"/>
      <c r="CB11" s="126"/>
      <c r="CC11" s="126"/>
      <c r="CD11" s="126"/>
      <c r="CE11" s="126"/>
    </row>
    <row r="12" spans="1:83" x14ac:dyDescent="0.25">
      <c r="A12">
        <v>5</v>
      </c>
      <c r="B12" s="112">
        <v>76351</v>
      </c>
      <c r="C12" s="112">
        <v>105137</v>
      </c>
      <c r="D12" s="112">
        <v>19346</v>
      </c>
      <c r="E12" s="112">
        <v>21181</v>
      </c>
      <c r="F12" s="112">
        <v>268847</v>
      </c>
      <c r="G12" s="112">
        <v>4838</v>
      </c>
      <c r="H12" s="112">
        <v>9459</v>
      </c>
      <c r="I12" s="112">
        <v>529827</v>
      </c>
      <c r="J12" s="112">
        <v>89921</v>
      </c>
      <c r="K12" s="112">
        <v>8063</v>
      </c>
      <c r="L12" s="112">
        <v>39126</v>
      </c>
      <c r="M12" s="112">
        <v>60792</v>
      </c>
      <c r="N12" s="112">
        <v>54714</v>
      </c>
      <c r="O12" s="112">
        <v>264537</v>
      </c>
      <c r="P12" s="112">
        <v>547759</v>
      </c>
      <c r="Q12" s="112">
        <v>4910</v>
      </c>
      <c r="R12" s="112">
        <v>26270</v>
      </c>
      <c r="S12" s="112">
        <v>25503</v>
      </c>
      <c r="T12" s="112">
        <v>369435</v>
      </c>
      <c r="U12" s="112">
        <v>526679</v>
      </c>
      <c r="V12" s="112">
        <v>58167</v>
      </c>
      <c r="W12" s="112">
        <v>7423</v>
      </c>
      <c r="X12" s="112">
        <v>21627</v>
      </c>
      <c r="Y12" s="112">
        <v>122169</v>
      </c>
      <c r="Z12" s="112">
        <v>1281</v>
      </c>
      <c r="AA12" s="112">
        <v>232339</v>
      </c>
      <c r="AB12" s="112">
        <v>11313</v>
      </c>
      <c r="AC12" s="112">
        <v>2707</v>
      </c>
      <c r="AD12" s="112">
        <v>24346</v>
      </c>
      <c r="AE12" s="112">
        <v>119062</v>
      </c>
      <c r="AF12" s="112">
        <v>304200</v>
      </c>
      <c r="AG12" s="112">
        <v>1497152</v>
      </c>
      <c r="AH12" s="112">
        <v>13698</v>
      </c>
      <c r="AI12" s="112">
        <v>493545</v>
      </c>
      <c r="AJ12" s="112">
        <v>893455</v>
      </c>
      <c r="AK12" s="112">
        <v>14172</v>
      </c>
      <c r="AL12" s="112">
        <v>47930</v>
      </c>
      <c r="AM12" s="112">
        <v>46151</v>
      </c>
      <c r="AN12" s="112">
        <v>827561</v>
      </c>
      <c r="AO12" s="112">
        <v>5710</v>
      </c>
      <c r="AP12" s="112">
        <v>0</v>
      </c>
      <c r="AQ12" s="112">
        <v>148814</v>
      </c>
      <c r="AR12" s="112">
        <v>296502</v>
      </c>
      <c r="AS12" s="112">
        <v>84419</v>
      </c>
      <c r="AT12" s="112">
        <v>848</v>
      </c>
      <c r="AU12" s="112">
        <v>158438</v>
      </c>
      <c r="AV12" s="112">
        <v>60185</v>
      </c>
      <c r="AW12" s="112">
        <v>50359</v>
      </c>
      <c r="AX12" s="112">
        <v>252557</v>
      </c>
      <c r="AY12" s="112">
        <v>678440</v>
      </c>
      <c r="AZ12" s="126"/>
      <c r="BA12" s="126"/>
      <c r="BB12" s="126"/>
      <c r="BC12" s="126"/>
      <c r="BD12" s="126"/>
      <c r="BE12" s="126"/>
      <c r="BF12" s="126"/>
      <c r="BG12" s="126"/>
      <c r="BH12" s="126"/>
      <c r="BI12" s="126"/>
      <c r="BJ12" s="126"/>
      <c r="BK12" s="126"/>
      <c r="BL12" s="126"/>
      <c r="BM12" s="126"/>
      <c r="BN12" s="126"/>
      <c r="BO12" s="126"/>
      <c r="BP12" s="126"/>
      <c r="BQ12" s="126"/>
      <c r="BR12" s="126"/>
      <c r="BS12" s="126"/>
      <c r="BT12" s="126"/>
      <c r="BU12" s="126"/>
      <c r="BV12" s="126"/>
      <c r="BW12" s="126"/>
      <c r="BX12" s="126"/>
      <c r="BY12" s="126"/>
      <c r="BZ12" s="126"/>
      <c r="CA12" s="126"/>
      <c r="CB12" s="126"/>
      <c r="CC12" s="126"/>
      <c r="CD12" s="126"/>
      <c r="CE12" s="126"/>
    </row>
    <row r="13" spans="1:83" x14ac:dyDescent="0.25">
      <c r="A13">
        <v>6</v>
      </c>
      <c r="B13" s="112">
        <v>76435</v>
      </c>
      <c r="C13" s="112">
        <v>105312</v>
      </c>
      <c r="D13" s="112">
        <v>19356</v>
      </c>
      <c r="E13" s="112">
        <v>21194</v>
      </c>
      <c r="F13" s="112">
        <v>269023</v>
      </c>
      <c r="G13" s="112">
        <v>4840</v>
      </c>
      <c r="H13" s="112">
        <v>9491</v>
      </c>
      <c r="I13" s="112">
        <v>530208</v>
      </c>
      <c r="J13" s="112">
        <v>89972</v>
      </c>
      <c r="K13" s="112">
        <v>8063</v>
      </c>
      <c r="L13" s="112">
        <v>39157</v>
      </c>
      <c r="M13" s="112">
        <v>60812</v>
      </c>
      <c r="N13" s="112">
        <v>54750</v>
      </c>
      <c r="O13" s="112">
        <v>264740</v>
      </c>
      <c r="P13" s="112">
        <v>547786</v>
      </c>
      <c r="Q13" s="112">
        <v>4914</v>
      </c>
      <c r="R13" s="112">
        <v>26284</v>
      </c>
      <c r="S13" s="112">
        <v>25503</v>
      </c>
      <c r="T13" s="112">
        <v>369638</v>
      </c>
      <c r="U13" s="112">
        <v>527031</v>
      </c>
      <c r="V13" s="112">
        <v>58209</v>
      </c>
      <c r="W13" s="112">
        <v>7424</v>
      </c>
      <c r="X13" s="112">
        <v>21642</v>
      </c>
      <c r="Y13" s="112">
        <v>122244</v>
      </c>
      <c r="Z13" s="112">
        <v>1282</v>
      </c>
      <c r="AA13" s="112">
        <v>232480</v>
      </c>
      <c r="AB13" s="112">
        <v>11313</v>
      </c>
      <c r="AC13" s="112">
        <v>2709</v>
      </c>
      <c r="AD13" s="112">
        <v>24389</v>
      </c>
      <c r="AE13" s="112">
        <v>119161</v>
      </c>
      <c r="AF13" s="112">
        <v>304462</v>
      </c>
      <c r="AG13" s="112">
        <v>1498295</v>
      </c>
      <c r="AH13" s="112">
        <v>13706</v>
      </c>
      <c r="AI13" s="112">
        <v>493562</v>
      </c>
      <c r="AJ13" s="112">
        <v>894042</v>
      </c>
      <c r="AK13" s="112">
        <v>14184</v>
      </c>
      <c r="AL13" s="127">
        <v>47944</v>
      </c>
      <c r="AM13" s="112">
        <v>46257</v>
      </c>
      <c r="AN13" s="116">
        <v>828366</v>
      </c>
      <c r="AO13" s="116">
        <v>5710</v>
      </c>
      <c r="AP13" s="116">
        <v>0</v>
      </c>
      <c r="AQ13" s="112">
        <v>148936</v>
      </c>
      <c r="AR13" s="112">
        <v>296750</v>
      </c>
      <c r="AS13" s="112">
        <v>84492</v>
      </c>
      <c r="AT13" s="112">
        <v>849</v>
      </c>
      <c r="AU13" s="112">
        <v>158575</v>
      </c>
      <c r="AV13" s="112">
        <v>60235</v>
      </c>
      <c r="AW13" s="112">
        <v>50409</v>
      </c>
      <c r="AX13" s="112">
        <v>252732</v>
      </c>
      <c r="AY13" s="112">
        <v>678994</v>
      </c>
      <c r="AZ13" s="126"/>
      <c r="BA13" s="126"/>
      <c r="BB13" s="126"/>
      <c r="BC13" s="126"/>
      <c r="BD13" s="126"/>
      <c r="BE13" s="126"/>
      <c r="BF13" s="126"/>
      <c r="BG13" s="126"/>
      <c r="BH13" s="126"/>
      <c r="BI13" s="126"/>
      <c r="BJ13" s="126"/>
      <c r="BK13" s="126"/>
      <c r="BL13" s="126"/>
      <c r="BM13" s="126"/>
      <c r="BN13" s="126"/>
      <c r="BO13" s="126"/>
      <c r="BP13" s="126"/>
      <c r="BQ13" s="126"/>
      <c r="BR13" s="126"/>
      <c r="BS13" s="126"/>
      <c r="BT13" s="126"/>
      <c r="BU13" s="126"/>
      <c r="BV13" s="126"/>
      <c r="BW13" s="126"/>
      <c r="BX13" s="126"/>
      <c r="BY13" s="126"/>
      <c r="BZ13" s="126"/>
      <c r="CA13" s="126"/>
      <c r="CB13" s="126"/>
      <c r="CC13" s="126"/>
      <c r="CD13" s="126"/>
      <c r="CE13" s="126"/>
    </row>
    <row r="14" spans="1:83" x14ac:dyDescent="0.25">
      <c r="A14">
        <v>7</v>
      </c>
      <c r="B14" s="112">
        <v>76517</v>
      </c>
      <c r="C14" s="112">
        <v>105447</v>
      </c>
      <c r="D14" s="112">
        <v>19370</v>
      </c>
      <c r="E14" s="112">
        <v>21215</v>
      </c>
      <c r="F14" s="112">
        <v>269197</v>
      </c>
      <c r="G14" s="112">
        <v>4843</v>
      </c>
      <c r="H14" s="112">
        <v>9521</v>
      </c>
      <c r="I14" s="112">
        <v>530573</v>
      </c>
      <c r="J14" s="112">
        <v>90012</v>
      </c>
      <c r="K14" s="112">
        <v>8064</v>
      </c>
      <c r="L14" s="112">
        <v>39187</v>
      </c>
      <c r="M14" s="112">
        <v>60835</v>
      </c>
      <c r="N14" s="112">
        <v>54786</v>
      </c>
      <c r="O14" s="112">
        <v>264949</v>
      </c>
      <c r="P14" s="112">
        <v>548330</v>
      </c>
      <c r="Q14" s="112">
        <v>4919</v>
      </c>
      <c r="R14" s="112">
        <v>26296</v>
      </c>
      <c r="S14" s="112">
        <v>25503</v>
      </c>
      <c r="T14" s="112">
        <v>369840</v>
      </c>
      <c r="U14" s="112">
        <v>527357</v>
      </c>
      <c r="V14" s="112">
        <v>58251</v>
      </c>
      <c r="W14" s="112">
        <v>7424</v>
      </c>
      <c r="X14" s="112">
        <v>21658</v>
      </c>
      <c r="Y14" s="112">
        <v>122326</v>
      </c>
      <c r="Z14" s="112">
        <v>1284</v>
      </c>
      <c r="AA14" s="112">
        <v>232621</v>
      </c>
      <c r="AB14" s="112">
        <v>11314</v>
      </c>
      <c r="AC14" s="112">
        <v>2710</v>
      </c>
      <c r="AD14" s="112">
        <v>24416</v>
      </c>
      <c r="AE14" s="112">
        <v>119257</v>
      </c>
      <c r="AF14" s="112">
        <v>304733</v>
      </c>
      <c r="AG14" s="112">
        <v>1499207</v>
      </c>
      <c r="AH14" s="112">
        <v>13717</v>
      </c>
      <c r="AI14" s="112">
        <v>493581</v>
      </c>
      <c r="AJ14" s="112">
        <v>894680</v>
      </c>
      <c r="AK14" s="112">
        <v>14195</v>
      </c>
      <c r="AL14" s="127">
        <v>47959</v>
      </c>
      <c r="AM14" s="112">
        <v>46363</v>
      </c>
      <c r="AN14" s="116">
        <v>828972</v>
      </c>
      <c r="AO14" s="116">
        <v>5710</v>
      </c>
      <c r="AP14" s="116">
        <v>0</v>
      </c>
      <c r="AQ14" s="112">
        <v>149068</v>
      </c>
      <c r="AR14" s="112">
        <v>296995</v>
      </c>
      <c r="AS14" s="112">
        <v>84568</v>
      </c>
      <c r="AT14" s="112">
        <v>850</v>
      </c>
      <c r="AU14" s="112">
        <v>158715</v>
      </c>
      <c r="AV14" s="112">
        <v>60279</v>
      </c>
      <c r="AW14" s="112">
        <v>50450</v>
      </c>
      <c r="AX14" s="112">
        <v>252922</v>
      </c>
      <c r="AY14" s="112">
        <v>679531</v>
      </c>
      <c r="AZ14" s="126"/>
      <c r="BA14" s="126"/>
      <c r="BB14" s="126"/>
      <c r="BC14" s="126"/>
      <c r="BD14" s="126"/>
      <c r="BE14" s="126"/>
      <c r="BF14" s="126"/>
      <c r="BG14" s="126"/>
      <c r="BH14" s="126"/>
      <c r="BI14" s="126"/>
      <c r="BJ14" s="126"/>
      <c r="BK14" s="126"/>
      <c r="BL14" s="126"/>
      <c r="BM14" s="126"/>
      <c r="BN14" s="126"/>
      <c r="BO14" s="126"/>
      <c r="BP14" s="126"/>
      <c r="BQ14" s="126"/>
      <c r="BR14" s="126"/>
      <c r="BS14" s="126"/>
      <c r="BT14" s="126"/>
      <c r="BU14" s="126"/>
      <c r="BV14" s="126"/>
      <c r="BW14" s="126"/>
      <c r="BX14" s="126"/>
      <c r="BY14" s="126"/>
      <c r="BZ14" s="126"/>
      <c r="CA14" s="126"/>
      <c r="CB14" s="126"/>
      <c r="CC14" s="126"/>
      <c r="CD14" s="126"/>
      <c r="CE14" s="126"/>
    </row>
    <row r="15" spans="1:83" x14ac:dyDescent="0.25">
      <c r="A15">
        <v>8</v>
      </c>
      <c r="B15" s="112">
        <v>76595</v>
      </c>
      <c r="C15" s="112">
        <v>105577</v>
      </c>
      <c r="D15" s="112">
        <v>19395</v>
      </c>
      <c r="E15" s="112">
        <v>21222</v>
      </c>
      <c r="F15" s="112">
        <v>269391</v>
      </c>
      <c r="G15" s="112">
        <v>4845</v>
      </c>
      <c r="H15" s="112">
        <v>9552</v>
      </c>
      <c r="I15" s="112">
        <v>530933</v>
      </c>
      <c r="J15" s="112">
        <v>90054</v>
      </c>
      <c r="K15" s="112">
        <v>8064</v>
      </c>
      <c r="L15" s="112">
        <v>39215</v>
      </c>
      <c r="M15" s="112">
        <v>60867</v>
      </c>
      <c r="N15" s="112">
        <v>54823</v>
      </c>
      <c r="O15" s="112">
        <v>265149</v>
      </c>
      <c r="P15" s="112">
        <v>548983</v>
      </c>
      <c r="Q15" s="112">
        <v>4924</v>
      </c>
      <c r="R15" s="112">
        <v>26309</v>
      </c>
      <c r="S15" s="112">
        <v>25503</v>
      </c>
      <c r="T15" s="112">
        <v>370029</v>
      </c>
      <c r="U15" s="112">
        <v>527688</v>
      </c>
      <c r="V15" s="112">
        <v>58294</v>
      </c>
      <c r="W15" s="112">
        <v>7425</v>
      </c>
      <c r="X15" s="112">
        <v>21682</v>
      </c>
      <c r="Y15" s="112">
        <v>122389</v>
      </c>
      <c r="Z15" s="112">
        <v>1287</v>
      </c>
      <c r="AA15" s="112">
        <v>232770</v>
      </c>
      <c r="AB15" s="112">
        <v>11316</v>
      </c>
      <c r="AC15" s="112">
        <v>2712</v>
      </c>
      <c r="AD15" s="112">
        <v>24438</v>
      </c>
      <c r="AE15" s="112">
        <v>119355</v>
      </c>
      <c r="AF15" s="112">
        <v>305023</v>
      </c>
      <c r="AG15" s="112">
        <v>1500110</v>
      </c>
      <c r="AH15" s="112">
        <v>13731</v>
      </c>
      <c r="AI15" s="112">
        <v>493598</v>
      </c>
      <c r="AJ15" s="112">
        <v>895344</v>
      </c>
      <c r="AK15" s="112">
        <v>14207</v>
      </c>
      <c r="AL15" s="127">
        <v>47973</v>
      </c>
      <c r="AM15" s="112">
        <v>46460</v>
      </c>
      <c r="AN15" s="116">
        <v>829751</v>
      </c>
      <c r="AO15" s="116">
        <v>5710</v>
      </c>
      <c r="AP15" s="116">
        <v>0</v>
      </c>
      <c r="AQ15" s="112">
        <v>149194</v>
      </c>
      <c r="AR15" s="112">
        <v>297225</v>
      </c>
      <c r="AS15" s="112">
        <v>84640</v>
      </c>
      <c r="AT15" s="112">
        <v>850</v>
      </c>
      <c r="AU15" s="112">
        <v>158864</v>
      </c>
      <c r="AV15" s="112">
        <v>60325</v>
      </c>
      <c r="AW15" s="112">
        <v>50492</v>
      </c>
      <c r="AX15" s="112">
        <v>253130</v>
      </c>
      <c r="AY15" s="112">
        <v>680088</v>
      </c>
      <c r="AZ15" s="126"/>
      <c r="BA15" s="126"/>
      <c r="BB15" s="126"/>
      <c r="BC15" s="126"/>
      <c r="BD15" s="126"/>
      <c r="BE15" s="126"/>
      <c r="BF15" s="126"/>
      <c r="BG15" s="126"/>
      <c r="BH15" s="126"/>
      <c r="BI15" s="126"/>
      <c r="BJ15" s="126"/>
      <c r="BK15" s="126"/>
      <c r="BL15" s="126"/>
      <c r="BM15" s="126"/>
      <c r="BN15" s="126"/>
      <c r="BO15" s="126"/>
      <c r="BP15" s="126"/>
      <c r="BQ15" s="126"/>
      <c r="BR15" s="126"/>
      <c r="BS15" s="126"/>
      <c r="BT15" s="126"/>
      <c r="BU15" s="126"/>
      <c r="BV15" s="126"/>
      <c r="BW15" s="126"/>
      <c r="BX15" s="126"/>
      <c r="BY15" s="126"/>
      <c r="BZ15" s="126"/>
      <c r="CA15" s="126"/>
      <c r="CB15" s="126"/>
      <c r="CC15" s="126"/>
      <c r="CD15" s="126"/>
      <c r="CE15" s="126"/>
    </row>
    <row r="16" spans="1:83" x14ac:dyDescent="0.25">
      <c r="A16">
        <v>9</v>
      </c>
      <c r="B16" s="112">
        <v>76680</v>
      </c>
      <c r="C16" s="112">
        <v>105726</v>
      </c>
      <c r="D16" s="112">
        <v>19424</v>
      </c>
      <c r="E16" s="112">
        <v>21232</v>
      </c>
      <c r="F16" s="112">
        <v>269578</v>
      </c>
      <c r="G16" s="112">
        <v>4848</v>
      </c>
      <c r="H16" s="112">
        <v>9585</v>
      </c>
      <c r="I16" s="112">
        <v>531301</v>
      </c>
      <c r="J16" s="112">
        <v>90095</v>
      </c>
      <c r="K16" s="112">
        <v>8065</v>
      </c>
      <c r="L16" s="112">
        <v>39245</v>
      </c>
      <c r="M16" s="112">
        <v>60891</v>
      </c>
      <c r="N16" s="112">
        <v>54859</v>
      </c>
      <c r="O16" s="112">
        <v>265356</v>
      </c>
      <c r="P16" s="112">
        <v>549616</v>
      </c>
      <c r="Q16" s="112">
        <v>4929</v>
      </c>
      <c r="R16" s="112">
        <v>26323</v>
      </c>
      <c r="S16" s="112">
        <v>25503</v>
      </c>
      <c r="T16" s="112">
        <v>370212</v>
      </c>
      <c r="U16" s="112">
        <v>528035</v>
      </c>
      <c r="V16" s="112">
        <v>58338</v>
      </c>
      <c r="W16" s="112">
        <v>7433</v>
      </c>
      <c r="X16" s="112">
        <v>21700</v>
      </c>
      <c r="Y16" s="112">
        <v>122461</v>
      </c>
      <c r="Z16" s="112">
        <v>1291</v>
      </c>
      <c r="AA16" s="112">
        <v>232915</v>
      </c>
      <c r="AB16" s="112">
        <v>11316</v>
      </c>
      <c r="AC16" s="112">
        <v>2714</v>
      </c>
      <c r="AD16" s="112">
        <v>24465</v>
      </c>
      <c r="AE16" s="112">
        <v>119466</v>
      </c>
      <c r="AF16" s="112">
        <v>305307</v>
      </c>
      <c r="AG16" s="112">
        <v>1501010</v>
      </c>
      <c r="AH16" s="112">
        <v>13741</v>
      </c>
      <c r="AI16" s="112">
        <v>493614</v>
      </c>
      <c r="AJ16" s="112">
        <v>896089</v>
      </c>
      <c r="AK16" s="112">
        <v>14220</v>
      </c>
      <c r="AL16" s="127">
        <v>47988</v>
      </c>
      <c r="AM16" s="112">
        <v>46558</v>
      </c>
      <c r="AN16" s="116">
        <v>830568</v>
      </c>
      <c r="AO16" s="116">
        <v>5710</v>
      </c>
      <c r="AP16" s="116">
        <v>0</v>
      </c>
      <c r="AQ16" s="112">
        <v>149330</v>
      </c>
      <c r="AR16" s="112">
        <v>297459</v>
      </c>
      <c r="AS16" s="112">
        <v>84715</v>
      </c>
      <c r="AT16" s="112">
        <v>851</v>
      </c>
      <c r="AU16" s="112">
        <v>159004</v>
      </c>
      <c r="AV16" s="112">
        <v>60369</v>
      </c>
      <c r="AW16" s="112">
        <v>50530</v>
      </c>
      <c r="AX16" s="112">
        <v>253324</v>
      </c>
      <c r="AY16" s="112">
        <v>680568</v>
      </c>
      <c r="AZ16" s="126"/>
      <c r="BA16" s="126"/>
      <c r="BB16" s="126"/>
      <c r="BC16" s="126"/>
      <c r="BD16" s="126"/>
      <c r="BE16" s="126"/>
      <c r="BF16" s="126"/>
      <c r="BG16" s="126"/>
      <c r="BH16" s="126"/>
      <c r="BI16" s="126"/>
      <c r="BJ16" s="126"/>
      <c r="BK16" s="126"/>
      <c r="BL16" s="126"/>
      <c r="BM16" s="126"/>
      <c r="BN16" s="126"/>
      <c r="BO16" s="126"/>
      <c r="BP16" s="126"/>
      <c r="BQ16" s="126"/>
      <c r="BR16" s="126"/>
      <c r="BS16" s="126"/>
      <c r="BT16" s="126"/>
      <c r="BU16" s="126"/>
      <c r="BV16" s="126"/>
      <c r="BW16" s="126"/>
      <c r="BX16" s="126"/>
      <c r="BY16" s="126"/>
      <c r="BZ16" s="126"/>
      <c r="CA16" s="126"/>
      <c r="CB16" s="126"/>
      <c r="CC16" s="126"/>
      <c r="CD16" s="126"/>
      <c r="CE16" s="126"/>
    </row>
    <row r="17" spans="1:83" x14ac:dyDescent="0.25">
      <c r="A17">
        <v>10</v>
      </c>
      <c r="B17" s="112">
        <v>76767</v>
      </c>
      <c r="C17" s="112">
        <v>105893</v>
      </c>
      <c r="D17" s="112">
        <v>19444</v>
      </c>
      <c r="E17" s="112">
        <v>21245</v>
      </c>
      <c r="F17" s="112">
        <v>269765</v>
      </c>
      <c r="G17" s="112">
        <v>4850</v>
      </c>
      <c r="H17" s="112">
        <v>9614</v>
      </c>
      <c r="I17" s="112">
        <v>531680</v>
      </c>
      <c r="J17" s="112">
        <v>90141</v>
      </c>
      <c r="K17" s="112">
        <v>8066</v>
      </c>
      <c r="L17" s="112">
        <v>39279</v>
      </c>
      <c r="M17" s="112">
        <v>60913</v>
      </c>
      <c r="N17" s="112">
        <v>54894</v>
      </c>
      <c r="O17" s="112">
        <v>265562</v>
      </c>
      <c r="P17" s="112">
        <v>550088</v>
      </c>
      <c r="Q17" s="112">
        <v>4934</v>
      </c>
      <c r="R17" s="112">
        <v>26336</v>
      </c>
      <c r="S17" s="112">
        <v>25503</v>
      </c>
      <c r="T17" s="112">
        <v>370400</v>
      </c>
      <c r="U17" s="112">
        <v>528375</v>
      </c>
      <c r="V17" s="112">
        <v>58384</v>
      </c>
      <c r="W17" s="112">
        <v>7433</v>
      </c>
      <c r="X17" s="112">
        <v>21710</v>
      </c>
      <c r="Y17" s="112">
        <v>122525</v>
      </c>
      <c r="Z17" s="112">
        <v>1294</v>
      </c>
      <c r="AA17" s="112">
        <v>233053</v>
      </c>
      <c r="AB17" s="112">
        <v>11316</v>
      </c>
      <c r="AC17" s="112">
        <v>2715</v>
      </c>
      <c r="AD17" s="112">
        <v>24483</v>
      </c>
      <c r="AE17" s="112">
        <v>119587</v>
      </c>
      <c r="AF17" s="112">
        <v>305578</v>
      </c>
      <c r="AG17" s="112">
        <v>1501851</v>
      </c>
      <c r="AH17" s="112">
        <v>13749</v>
      </c>
      <c r="AI17" s="112">
        <v>493631</v>
      </c>
      <c r="AJ17" s="112">
        <v>896726</v>
      </c>
      <c r="AK17" s="112">
        <v>14233</v>
      </c>
      <c r="AL17" s="127">
        <v>48002</v>
      </c>
      <c r="AM17" s="112">
        <v>46656</v>
      </c>
      <c r="AN17" s="116">
        <v>831240</v>
      </c>
      <c r="AO17" s="116">
        <v>5710</v>
      </c>
      <c r="AP17" s="116">
        <v>0</v>
      </c>
      <c r="AQ17" s="112">
        <v>149471</v>
      </c>
      <c r="AR17" s="112">
        <v>297696</v>
      </c>
      <c r="AS17" s="112">
        <v>84782</v>
      </c>
      <c r="AT17" s="112">
        <v>852</v>
      </c>
      <c r="AU17" s="112">
        <v>159150</v>
      </c>
      <c r="AV17" s="112">
        <v>60406</v>
      </c>
      <c r="AW17" s="112">
        <v>50568</v>
      </c>
      <c r="AX17" s="112">
        <v>253509</v>
      </c>
      <c r="AY17" s="112">
        <v>681249</v>
      </c>
      <c r="AZ17" s="126"/>
      <c r="BA17" s="126"/>
      <c r="BB17" s="126"/>
      <c r="BC17" s="126"/>
      <c r="BD17" s="126"/>
      <c r="BE17" s="126"/>
      <c r="BF17" s="126"/>
      <c r="BG17" s="126"/>
      <c r="BH17" s="126"/>
      <c r="BI17" s="126"/>
      <c r="BJ17" s="126"/>
      <c r="BK17" s="126"/>
      <c r="BL17" s="126"/>
      <c r="BM17" s="126"/>
      <c r="BN17" s="126"/>
      <c r="BO17" s="126"/>
      <c r="BP17" s="126"/>
      <c r="BQ17" s="126"/>
      <c r="BR17" s="126"/>
      <c r="BS17" s="126"/>
      <c r="BT17" s="126"/>
      <c r="BU17" s="126"/>
      <c r="BV17" s="126"/>
      <c r="BW17" s="126"/>
      <c r="BX17" s="126"/>
      <c r="BY17" s="126"/>
      <c r="BZ17" s="126"/>
      <c r="CA17" s="126"/>
      <c r="CB17" s="126"/>
      <c r="CC17" s="126"/>
      <c r="CD17" s="126"/>
      <c r="CE17" s="126"/>
    </row>
    <row r="18" spans="1:83" x14ac:dyDescent="0.25">
      <c r="A18">
        <v>11</v>
      </c>
      <c r="B18" s="112">
        <v>76854</v>
      </c>
      <c r="C18" s="112">
        <v>106060</v>
      </c>
      <c r="D18" s="112">
        <v>19455</v>
      </c>
      <c r="E18" s="112">
        <v>21253</v>
      </c>
      <c r="F18" s="112">
        <v>269954</v>
      </c>
      <c r="G18" s="112">
        <v>4853</v>
      </c>
      <c r="H18" s="112">
        <v>9650</v>
      </c>
      <c r="I18" s="112">
        <v>532056</v>
      </c>
      <c r="J18" s="112">
        <v>90203</v>
      </c>
      <c r="K18" s="112">
        <v>8066</v>
      </c>
      <c r="L18" s="112">
        <v>39309</v>
      </c>
      <c r="M18" s="112">
        <v>60927</v>
      </c>
      <c r="N18" s="112">
        <v>54927</v>
      </c>
      <c r="O18" s="112">
        <v>265759</v>
      </c>
      <c r="P18" s="112">
        <v>550684</v>
      </c>
      <c r="Q18" s="112">
        <v>4942</v>
      </c>
      <c r="R18" s="112">
        <v>26347</v>
      </c>
      <c r="S18" s="112">
        <v>25503</v>
      </c>
      <c r="T18" s="112">
        <v>370584</v>
      </c>
      <c r="U18" s="112">
        <v>528714</v>
      </c>
      <c r="V18" s="112">
        <v>58426</v>
      </c>
      <c r="W18" s="112">
        <v>7433</v>
      </c>
      <c r="X18" s="112">
        <v>21722</v>
      </c>
      <c r="Y18" s="112">
        <v>122587</v>
      </c>
      <c r="Z18" s="112">
        <v>1298</v>
      </c>
      <c r="AA18" s="112">
        <v>233193</v>
      </c>
      <c r="AB18" s="112">
        <v>11317</v>
      </c>
      <c r="AC18" s="112">
        <v>2717</v>
      </c>
      <c r="AD18" s="112">
        <v>24508</v>
      </c>
      <c r="AE18" s="112">
        <v>119706</v>
      </c>
      <c r="AF18" s="112">
        <v>305851</v>
      </c>
      <c r="AG18" s="112">
        <v>1520616</v>
      </c>
      <c r="AH18" s="112">
        <v>13760</v>
      </c>
      <c r="AI18" s="112">
        <v>493648</v>
      </c>
      <c r="AJ18" s="112">
        <v>897429</v>
      </c>
      <c r="AK18" s="112">
        <v>14248</v>
      </c>
      <c r="AL18" s="127">
        <v>48016</v>
      </c>
      <c r="AM18" s="112">
        <v>46747</v>
      </c>
      <c r="AN18" s="116">
        <v>832074</v>
      </c>
      <c r="AO18" s="116">
        <v>5710</v>
      </c>
      <c r="AP18" s="116">
        <v>0</v>
      </c>
      <c r="AQ18" s="112">
        <v>149611</v>
      </c>
      <c r="AR18" s="112">
        <v>297945</v>
      </c>
      <c r="AS18" s="112">
        <v>84851</v>
      </c>
      <c r="AT18" s="112">
        <v>852</v>
      </c>
      <c r="AU18" s="112">
        <v>159304</v>
      </c>
      <c r="AV18" s="112">
        <v>60443</v>
      </c>
      <c r="AW18" s="112">
        <v>50604</v>
      </c>
      <c r="AX18" s="112">
        <v>253706</v>
      </c>
      <c r="AY18" s="112">
        <v>681786</v>
      </c>
      <c r="AZ18" s="126"/>
      <c r="BA18" s="126"/>
      <c r="BB18" s="126"/>
      <c r="BC18" s="126"/>
      <c r="BD18" s="126"/>
      <c r="BE18" s="126"/>
      <c r="BF18" s="126"/>
      <c r="BG18" s="126"/>
      <c r="BH18" s="126"/>
      <c r="BI18" s="126"/>
      <c r="BJ18" s="126"/>
      <c r="BK18" s="126"/>
      <c r="BL18" s="126"/>
      <c r="BM18" s="126"/>
      <c r="BN18" s="126"/>
      <c r="BO18" s="126"/>
      <c r="BP18" s="126"/>
      <c r="BQ18" s="126"/>
      <c r="BR18" s="126"/>
      <c r="BS18" s="126"/>
      <c r="BT18" s="126"/>
      <c r="BU18" s="126"/>
      <c r="BV18" s="126"/>
      <c r="BW18" s="126"/>
      <c r="BX18" s="126"/>
      <c r="BY18" s="126"/>
      <c r="BZ18" s="126"/>
      <c r="CA18" s="126"/>
      <c r="CB18" s="126"/>
      <c r="CC18" s="126"/>
      <c r="CD18" s="126"/>
      <c r="CE18" s="126"/>
    </row>
    <row r="19" spans="1:83" x14ac:dyDescent="0.25">
      <c r="A19">
        <v>12</v>
      </c>
      <c r="B19" s="112">
        <v>76931</v>
      </c>
      <c r="C19" s="112">
        <v>106223</v>
      </c>
      <c r="D19" s="112">
        <v>19476</v>
      </c>
      <c r="E19" s="112">
        <v>21255</v>
      </c>
      <c r="F19" s="112">
        <v>270135</v>
      </c>
      <c r="G19" s="112">
        <v>4856</v>
      </c>
      <c r="H19" s="112">
        <v>9658</v>
      </c>
      <c r="I19" s="112">
        <v>532436</v>
      </c>
      <c r="J19" s="112">
        <v>90251</v>
      </c>
      <c r="K19" s="112">
        <v>8067</v>
      </c>
      <c r="L19" s="112">
        <v>39343</v>
      </c>
      <c r="M19" s="112">
        <v>60952</v>
      </c>
      <c r="N19" s="112">
        <v>54957</v>
      </c>
      <c r="O19" s="112">
        <v>265954</v>
      </c>
      <c r="P19" s="112">
        <v>551165</v>
      </c>
      <c r="Q19" s="112">
        <v>4947</v>
      </c>
      <c r="R19" s="112">
        <v>26361</v>
      </c>
      <c r="S19" s="112">
        <v>25503</v>
      </c>
      <c r="T19" s="112">
        <v>370768</v>
      </c>
      <c r="U19" s="112">
        <v>529041</v>
      </c>
      <c r="V19" s="112">
        <v>58466</v>
      </c>
      <c r="W19" s="112">
        <v>7433</v>
      </c>
      <c r="X19" s="112">
        <v>21736</v>
      </c>
      <c r="Y19" s="112">
        <v>122662</v>
      </c>
      <c r="Z19" s="112">
        <v>1301</v>
      </c>
      <c r="AA19" s="112">
        <v>233325</v>
      </c>
      <c r="AB19" s="112">
        <v>11318</v>
      </c>
      <c r="AC19" s="112">
        <v>2718</v>
      </c>
      <c r="AD19" s="112">
        <v>24536</v>
      </c>
      <c r="AE19" s="112">
        <v>119824</v>
      </c>
      <c r="AF19" s="112">
        <v>306107</v>
      </c>
      <c r="AG19" s="112">
        <v>1503420</v>
      </c>
      <c r="AH19" s="112">
        <v>13773</v>
      </c>
      <c r="AI19" s="112">
        <v>493665</v>
      </c>
      <c r="AJ19" s="112">
        <v>898079</v>
      </c>
      <c r="AK19" s="112">
        <v>14262</v>
      </c>
      <c r="AL19" s="127">
        <v>48030</v>
      </c>
      <c r="AM19" s="112">
        <v>46844</v>
      </c>
      <c r="AN19" s="116">
        <v>832890</v>
      </c>
      <c r="AO19" s="116">
        <v>5710</v>
      </c>
      <c r="AP19" s="116">
        <v>0</v>
      </c>
      <c r="AQ19" s="112">
        <v>149740</v>
      </c>
      <c r="AR19" s="112">
        <v>298187</v>
      </c>
      <c r="AS19" s="112">
        <v>84926</v>
      </c>
      <c r="AT19" s="112">
        <v>853</v>
      </c>
      <c r="AU19" s="112">
        <v>159453</v>
      </c>
      <c r="AV19" s="112">
        <v>60480</v>
      </c>
      <c r="AW19" s="112">
        <v>50634</v>
      </c>
      <c r="AX19" s="112">
        <v>253855</v>
      </c>
      <c r="AY19" s="112">
        <v>682348</v>
      </c>
      <c r="AZ19" s="126"/>
      <c r="BA19" s="126"/>
      <c r="BB19" s="126"/>
      <c r="BC19" s="126"/>
      <c r="BD19" s="126"/>
      <c r="BE19" s="126"/>
      <c r="BF19" s="126"/>
      <c r="BG19" s="126"/>
      <c r="BH19" s="126"/>
      <c r="BI19" s="126"/>
      <c r="BJ19" s="126"/>
      <c r="BK19" s="126"/>
      <c r="BL19" s="126"/>
      <c r="BM19" s="126"/>
      <c r="BN19" s="126"/>
      <c r="BO19" s="126"/>
      <c r="BP19" s="126"/>
      <c r="BQ19" s="126"/>
      <c r="BR19" s="126"/>
      <c r="BS19" s="126"/>
      <c r="BT19" s="126"/>
      <c r="BU19" s="126"/>
      <c r="BV19" s="126"/>
      <c r="BW19" s="126"/>
      <c r="BX19" s="126"/>
      <c r="BY19" s="126"/>
      <c r="BZ19" s="126"/>
      <c r="CA19" s="126"/>
      <c r="CB19" s="126"/>
      <c r="CC19" s="126"/>
      <c r="CD19" s="126"/>
      <c r="CE19" s="126"/>
    </row>
    <row r="20" spans="1:83" x14ac:dyDescent="0.25">
      <c r="A20">
        <v>13</v>
      </c>
      <c r="B20" s="112">
        <v>77009</v>
      </c>
      <c r="C20" s="112">
        <v>106381</v>
      </c>
      <c r="D20" s="112">
        <v>19502</v>
      </c>
      <c r="E20" s="112">
        <v>21264</v>
      </c>
      <c r="F20" s="112">
        <v>270342</v>
      </c>
      <c r="G20" s="112">
        <v>4858</v>
      </c>
      <c r="H20" s="112">
        <v>9668</v>
      </c>
      <c r="I20" s="112">
        <v>532826</v>
      </c>
      <c r="J20" s="112">
        <v>90303</v>
      </c>
      <c r="K20" s="112">
        <v>8067</v>
      </c>
      <c r="L20" s="112">
        <v>39374</v>
      </c>
      <c r="M20" s="112">
        <v>60979</v>
      </c>
      <c r="N20" s="112">
        <v>54991</v>
      </c>
      <c r="O20" s="112">
        <v>266150</v>
      </c>
      <c r="P20" s="112">
        <v>551629</v>
      </c>
      <c r="Q20" s="112">
        <v>4955</v>
      </c>
      <c r="R20" s="112">
        <v>26373</v>
      </c>
      <c r="S20" s="112">
        <v>25503</v>
      </c>
      <c r="T20" s="112">
        <v>370958</v>
      </c>
      <c r="U20" s="112">
        <v>529353</v>
      </c>
      <c r="V20" s="112">
        <v>58504</v>
      </c>
      <c r="W20" s="112">
        <v>7433</v>
      </c>
      <c r="X20" s="112">
        <v>21749</v>
      </c>
      <c r="Y20" s="112">
        <v>122735</v>
      </c>
      <c r="Z20" s="112">
        <v>1302</v>
      </c>
      <c r="AA20" s="112">
        <v>233460</v>
      </c>
      <c r="AB20" s="112">
        <v>11318</v>
      </c>
      <c r="AC20" s="112">
        <v>2720</v>
      </c>
      <c r="AD20" s="112">
        <v>24557</v>
      </c>
      <c r="AE20" s="112">
        <v>119917</v>
      </c>
      <c r="AF20" s="112">
        <v>306374</v>
      </c>
      <c r="AG20" s="112">
        <v>1504264</v>
      </c>
      <c r="AH20" s="112">
        <v>13785</v>
      </c>
      <c r="AI20" s="112">
        <v>493682</v>
      </c>
      <c r="AJ20" s="116">
        <v>898611</v>
      </c>
      <c r="AK20" s="116">
        <v>14277</v>
      </c>
      <c r="AL20" s="127">
        <v>48044</v>
      </c>
      <c r="AM20" s="116">
        <v>46935</v>
      </c>
      <c r="AN20" s="116">
        <v>833717</v>
      </c>
      <c r="AO20" s="116">
        <v>5710</v>
      </c>
      <c r="AP20" s="116">
        <v>0</v>
      </c>
      <c r="AQ20" s="116">
        <v>149858</v>
      </c>
      <c r="AR20" s="116">
        <v>298412</v>
      </c>
      <c r="AS20" s="116">
        <v>84999</v>
      </c>
      <c r="AT20" s="116">
        <v>853</v>
      </c>
      <c r="AU20" s="116">
        <v>159571</v>
      </c>
      <c r="AV20" s="116">
        <v>60522</v>
      </c>
      <c r="AW20" s="116">
        <v>50668</v>
      </c>
      <c r="AX20" s="116">
        <v>253962</v>
      </c>
      <c r="AY20" s="116">
        <v>682911</v>
      </c>
      <c r="AZ20" s="126"/>
      <c r="BA20" s="126"/>
      <c r="BB20" s="126"/>
      <c r="BC20" s="126"/>
      <c r="BD20" s="126"/>
      <c r="BE20" s="126"/>
      <c r="BF20" s="126"/>
      <c r="BG20" s="126"/>
      <c r="BH20" s="126"/>
      <c r="BI20" s="126"/>
      <c r="BJ20" s="126"/>
      <c r="BK20" s="126"/>
      <c r="BL20" s="126"/>
      <c r="BM20" s="126"/>
      <c r="BN20" s="126"/>
      <c r="BO20" s="126"/>
      <c r="BP20" s="126"/>
      <c r="BQ20" s="126"/>
      <c r="BR20" s="126"/>
      <c r="BS20" s="126"/>
      <c r="BT20" s="126"/>
      <c r="BU20" s="126"/>
      <c r="BV20" s="126"/>
      <c r="BW20" s="126"/>
      <c r="BX20" s="126"/>
      <c r="BY20" s="126"/>
      <c r="BZ20" s="126"/>
      <c r="CA20" s="126"/>
      <c r="CB20" s="126"/>
      <c r="CC20" s="126"/>
      <c r="CD20" s="126"/>
      <c r="CE20" s="126"/>
    </row>
    <row r="21" spans="1:83" x14ac:dyDescent="0.25">
      <c r="A21">
        <v>14</v>
      </c>
      <c r="B21" s="112">
        <v>77085</v>
      </c>
      <c r="C21" s="112">
        <v>106554</v>
      </c>
      <c r="D21" s="112">
        <v>19520</v>
      </c>
      <c r="E21" s="112">
        <v>21275</v>
      </c>
      <c r="F21" s="112">
        <v>270534</v>
      </c>
      <c r="G21" s="112">
        <v>4861</v>
      </c>
      <c r="H21" s="112">
        <v>9673</v>
      </c>
      <c r="I21" s="112">
        <v>533209</v>
      </c>
      <c r="J21" s="112">
        <v>90354</v>
      </c>
      <c r="K21" s="112">
        <v>8068</v>
      </c>
      <c r="L21" s="112">
        <v>39406</v>
      </c>
      <c r="M21" s="112">
        <v>61006</v>
      </c>
      <c r="N21" s="112">
        <v>55027</v>
      </c>
      <c r="O21" s="112">
        <v>266365</v>
      </c>
      <c r="P21" s="112">
        <v>552082</v>
      </c>
      <c r="Q21" s="112">
        <v>4964</v>
      </c>
      <c r="R21" s="112">
        <v>26386</v>
      </c>
      <c r="S21" s="112">
        <v>25503</v>
      </c>
      <c r="T21" s="112">
        <v>371151</v>
      </c>
      <c r="U21" s="112">
        <v>529685</v>
      </c>
      <c r="V21" s="112">
        <v>58543</v>
      </c>
      <c r="W21" s="112">
        <v>7433</v>
      </c>
      <c r="X21" s="112">
        <v>21763</v>
      </c>
      <c r="Y21" s="112">
        <v>122808</v>
      </c>
      <c r="Z21" s="112">
        <v>1302</v>
      </c>
      <c r="AA21" s="112">
        <v>233599</v>
      </c>
      <c r="AB21" s="112">
        <v>11318</v>
      </c>
      <c r="AC21" s="112">
        <v>2722</v>
      </c>
      <c r="AD21" s="112">
        <v>24567</v>
      </c>
      <c r="AE21" s="112">
        <v>120020</v>
      </c>
      <c r="AF21" s="112">
        <v>306581</v>
      </c>
      <c r="AG21" s="112">
        <v>1505104</v>
      </c>
      <c r="AH21" s="112">
        <v>13795</v>
      </c>
      <c r="AI21" s="112">
        <v>493699</v>
      </c>
      <c r="AJ21" s="116">
        <v>899173</v>
      </c>
      <c r="AK21" s="116">
        <v>14292</v>
      </c>
      <c r="AL21" s="127">
        <v>48059</v>
      </c>
      <c r="AM21" s="116">
        <v>47025</v>
      </c>
      <c r="AN21" s="116">
        <v>834283</v>
      </c>
      <c r="AO21" s="116">
        <v>5710</v>
      </c>
      <c r="AP21" s="116">
        <v>0</v>
      </c>
      <c r="AQ21" s="116">
        <v>149971</v>
      </c>
      <c r="AR21" s="116">
        <v>298645</v>
      </c>
      <c r="AS21" s="116">
        <v>85074</v>
      </c>
      <c r="AT21" s="116">
        <v>854</v>
      </c>
      <c r="AU21" s="116">
        <v>159708</v>
      </c>
      <c r="AV21" s="116">
        <v>60575</v>
      </c>
      <c r="AW21" s="116">
        <v>50711</v>
      </c>
      <c r="AX21" s="116">
        <v>254115</v>
      </c>
      <c r="AY21" s="116">
        <v>683481</v>
      </c>
      <c r="AZ21" s="126"/>
      <c r="BA21" s="126"/>
      <c r="BB21" s="126"/>
      <c r="BC21" s="126"/>
      <c r="BD21" s="126"/>
      <c r="BE21" s="126"/>
      <c r="BF21" s="126"/>
      <c r="BG21" s="126"/>
      <c r="BH21" s="126"/>
      <c r="BI21" s="126"/>
      <c r="BJ21" s="126"/>
      <c r="BK21" s="126"/>
      <c r="BL21" s="126"/>
      <c r="BM21" s="126"/>
      <c r="BN21" s="126"/>
      <c r="BO21" s="126"/>
      <c r="BP21" s="126"/>
      <c r="BQ21" s="126"/>
      <c r="BR21" s="126"/>
      <c r="BS21" s="126"/>
      <c r="BT21" s="126"/>
      <c r="BU21" s="126"/>
      <c r="BV21" s="126"/>
      <c r="BW21" s="126"/>
      <c r="BX21" s="126"/>
      <c r="BY21" s="126"/>
      <c r="BZ21" s="126"/>
      <c r="CA21" s="126"/>
      <c r="CB21" s="126"/>
      <c r="CC21" s="126"/>
      <c r="CD21" s="126"/>
      <c r="CE21" s="126"/>
    </row>
    <row r="22" spans="1:83" x14ac:dyDescent="0.25">
      <c r="A22">
        <v>15</v>
      </c>
      <c r="B22" s="112">
        <v>77169</v>
      </c>
      <c r="C22" s="112">
        <v>106742</v>
      </c>
      <c r="D22" s="112">
        <v>19542</v>
      </c>
      <c r="E22" s="112">
        <v>21282</v>
      </c>
      <c r="F22" s="112">
        <v>270733</v>
      </c>
      <c r="G22" s="112">
        <v>4864</v>
      </c>
      <c r="H22" s="112">
        <v>9681</v>
      </c>
      <c r="I22" s="112">
        <v>533590</v>
      </c>
      <c r="J22" s="112">
        <v>90406</v>
      </c>
      <c r="K22" s="112">
        <v>8068</v>
      </c>
      <c r="L22" s="112">
        <v>39435</v>
      </c>
      <c r="M22" s="112">
        <v>61025</v>
      </c>
      <c r="N22" s="112">
        <v>55061</v>
      </c>
      <c r="O22" s="112">
        <v>266560</v>
      </c>
      <c r="P22" s="112">
        <v>552546</v>
      </c>
      <c r="Q22" s="112">
        <v>4911</v>
      </c>
      <c r="R22" s="112">
        <v>26397</v>
      </c>
      <c r="S22" s="112">
        <v>25503</v>
      </c>
      <c r="T22" s="112">
        <v>371349</v>
      </c>
      <c r="U22" s="112">
        <v>530044</v>
      </c>
      <c r="V22" s="112">
        <v>58582</v>
      </c>
      <c r="W22" s="112">
        <v>7437</v>
      </c>
      <c r="X22" s="112">
        <v>21775</v>
      </c>
      <c r="Y22" s="112">
        <v>122878</v>
      </c>
      <c r="Z22" s="112">
        <v>1302</v>
      </c>
      <c r="AA22" s="112">
        <v>233735</v>
      </c>
      <c r="AB22" s="112">
        <v>11319</v>
      </c>
      <c r="AC22" s="112">
        <v>2723</v>
      </c>
      <c r="AD22" s="112">
        <v>24583</v>
      </c>
      <c r="AE22" s="112">
        <v>120124</v>
      </c>
      <c r="AF22" s="112">
        <v>306813</v>
      </c>
      <c r="AG22" s="112">
        <v>1505942</v>
      </c>
      <c r="AH22" s="112">
        <v>13801</v>
      </c>
      <c r="AI22" s="112">
        <v>493715</v>
      </c>
      <c r="AJ22" s="116">
        <v>899743</v>
      </c>
      <c r="AK22" s="116">
        <v>14303</v>
      </c>
      <c r="AL22" s="127">
        <v>48073</v>
      </c>
      <c r="AM22" s="116">
        <v>47115</v>
      </c>
      <c r="AN22" s="116">
        <v>834871</v>
      </c>
      <c r="AO22" s="116">
        <v>5710</v>
      </c>
      <c r="AP22" s="116">
        <v>0</v>
      </c>
      <c r="AQ22" s="116">
        <v>150086</v>
      </c>
      <c r="AR22" s="116">
        <v>298878</v>
      </c>
      <c r="AS22" s="116">
        <v>85147</v>
      </c>
      <c r="AT22" s="116">
        <v>855</v>
      </c>
      <c r="AU22" s="116">
        <v>159853</v>
      </c>
      <c r="AV22" s="116">
        <v>60622</v>
      </c>
      <c r="AW22" s="116">
        <v>50756</v>
      </c>
      <c r="AX22" s="116">
        <v>254276</v>
      </c>
      <c r="AY22" s="116">
        <v>684034</v>
      </c>
      <c r="AZ22" s="126"/>
      <c r="BA22" s="126"/>
      <c r="BB22" s="126"/>
      <c r="BC22" s="126"/>
      <c r="BD22" s="126"/>
      <c r="BE22" s="126"/>
      <c r="BF22" s="126"/>
      <c r="BG22" s="126"/>
      <c r="BH22" s="126"/>
      <c r="BI22" s="126"/>
      <c r="BJ22" s="126"/>
      <c r="BK22" s="126"/>
      <c r="BL22" s="126"/>
      <c r="BM22" s="126"/>
      <c r="BN22" s="126"/>
      <c r="BO22" s="126"/>
      <c r="BP22" s="126"/>
      <c r="BQ22" s="126"/>
      <c r="BR22" s="126"/>
      <c r="BS22" s="126"/>
      <c r="BT22" s="126"/>
      <c r="BU22" s="126"/>
      <c r="BV22" s="126"/>
      <c r="BW22" s="126"/>
      <c r="BX22" s="126"/>
      <c r="BY22" s="126"/>
      <c r="BZ22" s="126"/>
      <c r="CA22" s="126"/>
      <c r="CB22" s="126"/>
      <c r="CC22" s="126"/>
      <c r="CD22" s="126"/>
      <c r="CE22" s="126"/>
    </row>
    <row r="23" spans="1:83" x14ac:dyDescent="0.25">
      <c r="A23">
        <v>16</v>
      </c>
      <c r="B23" s="112">
        <v>77253</v>
      </c>
      <c r="C23" s="112">
        <v>106912</v>
      </c>
      <c r="D23" s="112">
        <v>19555</v>
      </c>
      <c r="E23" s="112">
        <v>21293</v>
      </c>
      <c r="F23" s="112">
        <v>270915</v>
      </c>
      <c r="G23" s="112">
        <v>4866</v>
      </c>
      <c r="H23" s="112">
        <v>9700</v>
      </c>
      <c r="I23" s="112">
        <v>534007</v>
      </c>
      <c r="J23" s="112">
        <v>90463</v>
      </c>
      <c r="K23" s="112">
        <v>8069</v>
      </c>
      <c r="L23" s="112">
        <v>39462</v>
      </c>
      <c r="M23" s="112">
        <v>61047</v>
      </c>
      <c r="N23" s="112">
        <v>55099</v>
      </c>
      <c r="O23" s="112">
        <v>266759</v>
      </c>
      <c r="P23" s="112">
        <v>552979</v>
      </c>
      <c r="Q23" s="112">
        <v>4978</v>
      </c>
      <c r="R23" s="112">
        <v>26410</v>
      </c>
      <c r="S23" s="112">
        <v>25503</v>
      </c>
      <c r="T23" s="112">
        <v>371541</v>
      </c>
      <c r="U23" s="112">
        <v>530401</v>
      </c>
      <c r="V23" s="112">
        <v>58624</v>
      </c>
      <c r="W23" s="112">
        <v>7448</v>
      </c>
      <c r="X23" s="112">
        <v>21791</v>
      </c>
      <c r="Y23" s="112">
        <v>12949</v>
      </c>
      <c r="Z23" s="112">
        <v>1302</v>
      </c>
      <c r="AA23" s="112">
        <v>233871</v>
      </c>
      <c r="AB23" s="112">
        <v>11320</v>
      </c>
      <c r="AC23" s="112">
        <v>2725</v>
      </c>
      <c r="AD23" s="112">
        <v>24594</v>
      </c>
      <c r="AE23" s="112">
        <v>120228</v>
      </c>
      <c r="AF23" s="112">
        <v>307038</v>
      </c>
      <c r="AG23" s="112">
        <v>1506795</v>
      </c>
      <c r="AH23" s="112">
        <v>13807</v>
      </c>
      <c r="AI23" s="112">
        <v>493733</v>
      </c>
      <c r="AJ23" s="112">
        <v>900281</v>
      </c>
      <c r="AK23" s="112">
        <v>14315</v>
      </c>
      <c r="AL23" s="127">
        <v>48087</v>
      </c>
      <c r="AM23" s="112">
        <v>47211</v>
      </c>
      <c r="AN23" s="116">
        <v>835467</v>
      </c>
      <c r="AO23" s="116">
        <v>5710</v>
      </c>
      <c r="AP23" s="116">
        <v>0</v>
      </c>
      <c r="AQ23" s="112">
        <v>150209</v>
      </c>
      <c r="AR23" s="112">
        <v>299123</v>
      </c>
      <c r="AS23" s="112">
        <v>85229</v>
      </c>
      <c r="AT23" s="112">
        <v>855</v>
      </c>
      <c r="AU23" s="112">
        <v>159998</v>
      </c>
      <c r="AV23" s="112">
        <v>60669</v>
      </c>
      <c r="AW23" s="112">
        <v>50797</v>
      </c>
      <c r="AX23" s="112">
        <v>254438</v>
      </c>
      <c r="AY23" s="112">
        <v>684571</v>
      </c>
      <c r="AZ23" s="126"/>
      <c r="BA23" s="126"/>
      <c r="BB23" s="126"/>
      <c r="BC23" s="126"/>
      <c r="BD23" s="126"/>
      <c r="BE23" s="126"/>
      <c r="BF23" s="126"/>
      <c r="BG23" s="126"/>
      <c r="BH23" s="126"/>
      <c r="BI23" s="126"/>
      <c r="BJ23" s="126"/>
      <c r="BK23" s="126"/>
      <c r="BL23" s="126"/>
      <c r="BM23" s="126"/>
      <c r="BN23" s="126"/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A23" s="126"/>
      <c r="CB23" s="126"/>
      <c r="CC23" s="126"/>
      <c r="CD23" s="126"/>
      <c r="CE23" s="126"/>
    </row>
    <row r="24" spans="1:83" x14ac:dyDescent="0.25">
      <c r="A24">
        <v>17</v>
      </c>
      <c r="B24" s="112">
        <v>77334</v>
      </c>
      <c r="C24" s="112">
        <v>107084</v>
      </c>
      <c r="D24" s="112">
        <v>19562</v>
      </c>
      <c r="E24" s="112">
        <v>21304</v>
      </c>
      <c r="F24" s="112">
        <v>271101</v>
      </c>
      <c r="G24" s="112">
        <v>4869</v>
      </c>
      <c r="H24" s="112">
        <v>9714</v>
      </c>
      <c r="I24" s="112">
        <v>534413</v>
      </c>
      <c r="J24" s="112">
        <v>90518</v>
      </c>
      <c r="K24" s="112">
        <v>8069</v>
      </c>
      <c r="L24" s="112">
        <v>39487</v>
      </c>
      <c r="M24" s="112">
        <v>61076</v>
      </c>
      <c r="N24" s="112">
        <v>55133</v>
      </c>
      <c r="O24" s="112">
        <v>266955</v>
      </c>
      <c r="P24" s="112">
        <v>553416</v>
      </c>
      <c r="Q24" s="112">
        <v>4985</v>
      </c>
      <c r="R24" s="112">
        <v>26419</v>
      </c>
      <c r="S24" s="112">
        <v>25503</v>
      </c>
      <c r="T24" s="112">
        <v>371724</v>
      </c>
      <c r="U24" s="112">
        <v>530764</v>
      </c>
      <c r="V24" s="112">
        <v>58670</v>
      </c>
      <c r="W24" s="112">
        <v>7467</v>
      </c>
      <c r="X24" s="112">
        <v>21801</v>
      </c>
      <c r="Y24" s="112">
        <v>123012</v>
      </c>
      <c r="Z24" s="112">
        <v>1302</v>
      </c>
      <c r="AA24" s="112">
        <v>234008</v>
      </c>
      <c r="AB24" s="112">
        <v>11320</v>
      </c>
      <c r="AC24" s="112">
        <v>2726</v>
      </c>
      <c r="AD24" s="112">
        <v>24610</v>
      </c>
      <c r="AE24" s="112">
        <v>120317</v>
      </c>
      <c r="AF24" s="112">
        <v>307265</v>
      </c>
      <c r="AG24" s="112">
        <v>1507615</v>
      </c>
      <c r="AH24" s="112">
        <v>13815</v>
      </c>
      <c r="AI24" s="112">
        <v>493750</v>
      </c>
      <c r="AJ24" s="112">
        <v>900950</v>
      </c>
      <c r="AK24" s="112">
        <v>14327</v>
      </c>
      <c r="AL24" s="127">
        <v>48102</v>
      </c>
      <c r="AM24" s="112">
        <v>47302</v>
      </c>
      <c r="AN24" s="116">
        <v>836102</v>
      </c>
      <c r="AO24" s="116">
        <v>5710</v>
      </c>
      <c r="AP24" s="116">
        <v>0</v>
      </c>
      <c r="AQ24" s="112">
        <v>150330</v>
      </c>
      <c r="AR24" s="112">
        <v>299361</v>
      </c>
      <c r="AS24" s="112">
        <v>85302</v>
      </c>
      <c r="AT24" s="112">
        <v>856</v>
      </c>
      <c r="AU24" s="112">
        <v>160144</v>
      </c>
      <c r="AV24" s="112">
        <v>60721</v>
      </c>
      <c r="AW24" s="112">
        <v>50840</v>
      </c>
      <c r="AX24" s="112">
        <v>254588</v>
      </c>
      <c r="AY24" s="112">
        <v>685121</v>
      </c>
      <c r="AZ24" s="126"/>
      <c r="BA24" s="126"/>
      <c r="BB24" s="126"/>
      <c r="BC24" s="126"/>
      <c r="BD24" s="126"/>
      <c r="BE24" s="126"/>
      <c r="BF24" s="126"/>
      <c r="BG24" s="126"/>
      <c r="BH24" s="126"/>
      <c r="BI24" s="126"/>
      <c r="BJ24" s="126"/>
      <c r="BK24" s="126"/>
      <c r="BL24" s="126"/>
      <c r="BM24" s="126"/>
      <c r="BN24" s="126"/>
      <c r="BO24" s="126"/>
      <c r="BP24" s="126"/>
      <c r="BQ24" s="126"/>
      <c r="BR24" s="126"/>
      <c r="BS24" s="126"/>
      <c r="BT24" s="126"/>
      <c r="BU24" s="126"/>
      <c r="BV24" s="126"/>
      <c r="BW24" s="126"/>
      <c r="BX24" s="126"/>
      <c r="BY24" s="126"/>
      <c r="BZ24" s="126"/>
      <c r="CA24" s="126"/>
      <c r="CB24" s="126"/>
      <c r="CC24" s="126"/>
      <c r="CD24" s="126"/>
      <c r="CE24" s="126"/>
    </row>
    <row r="25" spans="1:83" x14ac:dyDescent="0.25">
      <c r="A25">
        <v>18</v>
      </c>
      <c r="B25" s="112">
        <v>77408</v>
      </c>
      <c r="C25" s="112">
        <v>107238</v>
      </c>
      <c r="D25" s="112">
        <v>19563</v>
      </c>
      <c r="E25" s="112">
        <v>21314</v>
      </c>
      <c r="F25" s="112">
        <v>271265</v>
      </c>
      <c r="G25" s="112">
        <v>4872</v>
      </c>
      <c r="H25" s="112">
        <v>9736</v>
      </c>
      <c r="I25" s="112">
        <v>534774</v>
      </c>
      <c r="J25" s="112">
        <v>90564</v>
      </c>
      <c r="K25" s="112">
        <v>8070</v>
      </c>
      <c r="L25" s="112">
        <v>39512</v>
      </c>
      <c r="M25" s="112">
        <v>61093</v>
      </c>
      <c r="N25" s="112">
        <v>55156</v>
      </c>
      <c r="O25" s="112">
        <v>267128</v>
      </c>
      <c r="P25" s="112">
        <v>553761</v>
      </c>
      <c r="Q25" s="112">
        <v>4993</v>
      </c>
      <c r="R25" s="112">
        <v>26427</v>
      </c>
      <c r="S25" s="112">
        <v>25503</v>
      </c>
      <c r="T25" s="112">
        <v>371884</v>
      </c>
      <c r="U25" s="112">
        <v>531091</v>
      </c>
      <c r="V25" s="112">
        <v>58708</v>
      </c>
      <c r="W25" s="112">
        <v>7482</v>
      </c>
      <c r="X25" s="112">
        <v>21809</v>
      </c>
      <c r="Y25" s="112">
        <v>123062</v>
      </c>
      <c r="Z25" s="112">
        <v>1302</v>
      </c>
      <c r="AA25" s="112">
        <v>234138</v>
      </c>
      <c r="AB25" s="112">
        <v>11320</v>
      </c>
      <c r="AC25" s="112">
        <v>2728</v>
      </c>
      <c r="AD25" s="112">
        <v>24629</v>
      </c>
      <c r="AE25" s="112">
        <v>120409</v>
      </c>
      <c r="AF25" s="112">
        <v>307459</v>
      </c>
      <c r="AG25" s="112">
        <v>1508231</v>
      </c>
      <c r="AH25" s="112">
        <v>13823</v>
      </c>
      <c r="AI25" s="112">
        <v>493765</v>
      </c>
      <c r="AJ25" s="112">
        <v>901543</v>
      </c>
      <c r="AK25" s="112">
        <v>14336</v>
      </c>
      <c r="AL25" s="127">
        <v>48115</v>
      </c>
      <c r="AM25" s="112">
        <v>47381</v>
      </c>
      <c r="AN25" s="116">
        <v>836563</v>
      </c>
      <c r="AO25" s="116">
        <v>5710</v>
      </c>
      <c r="AP25" s="116">
        <v>0</v>
      </c>
      <c r="AQ25" s="112">
        <v>150440</v>
      </c>
      <c r="AR25" s="112">
        <v>299557</v>
      </c>
      <c r="AS25" s="112">
        <v>85364</v>
      </c>
      <c r="AT25" s="112">
        <v>857</v>
      </c>
      <c r="AU25" s="112">
        <v>160275</v>
      </c>
      <c r="AV25" s="112">
        <v>60760</v>
      </c>
      <c r="AW25" s="112">
        <v>50880</v>
      </c>
      <c r="AX25" s="112">
        <v>254712</v>
      </c>
      <c r="AY25" s="112">
        <v>685565</v>
      </c>
      <c r="AZ25" s="126"/>
      <c r="BA25" s="126"/>
      <c r="BB25" s="126"/>
      <c r="BC25" s="126"/>
      <c r="BD25" s="126"/>
      <c r="BE25" s="126"/>
      <c r="BF25" s="126"/>
      <c r="BG25" s="126"/>
      <c r="BH25" s="126"/>
      <c r="BI25" s="126"/>
      <c r="BJ25" s="126"/>
      <c r="BK25" s="126"/>
      <c r="BL25" s="126"/>
      <c r="BM25" s="126"/>
      <c r="BN25" s="126"/>
      <c r="BO25" s="126"/>
      <c r="BP25" s="126"/>
      <c r="BQ25" s="126"/>
      <c r="BR25" s="126"/>
      <c r="BS25" s="126"/>
      <c r="BT25" s="126"/>
      <c r="BU25" s="126"/>
      <c r="BV25" s="126"/>
      <c r="BW25" s="126"/>
      <c r="BX25" s="126"/>
      <c r="BY25" s="126"/>
      <c r="BZ25" s="126"/>
      <c r="CA25" s="126"/>
      <c r="CB25" s="126"/>
      <c r="CC25" s="126"/>
      <c r="CD25" s="126"/>
      <c r="CE25" s="126"/>
    </row>
    <row r="26" spans="1:83" x14ac:dyDescent="0.25">
      <c r="A26">
        <v>19</v>
      </c>
      <c r="B26" s="112">
        <v>77507</v>
      </c>
      <c r="C26" s="112">
        <v>107425</v>
      </c>
      <c r="D26" s="112">
        <v>19572</v>
      </c>
      <c r="E26" s="112">
        <v>21339</v>
      </c>
      <c r="F26" s="112">
        <v>271455</v>
      </c>
      <c r="G26" s="112">
        <v>4875</v>
      </c>
      <c r="H26" s="112">
        <v>9757</v>
      </c>
      <c r="I26" s="112">
        <v>535182</v>
      </c>
      <c r="J26" s="112">
        <v>90615</v>
      </c>
      <c r="K26" s="112">
        <v>8070</v>
      </c>
      <c r="L26" s="112">
        <v>39543</v>
      </c>
      <c r="M26" s="112">
        <v>61135</v>
      </c>
      <c r="N26" s="112">
        <v>55184</v>
      </c>
      <c r="O26" s="112">
        <v>267329</v>
      </c>
      <c r="P26" s="112">
        <v>554320</v>
      </c>
      <c r="Q26" s="112">
        <v>5001</v>
      </c>
      <c r="R26" s="112">
        <v>26440</v>
      </c>
      <c r="S26" s="112">
        <v>25503</v>
      </c>
      <c r="T26" s="112">
        <v>372075</v>
      </c>
      <c r="U26" s="112">
        <v>531476</v>
      </c>
      <c r="V26" s="112">
        <v>58751</v>
      </c>
      <c r="W26" s="112">
        <v>7494</v>
      </c>
      <c r="X26" s="112">
        <v>21819</v>
      </c>
      <c r="Y26" s="112">
        <v>123135</v>
      </c>
      <c r="Z26" s="112">
        <v>1302</v>
      </c>
      <c r="AA26" s="112">
        <v>234282</v>
      </c>
      <c r="AB26" s="112">
        <v>11321</v>
      </c>
      <c r="AC26" s="112">
        <v>2729</v>
      </c>
      <c r="AD26" s="112">
        <v>24653</v>
      </c>
      <c r="AE26" s="112">
        <v>120520</v>
      </c>
      <c r="AF26" s="112">
        <v>307687</v>
      </c>
      <c r="AG26" s="112">
        <v>1509080</v>
      </c>
      <c r="AH26" s="112">
        <v>13828</v>
      </c>
      <c r="AI26" s="112">
        <v>493783</v>
      </c>
      <c r="AJ26" s="112">
        <v>902190</v>
      </c>
      <c r="AK26" s="112">
        <v>14352</v>
      </c>
      <c r="AL26" s="127">
        <v>48129</v>
      </c>
      <c r="AM26" s="112">
        <v>47470</v>
      </c>
      <c r="AN26" s="116">
        <v>837237</v>
      </c>
      <c r="AO26" s="116">
        <v>5710</v>
      </c>
      <c r="AP26" s="116">
        <v>0</v>
      </c>
      <c r="AQ26" s="112">
        <v>150541</v>
      </c>
      <c r="AR26" s="112">
        <v>299781</v>
      </c>
      <c r="AS26" s="112">
        <v>85447</v>
      </c>
      <c r="AT26" s="112">
        <v>857</v>
      </c>
      <c r="AU26" s="112">
        <v>160406</v>
      </c>
      <c r="AV26" s="112">
        <v>60812</v>
      </c>
      <c r="AW26" s="112">
        <v>50929</v>
      </c>
      <c r="AX26" s="112">
        <v>254784</v>
      </c>
      <c r="AY26" s="112">
        <v>686163</v>
      </c>
      <c r="AZ26" s="126"/>
      <c r="BA26" s="126"/>
      <c r="BB26" s="126"/>
      <c r="BC26" s="126"/>
      <c r="BD26" s="126"/>
      <c r="BE26" s="126"/>
      <c r="BF26" s="126"/>
      <c r="BG26" s="126"/>
      <c r="BH26" s="126"/>
      <c r="BI26" s="126"/>
      <c r="BJ26" s="126"/>
      <c r="BK26" s="126"/>
      <c r="BL26" s="126"/>
      <c r="BM26" s="126"/>
      <c r="BN26" s="126"/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A26" s="126"/>
      <c r="CB26" s="126"/>
      <c r="CC26" s="126"/>
      <c r="CD26" s="126"/>
      <c r="CE26" s="126"/>
    </row>
    <row r="27" spans="1:83" x14ac:dyDescent="0.25">
      <c r="A27">
        <v>20</v>
      </c>
      <c r="B27" s="112">
        <v>77597</v>
      </c>
      <c r="C27" s="112">
        <v>107603</v>
      </c>
      <c r="D27" s="112">
        <v>19573</v>
      </c>
      <c r="E27" s="112">
        <v>21357</v>
      </c>
      <c r="F27" s="112">
        <v>271642</v>
      </c>
      <c r="G27" s="112">
        <v>4877</v>
      </c>
      <c r="H27" s="112">
        <v>9776</v>
      </c>
      <c r="I27" s="112">
        <v>535589</v>
      </c>
      <c r="J27" s="112">
        <v>90666</v>
      </c>
      <c r="K27" s="112">
        <v>8070</v>
      </c>
      <c r="L27" s="112">
        <v>39573</v>
      </c>
      <c r="M27" s="112">
        <v>61177</v>
      </c>
      <c r="N27" s="112">
        <v>55217</v>
      </c>
      <c r="O27" s="112">
        <v>267530</v>
      </c>
      <c r="P27" s="112">
        <v>554894</v>
      </c>
      <c r="Q27" s="112">
        <v>5009</v>
      </c>
      <c r="R27" s="112">
        <v>26450</v>
      </c>
      <c r="S27" s="112">
        <v>25503</v>
      </c>
      <c r="T27" s="112">
        <v>372261</v>
      </c>
      <c r="U27" s="112">
        <v>531835</v>
      </c>
      <c r="V27" s="112">
        <v>58791</v>
      </c>
      <c r="W27" s="112">
        <v>7502</v>
      </c>
      <c r="X27" s="112">
        <v>21832</v>
      </c>
      <c r="Y27" s="112">
        <v>123207</v>
      </c>
      <c r="Z27" s="112">
        <v>1302</v>
      </c>
      <c r="AA27" s="112">
        <v>234426</v>
      </c>
      <c r="AB27" s="112">
        <v>11323</v>
      </c>
      <c r="AC27" s="112">
        <v>2731</v>
      </c>
      <c r="AD27" s="112">
        <v>24679</v>
      </c>
      <c r="AE27" s="112">
        <v>120640</v>
      </c>
      <c r="AF27" s="112">
        <v>307943</v>
      </c>
      <c r="AG27" s="112">
        <v>1510003</v>
      </c>
      <c r="AH27" s="112">
        <v>13834</v>
      </c>
      <c r="AI27" s="112">
        <v>493800</v>
      </c>
      <c r="AJ27" s="112">
        <v>902842</v>
      </c>
      <c r="AK27" s="112">
        <v>14366</v>
      </c>
      <c r="AL27" s="127">
        <v>48144</v>
      </c>
      <c r="AM27" s="112">
        <v>47563</v>
      </c>
      <c r="AN27" s="116">
        <v>837907</v>
      </c>
      <c r="AO27" s="116">
        <v>5710</v>
      </c>
      <c r="AP27" s="116">
        <v>0</v>
      </c>
      <c r="AQ27" s="112">
        <v>150653</v>
      </c>
      <c r="AR27" s="112">
        <v>300015</v>
      </c>
      <c r="AS27" s="112">
        <v>85531</v>
      </c>
      <c r="AT27" s="112">
        <v>858</v>
      </c>
      <c r="AU27" s="112">
        <v>160551</v>
      </c>
      <c r="AV27" s="112">
        <v>60861</v>
      </c>
      <c r="AW27" s="112">
        <v>50980</v>
      </c>
      <c r="AX27" s="112">
        <v>254949</v>
      </c>
      <c r="AY27" s="112">
        <v>686705</v>
      </c>
      <c r="AZ27" s="126"/>
      <c r="BA27" s="126"/>
      <c r="BB27" s="126"/>
      <c r="BC27" s="126"/>
      <c r="BD27" s="126"/>
      <c r="BE27" s="126"/>
      <c r="BF27" s="126"/>
      <c r="BG27" s="126"/>
      <c r="BH27" s="126"/>
      <c r="BI27" s="126"/>
      <c r="BJ27" s="126"/>
      <c r="BK27" s="126"/>
      <c r="BL27" s="126"/>
      <c r="BM27" s="126"/>
      <c r="BN27" s="126"/>
      <c r="BO27" s="126"/>
      <c r="BP27" s="126"/>
      <c r="BQ27" s="126"/>
      <c r="BR27" s="126"/>
      <c r="BS27" s="126"/>
      <c r="BT27" s="126"/>
      <c r="BU27" s="126"/>
      <c r="BV27" s="126"/>
      <c r="BW27" s="126"/>
      <c r="BX27" s="126"/>
      <c r="BY27" s="126"/>
      <c r="BZ27" s="126"/>
      <c r="CA27" s="126"/>
      <c r="CB27" s="126"/>
      <c r="CC27" s="126"/>
      <c r="CD27" s="126"/>
      <c r="CE27" s="126"/>
    </row>
    <row r="28" spans="1:83" x14ac:dyDescent="0.25">
      <c r="A28">
        <v>21</v>
      </c>
      <c r="B28" s="112">
        <v>77677</v>
      </c>
      <c r="C28" s="112">
        <v>107771</v>
      </c>
      <c r="D28" s="112">
        <v>19574</v>
      </c>
      <c r="E28" s="112">
        <v>21366</v>
      </c>
      <c r="F28" s="112">
        <v>271824</v>
      </c>
      <c r="G28" s="112">
        <v>4880</v>
      </c>
      <c r="H28" s="112">
        <v>9790</v>
      </c>
      <c r="I28" s="112">
        <v>536000</v>
      </c>
      <c r="J28" s="112">
        <v>90725</v>
      </c>
      <c r="K28" s="112">
        <v>8071</v>
      </c>
      <c r="L28" s="112">
        <v>39601</v>
      </c>
      <c r="M28" s="112">
        <v>61202</v>
      </c>
      <c r="N28" s="112">
        <v>55250</v>
      </c>
      <c r="O28" s="112">
        <v>267742</v>
      </c>
      <c r="P28" s="112">
        <v>555462</v>
      </c>
      <c r="Q28" s="112">
        <v>5016</v>
      </c>
      <c r="R28" s="112">
        <v>26459</v>
      </c>
      <c r="S28" s="112">
        <v>25503</v>
      </c>
      <c r="T28" s="112">
        <v>372437</v>
      </c>
      <c r="U28" s="112">
        <v>532209</v>
      </c>
      <c r="V28" s="112">
        <v>58834</v>
      </c>
      <c r="W28" s="112">
        <v>7510</v>
      </c>
      <c r="X28" s="112">
        <v>21846</v>
      </c>
      <c r="Y28" s="112">
        <v>123275</v>
      </c>
      <c r="Z28" s="112">
        <v>1302</v>
      </c>
      <c r="AA28" s="112">
        <v>234565</v>
      </c>
      <c r="AB28" s="112">
        <v>11323</v>
      </c>
      <c r="AC28" s="112">
        <v>2732</v>
      </c>
      <c r="AD28" s="112">
        <v>24702</v>
      </c>
      <c r="AE28" s="112">
        <v>120752</v>
      </c>
      <c r="AF28" s="112">
        <v>308168</v>
      </c>
      <c r="AG28" s="112">
        <v>1511550</v>
      </c>
      <c r="AH28" s="112">
        <v>13845</v>
      </c>
      <c r="AI28" s="112">
        <v>493817</v>
      </c>
      <c r="AJ28" s="112">
        <v>903446</v>
      </c>
      <c r="AK28" s="112">
        <v>14382</v>
      </c>
      <c r="AL28" s="127">
        <v>48159</v>
      </c>
      <c r="AM28" s="112">
        <v>47659</v>
      </c>
      <c r="AN28" s="116">
        <v>838538</v>
      </c>
      <c r="AO28" s="116">
        <v>5710</v>
      </c>
      <c r="AP28" s="116">
        <v>0</v>
      </c>
      <c r="AQ28" s="112">
        <v>150782</v>
      </c>
      <c r="AR28" s="112">
        <v>300236</v>
      </c>
      <c r="AS28" s="112">
        <v>85610</v>
      </c>
      <c r="AT28" s="112">
        <v>858</v>
      </c>
      <c r="AU28" s="112">
        <v>160695</v>
      </c>
      <c r="AV28" s="112">
        <v>60911</v>
      </c>
      <c r="AW28" s="112">
        <v>51025</v>
      </c>
      <c r="AX28" s="112">
        <v>255143</v>
      </c>
      <c r="AY28" s="112">
        <v>687240</v>
      </c>
      <c r="AZ28" s="126"/>
      <c r="BA28" s="126"/>
      <c r="BB28" s="126"/>
      <c r="BC28" s="126"/>
      <c r="BD28" s="126"/>
      <c r="BE28" s="126"/>
      <c r="BF28" s="126"/>
      <c r="BG28" s="126"/>
      <c r="BH28" s="126"/>
      <c r="BI28" s="126"/>
      <c r="BJ28" s="126"/>
      <c r="BK28" s="126"/>
      <c r="BL28" s="126"/>
      <c r="BM28" s="126"/>
      <c r="BN28" s="126"/>
      <c r="BO28" s="126"/>
      <c r="BP28" s="126"/>
      <c r="BQ28" s="126"/>
      <c r="BR28" s="126"/>
      <c r="BS28" s="126"/>
      <c r="BT28" s="126"/>
      <c r="BU28" s="126"/>
      <c r="BV28" s="126"/>
      <c r="BW28" s="126"/>
      <c r="BX28" s="126"/>
      <c r="BY28" s="126"/>
      <c r="BZ28" s="126"/>
      <c r="CA28" s="126"/>
      <c r="CB28" s="126"/>
      <c r="CC28" s="126"/>
      <c r="CD28" s="126"/>
      <c r="CE28" s="126"/>
    </row>
    <row r="29" spans="1:83" x14ac:dyDescent="0.25">
      <c r="A29">
        <v>22</v>
      </c>
      <c r="B29" s="112">
        <v>77766</v>
      </c>
      <c r="C29" s="112">
        <v>107949</v>
      </c>
      <c r="D29" s="112">
        <v>19582</v>
      </c>
      <c r="E29" s="112">
        <v>21379</v>
      </c>
      <c r="F29" s="112">
        <v>272024</v>
      </c>
      <c r="G29" s="112">
        <v>4883</v>
      </c>
      <c r="H29" s="112">
        <v>9812</v>
      </c>
      <c r="I29" s="112">
        <v>536422</v>
      </c>
      <c r="J29" s="112">
        <v>90785</v>
      </c>
      <c r="K29" s="112">
        <v>8071</v>
      </c>
      <c r="L29" s="112">
        <v>39624</v>
      </c>
      <c r="M29" s="112">
        <v>61241</v>
      </c>
      <c r="N29" s="112">
        <v>55279</v>
      </c>
      <c r="O29" s="112">
        <v>267935</v>
      </c>
      <c r="P29" s="112">
        <v>556072</v>
      </c>
      <c r="Q29" s="112">
        <v>5024</v>
      </c>
      <c r="R29" s="112">
        <v>26473</v>
      </c>
      <c r="S29" s="112">
        <v>25503</v>
      </c>
      <c r="T29" s="112">
        <v>372611</v>
      </c>
      <c r="U29" s="112">
        <v>532567</v>
      </c>
      <c r="V29" s="112">
        <v>58876</v>
      </c>
      <c r="W29" s="112">
        <v>7516</v>
      </c>
      <c r="X29" s="112">
        <v>21860</v>
      </c>
      <c r="Y29" s="112">
        <v>123346</v>
      </c>
      <c r="Z29" s="112">
        <v>1302</v>
      </c>
      <c r="AA29" s="112">
        <v>234698</v>
      </c>
      <c r="AB29" s="112">
        <v>11323</v>
      </c>
      <c r="AC29" s="112">
        <v>2734</v>
      </c>
      <c r="AD29" s="112">
        <v>24726</v>
      </c>
      <c r="AE29" s="112">
        <v>120862</v>
      </c>
      <c r="AF29" s="112">
        <v>308389</v>
      </c>
      <c r="AG29" s="112">
        <v>1512554</v>
      </c>
      <c r="AH29" s="112">
        <v>13857</v>
      </c>
      <c r="AI29" s="112">
        <v>493834</v>
      </c>
      <c r="AJ29" s="112">
        <v>904058</v>
      </c>
      <c r="AK29" s="112">
        <v>14397</v>
      </c>
      <c r="AL29" s="127">
        <v>48173</v>
      </c>
      <c r="AM29" s="112">
        <v>47741</v>
      </c>
      <c r="AN29" s="116">
        <v>839190</v>
      </c>
      <c r="AO29" s="116">
        <v>5710</v>
      </c>
      <c r="AP29" s="116">
        <v>0</v>
      </c>
      <c r="AQ29" s="112">
        <v>150894</v>
      </c>
      <c r="AR29" s="112">
        <v>300444</v>
      </c>
      <c r="AS29" s="112">
        <v>85687</v>
      </c>
      <c r="AT29" s="112">
        <v>859</v>
      </c>
      <c r="AU29" s="112">
        <v>160858</v>
      </c>
      <c r="AV29" s="112">
        <v>60959</v>
      </c>
      <c r="AW29" s="112">
        <v>51069</v>
      </c>
      <c r="AX29" s="112">
        <v>255335</v>
      </c>
      <c r="AY29" s="112">
        <v>687710</v>
      </c>
      <c r="AZ29" s="126"/>
      <c r="BA29" s="126"/>
      <c r="BB29" s="126"/>
      <c r="BC29" s="126"/>
      <c r="BD29" s="126"/>
      <c r="BE29" s="126"/>
      <c r="BF29" s="126"/>
      <c r="BG29" s="126"/>
      <c r="BH29" s="126"/>
      <c r="BI29" s="126"/>
      <c r="BJ29" s="126"/>
      <c r="BK29" s="126"/>
      <c r="BL29" s="126"/>
      <c r="BM29" s="126"/>
      <c r="BN29" s="126"/>
      <c r="BO29" s="126"/>
      <c r="BP29" s="126"/>
      <c r="BQ29" s="126"/>
      <c r="BR29" s="126"/>
      <c r="BS29" s="126"/>
      <c r="BT29" s="126"/>
      <c r="BU29" s="126"/>
      <c r="BV29" s="126"/>
      <c r="BW29" s="126"/>
      <c r="BX29" s="126"/>
      <c r="BY29" s="126"/>
      <c r="BZ29" s="126"/>
      <c r="CA29" s="126"/>
      <c r="CB29" s="126"/>
      <c r="CC29" s="126"/>
      <c r="CD29" s="126"/>
      <c r="CE29" s="126"/>
    </row>
    <row r="30" spans="1:83" x14ac:dyDescent="0.25">
      <c r="A30">
        <v>23</v>
      </c>
      <c r="B30" s="112">
        <v>77852</v>
      </c>
      <c r="C30" s="112">
        <v>108120</v>
      </c>
      <c r="D30" s="112">
        <v>19604</v>
      </c>
      <c r="E30" s="112">
        <v>21387</v>
      </c>
      <c r="F30" s="112">
        <v>272207</v>
      </c>
      <c r="G30" s="112">
        <v>4886</v>
      </c>
      <c r="H30" s="112">
        <v>9837</v>
      </c>
      <c r="I30" s="112">
        <v>536843</v>
      </c>
      <c r="J30" s="112">
        <v>90837</v>
      </c>
      <c r="K30" s="112">
        <v>8072</v>
      </c>
      <c r="L30" s="112">
        <v>39651</v>
      </c>
      <c r="M30" s="112">
        <v>61280</v>
      </c>
      <c r="N30" s="112">
        <v>55306</v>
      </c>
      <c r="O30" s="112">
        <v>268135</v>
      </c>
      <c r="P30" s="112">
        <v>556605</v>
      </c>
      <c r="Q30" s="112">
        <v>5033</v>
      </c>
      <c r="R30" s="112">
        <v>26486</v>
      </c>
      <c r="S30" s="112">
        <v>25503</v>
      </c>
      <c r="T30" s="112">
        <v>372789</v>
      </c>
      <c r="U30" s="112">
        <v>532956</v>
      </c>
      <c r="V30" s="112">
        <v>58918</v>
      </c>
      <c r="W30" s="112">
        <v>7520</v>
      </c>
      <c r="X30" s="112">
        <v>21873</v>
      </c>
      <c r="Y30" s="112">
        <v>123414</v>
      </c>
      <c r="Z30" s="112">
        <v>1302</v>
      </c>
      <c r="AA30" s="112">
        <v>234843</v>
      </c>
      <c r="AB30" s="112">
        <v>11324</v>
      </c>
      <c r="AC30" s="112">
        <v>2735</v>
      </c>
      <c r="AD30" s="112">
        <v>24746</v>
      </c>
      <c r="AE30" s="112">
        <v>120971</v>
      </c>
      <c r="AF30" s="112">
        <v>308602</v>
      </c>
      <c r="AG30" s="112">
        <v>1513472</v>
      </c>
      <c r="AH30" s="112">
        <v>13867</v>
      </c>
      <c r="AI30" s="112">
        <v>493852</v>
      </c>
      <c r="AJ30" s="112">
        <v>904635</v>
      </c>
      <c r="AK30" s="112">
        <v>14414</v>
      </c>
      <c r="AL30" s="127">
        <v>48188</v>
      </c>
      <c r="AM30" s="112">
        <v>47828</v>
      </c>
      <c r="AN30" s="116">
        <v>839840</v>
      </c>
      <c r="AO30" s="116">
        <v>5710</v>
      </c>
      <c r="AP30" s="116">
        <v>0</v>
      </c>
      <c r="AQ30" s="112">
        <v>151001</v>
      </c>
      <c r="AR30" s="116">
        <v>300658</v>
      </c>
      <c r="AS30" s="112">
        <v>85763</v>
      </c>
      <c r="AT30" s="112">
        <v>860</v>
      </c>
      <c r="AU30" s="112">
        <v>161003</v>
      </c>
      <c r="AV30" s="112">
        <v>61009</v>
      </c>
      <c r="AW30" s="112">
        <v>51119</v>
      </c>
      <c r="AX30" s="112">
        <v>255533</v>
      </c>
      <c r="AY30" s="112">
        <v>688310</v>
      </c>
      <c r="AZ30" s="126"/>
      <c r="BA30" s="126"/>
      <c r="BB30" s="126"/>
      <c r="BC30" s="126"/>
      <c r="BD30" s="126"/>
      <c r="BE30" s="126"/>
      <c r="BF30" s="126"/>
      <c r="BG30" s="126"/>
      <c r="BH30" s="126"/>
      <c r="BI30" s="126"/>
      <c r="BJ30" s="126"/>
      <c r="BK30" s="126"/>
      <c r="BL30" s="126"/>
      <c r="BM30" s="126"/>
      <c r="BN30" s="126"/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A30" s="126"/>
      <c r="CB30" s="126"/>
      <c r="CC30" s="126"/>
      <c r="CD30" s="126"/>
      <c r="CE30" s="126"/>
    </row>
    <row r="31" spans="1:83" x14ac:dyDescent="0.25">
      <c r="A31">
        <v>24</v>
      </c>
      <c r="B31" s="112">
        <v>77940</v>
      </c>
      <c r="C31" s="112">
        <v>108300</v>
      </c>
      <c r="D31" s="112">
        <v>19613</v>
      </c>
      <c r="E31" s="112">
        <v>21391</v>
      </c>
      <c r="F31" s="112">
        <v>272389</v>
      </c>
      <c r="G31" s="112">
        <v>4889</v>
      </c>
      <c r="H31" s="112">
        <v>9855</v>
      </c>
      <c r="I31" s="112">
        <v>537244</v>
      </c>
      <c r="J31" s="112">
        <v>90884</v>
      </c>
      <c r="K31" s="112">
        <v>8072</v>
      </c>
      <c r="L31" s="112">
        <v>39671</v>
      </c>
      <c r="M31" s="112">
        <v>61305</v>
      </c>
      <c r="N31" s="112">
        <v>55331</v>
      </c>
      <c r="O31" s="112">
        <v>268329</v>
      </c>
      <c r="P31" s="112">
        <v>557289</v>
      </c>
      <c r="Q31" s="112">
        <v>5040</v>
      </c>
      <c r="R31" s="112">
        <v>26502</v>
      </c>
      <c r="S31" s="112">
        <v>25503</v>
      </c>
      <c r="T31" s="112">
        <v>372969</v>
      </c>
      <c r="U31" s="112">
        <v>533335</v>
      </c>
      <c r="V31" s="112">
        <v>58961</v>
      </c>
      <c r="W31" s="112">
        <v>7521</v>
      </c>
      <c r="X31" s="112">
        <v>21885</v>
      </c>
      <c r="Y31" s="112">
        <v>123471</v>
      </c>
      <c r="Z31" s="112">
        <v>1302</v>
      </c>
      <c r="AA31" s="112">
        <v>234985</v>
      </c>
      <c r="AB31" s="112">
        <v>11327</v>
      </c>
      <c r="AC31" s="112">
        <v>2737</v>
      </c>
      <c r="AD31" s="112">
        <v>24774</v>
      </c>
      <c r="AE31" s="112">
        <v>121073</v>
      </c>
      <c r="AF31" s="112">
        <v>308810</v>
      </c>
      <c r="AG31" s="112">
        <v>1514301</v>
      </c>
      <c r="AH31" s="112">
        <v>13875</v>
      </c>
      <c r="AI31" s="112">
        <v>493869</v>
      </c>
      <c r="AJ31" s="112">
        <v>905246</v>
      </c>
      <c r="AK31" s="112">
        <v>14433</v>
      </c>
      <c r="AL31" s="127">
        <v>48202</v>
      </c>
      <c r="AM31" s="112">
        <v>47920</v>
      </c>
      <c r="AN31" s="116">
        <v>840382</v>
      </c>
      <c r="AO31" s="116">
        <v>5710</v>
      </c>
      <c r="AP31" s="116">
        <v>0</v>
      </c>
      <c r="AQ31" s="112">
        <v>151113</v>
      </c>
      <c r="AR31" s="112">
        <v>300886</v>
      </c>
      <c r="AS31" s="112">
        <v>85832</v>
      </c>
      <c r="AT31" s="112">
        <v>860</v>
      </c>
      <c r="AU31" s="112">
        <v>161146</v>
      </c>
      <c r="AV31" s="112">
        <v>61057</v>
      </c>
      <c r="AW31" s="112">
        <v>51161</v>
      </c>
      <c r="AX31" s="112">
        <v>255730</v>
      </c>
      <c r="AY31" s="112">
        <v>688840</v>
      </c>
      <c r="AZ31" s="126"/>
      <c r="BA31" s="126"/>
      <c r="BB31" s="126"/>
      <c r="BC31" s="126"/>
      <c r="BD31" s="126"/>
      <c r="BE31" s="126"/>
      <c r="BF31" s="126"/>
      <c r="BG31" s="126"/>
      <c r="BH31" s="126"/>
      <c r="BI31" s="126"/>
      <c r="BJ31" s="126"/>
      <c r="BK31" s="126"/>
      <c r="BL31" s="126"/>
      <c r="BM31" s="126"/>
      <c r="BN31" s="126"/>
      <c r="BO31" s="126"/>
      <c r="BP31" s="126"/>
      <c r="BQ31" s="126"/>
      <c r="BR31" s="126"/>
      <c r="BS31" s="126"/>
      <c r="BT31" s="126"/>
      <c r="BU31" s="126"/>
      <c r="BV31" s="126"/>
      <c r="BW31" s="126"/>
      <c r="BX31" s="126"/>
      <c r="BY31" s="126"/>
      <c r="BZ31" s="126"/>
      <c r="CA31" s="126"/>
      <c r="CB31" s="126"/>
      <c r="CC31" s="126"/>
      <c r="CD31" s="126"/>
      <c r="CE31" s="126"/>
    </row>
    <row r="32" spans="1:83" x14ac:dyDescent="0.25">
      <c r="A32">
        <v>25</v>
      </c>
      <c r="B32" s="112">
        <v>78030</v>
      </c>
      <c r="C32" s="112">
        <v>108475</v>
      </c>
      <c r="D32" s="112">
        <v>19618</v>
      </c>
      <c r="E32" s="112">
        <v>21408</v>
      </c>
      <c r="F32" s="112">
        <v>272561</v>
      </c>
      <c r="G32" s="112">
        <v>4891</v>
      </c>
      <c r="H32" s="112">
        <v>9875</v>
      </c>
      <c r="I32" s="112">
        <v>537648</v>
      </c>
      <c r="J32" s="112">
        <v>90943</v>
      </c>
      <c r="K32" s="112">
        <v>8073</v>
      </c>
      <c r="L32" s="112">
        <v>39692</v>
      </c>
      <c r="M32" s="112">
        <v>61328</v>
      </c>
      <c r="N32" s="112">
        <v>55356</v>
      </c>
      <c r="O32" s="112">
        <v>268523</v>
      </c>
      <c r="P32" s="112">
        <v>557921</v>
      </c>
      <c r="Q32" s="112">
        <v>5050</v>
      </c>
      <c r="R32" s="112">
        <v>26516</v>
      </c>
      <c r="S32" s="112">
        <v>25503</v>
      </c>
      <c r="T32" s="112">
        <v>373146</v>
      </c>
      <c r="U32" s="112">
        <v>533689</v>
      </c>
      <c r="V32" s="112">
        <v>59003</v>
      </c>
      <c r="W32" s="112">
        <v>7523</v>
      </c>
      <c r="X32" s="112">
        <v>21898</v>
      </c>
      <c r="Y32" s="112">
        <v>123528</v>
      </c>
      <c r="Z32" s="112">
        <v>1302</v>
      </c>
      <c r="AA32" s="112">
        <v>235124</v>
      </c>
      <c r="AB32" s="112">
        <v>11329</v>
      </c>
      <c r="AC32" s="112">
        <v>2739</v>
      </c>
      <c r="AD32" s="112">
        <v>24802</v>
      </c>
      <c r="AE32" s="112">
        <v>121195</v>
      </c>
      <c r="AF32" s="112">
        <v>309018</v>
      </c>
      <c r="AG32" s="112">
        <v>1515046</v>
      </c>
      <c r="AH32" s="112">
        <v>13887</v>
      </c>
      <c r="AI32" s="112">
        <v>493885</v>
      </c>
      <c r="AJ32" s="112">
        <v>905798</v>
      </c>
      <c r="AK32" s="112">
        <v>14448</v>
      </c>
      <c r="AL32" s="127">
        <v>48216</v>
      </c>
      <c r="AM32" s="112">
        <v>47998</v>
      </c>
      <c r="AN32" s="116">
        <v>841055</v>
      </c>
      <c r="AO32" s="116">
        <v>5710</v>
      </c>
      <c r="AP32" s="116">
        <v>0</v>
      </c>
      <c r="AQ32" s="112">
        <v>151226</v>
      </c>
      <c r="AR32" s="112">
        <v>301112</v>
      </c>
      <c r="AS32" s="112">
        <v>85905</v>
      </c>
      <c r="AT32" s="112">
        <v>861</v>
      </c>
      <c r="AU32" s="112">
        <v>161302</v>
      </c>
      <c r="AV32" s="112">
        <v>61100</v>
      </c>
      <c r="AW32" s="112">
        <v>51206</v>
      </c>
      <c r="AX32" s="112">
        <v>255919</v>
      </c>
      <c r="AY32" s="112">
        <v>689361</v>
      </c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</row>
    <row r="33" spans="1:83" x14ac:dyDescent="0.25">
      <c r="A33">
        <v>26</v>
      </c>
      <c r="B33" s="112">
        <v>78120</v>
      </c>
      <c r="C33" s="112">
        <v>108635</v>
      </c>
      <c r="D33" s="112">
        <v>19630</v>
      </c>
      <c r="E33" s="112">
        <v>21438</v>
      </c>
      <c r="F33" s="112">
        <v>272745</v>
      </c>
      <c r="G33" s="112">
        <v>4894</v>
      </c>
      <c r="H33" s="112">
        <v>9888</v>
      </c>
      <c r="I33" s="112">
        <v>538054</v>
      </c>
      <c r="J33" s="112">
        <v>91000</v>
      </c>
      <c r="K33" s="112">
        <v>8073</v>
      </c>
      <c r="L33" s="112">
        <v>39717</v>
      </c>
      <c r="M33" s="112">
        <v>61355</v>
      </c>
      <c r="N33" s="112">
        <v>55379</v>
      </c>
      <c r="O33" s="112">
        <v>268719</v>
      </c>
      <c r="P33" s="112">
        <v>558429</v>
      </c>
      <c r="Q33" s="112">
        <v>5058</v>
      </c>
      <c r="R33" s="112">
        <v>26528</v>
      </c>
      <c r="S33" s="112">
        <v>25503</v>
      </c>
      <c r="T33" s="112">
        <v>373328</v>
      </c>
      <c r="U33" s="112">
        <v>534028</v>
      </c>
      <c r="V33" s="112">
        <v>59046</v>
      </c>
      <c r="W33" s="112">
        <v>7529</v>
      </c>
      <c r="X33" s="112">
        <v>21909</v>
      </c>
      <c r="Y33" s="112">
        <v>123598</v>
      </c>
      <c r="Z33" s="112">
        <v>1302</v>
      </c>
      <c r="AA33" s="112">
        <v>235262</v>
      </c>
      <c r="AB33" s="112">
        <v>11332</v>
      </c>
      <c r="AC33" s="112">
        <v>2740</v>
      </c>
      <c r="AD33" s="112">
        <v>24831</v>
      </c>
      <c r="AE33" s="112">
        <v>121320</v>
      </c>
      <c r="AF33" s="112">
        <v>309231</v>
      </c>
      <c r="AG33" s="112">
        <v>1515887</v>
      </c>
      <c r="AH33" s="112">
        <v>13898</v>
      </c>
      <c r="AI33" s="112">
        <v>493902</v>
      </c>
      <c r="AJ33" s="112">
        <v>906417</v>
      </c>
      <c r="AK33" s="112">
        <v>14470</v>
      </c>
      <c r="AL33" s="127">
        <v>48230</v>
      </c>
      <c r="AM33" s="112">
        <v>48084</v>
      </c>
      <c r="AN33" s="116">
        <v>841725</v>
      </c>
      <c r="AO33" s="116">
        <v>5710</v>
      </c>
      <c r="AP33" s="116">
        <v>0</v>
      </c>
      <c r="AQ33" s="112">
        <v>151331</v>
      </c>
      <c r="AR33" s="112">
        <v>301325</v>
      </c>
      <c r="AS33" s="112">
        <v>85984</v>
      </c>
      <c r="AT33" s="112">
        <v>862</v>
      </c>
      <c r="AU33" s="112">
        <v>161442</v>
      </c>
      <c r="AV33" s="112">
        <v>61146</v>
      </c>
      <c r="AW33" s="112">
        <v>51253</v>
      </c>
      <c r="AX33" s="112">
        <v>256107</v>
      </c>
      <c r="AY33" s="112">
        <v>689939</v>
      </c>
      <c r="AZ33" s="126"/>
      <c r="BA33" s="126"/>
      <c r="BB33" s="126"/>
      <c r="BC33" s="126"/>
      <c r="BD33" s="126"/>
      <c r="BE33" s="126"/>
      <c r="BF33" s="126"/>
      <c r="BG33" s="126"/>
      <c r="BH33" s="126"/>
      <c r="BI33" s="126"/>
      <c r="BJ33" s="126"/>
      <c r="BK33" s="126"/>
      <c r="BL33" s="126"/>
      <c r="BM33" s="126"/>
      <c r="BN33" s="12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A33" s="126"/>
      <c r="CB33" s="126"/>
      <c r="CC33" s="126"/>
      <c r="CD33" s="126"/>
      <c r="CE33" s="126"/>
    </row>
    <row r="34" spans="1:83" x14ac:dyDescent="0.25">
      <c r="A34">
        <v>27</v>
      </c>
      <c r="B34" s="112">
        <v>78204</v>
      </c>
      <c r="C34" s="112">
        <v>108804</v>
      </c>
      <c r="D34" s="112">
        <v>19648</v>
      </c>
      <c r="E34" s="112">
        <v>21447</v>
      </c>
      <c r="F34" s="112">
        <v>272924</v>
      </c>
      <c r="G34" s="112">
        <v>4897</v>
      </c>
      <c r="H34" s="112">
        <v>9901</v>
      </c>
      <c r="I34" s="112">
        <v>538472</v>
      </c>
      <c r="J34" s="112">
        <v>91055</v>
      </c>
      <c r="K34" s="112">
        <v>8074</v>
      </c>
      <c r="L34" s="112">
        <v>39741</v>
      </c>
      <c r="M34" s="112">
        <v>61377</v>
      </c>
      <c r="N34" s="112">
        <v>55405</v>
      </c>
      <c r="O34" s="112">
        <v>268921</v>
      </c>
      <c r="P34" s="112">
        <v>559006</v>
      </c>
      <c r="Q34" s="112">
        <v>5067</v>
      </c>
      <c r="R34" s="112">
        <v>26542</v>
      </c>
      <c r="S34" s="112">
        <v>25503</v>
      </c>
      <c r="T34" s="112">
        <v>373514</v>
      </c>
      <c r="U34" s="112">
        <v>534395</v>
      </c>
      <c r="V34" s="112">
        <v>59087</v>
      </c>
      <c r="W34" s="112">
        <v>7535</v>
      </c>
      <c r="X34" s="112">
        <v>21920</v>
      </c>
      <c r="Y34" s="112">
        <v>123673</v>
      </c>
      <c r="Z34" s="112">
        <v>1302</v>
      </c>
      <c r="AA34" s="112">
        <v>235399</v>
      </c>
      <c r="AB34" s="112">
        <v>11332</v>
      </c>
      <c r="AC34" s="112">
        <v>2742</v>
      </c>
      <c r="AD34" s="112">
        <v>24854</v>
      </c>
      <c r="AE34" s="112">
        <v>121426</v>
      </c>
      <c r="AF34" s="112">
        <v>309447</v>
      </c>
      <c r="AG34" s="112">
        <v>1516771</v>
      </c>
      <c r="AH34" s="112">
        <v>13910</v>
      </c>
      <c r="AI34" s="112">
        <v>493919</v>
      </c>
      <c r="AJ34" s="112">
        <v>906967</v>
      </c>
      <c r="AK34" s="112">
        <v>14487</v>
      </c>
      <c r="AL34" s="127">
        <v>48247</v>
      </c>
      <c r="AM34" s="112">
        <v>48245</v>
      </c>
      <c r="AN34" s="116">
        <v>841865</v>
      </c>
      <c r="AO34" s="116">
        <v>5710</v>
      </c>
      <c r="AP34" s="116">
        <v>0</v>
      </c>
      <c r="AQ34" s="112">
        <v>151431</v>
      </c>
      <c r="AR34" s="112">
        <v>301542</v>
      </c>
      <c r="AS34" s="112">
        <v>86065</v>
      </c>
      <c r="AT34" s="112">
        <v>862</v>
      </c>
      <c r="AU34" s="112">
        <v>161588</v>
      </c>
      <c r="AV34" s="112">
        <v>61192</v>
      </c>
      <c r="AW34" s="112">
        <v>51301</v>
      </c>
      <c r="AX34" s="112">
        <v>256306</v>
      </c>
      <c r="AY34" s="112">
        <v>690501</v>
      </c>
      <c r="AZ34" s="126"/>
      <c r="BA34" s="126"/>
      <c r="BB34" s="126"/>
      <c r="BC34" s="126"/>
      <c r="BD34" s="126"/>
      <c r="BE34" s="126"/>
      <c r="BF34" s="126"/>
      <c r="BG34" s="126"/>
      <c r="BH34" s="126"/>
      <c r="BI34" s="126"/>
      <c r="BJ34" s="126"/>
      <c r="BK34" s="126"/>
      <c r="BL34" s="126"/>
      <c r="BM34" s="126"/>
      <c r="BN34" s="126"/>
      <c r="BO34" s="126"/>
      <c r="BP34" s="126"/>
      <c r="BQ34" s="126"/>
      <c r="BR34" s="126"/>
      <c r="BS34" s="126"/>
      <c r="BT34" s="126"/>
      <c r="BU34" s="126"/>
      <c r="BV34" s="126"/>
      <c r="BW34" s="126"/>
      <c r="BX34" s="126"/>
      <c r="BY34" s="126"/>
      <c r="BZ34" s="126"/>
      <c r="CA34" s="126"/>
      <c r="CB34" s="126"/>
      <c r="CC34" s="126"/>
      <c r="CD34" s="126"/>
      <c r="CE34" s="126"/>
    </row>
    <row r="35" spans="1:83" x14ac:dyDescent="0.25">
      <c r="A35">
        <v>28</v>
      </c>
      <c r="B35" s="112">
        <v>78292</v>
      </c>
      <c r="C35" s="112">
        <v>108983</v>
      </c>
      <c r="D35" s="112">
        <v>19663</v>
      </c>
      <c r="E35" s="112">
        <v>21459</v>
      </c>
      <c r="F35" s="112">
        <v>273096</v>
      </c>
      <c r="G35" s="112">
        <v>4900</v>
      </c>
      <c r="H35" s="112">
        <v>9918</v>
      </c>
      <c r="I35" s="112">
        <v>538869</v>
      </c>
      <c r="J35" s="112">
        <v>91100</v>
      </c>
      <c r="K35" s="112">
        <v>8074</v>
      </c>
      <c r="L35" s="112">
        <v>39774</v>
      </c>
      <c r="M35" s="112">
        <v>61396</v>
      </c>
      <c r="N35" s="112">
        <v>55431</v>
      </c>
      <c r="O35" s="112">
        <v>269126</v>
      </c>
      <c r="P35" s="112">
        <v>559545</v>
      </c>
      <c r="Q35" s="112">
        <v>5073</v>
      </c>
      <c r="R35" s="112">
        <v>26555</v>
      </c>
      <c r="S35" s="112">
        <v>25503</v>
      </c>
      <c r="T35" s="112">
        <v>373695</v>
      </c>
      <c r="U35" s="112">
        <v>534758</v>
      </c>
      <c r="V35" s="112">
        <v>59132</v>
      </c>
      <c r="W35" s="112">
        <v>7540</v>
      </c>
      <c r="X35" s="112">
        <v>21933</v>
      </c>
      <c r="Y35" s="112">
        <v>123747</v>
      </c>
      <c r="Z35" s="112">
        <v>1302</v>
      </c>
      <c r="AA35" s="112">
        <v>235530</v>
      </c>
      <c r="AB35" s="112">
        <v>11332</v>
      </c>
      <c r="AC35" s="112">
        <v>2743</v>
      </c>
      <c r="AD35" s="112">
        <v>24885</v>
      </c>
      <c r="AE35" s="112">
        <v>121541</v>
      </c>
      <c r="AF35" s="112">
        <v>309642</v>
      </c>
      <c r="AG35" s="112">
        <v>1517436</v>
      </c>
      <c r="AH35" s="112">
        <v>13921</v>
      </c>
      <c r="AI35" s="112">
        <v>493936</v>
      </c>
      <c r="AJ35" s="112">
        <v>907601</v>
      </c>
      <c r="AK35" s="112">
        <v>14504</v>
      </c>
      <c r="AL35" s="127">
        <v>48259</v>
      </c>
      <c r="AM35" s="112">
        <v>48251</v>
      </c>
      <c r="AN35" s="116">
        <v>842962</v>
      </c>
      <c r="AO35" s="116">
        <v>5710</v>
      </c>
      <c r="AP35" s="116">
        <v>0</v>
      </c>
      <c r="AQ35" s="112">
        <v>151531</v>
      </c>
      <c r="AR35" s="112">
        <v>301791</v>
      </c>
      <c r="AS35" s="112">
        <v>86117</v>
      </c>
      <c r="AT35" s="112">
        <v>863</v>
      </c>
      <c r="AU35" s="112">
        <v>161698</v>
      </c>
      <c r="AV35" s="112">
        <v>61232</v>
      </c>
      <c r="AW35" s="112">
        <v>51340</v>
      </c>
      <c r="AX35" s="112">
        <v>256406</v>
      </c>
      <c r="AY35" s="112">
        <v>691046</v>
      </c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  <c r="BR35" s="126"/>
      <c r="BS35" s="126"/>
      <c r="BT35" s="126"/>
      <c r="BU35" s="126"/>
      <c r="BV35" s="126"/>
      <c r="BW35" s="126"/>
      <c r="BX35" s="126"/>
      <c r="BY35" s="126"/>
      <c r="BZ35" s="126"/>
      <c r="CA35" s="126"/>
      <c r="CB35" s="126"/>
      <c r="CC35" s="126"/>
      <c r="CD35" s="126"/>
      <c r="CE35" s="126"/>
    </row>
    <row r="36" spans="1:83" x14ac:dyDescent="0.25">
      <c r="A36">
        <v>29</v>
      </c>
      <c r="B36" s="112">
        <v>78387</v>
      </c>
      <c r="C36" s="112">
        <v>109161</v>
      </c>
      <c r="D36" s="112">
        <v>19682</v>
      </c>
      <c r="E36" s="112">
        <v>21473</v>
      </c>
      <c r="F36" s="112">
        <v>273282</v>
      </c>
      <c r="G36" s="112">
        <v>4903</v>
      </c>
      <c r="H36" s="112">
        <v>9944</v>
      </c>
      <c r="I36" s="112">
        <v>539253</v>
      </c>
      <c r="J36" s="112">
        <v>91137</v>
      </c>
      <c r="K36" s="112">
        <v>8075</v>
      </c>
      <c r="L36" s="112">
        <v>39810</v>
      </c>
      <c r="M36" s="112">
        <v>61409</v>
      </c>
      <c r="N36" s="112">
        <v>55457</v>
      </c>
      <c r="O36" s="112">
        <v>269323</v>
      </c>
      <c r="P36" s="112">
        <v>560121</v>
      </c>
      <c r="Q36" s="112">
        <v>5081</v>
      </c>
      <c r="R36" s="112">
        <v>26568</v>
      </c>
      <c r="S36" s="112">
        <v>25503</v>
      </c>
      <c r="T36" s="112">
        <v>373891</v>
      </c>
      <c r="U36" s="112">
        <v>535116</v>
      </c>
      <c r="V36" s="112">
        <v>59181</v>
      </c>
      <c r="W36" s="112">
        <v>7543</v>
      </c>
      <c r="X36" s="112">
        <v>21945</v>
      </c>
      <c r="Y36" s="112">
        <v>123819</v>
      </c>
      <c r="Z36" s="112">
        <v>1302</v>
      </c>
      <c r="AA36" s="112">
        <v>235665</v>
      </c>
      <c r="AB36" s="112">
        <v>11332</v>
      </c>
      <c r="AC36" s="112">
        <v>2745</v>
      </c>
      <c r="AD36" s="112">
        <v>24915</v>
      </c>
      <c r="AE36" s="112">
        <v>121651</v>
      </c>
      <c r="AF36" s="112">
        <v>309849</v>
      </c>
      <c r="AG36" s="112">
        <v>1518119</v>
      </c>
      <c r="AH36" s="112">
        <v>13935</v>
      </c>
      <c r="AI36" s="112">
        <v>493953</v>
      </c>
      <c r="AJ36" s="112">
        <v>908151</v>
      </c>
      <c r="AK36" s="112">
        <v>14522</v>
      </c>
      <c r="AL36" s="127">
        <v>48273</v>
      </c>
      <c r="AM36" s="112">
        <v>48273</v>
      </c>
      <c r="AN36" s="116">
        <v>843648</v>
      </c>
      <c r="AO36" s="116">
        <v>5710</v>
      </c>
      <c r="AP36" s="116">
        <v>0</v>
      </c>
      <c r="AQ36" s="112">
        <v>151633</v>
      </c>
      <c r="AR36" s="112">
        <v>302004</v>
      </c>
      <c r="AS36" s="112">
        <v>86151</v>
      </c>
      <c r="AT36" s="112">
        <v>863</v>
      </c>
      <c r="AU36" s="112">
        <v>161834</v>
      </c>
      <c r="AV36" s="112">
        <v>61273</v>
      </c>
      <c r="AW36" s="112">
        <v>51370</v>
      </c>
      <c r="AX36" s="112">
        <v>256481</v>
      </c>
      <c r="AY36" s="112">
        <v>691659</v>
      </c>
      <c r="AZ36" s="126"/>
      <c r="BA36" s="126"/>
      <c r="BB36" s="126"/>
      <c r="BC36" s="126"/>
      <c r="BD36" s="126"/>
      <c r="BE36" s="126"/>
      <c r="BF36" s="126"/>
      <c r="BG36" s="126"/>
      <c r="BH36" s="126"/>
      <c r="BI36" s="126"/>
      <c r="BJ36" s="126"/>
      <c r="BK36" s="126"/>
      <c r="BL36" s="126"/>
      <c r="BM36" s="126"/>
      <c r="BN36" s="126"/>
      <c r="BO36" s="126"/>
      <c r="BP36" s="126"/>
      <c r="BQ36" s="126"/>
      <c r="BR36" s="126"/>
      <c r="BS36" s="126"/>
      <c r="BT36" s="126"/>
      <c r="BU36" s="126"/>
      <c r="BV36" s="126"/>
      <c r="BW36" s="126"/>
      <c r="BX36" s="126"/>
      <c r="BY36" s="126"/>
      <c r="BZ36" s="126"/>
      <c r="CA36" s="126"/>
      <c r="CB36" s="126"/>
      <c r="CC36" s="126"/>
      <c r="CD36" s="126"/>
      <c r="CE36" s="126"/>
    </row>
    <row r="37" spans="1:83" ht="15.75" thickBot="1" x14ac:dyDescent="0.3">
      <c r="A37">
        <v>30</v>
      </c>
      <c r="B37" s="128">
        <v>78478</v>
      </c>
      <c r="C37" s="112">
        <v>109331</v>
      </c>
      <c r="D37" s="112">
        <v>19698</v>
      </c>
      <c r="E37" s="112">
        <v>21491</v>
      </c>
      <c r="F37" s="112">
        <v>273469</v>
      </c>
      <c r="G37" s="112">
        <v>4906</v>
      </c>
      <c r="H37" s="112">
        <v>9966</v>
      </c>
      <c r="I37" s="112">
        <v>539649</v>
      </c>
      <c r="J37" s="112">
        <v>91175</v>
      </c>
      <c r="K37" s="112">
        <v>8075</v>
      </c>
      <c r="L37" s="112">
        <v>39841</v>
      </c>
      <c r="M37" s="112">
        <v>61438</v>
      </c>
      <c r="N37" s="112">
        <v>55484</v>
      </c>
      <c r="O37" s="112">
        <v>269521</v>
      </c>
      <c r="P37" s="112">
        <v>560712</v>
      </c>
      <c r="Q37" s="112">
        <v>5086</v>
      </c>
      <c r="R37" s="112">
        <v>26579</v>
      </c>
      <c r="S37" s="112">
        <v>25503</v>
      </c>
      <c r="T37" s="112">
        <v>374070</v>
      </c>
      <c r="U37" s="112">
        <v>535476</v>
      </c>
      <c r="V37" s="112">
        <v>59231</v>
      </c>
      <c r="W37" s="112">
        <v>7546</v>
      </c>
      <c r="X37" s="112">
        <v>21957</v>
      </c>
      <c r="Y37" s="112">
        <v>123903</v>
      </c>
      <c r="Z37" s="112">
        <v>1302</v>
      </c>
      <c r="AA37" s="112">
        <v>235797</v>
      </c>
      <c r="AB37" s="112">
        <v>11334</v>
      </c>
      <c r="AC37" s="112">
        <v>2748</v>
      </c>
      <c r="AD37" s="112">
        <v>24935</v>
      </c>
      <c r="AE37" s="112">
        <v>121773</v>
      </c>
      <c r="AF37" s="112">
        <v>310044</v>
      </c>
      <c r="AG37" s="112">
        <v>1518814</v>
      </c>
      <c r="AH37" s="112">
        <v>13944</v>
      </c>
      <c r="AI37" s="112">
        <v>493970</v>
      </c>
      <c r="AJ37" s="112">
        <v>908766</v>
      </c>
      <c r="AK37" s="112">
        <v>14539</v>
      </c>
      <c r="AL37" s="127">
        <v>48287</v>
      </c>
      <c r="AM37" s="112">
        <v>48459</v>
      </c>
      <c r="AN37" s="116">
        <v>844290</v>
      </c>
      <c r="AO37" s="116">
        <v>5710</v>
      </c>
      <c r="AP37" s="116">
        <v>0</v>
      </c>
      <c r="AQ37" s="112">
        <v>151750</v>
      </c>
      <c r="AR37" s="112">
        <v>302244</v>
      </c>
      <c r="AS37" s="112">
        <v>86202</v>
      </c>
      <c r="AT37" s="112">
        <v>864</v>
      </c>
      <c r="AU37" s="112">
        <v>162007</v>
      </c>
      <c r="AV37" s="112">
        <v>61307</v>
      </c>
      <c r="AW37" s="112">
        <v>51402</v>
      </c>
      <c r="AX37" s="112">
        <v>256643</v>
      </c>
      <c r="AY37" s="129">
        <v>692171</v>
      </c>
      <c r="AZ37" s="130"/>
      <c r="BA37" s="130"/>
      <c r="BB37" s="130"/>
      <c r="BC37" s="130"/>
      <c r="BD37" s="130"/>
      <c r="BE37" s="130"/>
      <c r="BF37" s="130"/>
      <c r="BG37" s="130"/>
      <c r="BH37" s="130"/>
      <c r="BI37" s="130"/>
      <c r="BJ37" s="130"/>
      <c r="BK37" s="130"/>
      <c r="BL37" s="130"/>
      <c r="BM37" s="130"/>
      <c r="BN37" s="130"/>
      <c r="BO37" s="130"/>
      <c r="BP37" s="130"/>
      <c r="BQ37" s="130"/>
      <c r="BR37" s="130"/>
      <c r="BS37" s="130"/>
      <c r="BT37" s="130"/>
      <c r="BU37" s="130"/>
      <c r="BV37" s="130"/>
      <c r="BW37" s="130"/>
      <c r="BX37" s="130"/>
      <c r="BY37" s="130"/>
      <c r="BZ37" s="130"/>
      <c r="CA37" s="130"/>
      <c r="CB37" s="130"/>
      <c r="CC37" s="130"/>
      <c r="CD37" s="130"/>
      <c r="CE37" s="130"/>
    </row>
    <row r="38" spans="1:83" ht="15.75" thickBot="1" x14ac:dyDescent="0.3">
      <c r="A38">
        <v>31</v>
      </c>
      <c r="B38" s="111"/>
      <c r="C38" s="112"/>
      <c r="D38" s="113"/>
      <c r="E38" s="113"/>
      <c r="F38" s="113"/>
      <c r="G38" s="113"/>
      <c r="H38" s="112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2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4"/>
      <c r="AM38" s="113"/>
      <c r="AN38" s="115"/>
      <c r="AO38" s="115"/>
      <c r="AP38" s="116"/>
      <c r="AQ38" s="113"/>
      <c r="AR38" s="113"/>
      <c r="AS38" s="113"/>
      <c r="AT38" s="113"/>
      <c r="AU38" s="113"/>
      <c r="AV38" s="113"/>
      <c r="AW38" s="113"/>
      <c r="AX38" s="113"/>
      <c r="AY38" s="117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26"/>
      <c r="CE38" s="126"/>
    </row>
    <row r="39" spans="1:83" x14ac:dyDescent="0.25">
      <c r="D39" s="131"/>
      <c r="E39" s="23"/>
    </row>
    <row r="40" spans="1:83" x14ac:dyDescent="0.25">
      <c r="D40" s="131"/>
      <c r="E40" s="23"/>
    </row>
    <row r="41" spans="1:83" x14ac:dyDescent="0.25">
      <c r="D41" s="131"/>
      <c r="E41" s="23"/>
    </row>
    <row r="42" spans="1:83" x14ac:dyDescent="0.25">
      <c r="D42" s="131"/>
      <c r="E42" s="23"/>
    </row>
    <row r="43" spans="1:83" x14ac:dyDescent="0.25">
      <c r="D43" s="131"/>
      <c r="E43" s="23"/>
    </row>
    <row r="44" spans="1:83" x14ac:dyDescent="0.25">
      <c r="D44" s="131"/>
      <c r="E44" s="23"/>
    </row>
    <row r="45" spans="1:83" x14ac:dyDescent="0.25">
      <c r="D45" s="131"/>
      <c r="E45" s="23"/>
    </row>
    <row r="46" spans="1:83" x14ac:dyDescent="0.25">
      <c r="D46" s="131"/>
      <c r="E46" s="23"/>
    </row>
    <row r="47" spans="1:83" x14ac:dyDescent="0.25">
      <c r="D47" s="131"/>
      <c r="E47" s="23"/>
    </row>
    <row r="48" spans="1:83" x14ac:dyDescent="0.25">
      <c r="D48" s="131"/>
      <c r="E48" s="23"/>
    </row>
    <row r="49" spans="4:5" x14ac:dyDescent="0.25">
      <c r="D49" s="131"/>
      <c r="E49" s="23"/>
    </row>
    <row r="50" spans="4:5" x14ac:dyDescent="0.25">
      <c r="D50" s="131"/>
      <c r="E50" s="1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2021-07-31T14:35:50Z</dcterms:modified>
</cp:coreProperties>
</file>