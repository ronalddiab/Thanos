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324" documentId="8_{B5C46BEE-2163-4AAC-A0A7-4875FCE1155D}" xr6:coauthVersionLast="47" xr6:coauthVersionMax="47" xr10:uidLastSave="{38DC0D00-4654-49F6-85FC-686E4290F1CA}"/>
  <bookViews>
    <workbookView xWindow="0" yWindow="0" windowWidth="28800" windowHeight="12105" firstSheet="1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Z14" i="2"/>
  <c r="AP12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<sst xmlns="http://schemas.openxmlformats.org/spreadsheetml/2006/main" count="240" uniqueCount="61">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</sst>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8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0</v>
      </c>
      <c r="F7" s="15" t="e">
        <f>((Submetering!E7+Submetering!F7)*0.11+Submetering!G7*0.0302)/TOTAL!E7</f>
        <v>#DIV/0!</v>
      </c>
      <c r="G7" s="19">
        <f>Submetering!AC7</f>
        <v>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0</v>
      </c>
      <c r="L7" s="19">
        <f>Submetering!AF7</f>
        <v>0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0</v>
      </c>
      <c r="F8" s="15" t="e">
        <f>((Submetering!E8+Submetering!F8)*0.11+Submetering!G8*0.0302)/TOTAL!E8</f>
        <v>#DIV/0!</v>
      </c>
      <c r="G8" s="19">
        <f>Submetering!AC8</f>
        <v>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0</v>
      </c>
      <c r="L8" s="19">
        <f>Submetering!AF8</f>
        <v>0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0</v>
      </c>
      <c r="F9" s="15" t="e">
        <f>((Submetering!E9+Submetering!F9)*0.11+Submetering!G9*0.0302)/TOTAL!E9</f>
        <v>#DIV/0!</v>
      </c>
      <c r="G9" s="19">
        <f>Submetering!AC9</f>
        <v>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0</v>
      </c>
      <c r="L9" s="19">
        <f>Submetering!AF9</f>
        <v>0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0</v>
      </c>
      <c r="F10" s="15" t="e">
        <f>((Submetering!E10+Submetering!F10)*0.11+Submetering!G10*0.0302)/TOTAL!E10</f>
        <v>#DIV/0!</v>
      </c>
      <c r="G10" s="19">
        <f>Submetering!AC10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W2" activePane="bottomRight" state="frozen"/>
      <selection pane="bottomRight" activeCell="AD11" sqref="AD1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</row>
    <row r="8" spans="1:32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</row>
    <row r="9" spans="1:32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2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32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2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2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2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12</v>
      </c>
      <c r="D31" s="7">
        <v>2022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S2" activePane="bottomLeft" state="frozen"/>
      <selection pane="bottomLeft" activeCell="BC7" sqref="BC7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43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44</v>
      </c>
      <c r="AS1" s="42"/>
      <c r="AT1" s="40" t="s">
        <v>45</v>
      </c>
      <c r="AU1" s="40"/>
      <c r="AV1" s="39" t="s">
        <v>46</v>
      </c>
      <c r="AW1" s="40"/>
      <c r="AX1" s="39" t="s">
        <v>47</v>
      </c>
      <c r="AY1" s="40"/>
      <c r="AZ1" s="37" t="s">
        <v>48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49</v>
      </c>
      <c r="B2" s="44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6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44896</v>
      </c>
      <c r="B3" s="44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46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19487990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>
      <c r="A4" s="8">
        <v>44897</v>
      </c>
      <c r="B4" s="44"/>
      <c r="C4" s="26">
        <v>31871637</v>
      </c>
      <c r="D4" s="9">
        <f>IF((C4-C3&lt;0), "0",C4-C3)</f>
        <v>6783</v>
      </c>
      <c r="E4" s="26">
        <v>32343846</v>
      </c>
      <c r="F4" s="30">
        <f>IF((E5-E4&lt;0), "0",E5-E4)</f>
        <v>4504</v>
      </c>
      <c r="G4" s="26">
        <v>13638395</v>
      </c>
      <c r="H4" s="30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46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19501270</v>
      </c>
      <c r="BC4" s="9">
        <f>IF((BB4-BB3&lt;0), "",BB4-BB3)</f>
        <v>13280</v>
      </c>
      <c r="BD4" s="26">
        <v>151</v>
      </c>
      <c r="BE4" s="26">
        <v>248</v>
      </c>
      <c r="BH4">
        <f t="shared" ref="BH4:BH32" si="0">193*(BF4/100)</f>
        <v>0</v>
      </c>
    </row>
    <row r="5" spans="1:60" ht="45" customHeight="1">
      <c r="A5" s="8">
        <v>44898</v>
      </c>
      <c r="B5" s="44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47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19514987</v>
      </c>
      <c r="BC5" s="9">
        <f>IF((BB5-BB4&lt;0), "",BB5-BB4)</f>
        <v>13717</v>
      </c>
      <c r="BD5" s="26">
        <v>145</v>
      </c>
      <c r="BE5" s="26">
        <v>214</v>
      </c>
      <c r="BH5">
        <f t="shared" si="0"/>
        <v>0</v>
      </c>
    </row>
    <row r="6" spans="1:60" ht="42.75" customHeight="1">
      <c r="A6" s="8">
        <v>44899</v>
      </c>
      <c r="B6" s="44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46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19526172</v>
      </c>
      <c r="BC6" s="9">
        <f t="shared" ref="BC6:BC31" si="13">IF((BB6-BB5&lt;0), "",BB6-BB5)</f>
        <v>11185</v>
      </c>
      <c r="BD6" s="26">
        <v>147</v>
      </c>
      <c r="BE6" s="26">
        <v>202</v>
      </c>
      <c r="BH6">
        <f t="shared" si="0"/>
        <v>0</v>
      </c>
    </row>
    <row r="7" spans="1:60" ht="45" customHeight="1">
      <c r="A7" s="8">
        <v>44900</v>
      </c>
      <c r="B7" s="44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46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19539660</v>
      </c>
      <c r="BC7" s="9">
        <f t="shared" si="13"/>
        <v>13488</v>
      </c>
      <c r="BD7" s="26">
        <v>140</v>
      </c>
      <c r="BE7" s="26">
        <v>186</v>
      </c>
      <c r="BH7">
        <f t="shared" si="0"/>
        <v>0</v>
      </c>
    </row>
    <row r="8" spans="1:60" ht="45" customHeight="1">
      <c r="A8" s="8">
        <v>44901</v>
      </c>
      <c r="B8" s="44"/>
      <c r="C8" s="26">
        <v>0</v>
      </c>
      <c r="D8" s="9" t="str">
        <f t="shared" si="6"/>
        <v>0</v>
      </c>
      <c r="E8" s="26">
        <v>0</v>
      </c>
      <c r="F8" s="9" t="str">
        <f t="shared" si="7"/>
        <v>0</v>
      </c>
      <c r="G8" s="26">
        <v>0</v>
      </c>
      <c r="H8" s="9" t="str">
        <f t="shared" si="1"/>
        <v>0</v>
      </c>
      <c r="I8" s="26">
        <v>0</v>
      </c>
      <c r="J8" s="9" t="str">
        <f t="shared" si="8"/>
        <v>0</v>
      </c>
      <c r="K8" s="26">
        <v>0</v>
      </c>
      <c r="L8" s="9" t="str">
        <f t="shared" si="8"/>
        <v>0</v>
      </c>
      <c r="M8" s="26">
        <v>0</v>
      </c>
      <c r="N8" s="9" t="str">
        <f t="shared" ref="N8" si="18">IF((M8-M7&lt;0), "0",M8-M7)</f>
        <v>0</v>
      </c>
      <c r="O8" s="26">
        <v>0</v>
      </c>
      <c r="P8" s="9" t="str">
        <f t="shared" ref="P8" si="19">IF((O8-O7&lt;0), "0",O8-O7)</f>
        <v>0</v>
      </c>
      <c r="Q8" s="26">
        <v>0</v>
      </c>
      <c r="R8" s="9" t="str">
        <f t="shared" ref="R8" si="20">IF((Q8-Q7&lt;0), "0",Q8-Q7)</f>
        <v>0</v>
      </c>
      <c r="S8" s="26">
        <v>0</v>
      </c>
      <c r="T8" s="9" t="str">
        <f t="shared" ref="T8" si="21">IF((S8-S7&lt;0), "0",S8-S7)</f>
        <v>0</v>
      </c>
      <c r="U8" s="26">
        <v>0</v>
      </c>
      <c r="V8" s="9" t="str">
        <f t="shared" si="2"/>
        <v/>
      </c>
      <c r="W8" s="26">
        <v>0</v>
      </c>
      <c r="X8" s="9" t="str">
        <f t="shared" si="2"/>
        <v/>
      </c>
      <c r="Y8" s="26">
        <v>0</v>
      </c>
      <c r="Z8" s="9" t="str">
        <f t="shared" si="2"/>
        <v/>
      </c>
      <c r="AA8" s="26">
        <v>0</v>
      </c>
      <c r="AB8" s="9" t="str">
        <f t="shared" si="2"/>
        <v/>
      </c>
      <c r="AC8" s="26">
        <v>0</v>
      </c>
      <c r="AD8" s="9" t="str">
        <f t="shared" si="2"/>
        <v/>
      </c>
      <c r="AE8" s="26">
        <v>0</v>
      </c>
      <c r="AF8" s="9" t="str">
        <f t="shared" si="2"/>
        <v/>
      </c>
      <c r="AG8" s="26">
        <v>0</v>
      </c>
      <c r="AH8" s="9" t="str">
        <f t="shared" si="2"/>
        <v/>
      </c>
      <c r="AI8" s="26">
        <v>0</v>
      </c>
      <c r="AJ8" s="9" t="str">
        <f t="shared" si="2"/>
        <v/>
      </c>
      <c r="AK8" s="26">
        <v>0</v>
      </c>
      <c r="AL8" s="9" t="str">
        <f t="shared" si="2"/>
        <v/>
      </c>
      <c r="AM8" s="26">
        <v>0</v>
      </c>
      <c r="AN8" s="9" t="str">
        <f t="shared" si="2"/>
        <v/>
      </c>
      <c r="AO8" s="26">
        <v>0</v>
      </c>
      <c r="AP8" s="9" t="str">
        <f t="shared" si="2"/>
        <v/>
      </c>
      <c r="AQ8" s="46"/>
      <c r="AR8" s="17" t="s">
        <v>60</v>
      </c>
      <c r="AS8" s="9">
        <v>0</v>
      </c>
      <c r="AT8" s="17" t="s">
        <v>60</v>
      </c>
      <c r="AU8" s="9">
        <v>0</v>
      </c>
      <c r="AV8" s="26">
        <v>0</v>
      </c>
      <c r="AW8" s="9" t="str">
        <f t="shared" si="3"/>
        <v/>
      </c>
      <c r="AX8" s="26">
        <v>0</v>
      </c>
      <c r="AY8" s="9" t="str">
        <f t="shared" si="4"/>
        <v/>
      </c>
      <c r="AZ8" s="26">
        <v>0</v>
      </c>
      <c r="BA8" s="9" t="str">
        <f t="shared" si="5"/>
        <v/>
      </c>
      <c r="BB8" s="26">
        <v>0</v>
      </c>
      <c r="BC8" s="9" t="str">
        <f t="shared" si="13"/>
        <v/>
      </c>
      <c r="BD8" s="26">
        <v>0</v>
      </c>
      <c r="BE8" s="26">
        <v>0</v>
      </c>
      <c r="BH8">
        <f t="shared" si="0"/>
        <v>0</v>
      </c>
    </row>
    <row r="9" spans="1:60" ht="45" customHeight="1">
      <c r="A9" s="8">
        <v>44902</v>
      </c>
      <c r="B9" s="44"/>
      <c r="C9" s="26">
        <v>0</v>
      </c>
      <c r="D9" s="9">
        <f t="shared" si="6"/>
        <v>0</v>
      </c>
      <c r="E9" s="26">
        <v>0</v>
      </c>
      <c r="F9" s="9">
        <f t="shared" si="7"/>
        <v>0</v>
      </c>
      <c r="G9" s="26">
        <v>0</v>
      </c>
      <c r="H9" s="9">
        <f t="shared" si="1"/>
        <v>0</v>
      </c>
      <c r="I9" s="26">
        <v>0</v>
      </c>
      <c r="J9" s="9">
        <f t="shared" si="8"/>
        <v>0</v>
      </c>
      <c r="K9" s="26">
        <v>0</v>
      </c>
      <c r="L9" s="9">
        <f t="shared" si="8"/>
        <v>0</v>
      </c>
      <c r="M9" s="26">
        <v>0</v>
      </c>
      <c r="N9" s="9">
        <f t="shared" ref="N9" si="22">IF((M9-M8&lt;0), "0",M9-M8)</f>
        <v>0</v>
      </c>
      <c r="O9" s="26">
        <v>0</v>
      </c>
      <c r="P9" s="9">
        <f t="shared" ref="P9" si="23">IF((O9-O8&lt;0), "0",O9-O8)</f>
        <v>0</v>
      </c>
      <c r="Q9" s="26">
        <v>0</v>
      </c>
      <c r="R9" s="9">
        <f t="shared" ref="R9" si="24">IF((Q9-Q8&lt;0), "0",Q9-Q8)</f>
        <v>0</v>
      </c>
      <c r="S9" s="26">
        <v>0</v>
      </c>
      <c r="T9" s="9">
        <f t="shared" ref="T9" si="25">IF((S9-S8&lt;0), "0",S9-S8)</f>
        <v>0</v>
      </c>
      <c r="U9" s="26">
        <v>0</v>
      </c>
      <c r="V9" s="9">
        <f t="shared" si="2"/>
        <v>0</v>
      </c>
      <c r="W9" s="26">
        <v>0</v>
      </c>
      <c r="X9" s="9">
        <f t="shared" si="2"/>
        <v>0</v>
      </c>
      <c r="Y9" s="26">
        <v>0</v>
      </c>
      <c r="Z9" s="9">
        <f t="shared" si="2"/>
        <v>0</v>
      </c>
      <c r="AA9" s="26">
        <v>0</v>
      </c>
      <c r="AB9" s="9">
        <f t="shared" si="2"/>
        <v>0</v>
      </c>
      <c r="AC9" s="26">
        <v>0</v>
      </c>
      <c r="AD9" s="9">
        <f t="shared" si="2"/>
        <v>0</v>
      </c>
      <c r="AE9" s="26">
        <v>0</v>
      </c>
      <c r="AF9" s="9">
        <f t="shared" si="2"/>
        <v>0</v>
      </c>
      <c r="AG9" s="26">
        <v>0</v>
      </c>
      <c r="AH9" s="9">
        <f t="shared" si="2"/>
        <v>0</v>
      </c>
      <c r="AI9" s="26">
        <v>0</v>
      </c>
      <c r="AJ9" s="9">
        <f t="shared" si="2"/>
        <v>0</v>
      </c>
      <c r="AK9" s="26">
        <v>0</v>
      </c>
      <c r="AL9" s="9">
        <f t="shared" si="2"/>
        <v>0</v>
      </c>
      <c r="AM9" s="26">
        <v>0</v>
      </c>
      <c r="AN9" s="9">
        <f t="shared" si="2"/>
        <v>0</v>
      </c>
      <c r="AO9" s="26">
        <v>0</v>
      </c>
      <c r="AP9" s="9">
        <f t="shared" si="2"/>
        <v>0</v>
      </c>
      <c r="AQ9" s="46"/>
      <c r="AR9" s="17" t="s">
        <v>60</v>
      </c>
      <c r="AS9" s="9">
        <v>0</v>
      </c>
      <c r="AT9" s="17" t="s">
        <v>60</v>
      </c>
      <c r="AU9" s="9">
        <v>0</v>
      </c>
      <c r="AV9" s="26">
        <v>0</v>
      </c>
      <c r="AW9" s="9">
        <f t="shared" si="3"/>
        <v>0</v>
      </c>
      <c r="AX9" s="26">
        <v>0</v>
      </c>
      <c r="AY9" s="9">
        <f t="shared" si="4"/>
        <v>0</v>
      </c>
      <c r="AZ9" s="26">
        <v>0</v>
      </c>
      <c r="BA9" s="9">
        <f t="shared" si="5"/>
        <v>0</v>
      </c>
      <c r="BB9" s="26">
        <v>0</v>
      </c>
      <c r="BC9" s="9">
        <f t="shared" si="13"/>
        <v>0</v>
      </c>
      <c r="BD9" s="26">
        <v>0</v>
      </c>
      <c r="BE9" s="26">
        <v>0</v>
      </c>
      <c r="BH9">
        <f t="shared" si="0"/>
        <v>0</v>
      </c>
    </row>
    <row r="10" spans="1:60" ht="45" customHeight="1">
      <c r="A10" s="8">
        <v>44903</v>
      </c>
      <c r="B10" s="44"/>
      <c r="C10" s="26">
        <v>0</v>
      </c>
      <c r="D10" s="9">
        <f t="shared" si="6"/>
        <v>0</v>
      </c>
      <c r="E10" s="26">
        <v>0</v>
      </c>
      <c r="F10" s="9">
        <f t="shared" si="7"/>
        <v>0</v>
      </c>
      <c r="G10" s="26">
        <v>0</v>
      </c>
      <c r="H10" s="9">
        <f t="shared" si="1"/>
        <v>0</v>
      </c>
      <c r="I10" s="26">
        <v>0</v>
      </c>
      <c r="J10" s="9">
        <f t="shared" si="8"/>
        <v>0</v>
      </c>
      <c r="K10" s="26">
        <v>0</v>
      </c>
      <c r="L10" s="9">
        <f t="shared" si="8"/>
        <v>0</v>
      </c>
      <c r="M10" s="26">
        <v>0</v>
      </c>
      <c r="N10" s="9">
        <f t="shared" ref="N10" si="26">IF((M10-M9&lt;0), "0",M10-M9)</f>
        <v>0</v>
      </c>
      <c r="O10" s="26">
        <v>0</v>
      </c>
      <c r="P10" s="9">
        <f t="shared" ref="P10" si="27">IF((O10-O9&lt;0), "0",O10-O9)</f>
        <v>0</v>
      </c>
      <c r="Q10" s="26">
        <v>0</v>
      </c>
      <c r="R10" s="9">
        <f t="shared" ref="R10" si="28">IF((Q10-Q9&lt;0), "0",Q10-Q9)</f>
        <v>0</v>
      </c>
      <c r="S10" s="26">
        <v>0</v>
      </c>
      <c r="T10" s="9">
        <f t="shared" ref="T10" si="29">IF((S10-S9&lt;0), "0",S10-S9)</f>
        <v>0</v>
      </c>
      <c r="U10" s="26">
        <v>0</v>
      </c>
      <c r="V10" s="9">
        <f t="shared" si="2"/>
        <v>0</v>
      </c>
      <c r="W10" s="26">
        <v>0</v>
      </c>
      <c r="X10" s="9">
        <f t="shared" si="2"/>
        <v>0</v>
      </c>
      <c r="Y10" s="26">
        <v>0</v>
      </c>
      <c r="Z10" s="9">
        <f t="shared" si="2"/>
        <v>0</v>
      </c>
      <c r="AA10" s="26">
        <v>0</v>
      </c>
      <c r="AB10" s="9">
        <f t="shared" si="2"/>
        <v>0</v>
      </c>
      <c r="AC10" s="26">
        <v>0</v>
      </c>
      <c r="AD10" s="9">
        <f t="shared" si="2"/>
        <v>0</v>
      </c>
      <c r="AE10" s="26">
        <v>0</v>
      </c>
      <c r="AF10" s="9">
        <f t="shared" si="2"/>
        <v>0</v>
      </c>
      <c r="AG10" s="26">
        <v>0</v>
      </c>
      <c r="AH10" s="9">
        <f t="shared" si="2"/>
        <v>0</v>
      </c>
      <c r="AI10" s="26">
        <v>0</v>
      </c>
      <c r="AJ10" s="9">
        <f t="shared" si="2"/>
        <v>0</v>
      </c>
      <c r="AK10" s="26">
        <v>0</v>
      </c>
      <c r="AL10" s="9">
        <f t="shared" si="2"/>
        <v>0</v>
      </c>
      <c r="AM10" s="26">
        <v>0</v>
      </c>
      <c r="AN10" s="9">
        <f t="shared" si="2"/>
        <v>0</v>
      </c>
      <c r="AO10" s="26">
        <v>0</v>
      </c>
      <c r="AP10" s="9">
        <f t="shared" si="2"/>
        <v>0</v>
      </c>
      <c r="AQ10" s="46"/>
      <c r="AR10" s="17" t="s">
        <v>60</v>
      </c>
      <c r="AS10" s="9">
        <v>0</v>
      </c>
      <c r="AT10" s="17" t="s">
        <v>60</v>
      </c>
      <c r="AU10" s="9">
        <v>0</v>
      </c>
      <c r="AV10" s="26">
        <v>0</v>
      </c>
      <c r="AW10" s="9">
        <f t="shared" si="3"/>
        <v>0</v>
      </c>
      <c r="AX10" s="26">
        <v>0</v>
      </c>
      <c r="AY10" s="9">
        <f t="shared" si="4"/>
        <v>0</v>
      </c>
      <c r="AZ10" s="26">
        <v>0</v>
      </c>
      <c r="BA10" s="9">
        <f t="shared" si="5"/>
        <v>0</v>
      </c>
      <c r="BB10" s="26">
        <v>0</v>
      </c>
      <c r="BC10" s="9">
        <f t="shared" si="13"/>
        <v>0</v>
      </c>
      <c r="BD10" s="26">
        <v>0</v>
      </c>
      <c r="BE10" s="26">
        <v>0</v>
      </c>
      <c r="BH10">
        <f t="shared" si="0"/>
        <v>0</v>
      </c>
    </row>
    <row r="11" spans="1:60" ht="45" customHeight="1">
      <c r="A11" s="8">
        <v>44904</v>
      </c>
      <c r="B11" s="44"/>
      <c r="C11" s="26">
        <v>0</v>
      </c>
      <c r="D11" s="9">
        <f>IF((C11-C10&lt;0), "0",C11-C10)</f>
        <v>0</v>
      </c>
      <c r="E11" s="26">
        <v>0</v>
      </c>
      <c r="F11" s="9">
        <f t="shared" si="7"/>
        <v>0</v>
      </c>
      <c r="G11" s="26">
        <v>0</v>
      </c>
      <c r="H11" s="9">
        <f t="shared" si="1"/>
        <v>0</v>
      </c>
      <c r="I11" s="26">
        <v>0</v>
      </c>
      <c r="J11" s="9">
        <f t="shared" si="8"/>
        <v>0</v>
      </c>
      <c r="K11" s="26">
        <v>0</v>
      </c>
      <c r="L11" s="9">
        <f t="shared" si="8"/>
        <v>0</v>
      </c>
      <c r="M11" s="26">
        <v>0</v>
      </c>
      <c r="N11" s="9">
        <f t="shared" ref="N11" si="30">IF((M11-M10&lt;0), "0",M11-M10)</f>
        <v>0</v>
      </c>
      <c r="O11" s="26">
        <v>0</v>
      </c>
      <c r="P11" s="9">
        <f t="shared" ref="P11" si="31">IF((O11-O10&lt;0), "0",O11-O10)</f>
        <v>0</v>
      </c>
      <c r="Q11" s="26">
        <v>0</v>
      </c>
      <c r="R11" s="9">
        <f t="shared" ref="R11" si="32">IF((Q11-Q10&lt;0), "0",Q11-Q10)</f>
        <v>0</v>
      </c>
      <c r="S11" s="26">
        <v>0</v>
      </c>
      <c r="T11" s="9">
        <f t="shared" ref="T11" si="33">IF((S11-S10&lt;0), "0",S11-S10)</f>
        <v>0</v>
      </c>
      <c r="U11" s="26">
        <v>0</v>
      </c>
      <c r="V11" s="9">
        <f t="shared" si="2"/>
        <v>0</v>
      </c>
      <c r="W11" s="26">
        <v>0</v>
      </c>
      <c r="X11" s="9">
        <f t="shared" si="2"/>
        <v>0</v>
      </c>
      <c r="Y11" s="26">
        <v>0</v>
      </c>
      <c r="Z11" s="9">
        <f t="shared" si="2"/>
        <v>0</v>
      </c>
      <c r="AA11" s="26">
        <v>0</v>
      </c>
      <c r="AB11" s="9">
        <f t="shared" si="2"/>
        <v>0</v>
      </c>
      <c r="AC11" s="26">
        <v>0</v>
      </c>
      <c r="AD11" s="9">
        <f t="shared" si="2"/>
        <v>0</v>
      </c>
      <c r="AE11" s="26">
        <v>0</v>
      </c>
      <c r="AF11" s="9">
        <f t="shared" si="2"/>
        <v>0</v>
      </c>
      <c r="AG11" s="26">
        <v>0</v>
      </c>
      <c r="AH11" s="9">
        <f t="shared" si="2"/>
        <v>0</v>
      </c>
      <c r="AI11" s="26">
        <v>0</v>
      </c>
      <c r="AJ11" s="9">
        <f t="shared" si="2"/>
        <v>0</v>
      </c>
      <c r="AK11" s="26">
        <v>0</v>
      </c>
      <c r="AL11" s="9">
        <f t="shared" si="2"/>
        <v>0</v>
      </c>
      <c r="AM11" s="26">
        <v>0</v>
      </c>
      <c r="AN11" s="9">
        <f t="shared" si="2"/>
        <v>0</v>
      </c>
      <c r="AO11" s="26">
        <v>0</v>
      </c>
      <c r="AP11" s="9">
        <f t="shared" si="2"/>
        <v>0</v>
      </c>
      <c r="AQ11" s="46"/>
      <c r="AR11" s="17" t="s">
        <v>60</v>
      </c>
      <c r="AS11" s="9">
        <v>0</v>
      </c>
      <c r="AT11" s="17" t="s">
        <v>60</v>
      </c>
      <c r="AU11" s="9">
        <v>0</v>
      </c>
      <c r="AV11" s="26">
        <v>0</v>
      </c>
      <c r="AW11" s="9">
        <f t="shared" si="3"/>
        <v>0</v>
      </c>
      <c r="AX11" s="26">
        <v>0</v>
      </c>
      <c r="AY11" s="9">
        <f t="shared" si="4"/>
        <v>0</v>
      </c>
      <c r="AZ11" s="26">
        <v>0</v>
      </c>
      <c r="BA11" s="9">
        <f t="shared" si="5"/>
        <v>0</v>
      </c>
      <c r="BB11" s="26">
        <v>0</v>
      </c>
      <c r="BC11" s="9">
        <f t="shared" si="13"/>
        <v>0</v>
      </c>
      <c r="BD11" s="26">
        <v>0</v>
      </c>
      <c r="BE11" s="26">
        <v>0</v>
      </c>
      <c r="BH11">
        <f t="shared" si="0"/>
        <v>0</v>
      </c>
    </row>
    <row r="12" spans="1:60" ht="45" customHeight="1">
      <c r="A12" s="8">
        <v>44905</v>
      </c>
      <c r="B12" s="44"/>
      <c r="C12" s="26">
        <v>0</v>
      </c>
      <c r="D12" s="9">
        <f t="shared" si="6"/>
        <v>0</v>
      </c>
      <c r="E12" s="26">
        <v>0</v>
      </c>
      <c r="F12" s="9">
        <f t="shared" si="7"/>
        <v>0</v>
      </c>
      <c r="G12" s="26">
        <v>0</v>
      </c>
      <c r="H12" s="9">
        <f t="shared" si="1"/>
        <v>0</v>
      </c>
      <c r="I12" s="26">
        <v>0</v>
      </c>
      <c r="J12" s="9">
        <f t="shared" si="8"/>
        <v>0</v>
      </c>
      <c r="K12" s="26">
        <v>0</v>
      </c>
      <c r="L12" s="9">
        <f t="shared" si="8"/>
        <v>0</v>
      </c>
      <c r="M12" s="26">
        <v>0</v>
      </c>
      <c r="N12" s="9">
        <f t="shared" ref="N12" si="34">IF((M12-M11&lt;0), "0",M12-M11)</f>
        <v>0</v>
      </c>
      <c r="O12" s="26">
        <v>0</v>
      </c>
      <c r="P12" s="9">
        <f t="shared" ref="P12" si="35">IF((O12-O11&lt;0), "0",O12-O11)</f>
        <v>0</v>
      </c>
      <c r="Q12" s="26">
        <v>0</v>
      </c>
      <c r="R12" s="9">
        <f t="shared" ref="R12" si="36">IF((Q12-Q11&lt;0), "0",Q12-Q11)</f>
        <v>0</v>
      </c>
      <c r="S12" s="26">
        <v>0</v>
      </c>
      <c r="T12" s="9">
        <f t="shared" ref="T12" si="37">IF((S12-S11&lt;0), "0",S12-S11)</f>
        <v>0</v>
      </c>
      <c r="U12" s="26">
        <v>0</v>
      </c>
      <c r="V12" s="9">
        <f t="shared" si="2"/>
        <v>0</v>
      </c>
      <c r="W12" s="26">
        <v>0</v>
      </c>
      <c r="X12" s="9">
        <f t="shared" si="2"/>
        <v>0</v>
      </c>
      <c r="Y12" s="26">
        <v>0</v>
      </c>
      <c r="Z12" s="9">
        <f t="shared" si="2"/>
        <v>0</v>
      </c>
      <c r="AA12" s="26">
        <v>0</v>
      </c>
      <c r="AB12" s="9">
        <f t="shared" si="2"/>
        <v>0</v>
      </c>
      <c r="AC12" s="26">
        <v>0</v>
      </c>
      <c r="AD12" s="9">
        <f t="shared" si="2"/>
        <v>0</v>
      </c>
      <c r="AE12" s="26">
        <v>0</v>
      </c>
      <c r="AF12" s="9">
        <f t="shared" si="2"/>
        <v>0</v>
      </c>
      <c r="AG12" s="26">
        <v>0</v>
      </c>
      <c r="AH12" s="9">
        <f t="shared" si="2"/>
        <v>0</v>
      </c>
      <c r="AI12" s="26">
        <v>0</v>
      </c>
      <c r="AJ12" s="9">
        <f t="shared" si="2"/>
        <v>0</v>
      </c>
      <c r="AK12" s="26">
        <v>0</v>
      </c>
      <c r="AL12" s="9">
        <f t="shared" si="2"/>
        <v>0</v>
      </c>
      <c r="AM12" s="26">
        <v>0</v>
      </c>
      <c r="AN12" s="9">
        <f t="shared" si="2"/>
        <v>0</v>
      </c>
      <c r="AO12" s="26">
        <v>0</v>
      </c>
      <c r="AP12" s="9">
        <f>IF((AO11-AO12&lt;0), "",AO11-AO12)</f>
        <v>0</v>
      </c>
      <c r="AQ12" s="46"/>
      <c r="AR12" s="17">
        <v>0</v>
      </c>
      <c r="AS12" s="9">
        <v>1313</v>
      </c>
      <c r="AT12" s="17">
        <v>0</v>
      </c>
      <c r="AU12" s="9">
        <v>15</v>
      </c>
      <c r="AV12" s="26">
        <v>0</v>
      </c>
      <c r="AW12" s="9">
        <f t="shared" si="3"/>
        <v>0</v>
      </c>
      <c r="AX12" s="26">
        <v>0</v>
      </c>
      <c r="AY12" s="9">
        <f t="shared" si="4"/>
        <v>0</v>
      </c>
      <c r="AZ12" s="26">
        <v>0</v>
      </c>
      <c r="BA12" s="9">
        <f t="shared" si="5"/>
        <v>0</v>
      </c>
      <c r="BB12" s="26">
        <v>0</v>
      </c>
      <c r="BC12" s="9">
        <f t="shared" si="13"/>
        <v>0</v>
      </c>
      <c r="BD12" s="26">
        <v>0</v>
      </c>
      <c r="BE12" s="26">
        <v>0</v>
      </c>
      <c r="BH12">
        <f t="shared" si="0"/>
        <v>0</v>
      </c>
    </row>
    <row r="13" spans="1:60" ht="45" customHeight="1">
      <c r="A13" s="8">
        <v>44906</v>
      </c>
      <c r="B13" s="44"/>
      <c r="C13" s="26">
        <v>0</v>
      </c>
      <c r="D13" s="9">
        <f t="shared" si="6"/>
        <v>0</v>
      </c>
      <c r="E13" s="26">
        <v>0</v>
      </c>
      <c r="F13" s="9">
        <f t="shared" si="7"/>
        <v>0</v>
      </c>
      <c r="G13" s="26">
        <v>0</v>
      </c>
      <c r="H13" s="9">
        <f t="shared" si="1"/>
        <v>0</v>
      </c>
      <c r="I13" s="26">
        <v>0</v>
      </c>
      <c r="J13" s="9">
        <f t="shared" si="8"/>
        <v>0</v>
      </c>
      <c r="K13" s="26">
        <v>0</v>
      </c>
      <c r="L13" s="9">
        <f t="shared" si="8"/>
        <v>0</v>
      </c>
      <c r="M13" s="26">
        <v>0</v>
      </c>
      <c r="N13" s="9">
        <f t="shared" ref="N13" si="38">IF((M13-M12&lt;0), "0",M13-M12)</f>
        <v>0</v>
      </c>
      <c r="O13" s="26">
        <v>0</v>
      </c>
      <c r="P13" s="9">
        <f t="shared" ref="P13" si="39">IF((O13-O12&lt;0), "0",O13-O12)</f>
        <v>0</v>
      </c>
      <c r="Q13" s="26">
        <v>0</v>
      </c>
      <c r="R13" s="9">
        <f t="shared" ref="R13" si="40">IF((Q13-Q12&lt;0), "0",Q13-Q12)</f>
        <v>0</v>
      </c>
      <c r="S13" s="26">
        <v>0</v>
      </c>
      <c r="T13" s="9">
        <f t="shared" ref="T13" si="41">IF((S13-S12&lt;0), "0",S13-S12)</f>
        <v>0</v>
      </c>
      <c r="U13" s="26">
        <v>0</v>
      </c>
      <c r="V13" s="9">
        <f t="shared" si="2"/>
        <v>0</v>
      </c>
      <c r="W13" s="26">
        <v>0</v>
      </c>
      <c r="X13" s="9">
        <f t="shared" si="2"/>
        <v>0</v>
      </c>
      <c r="Y13" s="26">
        <v>0</v>
      </c>
      <c r="Z13" s="9">
        <f t="shared" si="2"/>
        <v>0</v>
      </c>
      <c r="AA13" s="26">
        <v>0</v>
      </c>
      <c r="AB13" s="9">
        <f t="shared" si="2"/>
        <v>0</v>
      </c>
      <c r="AC13" s="26">
        <v>0</v>
      </c>
      <c r="AD13" s="9">
        <f t="shared" si="2"/>
        <v>0</v>
      </c>
      <c r="AE13" s="26">
        <v>0</v>
      </c>
      <c r="AF13" s="9">
        <f t="shared" si="2"/>
        <v>0</v>
      </c>
      <c r="AG13" s="26">
        <v>0</v>
      </c>
      <c r="AH13" s="9">
        <f t="shared" si="2"/>
        <v>0</v>
      </c>
      <c r="AI13" s="26">
        <v>0</v>
      </c>
      <c r="AJ13" s="9">
        <f t="shared" si="2"/>
        <v>0</v>
      </c>
      <c r="AK13" s="26">
        <v>0</v>
      </c>
      <c r="AL13" s="9">
        <f t="shared" si="2"/>
        <v>0</v>
      </c>
      <c r="AM13" s="26">
        <v>0</v>
      </c>
      <c r="AN13" s="9">
        <f t="shared" si="2"/>
        <v>0</v>
      </c>
      <c r="AO13" s="26">
        <v>0</v>
      </c>
      <c r="AP13" s="9">
        <f t="shared" si="2"/>
        <v>0</v>
      </c>
      <c r="AQ13" s="46"/>
      <c r="AR13" s="17" t="s">
        <v>60</v>
      </c>
      <c r="AS13" s="9">
        <v>0</v>
      </c>
      <c r="AT13" s="17" t="s">
        <v>60</v>
      </c>
      <c r="AU13" s="9">
        <v>0</v>
      </c>
      <c r="AV13" s="26">
        <v>0</v>
      </c>
      <c r="AW13" s="9">
        <f t="shared" si="3"/>
        <v>0</v>
      </c>
      <c r="AX13" s="26">
        <v>0</v>
      </c>
      <c r="AY13" s="9">
        <f t="shared" si="4"/>
        <v>0</v>
      </c>
      <c r="AZ13" s="26">
        <v>0</v>
      </c>
      <c r="BA13" s="9">
        <f t="shared" si="5"/>
        <v>0</v>
      </c>
      <c r="BB13" s="26">
        <v>0</v>
      </c>
      <c r="BC13" s="9">
        <f t="shared" si="13"/>
        <v>0</v>
      </c>
      <c r="BD13" s="26">
        <v>0</v>
      </c>
      <c r="BE13" s="26">
        <v>0</v>
      </c>
      <c r="BH13">
        <f t="shared" si="0"/>
        <v>0</v>
      </c>
    </row>
    <row r="14" spans="1:60" ht="45" customHeight="1">
      <c r="A14" s="8">
        <v>44907</v>
      </c>
      <c r="B14" s="44"/>
      <c r="C14" s="26">
        <v>0</v>
      </c>
      <c r="D14" s="9">
        <f t="shared" si="6"/>
        <v>0</v>
      </c>
      <c r="E14" s="26">
        <v>0</v>
      </c>
      <c r="F14" s="9">
        <f>IF((E13-E14&lt;0), "0",E13-E14)</f>
        <v>0</v>
      </c>
      <c r="G14" s="26">
        <v>0</v>
      </c>
      <c r="H14" s="9">
        <f t="shared" si="1"/>
        <v>0</v>
      </c>
      <c r="I14" s="26">
        <v>0</v>
      </c>
      <c r="J14" s="9">
        <f t="shared" si="8"/>
        <v>0</v>
      </c>
      <c r="K14" s="26">
        <v>0</v>
      </c>
      <c r="L14" s="9">
        <f t="shared" si="8"/>
        <v>0</v>
      </c>
      <c r="M14" s="26">
        <v>0</v>
      </c>
      <c r="N14" s="9">
        <f>IF((M14-M13&lt;0), "0",M14-M13)</f>
        <v>0</v>
      </c>
      <c r="O14" s="26">
        <v>0</v>
      </c>
      <c r="P14" s="9">
        <f t="shared" ref="P14" si="42">IF((O14-O13&lt;0), "0",O14-O13)</f>
        <v>0</v>
      </c>
      <c r="Q14" s="26">
        <v>0</v>
      </c>
      <c r="R14" s="9">
        <f t="shared" ref="R14" si="43">IF((Q14-Q13&lt;0), "0",Q14-Q13)</f>
        <v>0</v>
      </c>
      <c r="S14" s="26">
        <v>0</v>
      </c>
      <c r="T14" s="9">
        <f t="shared" ref="T14" si="44">IF((S14-S13&lt;0), "0",S14-S13)</f>
        <v>0</v>
      </c>
      <c r="U14" s="26">
        <v>0</v>
      </c>
      <c r="V14" s="9">
        <f t="shared" si="2"/>
        <v>0</v>
      </c>
      <c r="W14" s="26">
        <v>0</v>
      </c>
      <c r="X14" s="9">
        <f t="shared" si="2"/>
        <v>0</v>
      </c>
      <c r="Y14" s="26">
        <v>0</v>
      </c>
      <c r="Z14" s="9">
        <f>IF((Y13-Y14&lt;0), "",Y13-Y14)</f>
        <v>0</v>
      </c>
      <c r="AA14" s="26">
        <v>0</v>
      </c>
      <c r="AB14" s="9">
        <f t="shared" si="2"/>
        <v>0</v>
      </c>
      <c r="AC14" s="26">
        <v>0</v>
      </c>
      <c r="AD14" s="9">
        <f t="shared" si="2"/>
        <v>0</v>
      </c>
      <c r="AE14" s="26">
        <v>0</v>
      </c>
      <c r="AF14" s="9">
        <f t="shared" si="2"/>
        <v>0</v>
      </c>
      <c r="AG14" s="26">
        <v>0</v>
      </c>
      <c r="AH14" s="9">
        <f t="shared" si="2"/>
        <v>0</v>
      </c>
      <c r="AI14" s="26">
        <v>0</v>
      </c>
      <c r="AJ14" s="9">
        <f t="shared" si="2"/>
        <v>0</v>
      </c>
      <c r="AK14" s="26">
        <v>0</v>
      </c>
      <c r="AL14" s="9">
        <f t="shared" si="2"/>
        <v>0</v>
      </c>
      <c r="AM14" s="26">
        <v>0</v>
      </c>
      <c r="AN14" s="9">
        <f t="shared" si="2"/>
        <v>0</v>
      </c>
      <c r="AO14" s="26">
        <v>0</v>
      </c>
      <c r="AP14" s="9">
        <f t="shared" si="2"/>
        <v>0</v>
      </c>
      <c r="AQ14" s="46"/>
      <c r="AR14" s="17" t="s">
        <v>60</v>
      </c>
      <c r="AS14" s="9">
        <v>0</v>
      </c>
      <c r="AT14" s="17" t="s">
        <v>60</v>
      </c>
      <c r="AU14" s="9">
        <v>0</v>
      </c>
      <c r="AV14" s="26">
        <v>0</v>
      </c>
      <c r="AW14" s="9">
        <f t="shared" si="3"/>
        <v>0</v>
      </c>
      <c r="AX14" s="26">
        <v>0</v>
      </c>
      <c r="AY14" s="9">
        <f t="shared" si="4"/>
        <v>0</v>
      </c>
      <c r="AZ14" s="26">
        <v>0</v>
      </c>
      <c r="BA14" s="9">
        <f t="shared" si="5"/>
        <v>0</v>
      </c>
      <c r="BB14" s="26">
        <v>0</v>
      </c>
      <c r="BC14" s="9">
        <f t="shared" si="13"/>
        <v>0</v>
      </c>
      <c r="BD14" s="26">
        <v>0</v>
      </c>
      <c r="BE14" s="26">
        <v>0</v>
      </c>
      <c r="BH14">
        <f t="shared" si="0"/>
        <v>0</v>
      </c>
    </row>
    <row r="15" spans="1:60" ht="45" customHeight="1">
      <c r="A15" s="8">
        <v>44908</v>
      </c>
      <c r="B15" s="44"/>
      <c r="C15" s="26">
        <v>0</v>
      </c>
      <c r="D15" s="9">
        <f t="shared" si="6"/>
        <v>0</v>
      </c>
      <c r="E15" s="26">
        <v>0</v>
      </c>
      <c r="F15" s="9">
        <f t="shared" si="7"/>
        <v>0</v>
      </c>
      <c r="G15" s="26">
        <v>0</v>
      </c>
      <c r="H15" s="9">
        <f t="shared" si="1"/>
        <v>0</v>
      </c>
      <c r="I15" s="26">
        <v>0</v>
      </c>
      <c r="J15" s="9">
        <f t="shared" si="8"/>
        <v>0</v>
      </c>
      <c r="K15" s="26">
        <v>0</v>
      </c>
      <c r="L15" s="9">
        <f t="shared" si="8"/>
        <v>0</v>
      </c>
      <c r="M15" s="26">
        <v>0</v>
      </c>
      <c r="N15" s="9">
        <f t="shared" ref="N15" si="45">IF((M15-M14&lt;0), "0",M15-M14)</f>
        <v>0</v>
      </c>
      <c r="O15" s="26">
        <v>0</v>
      </c>
      <c r="P15" s="9">
        <f t="shared" ref="P15" si="46">IF((O15-O14&lt;0), "0",O15-O14)</f>
        <v>0</v>
      </c>
      <c r="Q15" s="26">
        <v>0</v>
      </c>
      <c r="R15" s="9">
        <f t="shared" ref="R15" si="47">IF((Q15-Q14&lt;0), "0",Q15-Q14)</f>
        <v>0</v>
      </c>
      <c r="S15" s="26">
        <v>0</v>
      </c>
      <c r="T15" s="9">
        <f t="shared" ref="T15" si="48">IF((S15-S14&lt;0), "0",S15-S14)</f>
        <v>0</v>
      </c>
      <c r="U15" s="26">
        <v>0</v>
      </c>
      <c r="V15" s="9">
        <f t="shared" si="2"/>
        <v>0</v>
      </c>
      <c r="W15" s="26">
        <v>0</v>
      </c>
      <c r="X15" s="9">
        <f t="shared" si="2"/>
        <v>0</v>
      </c>
      <c r="Y15" s="26">
        <v>0</v>
      </c>
      <c r="Z15" s="9">
        <f t="shared" si="2"/>
        <v>0</v>
      </c>
      <c r="AA15" s="26">
        <v>0</v>
      </c>
      <c r="AB15" s="9">
        <f t="shared" si="2"/>
        <v>0</v>
      </c>
      <c r="AC15" s="26">
        <v>0</v>
      </c>
      <c r="AD15" s="9">
        <f t="shared" si="2"/>
        <v>0</v>
      </c>
      <c r="AE15" s="26">
        <v>0</v>
      </c>
      <c r="AF15" s="9">
        <f t="shared" si="2"/>
        <v>0</v>
      </c>
      <c r="AG15" s="26">
        <v>0</v>
      </c>
      <c r="AH15" s="9">
        <f t="shared" si="2"/>
        <v>0</v>
      </c>
      <c r="AI15" s="26">
        <v>0</v>
      </c>
      <c r="AJ15" s="9">
        <f t="shared" si="2"/>
        <v>0</v>
      </c>
      <c r="AK15" s="26">
        <v>0</v>
      </c>
      <c r="AL15" s="9">
        <f t="shared" si="2"/>
        <v>0</v>
      </c>
      <c r="AM15" s="26">
        <v>0</v>
      </c>
      <c r="AN15" s="9">
        <f t="shared" si="2"/>
        <v>0</v>
      </c>
      <c r="AO15" s="26">
        <v>0</v>
      </c>
      <c r="AP15" s="9">
        <f t="shared" si="2"/>
        <v>0</v>
      </c>
      <c r="AQ15" s="46"/>
      <c r="AR15" s="17" t="s">
        <v>60</v>
      </c>
      <c r="AS15" s="9">
        <v>0</v>
      </c>
      <c r="AT15" s="17" t="s">
        <v>60</v>
      </c>
      <c r="AU15" s="9">
        <v>0</v>
      </c>
      <c r="AV15" s="26">
        <v>0</v>
      </c>
      <c r="AW15" s="9">
        <f t="shared" si="3"/>
        <v>0</v>
      </c>
      <c r="AX15" s="26">
        <v>0</v>
      </c>
      <c r="AY15" s="9">
        <f t="shared" si="4"/>
        <v>0</v>
      </c>
      <c r="AZ15" s="26">
        <v>0</v>
      </c>
      <c r="BA15" s="9">
        <f t="shared" si="5"/>
        <v>0</v>
      </c>
      <c r="BB15" s="26">
        <v>0</v>
      </c>
      <c r="BC15" s="9">
        <f t="shared" si="13"/>
        <v>0</v>
      </c>
      <c r="BD15" s="26">
        <v>0</v>
      </c>
      <c r="BE15" s="26">
        <v>0</v>
      </c>
      <c r="BH15">
        <f t="shared" si="0"/>
        <v>0</v>
      </c>
    </row>
    <row r="16" spans="1:60" ht="45" customHeight="1">
      <c r="A16" s="8">
        <v>44909</v>
      </c>
      <c r="B16" s="44"/>
      <c r="C16" s="26">
        <v>0</v>
      </c>
      <c r="D16" s="9">
        <f t="shared" si="6"/>
        <v>0</v>
      </c>
      <c r="E16" s="26">
        <v>0</v>
      </c>
      <c r="F16" s="9">
        <f t="shared" si="7"/>
        <v>0</v>
      </c>
      <c r="G16" s="26">
        <v>0</v>
      </c>
      <c r="H16" s="9">
        <f t="shared" si="1"/>
        <v>0</v>
      </c>
      <c r="I16" s="26">
        <v>0</v>
      </c>
      <c r="J16" s="9">
        <f t="shared" si="8"/>
        <v>0</v>
      </c>
      <c r="K16" s="26">
        <v>0</v>
      </c>
      <c r="L16" s="9">
        <f t="shared" si="8"/>
        <v>0</v>
      </c>
      <c r="M16" s="26">
        <v>0</v>
      </c>
      <c r="N16" s="9">
        <f t="shared" ref="N16" si="49">IF((M16-M15&lt;0), "0",M16-M15)</f>
        <v>0</v>
      </c>
      <c r="O16" s="26">
        <v>0</v>
      </c>
      <c r="P16" s="9">
        <f t="shared" ref="P16" si="50">IF((O16-O15&lt;0), "0",O16-O15)</f>
        <v>0</v>
      </c>
      <c r="Q16" s="26">
        <v>0</v>
      </c>
      <c r="R16" s="9">
        <f t="shared" ref="R16" si="51">IF((Q16-Q15&lt;0), "0",Q16-Q15)</f>
        <v>0</v>
      </c>
      <c r="S16" s="26">
        <v>0</v>
      </c>
      <c r="T16" s="9">
        <f t="shared" ref="T16" si="52">IF((S16-S15&lt;0), "0",S16-S15)</f>
        <v>0</v>
      </c>
      <c r="U16" s="26">
        <v>0</v>
      </c>
      <c r="V16" s="9">
        <f t="shared" ref="V16:AP31" si="53">IF((U16-U15&lt;0), "",U16-U15)</f>
        <v>0</v>
      </c>
      <c r="W16" s="26">
        <v>0</v>
      </c>
      <c r="X16" s="9">
        <f t="shared" si="53"/>
        <v>0</v>
      </c>
      <c r="Y16" s="26">
        <v>0</v>
      </c>
      <c r="Z16" s="9">
        <f t="shared" si="53"/>
        <v>0</v>
      </c>
      <c r="AA16" s="26">
        <v>0</v>
      </c>
      <c r="AB16" s="9">
        <f t="shared" si="53"/>
        <v>0</v>
      </c>
      <c r="AC16" s="26">
        <v>0</v>
      </c>
      <c r="AD16" s="9">
        <f t="shared" si="53"/>
        <v>0</v>
      </c>
      <c r="AE16" s="26">
        <v>0</v>
      </c>
      <c r="AF16" s="9">
        <f t="shared" si="53"/>
        <v>0</v>
      </c>
      <c r="AG16" s="26">
        <v>0</v>
      </c>
      <c r="AH16" s="9">
        <f t="shared" si="53"/>
        <v>0</v>
      </c>
      <c r="AI16" s="26">
        <v>0</v>
      </c>
      <c r="AJ16" s="9">
        <f t="shared" si="53"/>
        <v>0</v>
      </c>
      <c r="AK16" s="26">
        <v>0</v>
      </c>
      <c r="AL16" s="9">
        <f t="shared" si="53"/>
        <v>0</v>
      </c>
      <c r="AM16" s="26">
        <v>0</v>
      </c>
      <c r="AN16" s="9">
        <f t="shared" si="53"/>
        <v>0</v>
      </c>
      <c r="AO16" s="26">
        <v>0</v>
      </c>
      <c r="AP16" s="9">
        <f t="shared" si="53"/>
        <v>0</v>
      </c>
      <c r="AQ16" s="46"/>
      <c r="AR16" s="17" t="s">
        <v>60</v>
      </c>
      <c r="AS16" s="9">
        <v>0</v>
      </c>
      <c r="AT16" s="17" t="s">
        <v>60</v>
      </c>
      <c r="AU16" s="9">
        <v>0</v>
      </c>
      <c r="AV16" s="26">
        <v>0</v>
      </c>
      <c r="AW16" s="9">
        <f t="shared" si="3"/>
        <v>0</v>
      </c>
      <c r="AX16" s="26">
        <v>0</v>
      </c>
      <c r="AY16" s="9">
        <f>IF((AX16-AX15&lt;0), "",AX16-AX15)</f>
        <v>0</v>
      </c>
      <c r="AZ16" s="26">
        <v>0</v>
      </c>
      <c r="BA16" s="9">
        <f t="shared" si="5"/>
        <v>0</v>
      </c>
      <c r="BB16" s="26">
        <v>0</v>
      </c>
      <c r="BC16" s="9">
        <f t="shared" si="13"/>
        <v>0</v>
      </c>
      <c r="BD16" s="26">
        <v>0</v>
      </c>
      <c r="BE16" s="26">
        <v>0</v>
      </c>
      <c r="BH16">
        <f t="shared" si="0"/>
        <v>0</v>
      </c>
    </row>
    <row r="17" spans="1:60" ht="45" customHeight="1">
      <c r="A17" s="8">
        <v>44910</v>
      </c>
      <c r="B17" s="44"/>
      <c r="C17" s="26">
        <v>0</v>
      </c>
      <c r="D17" s="9">
        <f>IF((C17-C16&lt;0), "0",C17-C16)</f>
        <v>0</v>
      </c>
      <c r="E17" s="26">
        <v>0</v>
      </c>
      <c r="F17" s="9">
        <f t="shared" si="7"/>
        <v>0</v>
      </c>
      <c r="G17" s="26">
        <v>0</v>
      </c>
      <c r="H17" s="9">
        <f t="shared" si="1"/>
        <v>0</v>
      </c>
      <c r="I17" s="26">
        <v>0</v>
      </c>
      <c r="J17" s="9">
        <f t="shared" si="8"/>
        <v>0</v>
      </c>
      <c r="K17" s="26">
        <v>0</v>
      </c>
      <c r="L17" s="9">
        <f t="shared" si="8"/>
        <v>0</v>
      </c>
      <c r="M17" s="26">
        <v>0</v>
      </c>
      <c r="N17" s="9">
        <f t="shared" ref="N17" si="54">IF((M17-M16&lt;0), "0",M17-M16)</f>
        <v>0</v>
      </c>
      <c r="O17" s="26">
        <v>0</v>
      </c>
      <c r="P17" s="9">
        <f t="shared" ref="P17" si="55">IF((O17-O16&lt;0), "0",O17-O16)</f>
        <v>0</v>
      </c>
      <c r="Q17" s="26">
        <v>0</v>
      </c>
      <c r="R17" s="9">
        <f t="shared" ref="R17" si="56">IF((Q17-Q16&lt;0), "0",Q17-Q16)</f>
        <v>0</v>
      </c>
      <c r="S17" s="26">
        <v>0</v>
      </c>
      <c r="T17" s="9">
        <f t="shared" ref="T17" si="57">IF((S17-S16&lt;0), "0",S17-S16)</f>
        <v>0</v>
      </c>
      <c r="U17" s="26">
        <v>0</v>
      </c>
      <c r="V17" s="9">
        <f t="shared" si="53"/>
        <v>0</v>
      </c>
      <c r="W17" s="26">
        <v>0</v>
      </c>
      <c r="X17" s="9">
        <f t="shared" si="53"/>
        <v>0</v>
      </c>
      <c r="Y17" s="26">
        <v>0</v>
      </c>
      <c r="Z17" s="9">
        <f t="shared" si="53"/>
        <v>0</v>
      </c>
      <c r="AA17" s="26">
        <v>0</v>
      </c>
      <c r="AB17" s="9">
        <f t="shared" si="53"/>
        <v>0</v>
      </c>
      <c r="AC17" s="26">
        <v>0</v>
      </c>
      <c r="AD17" s="9">
        <f t="shared" si="53"/>
        <v>0</v>
      </c>
      <c r="AE17" s="26">
        <v>0</v>
      </c>
      <c r="AF17" s="9">
        <f t="shared" si="53"/>
        <v>0</v>
      </c>
      <c r="AG17" s="26">
        <v>0</v>
      </c>
      <c r="AH17" s="9">
        <f t="shared" si="53"/>
        <v>0</v>
      </c>
      <c r="AI17" s="26">
        <v>0</v>
      </c>
      <c r="AJ17" s="9">
        <f t="shared" si="53"/>
        <v>0</v>
      </c>
      <c r="AK17" s="26">
        <v>0</v>
      </c>
      <c r="AL17" s="9">
        <f t="shared" si="53"/>
        <v>0</v>
      </c>
      <c r="AM17" s="26">
        <v>0</v>
      </c>
      <c r="AN17" s="9">
        <f t="shared" si="53"/>
        <v>0</v>
      </c>
      <c r="AO17" s="26">
        <v>0</v>
      </c>
      <c r="AP17" s="9">
        <f t="shared" si="53"/>
        <v>0</v>
      </c>
      <c r="AQ17" s="46"/>
      <c r="AR17" s="17" t="s">
        <v>60</v>
      </c>
      <c r="AS17" s="9">
        <v>0</v>
      </c>
      <c r="AT17" s="17" t="s">
        <v>60</v>
      </c>
      <c r="AU17" s="9">
        <v>0</v>
      </c>
      <c r="AV17" s="26">
        <v>0</v>
      </c>
      <c r="AW17" s="9">
        <f t="shared" si="3"/>
        <v>0</v>
      </c>
      <c r="AX17" s="26">
        <v>0</v>
      </c>
      <c r="AY17" s="9">
        <f>IF((AX17-AX16&lt;0), "",AX17-AX16)</f>
        <v>0</v>
      </c>
      <c r="AZ17" s="26">
        <v>0</v>
      </c>
      <c r="BA17" s="9">
        <f t="shared" si="5"/>
        <v>0</v>
      </c>
      <c r="BB17" s="26">
        <v>0</v>
      </c>
      <c r="BC17" s="9">
        <f t="shared" si="13"/>
        <v>0</v>
      </c>
      <c r="BD17" s="26">
        <v>0</v>
      </c>
      <c r="BE17" s="26">
        <v>0</v>
      </c>
      <c r="BH17">
        <f t="shared" si="0"/>
        <v>0</v>
      </c>
    </row>
    <row r="18" spans="1:60" ht="45" customHeight="1">
      <c r="A18" s="8">
        <v>44911</v>
      </c>
      <c r="B18" s="44"/>
      <c r="C18" s="26">
        <v>0</v>
      </c>
      <c r="D18" s="9">
        <f>IF((C18-C17&lt;0), "0",C18-C17)</f>
        <v>0</v>
      </c>
      <c r="E18" s="26">
        <v>0</v>
      </c>
      <c r="F18" s="9">
        <f t="shared" si="7"/>
        <v>0</v>
      </c>
      <c r="G18" s="26">
        <v>0</v>
      </c>
      <c r="H18" s="9">
        <f t="shared" si="1"/>
        <v>0</v>
      </c>
      <c r="I18" s="26">
        <v>0</v>
      </c>
      <c r="J18" s="9">
        <f t="shared" si="8"/>
        <v>0</v>
      </c>
      <c r="K18" s="26">
        <v>0</v>
      </c>
      <c r="L18" s="9">
        <f t="shared" si="8"/>
        <v>0</v>
      </c>
      <c r="M18" s="26">
        <v>0</v>
      </c>
      <c r="N18" s="9">
        <f t="shared" ref="N18" si="58">IF((M18-M17&lt;0), "0",M18-M17)</f>
        <v>0</v>
      </c>
      <c r="O18" s="26">
        <v>0</v>
      </c>
      <c r="P18" s="9">
        <f t="shared" ref="P18" si="59">IF((O18-O17&lt;0), "0",O18-O17)</f>
        <v>0</v>
      </c>
      <c r="Q18" s="26">
        <v>0</v>
      </c>
      <c r="R18" s="9">
        <f>IF((Q17-Q18&lt;0), "0",Q17-Q18)</f>
        <v>0</v>
      </c>
      <c r="S18" s="26">
        <v>0</v>
      </c>
      <c r="T18" s="9">
        <f t="shared" ref="T18" si="60">IF((S18-S17&lt;0), "0",S18-S17)</f>
        <v>0</v>
      </c>
      <c r="U18" s="26">
        <v>0</v>
      </c>
      <c r="V18" s="9">
        <f t="shared" si="53"/>
        <v>0</v>
      </c>
      <c r="W18" s="26">
        <v>0</v>
      </c>
      <c r="X18" s="9">
        <f t="shared" si="53"/>
        <v>0</v>
      </c>
      <c r="Y18" s="26">
        <v>0</v>
      </c>
      <c r="Z18" s="9">
        <f t="shared" si="53"/>
        <v>0</v>
      </c>
      <c r="AA18" s="26">
        <v>0</v>
      </c>
      <c r="AB18" s="9">
        <f t="shared" si="53"/>
        <v>0</v>
      </c>
      <c r="AC18" s="26">
        <v>0</v>
      </c>
      <c r="AD18" s="9">
        <f t="shared" si="53"/>
        <v>0</v>
      </c>
      <c r="AE18" s="26">
        <v>0</v>
      </c>
      <c r="AF18" s="9">
        <f t="shared" si="53"/>
        <v>0</v>
      </c>
      <c r="AG18" s="26">
        <v>0</v>
      </c>
      <c r="AH18" s="9">
        <f t="shared" si="53"/>
        <v>0</v>
      </c>
      <c r="AI18" s="26">
        <v>0</v>
      </c>
      <c r="AJ18" s="9">
        <f t="shared" si="53"/>
        <v>0</v>
      </c>
      <c r="AK18" s="26">
        <v>0</v>
      </c>
      <c r="AL18" s="9">
        <f t="shared" si="53"/>
        <v>0</v>
      </c>
      <c r="AM18" s="26">
        <v>0</v>
      </c>
      <c r="AN18" s="9">
        <f>IF((AM17-AM18&lt;0), "",AM17-AM18)</f>
        <v>0</v>
      </c>
      <c r="AO18" s="26">
        <v>0</v>
      </c>
      <c r="AP18" s="9">
        <f t="shared" si="53"/>
        <v>0</v>
      </c>
      <c r="AQ18" s="46"/>
      <c r="AR18" s="17" t="s">
        <v>60</v>
      </c>
      <c r="AS18" s="9">
        <v>0</v>
      </c>
      <c r="AT18" s="17" t="s">
        <v>60</v>
      </c>
      <c r="AU18" s="9">
        <v>0</v>
      </c>
      <c r="AV18" s="26">
        <v>0</v>
      </c>
      <c r="AW18" s="9">
        <f t="shared" si="3"/>
        <v>0</v>
      </c>
      <c r="AX18" s="26">
        <v>0</v>
      </c>
      <c r="AY18" s="9">
        <f t="shared" si="4"/>
        <v>0</v>
      </c>
      <c r="AZ18" s="26">
        <v>0</v>
      </c>
      <c r="BA18" s="9">
        <f t="shared" si="5"/>
        <v>0</v>
      </c>
      <c r="BB18" s="26">
        <v>0</v>
      </c>
      <c r="BC18" s="9">
        <f t="shared" si="13"/>
        <v>0</v>
      </c>
      <c r="BD18" s="26">
        <v>0</v>
      </c>
      <c r="BE18" s="26">
        <v>0</v>
      </c>
      <c r="BH18">
        <f t="shared" si="0"/>
        <v>0</v>
      </c>
    </row>
    <row r="19" spans="1:60" ht="45" customHeight="1">
      <c r="A19" s="8">
        <v>44912</v>
      </c>
      <c r="B19" s="44"/>
      <c r="C19" s="26">
        <v>0</v>
      </c>
      <c r="D19" s="9">
        <f t="shared" si="6"/>
        <v>0</v>
      </c>
      <c r="E19" s="26">
        <v>0</v>
      </c>
      <c r="F19" s="9">
        <f t="shared" si="7"/>
        <v>0</v>
      </c>
      <c r="G19" s="26">
        <v>0</v>
      </c>
      <c r="H19" s="9">
        <f t="shared" si="1"/>
        <v>0</v>
      </c>
      <c r="I19" s="26">
        <v>0</v>
      </c>
      <c r="J19" s="9">
        <f t="shared" si="8"/>
        <v>0</v>
      </c>
      <c r="K19" s="26">
        <v>0</v>
      </c>
      <c r="L19" s="9">
        <f t="shared" si="8"/>
        <v>0</v>
      </c>
      <c r="M19" s="26">
        <v>0</v>
      </c>
      <c r="N19" s="9">
        <f t="shared" ref="N19" si="61">IF((M19-M18&lt;0), "0",M19-M18)</f>
        <v>0</v>
      </c>
      <c r="O19" s="26">
        <v>0</v>
      </c>
      <c r="P19" s="9">
        <f t="shared" ref="P19" si="62">IF((O19-O18&lt;0), "0",O19-O18)</f>
        <v>0</v>
      </c>
      <c r="Q19" s="26">
        <v>0</v>
      </c>
      <c r="R19" s="9">
        <f t="shared" ref="R19" si="63">IF((Q19-Q18&lt;0), "0",Q19-Q18)</f>
        <v>0</v>
      </c>
      <c r="S19" s="26">
        <v>0</v>
      </c>
      <c r="T19" s="9">
        <f t="shared" ref="T19" si="64">IF((S19-S18&lt;0), "0",S19-S18)</f>
        <v>0</v>
      </c>
      <c r="U19" s="26">
        <v>0</v>
      </c>
      <c r="V19" s="9">
        <f t="shared" si="53"/>
        <v>0</v>
      </c>
      <c r="W19" s="26">
        <v>0</v>
      </c>
      <c r="X19" s="9">
        <f t="shared" si="53"/>
        <v>0</v>
      </c>
      <c r="Y19" s="26">
        <v>0</v>
      </c>
      <c r="Z19" s="9">
        <f t="shared" si="53"/>
        <v>0</v>
      </c>
      <c r="AA19" s="26">
        <v>0</v>
      </c>
      <c r="AB19" s="9">
        <f t="shared" si="53"/>
        <v>0</v>
      </c>
      <c r="AC19" s="26">
        <v>0</v>
      </c>
      <c r="AD19" s="9">
        <f t="shared" si="53"/>
        <v>0</v>
      </c>
      <c r="AE19" s="26">
        <v>0</v>
      </c>
      <c r="AF19" s="9">
        <f t="shared" si="53"/>
        <v>0</v>
      </c>
      <c r="AG19" s="26">
        <v>0</v>
      </c>
      <c r="AH19" s="9">
        <f t="shared" si="53"/>
        <v>0</v>
      </c>
      <c r="AI19" s="26">
        <v>0</v>
      </c>
      <c r="AJ19" s="9">
        <f t="shared" si="53"/>
        <v>0</v>
      </c>
      <c r="AK19" s="26">
        <v>0</v>
      </c>
      <c r="AL19" s="9">
        <f t="shared" si="53"/>
        <v>0</v>
      </c>
      <c r="AM19" s="26">
        <v>0</v>
      </c>
      <c r="AN19" s="9">
        <f t="shared" si="53"/>
        <v>0</v>
      </c>
      <c r="AO19" s="26">
        <v>0</v>
      </c>
      <c r="AP19" s="9">
        <f t="shared" si="53"/>
        <v>0</v>
      </c>
      <c r="AQ19" s="46"/>
      <c r="AR19" s="17" t="s">
        <v>60</v>
      </c>
      <c r="AS19" s="9">
        <v>0</v>
      </c>
      <c r="AT19" s="17" t="s">
        <v>60</v>
      </c>
      <c r="AU19" s="9">
        <v>0</v>
      </c>
      <c r="AV19" s="26">
        <v>0</v>
      </c>
      <c r="AW19" s="9">
        <f t="shared" si="3"/>
        <v>0</v>
      </c>
      <c r="AX19" s="26">
        <v>0</v>
      </c>
      <c r="AY19" s="9">
        <f t="shared" si="4"/>
        <v>0</v>
      </c>
      <c r="AZ19" s="26">
        <v>0</v>
      </c>
      <c r="BA19" s="9">
        <f t="shared" si="5"/>
        <v>0</v>
      </c>
      <c r="BB19" s="26">
        <v>0</v>
      </c>
      <c r="BC19" s="9">
        <f t="shared" si="13"/>
        <v>0</v>
      </c>
      <c r="BD19" s="26">
        <v>0</v>
      </c>
      <c r="BE19" s="26">
        <v>0</v>
      </c>
      <c r="BH19">
        <f t="shared" si="0"/>
        <v>0</v>
      </c>
    </row>
    <row r="20" spans="1:60" ht="45" customHeight="1">
      <c r="A20" s="8">
        <v>44913</v>
      </c>
      <c r="B20" s="44"/>
      <c r="C20" s="26">
        <v>0</v>
      </c>
      <c r="D20" s="9">
        <f t="shared" si="6"/>
        <v>0</v>
      </c>
      <c r="E20" s="26">
        <v>0</v>
      </c>
      <c r="F20" s="9">
        <f t="shared" si="7"/>
        <v>0</v>
      </c>
      <c r="G20" s="26">
        <v>0</v>
      </c>
      <c r="H20" s="9">
        <f t="shared" si="1"/>
        <v>0</v>
      </c>
      <c r="I20" s="26">
        <v>0</v>
      </c>
      <c r="J20" s="9">
        <f t="shared" si="8"/>
        <v>0</v>
      </c>
      <c r="K20" s="26">
        <v>0</v>
      </c>
      <c r="L20" s="9">
        <f t="shared" si="8"/>
        <v>0</v>
      </c>
      <c r="M20" s="26">
        <v>0</v>
      </c>
      <c r="N20" s="9">
        <f t="shared" ref="N20" si="65">IF((M20-M19&lt;0), "0",M20-M19)</f>
        <v>0</v>
      </c>
      <c r="O20" s="26">
        <v>0</v>
      </c>
      <c r="P20" s="9">
        <f t="shared" ref="P20" si="66">IF((O20-O19&lt;0), "0",O20-O19)</f>
        <v>0</v>
      </c>
      <c r="Q20" s="26">
        <v>0</v>
      </c>
      <c r="R20" s="9">
        <f t="shared" ref="R20" si="67">IF((Q20-Q19&lt;0), "0",Q20-Q19)</f>
        <v>0</v>
      </c>
      <c r="S20" s="26">
        <v>0</v>
      </c>
      <c r="T20" s="9">
        <f t="shared" ref="T20" si="68">IF((S20-S19&lt;0), "0",S20-S19)</f>
        <v>0</v>
      </c>
      <c r="U20" s="26">
        <v>0</v>
      </c>
      <c r="V20" s="9">
        <f t="shared" si="53"/>
        <v>0</v>
      </c>
      <c r="W20" s="26">
        <v>0</v>
      </c>
      <c r="X20" s="9">
        <f t="shared" si="53"/>
        <v>0</v>
      </c>
      <c r="Y20" s="26">
        <v>0</v>
      </c>
      <c r="Z20" s="9">
        <f t="shared" si="53"/>
        <v>0</v>
      </c>
      <c r="AA20" s="26">
        <v>0</v>
      </c>
      <c r="AB20" s="9">
        <f t="shared" si="53"/>
        <v>0</v>
      </c>
      <c r="AC20" s="26">
        <v>0</v>
      </c>
      <c r="AD20" s="9">
        <f t="shared" si="53"/>
        <v>0</v>
      </c>
      <c r="AE20" s="26">
        <v>0</v>
      </c>
      <c r="AF20" s="9">
        <f t="shared" si="53"/>
        <v>0</v>
      </c>
      <c r="AG20" s="26">
        <v>0</v>
      </c>
      <c r="AH20" s="9">
        <f t="shared" si="53"/>
        <v>0</v>
      </c>
      <c r="AI20" s="26">
        <v>0</v>
      </c>
      <c r="AJ20" s="9">
        <f t="shared" si="53"/>
        <v>0</v>
      </c>
      <c r="AK20" s="26">
        <v>0</v>
      </c>
      <c r="AL20" s="9">
        <f t="shared" si="53"/>
        <v>0</v>
      </c>
      <c r="AM20" s="26">
        <v>0</v>
      </c>
      <c r="AN20" s="9">
        <f t="shared" si="53"/>
        <v>0</v>
      </c>
      <c r="AO20" s="26">
        <v>0</v>
      </c>
      <c r="AP20" s="9">
        <f t="shared" si="53"/>
        <v>0</v>
      </c>
      <c r="AQ20" s="46"/>
      <c r="AR20" s="17" t="s">
        <v>60</v>
      </c>
      <c r="AS20" s="9">
        <v>0</v>
      </c>
      <c r="AT20" s="17" t="s">
        <v>60</v>
      </c>
      <c r="AU20" s="9">
        <v>0</v>
      </c>
      <c r="AV20" s="26">
        <v>0</v>
      </c>
      <c r="AW20" s="9">
        <f t="shared" si="3"/>
        <v>0</v>
      </c>
      <c r="AX20" s="26">
        <v>0</v>
      </c>
      <c r="AY20" s="9">
        <f t="shared" si="4"/>
        <v>0</v>
      </c>
      <c r="AZ20" s="26">
        <v>0</v>
      </c>
      <c r="BA20" s="9">
        <f t="shared" si="5"/>
        <v>0</v>
      </c>
      <c r="BB20" s="26">
        <v>0</v>
      </c>
      <c r="BC20" s="9">
        <f t="shared" si="13"/>
        <v>0</v>
      </c>
      <c r="BD20" s="26">
        <v>0</v>
      </c>
      <c r="BE20" s="26">
        <v>0</v>
      </c>
      <c r="BH20">
        <f t="shared" si="0"/>
        <v>0</v>
      </c>
    </row>
    <row r="21" spans="1:60" ht="45" customHeight="1">
      <c r="A21" s="8">
        <v>44914</v>
      </c>
      <c r="B21" s="44"/>
      <c r="C21" s="26">
        <v>0</v>
      </c>
      <c r="D21" s="9">
        <f t="shared" si="6"/>
        <v>0</v>
      </c>
      <c r="E21" s="26">
        <v>0</v>
      </c>
      <c r="F21" s="9">
        <f t="shared" si="7"/>
        <v>0</v>
      </c>
      <c r="G21" s="26">
        <v>0</v>
      </c>
      <c r="H21" s="9">
        <f t="shared" si="1"/>
        <v>0</v>
      </c>
      <c r="I21" s="26">
        <v>0</v>
      </c>
      <c r="J21" s="9">
        <f t="shared" si="8"/>
        <v>0</v>
      </c>
      <c r="K21" s="26">
        <v>0</v>
      </c>
      <c r="L21" s="9">
        <f t="shared" si="8"/>
        <v>0</v>
      </c>
      <c r="M21" s="26">
        <v>0</v>
      </c>
      <c r="N21" s="9">
        <f t="shared" ref="N21" si="69">IF((M21-M20&lt;0), "0",M21-M20)</f>
        <v>0</v>
      </c>
      <c r="O21" s="26">
        <v>0</v>
      </c>
      <c r="P21" s="9">
        <f t="shared" ref="P21" si="70">IF((O21-O20&lt;0), "0",O21-O20)</f>
        <v>0</v>
      </c>
      <c r="Q21" s="26">
        <v>0</v>
      </c>
      <c r="R21" s="9">
        <f t="shared" ref="R21" si="71">IF((Q21-Q20&lt;0), "0",Q21-Q20)</f>
        <v>0</v>
      </c>
      <c r="S21" s="26">
        <v>0</v>
      </c>
      <c r="T21" s="9">
        <f t="shared" ref="T21" si="72">IF((S21-S20&lt;0), "0",S21-S20)</f>
        <v>0</v>
      </c>
      <c r="U21" s="26">
        <v>0</v>
      </c>
      <c r="V21" s="9">
        <f t="shared" si="53"/>
        <v>0</v>
      </c>
      <c r="W21" s="26">
        <v>0</v>
      </c>
      <c r="X21" s="9">
        <f t="shared" si="53"/>
        <v>0</v>
      </c>
      <c r="Y21" s="26">
        <v>0</v>
      </c>
      <c r="Z21" s="9">
        <f t="shared" si="53"/>
        <v>0</v>
      </c>
      <c r="AA21" s="26">
        <v>0</v>
      </c>
      <c r="AB21" s="9">
        <f t="shared" si="53"/>
        <v>0</v>
      </c>
      <c r="AC21" s="26">
        <v>0</v>
      </c>
      <c r="AD21" s="9">
        <f t="shared" si="53"/>
        <v>0</v>
      </c>
      <c r="AE21" s="26">
        <v>0</v>
      </c>
      <c r="AF21" s="9">
        <f t="shared" si="53"/>
        <v>0</v>
      </c>
      <c r="AG21" s="26">
        <v>0</v>
      </c>
      <c r="AH21" s="9">
        <f t="shared" si="53"/>
        <v>0</v>
      </c>
      <c r="AI21" s="26">
        <v>0</v>
      </c>
      <c r="AJ21" s="9">
        <f t="shared" si="53"/>
        <v>0</v>
      </c>
      <c r="AK21" s="26">
        <v>0</v>
      </c>
      <c r="AL21" s="9">
        <f t="shared" si="53"/>
        <v>0</v>
      </c>
      <c r="AM21" s="26">
        <v>0</v>
      </c>
      <c r="AN21" s="9">
        <f t="shared" si="53"/>
        <v>0</v>
      </c>
      <c r="AO21" s="26">
        <v>0</v>
      </c>
      <c r="AP21" s="9">
        <f t="shared" si="53"/>
        <v>0</v>
      </c>
      <c r="AQ21" s="46"/>
      <c r="AR21" s="17" t="s">
        <v>60</v>
      </c>
      <c r="AS21" s="9">
        <v>0</v>
      </c>
      <c r="AT21" s="17" t="s">
        <v>60</v>
      </c>
      <c r="AU21" s="9">
        <v>0</v>
      </c>
      <c r="AV21" s="26">
        <v>0</v>
      </c>
      <c r="AW21" s="9">
        <f t="shared" si="3"/>
        <v>0</v>
      </c>
      <c r="AX21" s="26">
        <v>0</v>
      </c>
      <c r="AY21" s="9">
        <f t="shared" si="4"/>
        <v>0</v>
      </c>
      <c r="AZ21" s="26">
        <v>0</v>
      </c>
      <c r="BA21" s="9">
        <f t="shared" si="5"/>
        <v>0</v>
      </c>
      <c r="BB21" s="26">
        <v>0</v>
      </c>
      <c r="BC21" s="9">
        <f t="shared" si="13"/>
        <v>0</v>
      </c>
      <c r="BD21" s="26">
        <v>0</v>
      </c>
      <c r="BE21" s="26">
        <v>0</v>
      </c>
      <c r="BH21">
        <f t="shared" si="0"/>
        <v>0</v>
      </c>
    </row>
    <row r="22" spans="1:60" ht="45" customHeight="1">
      <c r="A22" s="8">
        <v>44915</v>
      </c>
      <c r="B22" s="44"/>
      <c r="C22" s="26">
        <v>0</v>
      </c>
      <c r="D22" s="9">
        <f t="shared" si="6"/>
        <v>0</v>
      </c>
      <c r="E22" s="26">
        <v>0</v>
      </c>
      <c r="F22" s="9">
        <f t="shared" si="7"/>
        <v>0</v>
      </c>
      <c r="G22" s="26">
        <v>0</v>
      </c>
      <c r="H22" s="9">
        <f t="shared" si="1"/>
        <v>0</v>
      </c>
      <c r="I22" s="26">
        <v>0</v>
      </c>
      <c r="J22" s="9">
        <f t="shared" si="8"/>
        <v>0</v>
      </c>
      <c r="K22" s="26">
        <v>0</v>
      </c>
      <c r="L22" s="9">
        <f t="shared" si="8"/>
        <v>0</v>
      </c>
      <c r="M22" s="26">
        <v>0</v>
      </c>
      <c r="N22" s="9">
        <f t="shared" ref="N22" si="73">IF((M22-M21&lt;0), "0",M22-M21)</f>
        <v>0</v>
      </c>
      <c r="O22" s="26">
        <v>0</v>
      </c>
      <c r="P22" s="9">
        <f t="shared" ref="P22" si="74">IF((O22-O21&lt;0), "0",O22-O21)</f>
        <v>0</v>
      </c>
      <c r="Q22" s="26">
        <v>0</v>
      </c>
      <c r="R22" s="9">
        <f t="shared" ref="R22" si="75">IF((Q22-Q21&lt;0), "0",Q22-Q21)</f>
        <v>0</v>
      </c>
      <c r="S22" s="26">
        <v>0</v>
      </c>
      <c r="T22" s="9">
        <f t="shared" ref="T22" si="76">IF((S22-S21&lt;0), "0",S22-S21)</f>
        <v>0</v>
      </c>
      <c r="U22" s="26">
        <v>0</v>
      </c>
      <c r="V22" s="9">
        <f t="shared" si="53"/>
        <v>0</v>
      </c>
      <c r="W22" s="26">
        <v>0</v>
      </c>
      <c r="X22" s="9">
        <f t="shared" si="53"/>
        <v>0</v>
      </c>
      <c r="Y22" s="26">
        <v>0</v>
      </c>
      <c r="Z22" s="9">
        <f t="shared" si="53"/>
        <v>0</v>
      </c>
      <c r="AA22" s="26">
        <v>0</v>
      </c>
      <c r="AB22" s="9">
        <f t="shared" si="53"/>
        <v>0</v>
      </c>
      <c r="AC22" s="26">
        <v>0</v>
      </c>
      <c r="AD22" s="9">
        <f t="shared" si="53"/>
        <v>0</v>
      </c>
      <c r="AE22" s="26">
        <v>0</v>
      </c>
      <c r="AF22" s="9">
        <f t="shared" si="53"/>
        <v>0</v>
      </c>
      <c r="AG22" s="26">
        <v>0</v>
      </c>
      <c r="AH22" s="9">
        <f t="shared" si="53"/>
        <v>0</v>
      </c>
      <c r="AI22" s="26">
        <v>0</v>
      </c>
      <c r="AJ22" s="9">
        <f t="shared" si="53"/>
        <v>0</v>
      </c>
      <c r="AK22" s="26">
        <v>0</v>
      </c>
      <c r="AL22" s="9">
        <f t="shared" si="53"/>
        <v>0</v>
      </c>
      <c r="AM22" s="26">
        <v>0</v>
      </c>
      <c r="AN22" s="9">
        <f t="shared" si="53"/>
        <v>0</v>
      </c>
      <c r="AO22" s="26">
        <v>0</v>
      </c>
      <c r="AP22" s="9">
        <f t="shared" si="53"/>
        <v>0</v>
      </c>
      <c r="AQ22" s="46"/>
      <c r="AR22" s="17">
        <v>0</v>
      </c>
      <c r="AS22" s="9">
        <f>IF((AR22-AR12&lt;0), "",AR22-AR12)</f>
        <v>0</v>
      </c>
      <c r="AT22" s="17">
        <v>0</v>
      </c>
      <c r="AU22" s="9">
        <f>IF((AT22-AT12&lt;0), "",AT22-AT12)</f>
        <v>0</v>
      </c>
      <c r="AV22" s="26">
        <v>0</v>
      </c>
      <c r="AW22" s="9">
        <f>IF((AV22-AV21&lt;0), "",AV22-AV21)</f>
        <v>0</v>
      </c>
      <c r="AX22" s="26">
        <v>0</v>
      </c>
      <c r="AY22" s="9">
        <f t="shared" si="4"/>
        <v>0</v>
      </c>
      <c r="AZ22" s="26">
        <v>0</v>
      </c>
      <c r="BA22" s="9">
        <f t="shared" si="5"/>
        <v>0</v>
      </c>
      <c r="BB22" s="26">
        <v>0</v>
      </c>
      <c r="BC22" s="9">
        <f t="shared" si="13"/>
        <v>0</v>
      </c>
      <c r="BD22" s="26">
        <v>0</v>
      </c>
      <c r="BE22" s="26">
        <v>0</v>
      </c>
      <c r="BH22">
        <f t="shared" si="0"/>
        <v>0</v>
      </c>
    </row>
    <row r="23" spans="1:60" ht="45" customHeight="1">
      <c r="A23" s="8">
        <v>44916</v>
      </c>
      <c r="B23" s="44"/>
      <c r="C23" s="26">
        <v>0</v>
      </c>
      <c r="D23" s="9">
        <f t="shared" si="6"/>
        <v>0</v>
      </c>
      <c r="E23" s="26">
        <v>0</v>
      </c>
      <c r="F23" s="9">
        <f t="shared" si="7"/>
        <v>0</v>
      </c>
      <c r="G23" s="26">
        <v>0</v>
      </c>
      <c r="H23" s="9">
        <f t="shared" si="1"/>
        <v>0</v>
      </c>
      <c r="I23" s="26">
        <v>0</v>
      </c>
      <c r="J23" s="9">
        <f t="shared" si="8"/>
        <v>0</v>
      </c>
      <c r="K23" s="26">
        <v>0</v>
      </c>
      <c r="L23" s="9">
        <f t="shared" si="8"/>
        <v>0</v>
      </c>
      <c r="M23" s="26">
        <v>0</v>
      </c>
      <c r="N23" s="9">
        <f t="shared" ref="N23" si="77">IF((M23-M22&lt;0), "0",M23-M22)</f>
        <v>0</v>
      </c>
      <c r="O23" s="26">
        <v>0</v>
      </c>
      <c r="P23" s="9">
        <f t="shared" ref="P23" si="78">IF((O23-O22&lt;0), "0",O23-O22)</f>
        <v>0</v>
      </c>
      <c r="Q23" s="26">
        <v>0</v>
      </c>
      <c r="R23" s="9">
        <f t="shared" ref="R23" si="79">IF((Q23-Q22&lt;0), "0",Q23-Q22)</f>
        <v>0</v>
      </c>
      <c r="S23" s="26">
        <v>0</v>
      </c>
      <c r="T23" s="9">
        <f t="shared" ref="T23" si="80">IF((S23-S22&lt;0), "0",S23-S22)</f>
        <v>0</v>
      </c>
      <c r="U23" s="26">
        <v>0</v>
      </c>
      <c r="V23" s="9">
        <f t="shared" si="53"/>
        <v>0</v>
      </c>
      <c r="W23" s="26">
        <v>0</v>
      </c>
      <c r="X23" s="9">
        <f t="shared" si="53"/>
        <v>0</v>
      </c>
      <c r="Y23" s="26">
        <v>0</v>
      </c>
      <c r="Z23" s="9">
        <f t="shared" si="53"/>
        <v>0</v>
      </c>
      <c r="AA23" s="26">
        <v>0</v>
      </c>
      <c r="AB23" s="9">
        <f t="shared" si="53"/>
        <v>0</v>
      </c>
      <c r="AC23" s="26">
        <v>0</v>
      </c>
      <c r="AD23" s="9">
        <f t="shared" si="53"/>
        <v>0</v>
      </c>
      <c r="AE23" s="26">
        <v>0</v>
      </c>
      <c r="AF23" s="9">
        <f t="shared" si="53"/>
        <v>0</v>
      </c>
      <c r="AG23" s="26">
        <v>0</v>
      </c>
      <c r="AH23" s="9">
        <f t="shared" si="53"/>
        <v>0</v>
      </c>
      <c r="AI23" s="26">
        <v>0</v>
      </c>
      <c r="AJ23" s="9">
        <f t="shared" si="53"/>
        <v>0</v>
      </c>
      <c r="AK23" s="26">
        <v>0</v>
      </c>
      <c r="AL23" s="9">
        <f t="shared" si="53"/>
        <v>0</v>
      </c>
      <c r="AM23" s="26">
        <v>0</v>
      </c>
      <c r="AN23" s="9">
        <f t="shared" si="53"/>
        <v>0</v>
      </c>
      <c r="AO23" s="26">
        <v>0</v>
      </c>
      <c r="AP23" s="9">
        <f t="shared" si="53"/>
        <v>0</v>
      </c>
      <c r="AQ23" s="46"/>
      <c r="AR23" s="17" t="s">
        <v>60</v>
      </c>
      <c r="AS23" s="9">
        <v>0</v>
      </c>
      <c r="AT23" s="17" t="s">
        <v>60</v>
      </c>
      <c r="AU23" s="9">
        <v>0</v>
      </c>
      <c r="AV23" s="26">
        <v>0</v>
      </c>
      <c r="AW23" s="9">
        <f t="shared" si="3"/>
        <v>0</v>
      </c>
      <c r="AX23" s="26">
        <v>0</v>
      </c>
      <c r="AY23" s="9">
        <f t="shared" si="4"/>
        <v>0</v>
      </c>
      <c r="AZ23" s="26">
        <v>0</v>
      </c>
      <c r="BA23" s="9">
        <f t="shared" si="5"/>
        <v>0</v>
      </c>
      <c r="BB23" s="26">
        <v>0</v>
      </c>
      <c r="BC23" s="9">
        <f t="shared" si="13"/>
        <v>0</v>
      </c>
      <c r="BD23" s="26">
        <v>0</v>
      </c>
      <c r="BE23" s="26">
        <v>0</v>
      </c>
      <c r="BH23">
        <f t="shared" si="0"/>
        <v>0</v>
      </c>
    </row>
    <row r="24" spans="1:60" ht="45" customHeight="1">
      <c r="A24" s="8">
        <v>44917</v>
      </c>
      <c r="B24" s="44"/>
      <c r="C24" s="26">
        <v>0</v>
      </c>
      <c r="D24" s="9">
        <f t="shared" si="6"/>
        <v>0</v>
      </c>
      <c r="E24" s="26">
        <v>0</v>
      </c>
      <c r="F24" s="9">
        <f t="shared" si="7"/>
        <v>0</v>
      </c>
      <c r="G24" s="26">
        <v>0</v>
      </c>
      <c r="H24" s="9">
        <f t="shared" si="1"/>
        <v>0</v>
      </c>
      <c r="I24" s="26">
        <v>0</v>
      </c>
      <c r="J24" s="9">
        <f t="shared" si="8"/>
        <v>0</v>
      </c>
      <c r="K24" s="26">
        <v>0</v>
      </c>
      <c r="L24" s="9">
        <f t="shared" si="8"/>
        <v>0</v>
      </c>
      <c r="M24" s="26">
        <v>0</v>
      </c>
      <c r="N24" s="9">
        <f t="shared" ref="N24" si="81">IF((M24-M23&lt;0), "0",M24-M23)</f>
        <v>0</v>
      </c>
      <c r="O24" s="26">
        <v>0</v>
      </c>
      <c r="P24" s="9">
        <f t="shared" ref="P24" si="82">IF((O24-O23&lt;0), "0",O24-O23)</f>
        <v>0</v>
      </c>
      <c r="Q24" s="26">
        <v>0</v>
      </c>
      <c r="R24" s="9">
        <f t="shared" ref="R24" si="83">IF((Q24-Q23&lt;0), "0",Q24-Q23)</f>
        <v>0</v>
      </c>
      <c r="S24" s="26">
        <v>0</v>
      </c>
      <c r="T24" s="9">
        <f t="shared" ref="T24" si="84">IF((S24-S23&lt;0), "0",S24-S23)</f>
        <v>0</v>
      </c>
      <c r="U24" s="26">
        <v>0</v>
      </c>
      <c r="V24" s="9">
        <f t="shared" si="53"/>
        <v>0</v>
      </c>
      <c r="W24" s="26">
        <v>0</v>
      </c>
      <c r="X24" s="9">
        <f t="shared" si="53"/>
        <v>0</v>
      </c>
      <c r="Y24" s="26">
        <v>0</v>
      </c>
      <c r="Z24" s="9">
        <f t="shared" si="53"/>
        <v>0</v>
      </c>
      <c r="AA24" s="26">
        <v>0</v>
      </c>
      <c r="AB24" s="9">
        <f t="shared" si="53"/>
        <v>0</v>
      </c>
      <c r="AC24" s="26">
        <v>0</v>
      </c>
      <c r="AD24" s="9">
        <f t="shared" si="53"/>
        <v>0</v>
      </c>
      <c r="AE24" s="26">
        <v>0</v>
      </c>
      <c r="AF24" s="9">
        <f t="shared" si="53"/>
        <v>0</v>
      </c>
      <c r="AG24" s="26">
        <v>0</v>
      </c>
      <c r="AH24" s="9">
        <f t="shared" si="53"/>
        <v>0</v>
      </c>
      <c r="AI24" s="26">
        <v>0</v>
      </c>
      <c r="AJ24" s="9">
        <f t="shared" si="53"/>
        <v>0</v>
      </c>
      <c r="AK24" s="26">
        <v>0</v>
      </c>
      <c r="AL24" s="9">
        <f t="shared" si="53"/>
        <v>0</v>
      </c>
      <c r="AM24" s="26">
        <v>0</v>
      </c>
      <c r="AN24" s="9">
        <f t="shared" si="53"/>
        <v>0</v>
      </c>
      <c r="AO24" s="26">
        <v>0</v>
      </c>
      <c r="AP24" s="9">
        <f t="shared" si="53"/>
        <v>0</v>
      </c>
      <c r="AQ24" s="46"/>
      <c r="AR24" s="17" t="s">
        <v>60</v>
      </c>
      <c r="AS24" s="9">
        <v>0</v>
      </c>
      <c r="AT24" s="17" t="s">
        <v>60</v>
      </c>
      <c r="AU24" s="9">
        <v>0</v>
      </c>
      <c r="AV24" s="26">
        <v>0</v>
      </c>
      <c r="AW24" s="9">
        <f t="shared" si="3"/>
        <v>0</v>
      </c>
      <c r="AX24" s="26">
        <v>0</v>
      </c>
      <c r="AY24" s="9">
        <f t="shared" si="4"/>
        <v>0</v>
      </c>
      <c r="AZ24" s="26">
        <v>0</v>
      </c>
      <c r="BA24" s="9">
        <f t="shared" si="5"/>
        <v>0</v>
      </c>
      <c r="BB24" s="26">
        <v>0</v>
      </c>
      <c r="BC24" s="9">
        <f t="shared" si="13"/>
        <v>0</v>
      </c>
      <c r="BD24" s="26">
        <v>0</v>
      </c>
      <c r="BE24" s="26">
        <v>0</v>
      </c>
      <c r="BH24">
        <f t="shared" si="0"/>
        <v>0</v>
      </c>
    </row>
    <row r="25" spans="1:60" ht="45" customHeight="1">
      <c r="A25" s="8">
        <v>44918</v>
      </c>
      <c r="B25" s="44"/>
      <c r="C25" s="26">
        <v>0</v>
      </c>
      <c r="D25" s="9">
        <f t="shared" si="6"/>
        <v>0</v>
      </c>
      <c r="E25" s="26">
        <v>0</v>
      </c>
      <c r="F25" s="9">
        <f t="shared" si="7"/>
        <v>0</v>
      </c>
      <c r="G25" s="26">
        <v>0</v>
      </c>
      <c r="H25" s="9">
        <f t="shared" si="1"/>
        <v>0</v>
      </c>
      <c r="I25" s="26">
        <v>0</v>
      </c>
      <c r="J25" s="9">
        <f t="shared" si="8"/>
        <v>0</v>
      </c>
      <c r="K25" s="26">
        <v>0</v>
      </c>
      <c r="L25" s="9">
        <f t="shared" si="8"/>
        <v>0</v>
      </c>
      <c r="M25" s="26">
        <v>0</v>
      </c>
      <c r="N25" s="9">
        <f t="shared" ref="N25:N26" si="85">IF((M25-M24&lt;0), "0",M25-M24)</f>
        <v>0</v>
      </c>
      <c r="O25" s="26">
        <v>0</v>
      </c>
      <c r="P25" s="9">
        <f t="shared" ref="P25:P26" si="86">IF((O25-O24&lt;0), "0",O25-O24)</f>
        <v>0</v>
      </c>
      <c r="Q25" s="26">
        <v>0</v>
      </c>
      <c r="R25" s="9">
        <f t="shared" ref="R25:R26" si="87">IF((Q25-Q24&lt;0), "0",Q25-Q24)</f>
        <v>0</v>
      </c>
      <c r="S25" s="26">
        <v>0</v>
      </c>
      <c r="T25" s="9">
        <f t="shared" ref="T25:T26" si="88">IF((S25-S24&lt;0), "0",S25-S24)</f>
        <v>0</v>
      </c>
      <c r="U25" s="26">
        <v>0</v>
      </c>
      <c r="V25" s="9">
        <f t="shared" si="53"/>
        <v>0</v>
      </c>
      <c r="W25" s="26">
        <v>0</v>
      </c>
      <c r="X25" s="9">
        <f t="shared" si="53"/>
        <v>0</v>
      </c>
      <c r="Y25" s="26">
        <v>0</v>
      </c>
      <c r="Z25" s="9">
        <f t="shared" si="53"/>
        <v>0</v>
      </c>
      <c r="AA25" s="26">
        <v>0</v>
      </c>
      <c r="AB25" s="9">
        <f t="shared" si="53"/>
        <v>0</v>
      </c>
      <c r="AC25" s="26">
        <v>0</v>
      </c>
      <c r="AD25" s="9">
        <f t="shared" si="53"/>
        <v>0</v>
      </c>
      <c r="AE25" s="26">
        <v>0</v>
      </c>
      <c r="AF25" s="9">
        <f t="shared" si="53"/>
        <v>0</v>
      </c>
      <c r="AG25" s="26">
        <v>0</v>
      </c>
      <c r="AH25" s="9">
        <f t="shared" si="53"/>
        <v>0</v>
      </c>
      <c r="AI25" s="26">
        <v>0</v>
      </c>
      <c r="AJ25" s="9">
        <f t="shared" si="53"/>
        <v>0</v>
      </c>
      <c r="AK25" s="26">
        <v>0</v>
      </c>
      <c r="AL25" s="9">
        <f t="shared" si="53"/>
        <v>0</v>
      </c>
      <c r="AM25" s="26">
        <v>0</v>
      </c>
      <c r="AN25" s="9">
        <f t="shared" si="53"/>
        <v>0</v>
      </c>
      <c r="AO25" s="26">
        <v>0</v>
      </c>
      <c r="AP25" s="9">
        <f t="shared" si="53"/>
        <v>0</v>
      </c>
      <c r="AQ25" s="46"/>
      <c r="AR25" s="17" t="s">
        <v>60</v>
      </c>
      <c r="AS25" s="9">
        <v>0</v>
      </c>
      <c r="AT25" s="17" t="s">
        <v>60</v>
      </c>
      <c r="AU25" s="9">
        <v>0</v>
      </c>
      <c r="AV25" s="26">
        <v>0</v>
      </c>
      <c r="AW25" s="9">
        <f t="shared" si="3"/>
        <v>0</v>
      </c>
      <c r="AX25" s="26">
        <v>0</v>
      </c>
      <c r="AY25" s="9">
        <f t="shared" si="4"/>
        <v>0</v>
      </c>
      <c r="AZ25" s="26">
        <v>0</v>
      </c>
      <c r="BA25" s="9">
        <f t="shared" si="5"/>
        <v>0</v>
      </c>
      <c r="BB25" s="26">
        <v>0</v>
      </c>
      <c r="BC25" s="9">
        <f t="shared" si="13"/>
        <v>0</v>
      </c>
      <c r="BD25" s="26">
        <v>0</v>
      </c>
      <c r="BE25" s="26">
        <v>0</v>
      </c>
      <c r="BH25">
        <f t="shared" si="0"/>
        <v>0</v>
      </c>
    </row>
    <row r="26" spans="1:60" ht="45" customHeight="1">
      <c r="A26" s="8">
        <v>44919</v>
      </c>
      <c r="B26" s="44"/>
      <c r="C26" s="26">
        <v>0</v>
      </c>
      <c r="D26" s="9">
        <f>IF((C26-C25&lt;0), "0",C26-C25)</f>
        <v>0</v>
      </c>
      <c r="E26" s="26">
        <v>0</v>
      </c>
      <c r="F26" s="9">
        <f>IF((E26-E25&lt;0), "0",E26-E25)</f>
        <v>0</v>
      </c>
      <c r="G26" s="26">
        <v>0</v>
      </c>
      <c r="H26" s="9">
        <f>IF((G26-G25&lt;0), "0",G26-G25)</f>
        <v>0</v>
      </c>
      <c r="I26" s="26">
        <v>0</v>
      </c>
      <c r="J26" s="9">
        <f t="shared" si="8"/>
        <v>0</v>
      </c>
      <c r="K26" s="26">
        <v>0</v>
      </c>
      <c r="L26" s="9">
        <f>IF((K26-K25&lt;0), "0",K26-K25)</f>
        <v>0</v>
      </c>
      <c r="M26" s="26">
        <v>0</v>
      </c>
      <c r="N26" s="9">
        <f t="shared" ref="N26:O27" si="89">IF((M26-M25&lt;0), "0",M26-M25)</f>
        <v>0</v>
      </c>
      <c r="O26" s="26">
        <v>0</v>
      </c>
      <c r="P26" s="9">
        <f t="shared" ref="P26" si="90">IF((O26-O25&lt;0), "0",O26-O25)</f>
        <v>0</v>
      </c>
      <c r="Q26" s="26">
        <v>0</v>
      </c>
      <c r="R26" s="9">
        <f t="shared" ref="R26" si="91">IF((Q26-Q25&lt;0), "0",Q26-Q25)</f>
        <v>0</v>
      </c>
      <c r="S26" s="26">
        <v>0</v>
      </c>
      <c r="T26" s="9">
        <f t="shared" ref="T26" si="92">IF((S26-S25&lt;0), "0",S26-S25)</f>
        <v>0</v>
      </c>
      <c r="U26" s="26">
        <v>0</v>
      </c>
      <c r="V26" s="9">
        <f t="shared" si="53"/>
        <v>0</v>
      </c>
      <c r="W26" s="26">
        <v>0</v>
      </c>
      <c r="X26" s="9">
        <f t="shared" si="53"/>
        <v>0</v>
      </c>
      <c r="Y26" s="26">
        <v>0</v>
      </c>
      <c r="Z26" s="9">
        <f t="shared" si="53"/>
        <v>0</v>
      </c>
      <c r="AA26" s="26">
        <v>0</v>
      </c>
      <c r="AB26" s="9">
        <f t="shared" si="53"/>
        <v>0</v>
      </c>
      <c r="AC26" s="26">
        <v>0</v>
      </c>
      <c r="AD26" s="31">
        <f t="shared" si="53"/>
        <v>0</v>
      </c>
      <c r="AE26" s="26">
        <v>0</v>
      </c>
      <c r="AF26" s="33">
        <f t="shared" si="53"/>
        <v>0</v>
      </c>
      <c r="AG26" s="26">
        <v>0</v>
      </c>
      <c r="AH26" s="32">
        <f t="shared" si="53"/>
        <v>0</v>
      </c>
      <c r="AI26" s="26">
        <v>0</v>
      </c>
      <c r="AJ26" s="9">
        <f t="shared" si="53"/>
        <v>0</v>
      </c>
      <c r="AK26" s="26">
        <v>0</v>
      </c>
      <c r="AL26" s="9">
        <f t="shared" si="53"/>
        <v>0</v>
      </c>
      <c r="AM26" s="26">
        <v>0</v>
      </c>
      <c r="AN26" s="9">
        <f t="shared" si="53"/>
        <v>0</v>
      </c>
      <c r="AO26" s="26">
        <v>0</v>
      </c>
      <c r="AP26" s="9">
        <f t="shared" si="53"/>
        <v>0</v>
      </c>
      <c r="AQ26" s="46"/>
      <c r="AR26" s="17" t="s">
        <v>60</v>
      </c>
      <c r="AS26" s="9">
        <v>0</v>
      </c>
      <c r="AT26" s="17" t="s">
        <v>60</v>
      </c>
      <c r="AU26" s="9">
        <v>0</v>
      </c>
      <c r="AV26" s="26">
        <v>0</v>
      </c>
      <c r="AW26" s="9">
        <f t="shared" si="3"/>
        <v>0</v>
      </c>
      <c r="AX26" s="26">
        <v>0</v>
      </c>
      <c r="AY26" s="9">
        <f t="shared" si="4"/>
        <v>0</v>
      </c>
      <c r="AZ26" s="26">
        <v>0</v>
      </c>
      <c r="BA26" s="9">
        <f t="shared" si="5"/>
        <v>0</v>
      </c>
      <c r="BB26" s="26">
        <v>0</v>
      </c>
      <c r="BC26" s="9">
        <f t="shared" si="13"/>
        <v>0</v>
      </c>
      <c r="BD26" s="26">
        <v>0</v>
      </c>
      <c r="BE26" s="26">
        <v>0</v>
      </c>
      <c r="BH26">
        <f t="shared" si="0"/>
        <v>0</v>
      </c>
    </row>
    <row r="27" spans="1:60" ht="45" customHeight="1">
      <c r="A27" s="8">
        <v>44920</v>
      </c>
      <c r="B27" s="44"/>
      <c r="C27" s="26">
        <v>0</v>
      </c>
      <c r="D27" s="9">
        <f>IF((C27-C26&lt;0), "0",C27-C26)</f>
        <v>0</v>
      </c>
      <c r="E27" s="26">
        <v>0</v>
      </c>
      <c r="F27" s="9">
        <f>IF((E27-E26&lt;0), "0",E27-E26)</f>
        <v>0</v>
      </c>
      <c r="G27" s="26">
        <v>0</v>
      </c>
      <c r="H27" s="9">
        <f t="shared" si="1"/>
        <v>0</v>
      </c>
      <c r="I27" s="26">
        <v>0</v>
      </c>
      <c r="J27" s="9">
        <f t="shared" si="8"/>
        <v>0</v>
      </c>
      <c r="K27" s="26">
        <v>0</v>
      </c>
      <c r="L27" s="9">
        <f t="shared" si="8"/>
        <v>0</v>
      </c>
      <c r="M27" s="26">
        <v>0</v>
      </c>
      <c r="N27" s="9">
        <f t="shared" ref="N27" si="93">IF((M27-M26&lt;0), "0",M27-M26)</f>
        <v>0</v>
      </c>
      <c r="O27" s="26">
        <v>0</v>
      </c>
      <c r="P27" s="9">
        <f t="shared" ref="P27" si="94">IF((O27-O26&lt;0), "0",O27-O26)</f>
        <v>0</v>
      </c>
      <c r="Q27" s="26">
        <v>0</v>
      </c>
      <c r="R27" s="9">
        <f t="shared" ref="R27" si="95">IF((Q27-Q26&lt;0), "0",Q27-Q26)</f>
        <v>0</v>
      </c>
      <c r="S27" s="26">
        <v>0</v>
      </c>
      <c r="T27" s="9">
        <f t="shared" ref="T27" si="96">IF((S27-S26&lt;0), "0",S27-S26)</f>
        <v>0</v>
      </c>
      <c r="U27" s="26">
        <v>0</v>
      </c>
      <c r="V27" s="9">
        <f t="shared" si="53"/>
        <v>0</v>
      </c>
      <c r="W27" s="26">
        <v>0</v>
      </c>
      <c r="X27" s="9">
        <f t="shared" si="53"/>
        <v>0</v>
      </c>
      <c r="Y27" s="26">
        <v>0</v>
      </c>
      <c r="Z27" s="9">
        <f t="shared" si="53"/>
        <v>0</v>
      </c>
      <c r="AA27" s="26">
        <v>0</v>
      </c>
      <c r="AB27" s="9">
        <f t="shared" si="53"/>
        <v>0</v>
      </c>
      <c r="AC27" s="26">
        <v>0</v>
      </c>
      <c r="AD27" s="31">
        <f t="shared" si="53"/>
        <v>0</v>
      </c>
      <c r="AE27" s="26">
        <v>0</v>
      </c>
      <c r="AF27" s="33">
        <f t="shared" si="53"/>
        <v>0</v>
      </c>
      <c r="AG27" s="26">
        <v>0</v>
      </c>
      <c r="AH27" s="32">
        <f t="shared" si="53"/>
        <v>0</v>
      </c>
      <c r="AI27" s="26">
        <v>0</v>
      </c>
      <c r="AJ27" s="9">
        <f t="shared" si="53"/>
        <v>0</v>
      </c>
      <c r="AK27" s="26">
        <v>0</v>
      </c>
      <c r="AL27" s="9">
        <f t="shared" si="53"/>
        <v>0</v>
      </c>
      <c r="AM27" s="26">
        <v>0</v>
      </c>
      <c r="AN27" s="9">
        <f t="shared" si="53"/>
        <v>0</v>
      </c>
      <c r="AO27" s="26">
        <v>0</v>
      </c>
      <c r="AP27" s="9">
        <f t="shared" si="53"/>
        <v>0</v>
      </c>
      <c r="AQ27" s="46"/>
      <c r="AR27" s="17" t="s">
        <v>60</v>
      </c>
      <c r="AS27" s="9">
        <v>0</v>
      </c>
      <c r="AT27" s="17" t="s">
        <v>60</v>
      </c>
      <c r="AU27" s="9">
        <v>0</v>
      </c>
      <c r="AV27" s="26">
        <v>0</v>
      </c>
      <c r="AW27" s="9">
        <f t="shared" si="3"/>
        <v>0</v>
      </c>
      <c r="AX27" s="26">
        <v>0</v>
      </c>
      <c r="AY27" s="9">
        <f t="shared" si="4"/>
        <v>0</v>
      </c>
      <c r="AZ27" s="26">
        <v>0</v>
      </c>
      <c r="BA27" s="9">
        <f t="shared" si="5"/>
        <v>0</v>
      </c>
      <c r="BB27" s="26">
        <v>0</v>
      </c>
      <c r="BC27" s="9">
        <f t="shared" si="13"/>
        <v>0</v>
      </c>
      <c r="BD27" s="26">
        <v>0</v>
      </c>
      <c r="BE27" s="26">
        <v>0</v>
      </c>
      <c r="BH27">
        <f t="shared" si="0"/>
        <v>0</v>
      </c>
    </row>
    <row r="28" spans="1:60" ht="45" customHeight="1">
      <c r="A28" s="8">
        <v>44921</v>
      </c>
      <c r="B28" s="44"/>
      <c r="C28" s="26">
        <v>0</v>
      </c>
      <c r="D28" s="9">
        <f t="shared" si="6"/>
        <v>0</v>
      </c>
      <c r="E28" s="26">
        <v>0</v>
      </c>
      <c r="F28" s="9">
        <f t="shared" si="7"/>
        <v>0</v>
      </c>
      <c r="G28" s="26">
        <v>0</v>
      </c>
      <c r="H28" s="9">
        <f t="shared" si="1"/>
        <v>0</v>
      </c>
      <c r="I28" s="26">
        <v>0</v>
      </c>
      <c r="J28" s="9">
        <f t="shared" si="8"/>
        <v>0</v>
      </c>
      <c r="K28" s="26">
        <v>0</v>
      </c>
      <c r="L28" s="9">
        <f t="shared" si="8"/>
        <v>0</v>
      </c>
      <c r="M28" s="26">
        <v>0</v>
      </c>
      <c r="N28" s="9">
        <f t="shared" ref="N28" si="97">IF((M28-M27&lt;0), "0",M28-M27)</f>
        <v>0</v>
      </c>
      <c r="O28" s="26">
        <v>0</v>
      </c>
      <c r="P28" s="9">
        <f t="shared" ref="P28" si="98">IF((O28-O27&lt;0), "0",O28-O27)</f>
        <v>0</v>
      </c>
      <c r="Q28" s="26">
        <v>0</v>
      </c>
      <c r="R28" s="9">
        <f t="shared" ref="R28" si="99">IF((Q28-Q27&lt;0), "0",Q28-Q27)</f>
        <v>0</v>
      </c>
      <c r="S28" s="26">
        <v>0</v>
      </c>
      <c r="T28" s="9">
        <f t="shared" ref="T28" si="100">IF((S28-S27&lt;0), "0",S28-S27)</f>
        <v>0</v>
      </c>
      <c r="U28" s="26">
        <v>0</v>
      </c>
      <c r="V28" s="9">
        <f t="shared" si="53"/>
        <v>0</v>
      </c>
      <c r="W28" s="26">
        <v>0</v>
      </c>
      <c r="X28" s="9">
        <f t="shared" si="53"/>
        <v>0</v>
      </c>
      <c r="Y28" s="26">
        <v>0</v>
      </c>
      <c r="Z28" s="9">
        <f t="shared" si="53"/>
        <v>0</v>
      </c>
      <c r="AA28" s="26">
        <v>0</v>
      </c>
      <c r="AB28" s="9">
        <f t="shared" si="53"/>
        <v>0</v>
      </c>
      <c r="AC28" s="26">
        <v>0</v>
      </c>
      <c r="AD28" s="31">
        <f t="shared" si="53"/>
        <v>0</v>
      </c>
      <c r="AE28" s="26">
        <v>0</v>
      </c>
      <c r="AF28" s="33">
        <f t="shared" si="53"/>
        <v>0</v>
      </c>
      <c r="AG28" s="26">
        <v>0</v>
      </c>
      <c r="AH28" s="32">
        <f t="shared" si="53"/>
        <v>0</v>
      </c>
      <c r="AI28" s="26">
        <v>0</v>
      </c>
      <c r="AJ28" s="9">
        <f t="shared" si="53"/>
        <v>0</v>
      </c>
      <c r="AK28" s="26">
        <v>0</v>
      </c>
      <c r="AL28" s="9">
        <f t="shared" si="53"/>
        <v>0</v>
      </c>
      <c r="AM28" s="26">
        <v>0</v>
      </c>
      <c r="AN28" s="9">
        <f t="shared" si="53"/>
        <v>0</v>
      </c>
      <c r="AO28" s="26">
        <v>0</v>
      </c>
      <c r="AP28" s="9">
        <f t="shared" si="53"/>
        <v>0</v>
      </c>
      <c r="AQ28" s="46"/>
      <c r="AR28" s="17" t="s">
        <v>60</v>
      </c>
      <c r="AS28" s="9">
        <v>0</v>
      </c>
      <c r="AT28" s="17" t="s">
        <v>60</v>
      </c>
      <c r="AU28" s="9">
        <v>0</v>
      </c>
      <c r="AV28" s="26">
        <v>0</v>
      </c>
      <c r="AW28" s="9">
        <f t="shared" si="3"/>
        <v>0</v>
      </c>
      <c r="AX28" s="26">
        <v>0</v>
      </c>
      <c r="AY28" s="9">
        <f t="shared" si="4"/>
        <v>0</v>
      </c>
      <c r="AZ28" s="26">
        <v>0</v>
      </c>
      <c r="BA28" s="9">
        <f t="shared" si="5"/>
        <v>0</v>
      </c>
      <c r="BB28" s="26">
        <v>0</v>
      </c>
      <c r="BC28" s="9">
        <f t="shared" si="13"/>
        <v>0</v>
      </c>
      <c r="BD28" s="26">
        <v>0</v>
      </c>
      <c r="BE28" s="26">
        <v>0</v>
      </c>
      <c r="BH28">
        <f t="shared" si="0"/>
        <v>0</v>
      </c>
    </row>
    <row r="29" spans="1:60" ht="45" customHeight="1">
      <c r="A29" s="8">
        <v>44922</v>
      </c>
      <c r="B29" s="44"/>
      <c r="C29" s="26">
        <v>0</v>
      </c>
      <c r="D29" s="9">
        <f t="shared" si="6"/>
        <v>0</v>
      </c>
      <c r="E29" s="26">
        <v>0</v>
      </c>
      <c r="F29" s="9">
        <f t="shared" si="7"/>
        <v>0</v>
      </c>
      <c r="G29" s="26">
        <v>0</v>
      </c>
      <c r="H29" s="9">
        <f t="shared" si="1"/>
        <v>0</v>
      </c>
      <c r="I29" s="26">
        <v>0</v>
      </c>
      <c r="J29" s="9">
        <f t="shared" si="8"/>
        <v>0</v>
      </c>
      <c r="K29" s="26">
        <v>0</v>
      </c>
      <c r="L29" s="9">
        <f t="shared" si="8"/>
        <v>0</v>
      </c>
      <c r="M29" s="26">
        <v>0</v>
      </c>
      <c r="N29" s="9">
        <f t="shared" ref="N29" si="101">IF((M29-M28&lt;0), "0",M29-M28)</f>
        <v>0</v>
      </c>
      <c r="O29" s="26">
        <v>0</v>
      </c>
      <c r="P29" s="9">
        <f t="shared" ref="P29" si="102">IF((O29-O28&lt;0), "0",O29-O28)</f>
        <v>0</v>
      </c>
      <c r="Q29" s="26">
        <v>0</v>
      </c>
      <c r="R29" s="9">
        <f t="shared" ref="R29" si="103">IF((Q29-Q28&lt;0), "0",Q29-Q28)</f>
        <v>0</v>
      </c>
      <c r="S29" s="26">
        <v>0</v>
      </c>
      <c r="T29" s="9">
        <f t="shared" ref="T29" si="104">IF((S29-S28&lt;0), "0",S29-S28)</f>
        <v>0</v>
      </c>
      <c r="U29" s="26">
        <v>0</v>
      </c>
      <c r="V29" s="9">
        <f t="shared" si="53"/>
        <v>0</v>
      </c>
      <c r="W29" s="26">
        <v>0</v>
      </c>
      <c r="X29" s="9">
        <f t="shared" si="53"/>
        <v>0</v>
      </c>
      <c r="Y29" s="26">
        <v>0</v>
      </c>
      <c r="Z29" s="9">
        <f t="shared" si="53"/>
        <v>0</v>
      </c>
      <c r="AA29" s="26">
        <v>0</v>
      </c>
      <c r="AB29" s="9">
        <f t="shared" si="53"/>
        <v>0</v>
      </c>
      <c r="AC29" s="26">
        <v>0</v>
      </c>
      <c r="AD29" s="31">
        <f t="shared" si="53"/>
        <v>0</v>
      </c>
      <c r="AE29" s="26">
        <v>0</v>
      </c>
      <c r="AF29" s="33">
        <f t="shared" si="53"/>
        <v>0</v>
      </c>
      <c r="AG29" s="26">
        <v>0</v>
      </c>
      <c r="AH29" s="32">
        <f t="shared" si="53"/>
        <v>0</v>
      </c>
      <c r="AI29" s="26">
        <v>0</v>
      </c>
      <c r="AJ29" s="9">
        <f t="shared" si="53"/>
        <v>0</v>
      </c>
      <c r="AK29" s="26">
        <v>0</v>
      </c>
      <c r="AL29" s="9">
        <f t="shared" si="53"/>
        <v>0</v>
      </c>
      <c r="AM29" s="26">
        <v>0</v>
      </c>
      <c r="AN29" s="9">
        <f t="shared" si="53"/>
        <v>0</v>
      </c>
      <c r="AO29" s="26">
        <v>0</v>
      </c>
      <c r="AP29" s="9">
        <f t="shared" si="53"/>
        <v>0</v>
      </c>
      <c r="AQ29" s="47"/>
      <c r="AR29" s="17" t="s">
        <v>60</v>
      </c>
      <c r="AS29" s="9">
        <v>0</v>
      </c>
      <c r="AT29" s="17" t="s">
        <v>60</v>
      </c>
      <c r="AU29" s="9">
        <v>0</v>
      </c>
      <c r="AV29" s="26">
        <v>0</v>
      </c>
      <c r="AW29" s="9">
        <f t="shared" si="3"/>
        <v>0</v>
      </c>
      <c r="AX29" s="26">
        <v>0</v>
      </c>
      <c r="AY29" s="9">
        <f t="shared" si="4"/>
        <v>0</v>
      </c>
      <c r="AZ29" s="26">
        <v>0</v>
      </c>
      <c r="BA29" s="9">
        <f>IF((AZ29-AZ28&lt;0), "",AZ29-AZ28)</f>
        <v>0</v>
      </c>
      <c r="BB29" s="26">
        <v>0</v>
      </c>
      <c r="BC29" s="9">
        <f t="shared" si="13"/>
        <v>0</v>
      </c>
      <c r="BD29" s="26">
        <v>0</v>
      </c>
      <c r="BE29" s="26">
        <v>0</v>
      </c>
      <c r="BH29">
        <f t="shared" si="0"/>
        <v>0</v>
      </c>
    </row>
    <row r="30" spans="1:60" ht="45" customHeight="1">
      <c r="A30" s="8">
        <v>44923</v>
      </c>
      <c r="B30" s="44"/>
      <c r="C30" s="26">
        <v>0</v>
      </c>
      <c r="D30" s="9">
        <f t="shared" si="6"/>
        <v>0</v>
      </c>
      <c r="E30" s="26">
        <v>0</v>
      </c>
      <c r="F30" s="9">
        <f t="shared" si="7"/>
        <v>0</v>
      </c>
      <c r="G30" s="26">
        <v>0</v>
      </c>
      <c r="H30" s="9">
        <f t="shared" si="1"/>
        <v>0</v>
      </c>
      <c r="I30" s="26">
        <v>0</v>
      </c>
      <c r="J30" s="9">
        <f t="shared" si="8"/>
        <v>0</v>
      </c>
      <c r="K30" s="26">
        <v>0</v>
      </c>
      <c r="L30" s="9">
        <f t="shared" si="8"/>
        <v>0</v>
      </c>
      <c r="M30" s="26">
        <v>0</v>
      </c>
      <c r="N30" s="9">
        <f t="shared" ref="N30" si="105">IF((M30-M29&lt;0), "0",M30-M29)</f>
        <v>0</v>
      </c>
      <c r="O30" s="26">
        <v>0</v>
      </c>
      <c r="P30" s="9">
        <f t="shared" ref="P30" si="106">IF((O30-O29&lt;0), "0",O30-O29)</f>
        <v>0</v>
      </c>
      <c r="Q30" s="26">
        <v>0</v>
      </c>
      <c r="R30" s="9">
        <f t="shared" ref="R30" si="107">IF((Q30-Q29&lt;0), "0",Q30-Q29)</f>
        <v>0</v>
      </c>
      <c r="S30" s="26">
        <v>0</v>
      </c>
      <c r="T30" s="9">
        <f t="shared" ref="T30" si="108">IF((S30-S29&lt;0), "0",S30-S29)</f>
        <v>0</v>
      </c>
      <c r="U30" s="26">
        <v>0</v>
      </c>
      <c r="V30" s="9">
        <f t="shared" si="53"/>
        <v>0</v>
      </c>
      <c r="W30" s="26">
        <v>0</v>
      </c>
      <c r="X30" s="9">
        <f t="shared" si="53"/>
        <v>0</v>
      </c>
      <c r="Y30" s="26">
        <v>0</v>
      </c>
      <c r="Z30" s="9">
        <f t="shared" si="53"/>
        <v>0</v>
      </c>
      <c r="AA30" s="26">
        <v>0</v>
      </c>
      <c r="AB30" s="9">
        <f t="shared" si="53"/>
        <v>0</v>
      </c>
      <c r="AC30" s="26">
        <v>0</v>
      </c>
      <c r="AD30" s="31">
        <f t="shared" si="53"/>
        <v>0</v>
      </c>
      <c r="AE30" s="26">
        <v>0</v>
      </c>
      <c r="AF30" s="33">
        <f t="shared" si="53"/>
        <v>0</v>
      </c>
      <c r="AG30" s="26">
        <v>0</v>
      </c>
      <c r="AH30" s="32">
        <f t="shared" si="53"/>
        <v>0</v>
      </c>
      <c r="AI30" s="26">
        <v>0</v>
      </c>
      <c r="AJ30" s="9">
        <f t="shared" si="53"/>
        <v>0</v>
      </c>
      <c r="AK30" s="26">
        <v>0</v>
      </c>
      <c r="AL30" s="9">
        <f t="shared" si="53"/>
        <v>0</v>
      </c>
      <c r="AM30" s="26">
        <v>0</v>
      </c>
      <c r="AN30" s="9">
        <f t="shared" si="53"/>
        <v>0</v>
      </c>
      <c r="AO30" s="26">
        <v>0</v>
      </c>
      <c r="AP30" s="9">
        <f t="shared" si="53"/>
        <v>0</v>
      </c>
      <c r="AQ30" s="47"/>
      <c r="AR30" s="17" t="s">
        <v>60</v>
      </c>
      <c r="AS30" s="9">
        <v>0</v>
      </c>
      <c r="AT30" s="17" t="s">
        <v>60</v>
      </c>
      <c r="AU30" s="9">
        <v>0</v>
      </c>
      <c r="AV30" s="26">
        <v>0</v>
      </c>
      <c r="AW30" s="9">
        <f t="shared" si="3"/>
        <v>0</v>
      </c>
      <c r="AX30" s="26">
        <v>0</v>
      </c>
      <c r="AY30" s="9">
        <f t="shared" si="4"/>
        <v>0</v>
      </c>
      <c r="AZ30" s="26">
        <v>0</v>
      </c>
      <c r="BA30" s="9">
        <f>IF((AZ30-AZ29&lt;0), "",AZ30-AZ29)</f>
        <v>0</v>
      </c>
      <c r="BB30" s="26">
        <v>0</v>
      </c>
      <c r="BC30" s="9">
        <f>IF((BB30-BB29&lt;0), "",BB30-BB29)</f>
        <v>0</v>
      </c>
      <c r="BD30" s="26">
        <v>0</v>
      </c>
      <c r="BE30" s="26">
        <v>0</v>
      </c>
      <c r="BH30">
        <f t="shared" si="0"/>
        <v>0</v>
      </c>
    </row>
    <row r="31" spans="1:60" ht="45" customHeight="1">
      <c r="A31" s="8">
        <v>44924</v>
      </c>
      <c r="B31" s="45"/>
      <c r="C31" s="26">
        <v>0</v>
      </c>
      <c r="D31" s="9">
        <f t="shared" si="6"/>
        <v>0</v>
      </c>
      <c r="E31" s="26">
        <v>0</v>
      </c>
      <c r="F31" s="9">
        <f>IF((E31-E30&lt;0), "0",E31-E30)</f>
        <v>0</v>
      </c>
      <c r="G31" s="26">
        <v>0</v>
      </c>
      <c r="H31" s="9">
        <f t="shared" si="1"/>
        <v>0</v>
      </c>
      <c r="I31" s="26">
        <v>0</v>
      </c>
      <c r="J31" s="9">
        <f t="shared" si="8"/>
        <v>0</v>
      </c>
      <c r="K31" s="26">
        <v>0</v>
      </c>
      <c r="L31" s="9">
        <f t="shared" si="8"/>
        <v>0</v>
      </c>
      <c r="M31" s="26">
        <v>0</v>
      </c>
      <c r="N31" s="9">
        <f t="shared" ref="N31" si="109">IF((M31-M30&lt;0), "0",M31-M30)</f>
        <v>0</v>
      </c>
      <c r="O31" s="26">
        <v>0</v>
      </c>
      <c r="P31" s="9">
        <f t="shared" ref="P31" si="110">IF((O31-O30&lt;0), "0",O31-O30)</f>
        <v>0</v>
      </c>
      <c r="Q31" s="26">
        <v>0</v>
      </c>
      <c r="R31" s="9">
        <f t="shared" ref="R31" si="111">IF((Q31-Q30&lt;0), "0",Q31-Q30)</f>
        <v>0</v>
      </c>
      <c r="S31" s="26">
        <v>0</v>
      </c>
      <c r="T31" s="9">
        <f t="shared" ref="T31" si="112">IF((S31-S30&lt;0), "0",S31-S30)</f>
        <v>0</v>
      </c>
      <c r="U31" s="26">
        <v>0</v>
      </c>
      <c r="V31" s="27">
        <f t="shared" si="53"/>
        <v>0</v>
      </c>
      <c r="W31" s="26">
        <v>0</v>
      </c>
      <c r="X31" s="27">
        <f t="shared" si="53"/>
        <v>0</v>
      </c>
      <c r="Y31" s="26">
        <v>0</v>
      </c>
      <c r="Z31" s="27">
        <f t="shared" si="53"/>
        <v>0</v>
      </c>
      <c r="AA31" s="26">
        <v>0</v>
      </c>
      <c r="AB31" s="27">
        <f t="shared" si="53"/>
        <v>0</v>
      </c>
      <c r="AC31" s="26">
        <v>0</v>
      </c>
      <c r="AD31" s="27">
        <f t="shared" si="53"/>
        <v>0</v>
      </c>
      <c r="AE31" s="26">
        <v>0</v>
      </c>
      <c r="AF31" s="27">
        <f>IF((AE31-AE30&lt;0), "",AE31-AE30)</f>
        <v>0</v>
      </c>
      <c r="AG31" s="26">
        <v>0</v>
      </c>
      <c r="AH31" s="27">
        <f t="shared" si="53"/>
        <v>0</v>
      </c>
      <c r="AI31" s="26">
        <v>0</v>
      </c>
      <c r="AJ31" s="27">
        <f t="shared" si="53"/>
        <v>0</v>
      </c>
      <c r="AK31" s="26">
        <v>0</v>
      </c>
      <c r="AL31" s="27">
        <f t="shared" si="53"/>
        <v>0</v>
      </c>
      <c r="AM31" s="26">
        <v>0</v>
      </c>
      <c r="AN31" s="27">
        <f t="shared" si="53"/>
        <v>0</v>
      </c>
      <c r="AO31" s="26">
        <v>0</v>
      </c>
      <c r="AP31" s="9">
        <f t="shared" si="53"/>
        <v>0</v>
      </c>
      <c r="AQ31" s="47"/>
      <c r="AR31" s="17" t="s">
        <v>60</v>
      </c>
      <c r="AS31" s="9">
        <v>0</v>
      </c>
      <c r="AT31" s="17" t="s">
        <v>60</v>
      </c>
      <c r="AU31" s="9">
        <v>0</v>
      </c>
      <c r="AV31" s="26">
        <v>0</v>
      </c>
      <c r="AW31" s="27">
        <f t="shared" si="3"/>
        <v>0</v>
      </c>
      <c r="AX31" s="26">
        <v>0</v>
      </c>
      <c r="AY31" s="27">
        <f t="shared" si="4"/>
        <v>0</v>
      </c>
      <c r="AZ31" s="26">
        <v>0</v>
      </c>
      <c r="BA31" s="27">
        <f t="shared" si="5"/>
        <v>0</v>
      </c>
      <c r="BB31" s="26">
        <v>0</v>
      </c>
      <c r="BC31" s="27">
        <f t="shared" si="13"/>
        <v>0</v>
      </c>
      <c r="BD31" s="26">
        <v>0</v>
      </c>
      <c r="BE31" s="26">
        <v>0</v>
      </c>
      <c r="BH31">
        <f t="shared" si="0"/>
        <v>0</v>
      </c>
    </row>
    <row r="32" spans="1:60" ht="34.5" customHeight="1">
      <c r="A32" s="8">
        <v>44925</v>
      </c>
      <c r="B32" s="28"/>
      <c r="C32" s="26">
        <v>0</v>
      </c>
      <c r="D32" s="9">
        <f>IF((C32-C31&lt;0), "0",C32-C31)</f>
        <v>0</v>
      </c>
      <c r="E32" s="26">
        <v>0</v>
      </c>
      <c r="F32" s="9">
        <f>IF((E32-E31&lt;0), "0",E32-E31)</f>
        <v>0</v>
      </c>
      <c r="G32" s="26">
        <v>0</v>
      </c>
      <c r="H32" s="9">
        <f>IF((G32-G31&lt;0), "0",G32-G31)</f>
        <v>0</v>
      </c>
      <c r="I32" s="26">
        <v>0</v>
      </c>
      <c r="J32" s="9">
        <f>IF((I32-I31&lt;0), "0",I32-I31)</f>
        <v>0</v>
      </c>
      <c r="K32" s="26">
        <v>0</v>
      </c>
      <c r="L32" s="9">
        <f>IF((K32-K31&lt;0), "0",K32-K31)</f>
        <v>0</v>
      </c>
      <c r="M32" s="26">
        <v>0</v>
      </c>
      <c r="N32" s="9">
        <f>IF((M32-M31&lt;0), "0",M32-M31)</f>
        <v>0</v>
      </c>
      <c r="O32" s="26">
        <v>0</v>
      </c>
      <c r="P32" s="9">
        <f>IF((O32-O31&lt;0), "0",O32-O31)</f>
        <v>0</v>
      </c>
      <c r="Q32" s="26">
        <v>0</v>
      </c>
      <c r="R32" s="9">
        <f>IF((Q32-Q31&lt;0), "0",Q32-Q31)</f>
        <v>0</v>
      </c>
      <c r="S32" s="26">
        <v>0</v>
      </c>
      <c r="T32" s="9">
        <f>IF((S32-S31&lt;0), "0",S32-S31)</f>
        <v>0</v>
      </c>
      <c r="U32" s="26">
        <v>0</v>
      </c>
      <c r="V32" s="27">
        <f>IF((U32-U31&lt;0), "0",U32-U31)</f>
        <v>0</v>
      </c>
      <c r="W32" s="26">
        <v>0</v>
      </c>
      <c r="X32" s="27">
        <f>IF((W32-W31&lt;0), "0",W32-W31)</f>
        <v>0</v>
      </c>
      <c r="Y32" s="26">
        <v>0</v>
      </c>
      <c r="Z32" s="27">
        <f>IF((Y32-Y31&lt;0), "0",Y32-Y31)</f>
        <v>0</v>
      </c>
      <c r="AA32" s="26">
        <v>0</v>
      </c>
      <c r="AB32" s="27">
        <f>IF((AA32-AA31&lt;0), "0",AA32-AA31)</f>
        <v>0</v>
      </c>
      <c r="AC32" s="26">
        <v>0</v>
      </c>
      <c r="AD32" s="27">
        <f>IF((AC32-AC31&lt;0), "0",AC32-AC31)</f>
        <v>0</v>
      </c>
      <c r="AE32" s="26">
        <v>0</v>
      </c>
      <c r="AF32" s="27">
        <f>IF((AE32-AE31&lt;0), "0",AE32-AE31)</f>
        <v>0</v>
      </c>
      <c r="AG32" s="26">
        <v>0</v>
      </c>
      <c r="AH32" s="27">
        <f>IF((AG32-AG31&lt;0), "0",AG32-AG31)</f>
        <v>0</v>
      </c>
      <c r="AI32" s="26">
        <v>0</v>
      </c>
      <c r="AJ32" s="27">
        <f>IF((AI32-AI31&lt;0), "0",AI32-AI31)</f>
        <v>0</v>
      </c>
      <c r="AK32" s="26">
        <v>0</v>
      </c>
      <c r="AL32" s="27">
        <f>IF((AK32-AK31&lt;0), "0",AK32-AK31)</f>
        <v>0</v>
      </c>
      <c r="AM32" s="26">
        <v>0</v>
      </c>
      <c r="AN32" s="27">
        <f>IF((AM32-AM31&lt;0), "0",AM32-AM31)</f>
        <v>0</v>
      </c>
      <c r="AO32" s="26">
        <v>0</v>
      </c>
      <c r="AP32" s="9">
        <f>IF((AO32-AO31&lt;0), "0",AO32-AO31)</f>
        <v>0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26">
        <v>0</v>
      </c>
      <c r="AW32" s="27">
        <f>IF((AV32-AV31&lt;0), "0",AV32-AV31)</f>
        <v>0</v>
      </c>
      <c r="AX32" s="26">
        <v>0</v>
      </c>
      <c r="AY32" s="27">
        <f>IF((AX32-AX31&lt;0), "0",AX32-AX31)</f>
        <v>0</v>
      </c>
      <c r="AZ32" s="26">
        <v>0</v>
      </c>
      <c r="BA32" s="27">
        <f>IF((AZ32-AZ31&lt;0), "0",AZ32-AZ31)</f>
        <v>0</v>
      </c>
      <c r="BB32" s="26">
        <v>0</v>
      </c>
      <c r="BC32" s="27">
        <f>IF((BB32-B31&lt;0), "0",BB32-BB31)</f>
        <v>0</v>
      </c>
      <c r="BD32" s="26">
        <v>0</v>
      </c>
      <c r="BE32" s="26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2022-12-06T10:57:08Z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