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L11" i="7" l="1"/>
  <c r="CJ10" i="7" l="1"/>
  <c r="D7" i="7" l="1"/>
  <c r="AN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E5" i="6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6" i="6" l="1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<sst xmlns="http://schemas.openxmlformats.org/spreadsheetml/2006/main" count="313" uniqueCount="148">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</sst>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7" fillId="2" borderId="3" xfId="2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7" sqref="M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2021</v>
      </c>
      <c r="E2" s="12">
        <f>Submetering!E2+Submetering!F2+Submetering!G2+Submetering!H2+Submetering!J2-Submetering!AV2</f>
        <v>7360.0000000002765</v>
      </c>
      <c r="F2" s="11">
        <v>0.58765030286592534</v>
      </c>
      <c r="G2" s="12">
        <f>(Submetering!AX2+Submetering!AY2+Submetering!AZ2+Submetering!BA2+Submetering!BB2)</f>
        <v>23.809499999999996</v>
      </c>
      <c r="H2" s="11">
        <v>0.99</v>
      </c>
      <c r="I2" s="12">
        <f>'FS Desroches Daily'!CM4</f>
        <v>52.800000000001091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2021</v>
      </c>
      <c r="E3" s="12">
        <f>Submetering!E3+Submetering!F3+Submetering!G3+Submetering!H3+Submetering!J3-Submetering!AV3</f>
        <v>8029.999999999528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67.399999999999636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2021</v>
      </c>
      <c r="E4" s="12">
        <f>Submetering!E4+Submetering!F4+Submetering!G4+Submetering!H4+Submetering!J4-Submetering!AV4</f>
        <v>8350.0000000002492</v>
      </c>
      <c r="F4" s="11">
        <f t="shared" ref="F4:F32" si="1">F3</f>
        <v>0.58765030286592534</v>
      </c>
      <c r="G4" s="12">
        <f>(Submetering!AX4+Submetering!AY4+Submetering!AZ4+Submetering!BA4+Submetering!BB4)</f>
        <v>31.1355</v>
      </c>
      <c r="H4" s="11">
        <f t="shared" ref="H4:H32" si="2">H3</f>
        <v>0.99</v>
      </c>
      <c r="I4" s="12">
        <f>'FS Desroches Daily'!CM6</f>
        <v>67.399999999999636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2021</v>
      </c>
      <c r="E5" s="12">
        <f>Submetering!E5+Submetering!F5+Submetering!G5+Submetering!H5+Submetering!J5-Submetering!AV5</f>
        <v>8479.9999999999163</v>
      </c>
      <c r="F5" s="11">
        <f t="shared" si="1"/>
        <v>0.58765030286592534</v>
      </c>
      <c r="G5" s="12">
        <f>(Submetering!AX5+Submetering!AY5+Submetering!AZ5+Submetering!BA5+Submetering!BB5)</f>
        <v>20.146499999999996</v>
      </c>
      <c r="H5" s="11">
        <f t="shared" si="2"/>
        <v>0.99</v>
      </c>
      <c r="I5" s="12">
        <f>'FS Desroches Daily'!CM7</f>
        <v>60.600000000000364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2021</v>
      </c>
      <c r="E6" s="12">
        <f>Submetering!E6+Submetering!F6+Submetering!G6+Submetering!H6+Submetering!J6-Submetering!AV6</f>
        <v>8529.9999999997272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64.700000000000728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2021</v>
      </c>
      <c r="E7" s="12">
        <f>Submetering!E7+Submetering!F7+Submetering!G7+Submetering!H7+Submetering!J7-Submetering!AV7</f>
        <v>8039.9999999998827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66.099999999998545</v>
      </c>
      <c r="J7" s="11">
        <f t="shared" si="3"/>
        <v>10.487297712684205</v>
      </c>
      <c r="K7" s="13">
        <f>'FS Desroches Daily'!CN9</f>
        <v>11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2021</v>
      </c>
      <c r="E8" s="12">
        <f>Submetering!E8+Submetering!F8+Submetering!G8+Submetering!H8+Submetering!J8-Submetering!AV8</f>
        <v>8390.0000000003274</v>
      </c>
      <c r="F8" s="11">
        <f t="shared" si="1"/>
        <v>0.58765030286592534</v>
      </c>
      <c r="G8" s="12">
        <f>(Submetering!AX8+Submetering!AY8+Submetering!AZ8+Submetering!BA8+Submetering!BB8)</f>
        <v>43.955999999999996</v>
      </c>
      <c r="H8" s="11">
        <f t="shared" si="2"/>
        <v>0.99</v>
      </c>
      <c r="I8" s="12">
        <f>'FS Desroches Daily'!CM10</f>
        <v>58.200000000000728</v>
      </c>
      <c r="J8" s="11">
        <f t="shared" si="3"/>
        <v>10.487297712684205</v>
      </c>
      <c r="K8" s="13">
        <f>'FS Desroches Daily'!CN10</f>
        <v>14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2021</v>
      </c>
      <c r="E9" s="12">
        <f>Submetering!E9+Submetering!F9+Submetering!G9+Submetering!H9+Submetering!J9-Submetering!AV9</f>
        <v>8299.9999999997781</v>
      </c>
      <c r="F9" s="11">
        <f t="shared" si="1"/>
        <v>0.58765030286592534</v>
      </c>
      <c r="G9" s="12">
        <f>(Submetering!AX9+Submetering!AY9+Submetering!AZ9+Submetering!BA9+Submetering!BB9)</f>
        <v>38.461499999999994</v>
      </c>
      <c r="H9" s="11">
        <f t="shared" si="2"/>
        <v>0.99</v>
      </c>
      <c r="I9" s="12">
        <f>'FS Desroches Daily'!CM11</f>
        <v>76.299999999999272</v>
      </c>
      <c r="J9" s="11">
        <f t="shared" si="3"/>
        <v>10.487297712684205</v>
      </c>
      <c r="K9" s="13">
        <f>'FS Desroches Daily'!CN11</f>
        <v>12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2021</v>
      </c>
      <c r="E10" s="12">
        <f>Submetering!E10+Submetering!F10+Submetering!G10+Submetering!H10+Submetering!J10-Submetering!AV10</f>
        <v>8810.0000000004839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73.900000000001455</v>
      </c>
      <c r="J10" s="11">
        <f t="shared" si="3"/>
        <v>10.487297712684205</v>
      </c>
      <c r="K10" s="13">
        <f>'FS Desroches Daily'!CN12</f>
        <v>12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2021</v>
      </c>
      <c r="E11" s="12">
        <f>Submetering!E11+Submetering!F11+Submetering!G11+Submetering!H11+Submetering!J11-Submetering!AV11</f>
        <v>9029.9999999997472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76.799999999999272</v>
      </c>
      <c r="J11" s="11">
        <f t="shared" si="3"/>
        <v>10.487297712684205</v>
      </c>
      <c r="K11" s="13">
        <f>'FS Desroches Daily'!CN13</f>
        <v>14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2021</v>
      </c>
      <c r="E12" s="12">
        <f>Submetering!E12+Submetering!F12+Submetering!G12+Submetering!H12+Submetering!J12-Submetering!AV12</f>
        <v>8639.9999999999272</v>
      </c>
      <c r="F12" s="11">
        <f t="shared" si="1"/>
        <v>0.58765030286592534</v>
      </c>
      <c r="G12" s="12">
        <f>(Submetering!AX12+Submetering!AY12+Submetering!AZ12+Submetering!BA12+Submetering!BB12)</f>
        <v>25.640999999999998</v>
      </c>
      <c r="H12" s="11">
        <f t="shared" si="2"/>
        <v>0.99</v>
      </c>
      <c r="I12" s="12">
        <f>'FS Desroches Daily'!CM14</f>
        <v>78</v>
      </c>
      <c r="J12" s="11">
        <f t="shared" si="3"/>
        <v>10.487297712684205</v>
      </c>
      <c r="K12" s="13">
        <f>'FS Desroches Daily'!CN14</f>
        <v>13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2021</v>
      </c>
      <c r="E13" s="12">
        <f>Submetering!E13+Submetering!F13+Submetering!G13+Submetering!H13+Submetering!J13-Submetering!AV13</f>
        <v>8900.00000000004</v>
      </c>
      <c r="F13" s="11">
        <f t="shared" si="1"/>
        <v>0.58765030286592534</v>
      </c>
      <c r="G13" s="12">
        <f>(Submetering!AX13+Submetering!AY13+Submetering!AZ13+Submetering!BA13+Submetering!BB13)</f>
        <v>18.314999999999998</v>
      </c>
      <c r="H13" s="11">
        <f t="shared" si="2"/>
        <v>0.99</v>
      </c>
      <c r="I13" s="12">
        <f>'FS Desroches Daily'!CM15</f>
        <v>61.299999999999272</v>
      </c>
      <c r="J13" s="11">
        <f t="shared" si="3"/>
        <v>10.487297712684205</v>
      </c>
      <c r="K13" s="13">
        <f>'FS Desroches Daily'!CN15</f>
        <v>13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2021</v>
      </c>
      <c r="E14" s="12">
        <f>Submetering!E14+Submetering!F14+Submetering!G14+Submetering!H14+Submetering!J14-Submetering!AV14</f>
        <v>8589.9999999996726</v>
      </c>
      <c r="F14" s="11">
        <f t="shared" si="1"/>
        <v>0.58765030286592534</v>
      </c>
      <c r="G14" s="12">
        <f>(Submetering!AX14+Submetering!AY14+Submetering!AZ14+Submetering!BA14+Submetering!BB14)</f>
        <v>9979.8435000000009</v>
      </c>
      <c r="H14" s="11">
        <f t="shared" si="2"/>
        <v>0.99</v>
      </c>
      <c r="I14" s="12">
        <f>'FS Desroches Daily'!CM16</f>
        <v>71.700000000000728</v>
      </c>
      <c r="J14" s="11">
        <f t="shared" si="3"/>
        <v>10.487297712684205</v>
      </c>
      <c r="K14" s="13">
        <f>'FS Desroches Daily'!CN16</f>
        <v>13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2021</v>
      </c>
      <c r="E15" s="12">
        <f>Submetering!E15+Submetering!F15+Submetering!G15+Submetering!H15+Submetering!J15-Submetering!AV15</f>
        <v>8390.0000000003274</v>
      </c>
      <c r="F15" s="11">
        <f t="shared" si="1"/>
        <v>0.58765030286592534</v>
      </c>
      <c r="G15" s="12">
        <f>(Submetering!AX15+Submetering!AY15+Submetering!AZ15+Submetering!BA15+Submetering!BB15)</f>
        <v>23.809499999999996</v>
      </c>
      <c r="H15" s="11">
        <f t="shared" si="2"/>
        <v>0.99</v>
      </c>
      <c r="I15" s="12">
        <f>'FS Desroches Daily'!CM17</f>
        <v>68</v>
      </c>
      <c r="J15" s="11">
        <f t="shared" si="3"/>
        <v>10.487297712684205</v>
      </c>
      <c r="K15" s="13">
        <f>'FS Desroches Daily'!CN17</f>
        <v>16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2021</v>
      </c>
      <c r="E16" s="12">
        <f>Submetering!E16+Submetering!F16+Submetering!G16+Submetering!H16+Submetering!J16-Submetering!AV16</f>
        <v>8590.0000000000837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77</v>
      </c>
      <c r="J16" s="11">
        <f t="shared" si="3"/>
        <v>10.487297712684205</v>
      </c>
      <c r="K16" s="13">
        <f>'FS Desroches Daily'!CN18</f>
        <v>15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2021</v>
      </c>
      <c r="E17" s="12" t="e">
        <f>Submetering!E17+Submetering!F17+Submetering!G17+Submetering!H17+Submetering!J17-Submetering!AV17</f>
        <v>#VALUE!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 t="e">
        <f>'FS Desroches Daily'!CM19</f>
        <v>#VALUE!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10" workbookViewId="0">
      <selection activeCell="N17" sqref="N1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2021</v>
      </c>
      <c r="E2" s="31">
        <f>'FS Desroches Daily'!D4</f>
        <v>1700.0000000000348</v>
      </c>
      <c r="F2" s="32">
        <f>'FS Desroches Daily'!F4</f>
        <v>2299.9999999999686</v>
      </c>
      <c r="G2" s="31">
        <f>'FS Desroches Daily'!H4</f>
        <v>2200.0000000002019</v>
      </c>
      <c r="H2" s="32">
        <f>'FS Desroches Daily'!J4</f>
        <v>1000.0000000001119</v>
      </c>
      <c r="I2" s="31">
        <f>'FS Desroches Daily'!L4</f>
        <v>1600.0000000002678</v>
      </c>
      <c r="J2" s="32">
        <f>'FS Desroches Daily'!N4</f>
        <v>699.99999999992292</v>
      </c>
      <c r="K2" s="13">
        <f>'FS Desroches Daily'!P4</f>
        <v>2</v>
      </c>
      <c r="L2" s="31">
        <f>'FS Desroches Daily'!R4</f>
        <v>2</v>
      </c>
      <c r="M2" s="31">
        <f>'FS Desroches Daily'!T4</f>
        <v>603.19999999995343</v>
      </c>
      <c r="N2" s="31">
        <f>'FS Desroches Daily'!V4</f>
        <v>245.80000000004657</v>
      </c>
      <c r="O2" s="31">
        <f>'FS Desroches Daily'!X4</f>
        <v>200.00000000004547</v>
      </c>
      <c r="P2" s="31">
        <f>'FS Desroches Daily'!Z4</f>
        <v>1599.9999999998238</v>
      </c>
      <c r="Q2" s="31">
        <f>'FS Desroches Daily'!AB4</f>
        <v>170.00000000001592</v>
      </c>
      <c r="R2" s="31">
        <f>'FS Desroches Daily'!AD4</f>
        <v>169.99999999995907</v>
      </c>
      <c r="S2" s="31">
        <f>'FS Desroches Daily'!AF4</f>
        <v>199.99999999993179</v>
      </c>
      <c r="T2" s="31">
        <f>'FS Desroches Daily'!AH4</f>
        <v>23</v>
      </c>
      <c r="U2" s="35">
        <f>'FS Desroches Daily'!AJ4</f>
        <v>620.00000000000455</v>
      </c>
      <c r="V2" s="35">
        <f>'FS Desroches Daily'!AL4</f>
        <v>120.00000000000455</v>
      </c>
      <c r="W2" s="35">
        <f>'FS Desroches Daily'!AN4</f>
        <v>90.000000000003411</v>
      </c>
      <c r="X2" s="35">
        <f>'FS Desroches Daily'!AP4</f>
        <v>80.000000000012506</v>
      </c>
      <c r="Y2" s="35">
        <f>'FS Desroches Daily'!AR4</f>
        <v>40.000000000020464</v>
      </c>
      <c r="Z2" s="35">
        <f>'FS Desroches Daily'!AT4</f>
        <v>90.000000000031832</v>
      </c>
      <c r="AA2" s="35">
        <f>'FS Desroches Daily'!AT4</f>
        <v>90.000000000031832</v>
      </c>
      <c r="AB2" s="35">
        <f>'FS Desroches Daily'!AV4</f>
        <v>30.000000000029559</v>
      </c>
      <c r="AC2" s="35">
        <f>'FS Desroches Daily'!AZ4</f>
        <v>29.999999999972715</v>
      </c>
      <c r="AD2" s="35">
        <f>'FS Desroches Daily'!BB4</f>
        <v>10.000000000047748</v>
      </c>
      <c r="AE2" s="35">
        <f>'FS Desroches Daily'!BD4</f>
        <v>9.9999999999909051</v>
      </c>
      <c r="AF2" s="31">
        <f>'FS Desroches Daily'!BF4</f>
        <v>25</v>
      </c>
      <c r="AG2" s="32">
        <f>'FS Desroches Daily'!BH4</f>
        <v>30.000000000001137</v>
      </c>
      <c r="AH2" s="32">
        <f>'FS Desroches Daily'!BJ4</f>
        <v>19.99999999998181</v>
      </c>
      <c r="AI2" s="32">
        <f>'FS Desroches Daily'!BL4</f>
        <v>30.000000000001137</v>
      </c>
      <c r="AJ2" s="32">
        <f>'FS Desroches Daily'!BN4</f>
        <v>30.000000000001137</v>
      </c>
      <c r="AK2" s="32">
        <f>'FS Desroches Daily'!BP4</f>
        <v>40.000000000020464</v>
      </c>
      <c r="AL2" s="32">
        <f>'FS Desroches Daily'!BR4</f>
        <v>21</v>
      </c>
      <c r="AM2" s="32">
        <f>'FS Desroches Daily'!BT4</f>
        <v>30.000000000001137</v>
      </c>
      <c r="AN2" s="32">
        <f>'FS Desroches Daily'!BV4</f>
        <v>40</v>
      </c>
      <c r="AO2" s="32">
        <f>'FS Desroches Daily'!BX4</f>
        <v>20.000000000010232</v>
      </c>
      <c r="AP2" s="32">
        <f>'FS Desroches Daily'!BZ4</f>
        <v>43</v>
      </c>
      <c r="AQ2" s="31">
        <f>'FS Desroches Daily'!CB4</f>
        <v>20.399999999997817</v>
      </c>
      <c r="AR2" s="31">
        <f>'FS Desroches Daily'!CD4</f>
        <v>4.1999999999989086</v>
      </c>
      <c r="AS2" s="31">
        <f>'FS Desroches Daily'!CF4</f>
        <v>5.3999999999996362</v>
      </c>
      <c r="AT2" s="31">
        <f>'FS Desroches Daily'!CH4</f>
        <v>30.69999999999709</v>
      </c>
      <c r="AU2" s="31">
        <f>'FS Desroches Daily'!CJ4</f>
        <v>229</v>
      </c>
      <c r="AV2" s="31">
        <f>'FS Desroches Daily'!CL4</f>
        <v>539.99999999996362</v>
      </c>
      <c r="AW2" s="31">
        <f>'FS Desroches Daily'!CM4</f>
        <v>52.800000000001091</v>
      </c>
      <c r="AX2" s="31">
        <f>IF(LPG!F9-LPG!F8&lt;0,"0",(LPG!F9-LPG!F8)*1.8315)</f>
        <v>9.1574999999999989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2021</v>
      </c>
      <c r="E3" s="31">
        <f>'FS Desroches Daily'!D5</f>
        <v>1799.9999999998017</v>
      </c>
      <c r="F3" s="32">
        <f>'FS Desroches Daily'!F5</f>
        <v>2499.9999999999468</v>
      </c>
      <c r="G3" s="31">
        <f>'FS Desroches Daily'!H5</f>
        <v>2299.9999999999686</v>
      </c>
      <c r="H3" s="32">
        <f>'FS Desroches Daily'!J5</f>
        <v>1199.9999999998679</v>
      </c>
      <c r="I3" s="31">
        <f>'FS Desroches Daily'!L5</f>
        <v>1899.9999999995687</v>
      </c>
      <c r="J3" s="32">
        <f>'FS Desroches Daily'!N5</f>
        <v>899.99999999990087</v>
      </c>
      <c r="K3" s="13">
        <f>'FS Desroches Daily'!P5</f>
        <v>6</v>
      </c>
      <c r="L3" s="31">
        <f>'FS Desroches Daily'!R5</f>
        <v>2</v>
      </c>
      <c r="M3" s="31">
        <f>'FS Desroches Daily'!T5</f>
        <v>607.40000000002328</v>
      </c>
      <c r="N3" s="31">
        <f>'FS Desroches Daily'!V5</f>
        <v>211.5</v>
      </c>
      <c r="O3" s="31">
        <f>'FS Desroches Daily'!X6</f>
        <v>240.00000000000909</v>
      </c>
      <c r="P3" s="31">
        <f>'FS Desroches Daily'!Z5</f>
        <v>2299.9999999999686</v>
      </c>
      <c r="Q3" s="31">
        <f>'FS Desroches Daily'!AB5</f>
        <v>319.99999999999318</v>
      </c>
      <c r="R3" s="31">
        <f>'FS Desroches Daily'!AD5</f>
        <v>210.00000000003638</v>
      </c>
      <c r="S3" s="31">
        <f>'FS Desroches Daily'!AF5</f>
        <v>270.0000000000955</v>
      </c>
      <c r="T3" s="31">
        <f>'FS Desroches Daily'!AH5</f>
        <v>33</v>
      </c>
      <c r="U3" s="35">
        <f>'FS Desroches Daily'!AJ5</f>
        <v>740.00000000000909</v>
      </c>
      <c r="V3" s="35">
        <f>'FS Desroches Daily'!AL5</f>
        <v>159.99999999999659</v>
      </c>
      <c r="W3" s="35">
        <f>'FS Desroches Daily'!AN5</f>
        <v>109.99999999998522</v>
      </c>
      <c r="X3" s="35">
        <f>'FS Desroches Daily'!AP5</f>
        <v>109.99999999998522</v>
      </c>
      <c r="Y3" s="35">
        <f>'FS Desroches Daily'!AR5</f>
        <v>149.99999999997726</v>
      </c>
      <c r="Z3" s="35">
        <f>'FS Desroches Daily'!AT5</f>
        <v>139.99999999998636</v>
      </c>
      <c r="AA3" s="35">
        <f>'FS Desroches Daily'!AT5</f>
        <v>139.99999999998636</v>
      </c>
      <c r="AB3" s="35">
        <f>'FS Desroches Daily'!AV5</f>
        <v>39.99999999996362</v>
      </c>
      <c r="AC3" s="35">
        <f>'FS Desroches Daily'!AZ5</f>
        <v>40.000000000020464</v>
      </c>
      <c r="AD3" s="35">
        <f>'FS Desroches Daily'!BB5</f>
        <v>29.999999999972715</v>
      </c>
      <c r="AE3" s="35">
        <f>'FS Desroches Daily'!BD5</f>
        <v>39.999999999992042</v>
      </c>
      <c r="AF3" s="31">
        <f>'FS Desroches Daily'!BF5</f>
        <v>29</v>
      </c>
      <c r="AG3" s="32">
        <f>'FS Desroches Daily'!BH5</f>
        <v>50.000000000011369</v>
      </c>
      <c r="AH3" s="32">
        <f>'FS Desroches Daily'!BJ5</f>
        <v>20.000000000038654</v>
      </c>
      <c r="AI3" s="32">
        <f>'FS Desroches Daily'!BL5</f>
        <v>20.000000000010232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38</v>
      </c>
      <c r="AO3" s="32">
        <f>'FS Desroches Daily'!BX5</f>
        <v>20.000000000010232</v>
      </c>
      <c r="AP3" s="32">
        <f>'FS Desroches Daily'!BZ5</f>
        <v>32</v>
      </c>
      <c r="AQ3" s="31">
        <f>'FS Desroches Daily'!CB5</f>
        <v>34.900000000001455</v>
      </c>
      <c r="AR3" s="31">
        <f>'FS Desroches Daily'!CD5</f>
        <v>7</v>
      </c>
      <c r="AS3" s="31">
        <f>'FS Desroches Daily'!CF5</f>
        <v>0.1000000000003638</v>
      </c>
      <c r="AT3" s="31">
        <f>'FS Desroches Daily'!CH5</f>
        <v>36.400000000001455</v>
      </c>
      <c r="AU3" s="31">
        <f>'FS Desroches Daily'!CJ5</f>
        <v>294</v>
      </c>
      <c r="AV3" s="31">
        <f>'FS Desroches Daily'!CL5</f>
        <v>669.99999999995907</v>
      </c>
      <c r="AW3" s="31">
        <f>'FS Desroches Daily'!CM5</f>
        <v>67.399999999999636</v>
      </c>
      <c r="AX3" s="31">
        <f>IF(LPG!F10-LPG!F9&lt;0,"0",(LPG!F10-LPG!F9)*1.8315)</f>
        <v>7.3259999999999996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2021</v>
      </c>
      <c r="E4" s="31">
        <f>'FS Desroches Daily'!D6</f>
        <v>1900.0000000000127</v>
      </c>
      <c r="F4" s="32">
        <f>'FS Desroches Daily'!F6</f>
        <v>2699.9999999999245</v>
      </c>
      <c r="G4" s="31">
        <f>'FS Desroches Daily'!H6</f>
        <v>2400.0000000001796</v>
      </c>
      <c r="H4" s="32">
        <f>'FS Desroches Daily'!J6</f>
        <v>1200.0000000000898</v>
      </c>
      <c r="I4" s="31">
        <f>'FS Desroches Daily'!L6</f>
        <v>1900.0000000000127</v>
      </c>
      <c r="J4" s="32">
        <f>'FS Desroches Daily'!N6</f>
        <v>800.00000000013392</v>
      </c>
      <c r="K4" s="13">
        <f>'FS Desroches Daily'!P6</f>
        <v>4</v>
      </c>
      <c r="L4" s="31">
        <f>'FS Desroches Daily'!R6</f>
        <v>2</v>
      </c>
      <c r="M4" s="31">
        <f>'FS Desroches Daily'!T6</f>
        <v>747.40000000002328</v>
      </c>
      <c r="N4" s="31">
        <f>'FS Desroches Daily'!V6</f>
        <v>264.59999999997672</v>
      </c>
      <c r="O4" s="31">
        <f>'FS Desroches Daily'!X7</f>
        <v>250</v>
      </c>
      <c r="P4" s="31">
        <f>'FS Desroches Daily'!Z6</f>
        <v>2400.0000000001796</v>
      </c>
      <c r="Q4" s="31">
        <f>'FS Desroches Daily'!AB6</f>
        <v>189.99999999999773</v>
      </c>
      <c r="R4" s="31">
        <f>'FS Desroches Daily'!AD6</f>
        <v>209.99999999997954</v>
      </c>
      <c r="S4" s="31">
        <f>'FS Desroches Daily'!AF6</f>
        <v>309.99999999994543</v>
      </c>
      <c r="T4" s="31">
        <f>'FS Desroches Daily'!AH6</f>
        <v>32</v>
      </c>
      <c r="U4" s="35">
        <f>'FS Desroches Daily'!AJ6</f>
        <v>789.99999999996362</v>
      </c>
      <c r="V4" s="35">
        <f>'FS Desroches Daily'!AL6</f>
        <v>189.99999999999773</v>
      </c>
      <c r="W4" s="35">
        <f>'FS Desroches Daily'!AN6</f>
        <v>140.00000000001478</v>
      </c>
      <c r="X4" s="35">
        <f>'FS Desroches Daily'!AP6</f>
        <v>140.00000000001478</v>
      </c>
      <c r="Y4" s="35">
        <f>'FS Desroches Daily'!AR6</f>
        <v>219.99999999999886</v>
      </c>
      <c r="Z4" s="35">
        <f>'FS Desroches Daily'!AT6</f>
        <v>110.00000000001364</v>
      </c>
      <c r="AA4" s="35">
        <f>'FS Desroches Daily'!AT6</f>
        <v>110.00000000001364</v>
      </c>
      <c r="AB4" s="35">
        <f>'FS Desroches Daily'!AV6</f>
        <v>60.000000000002274</v>
      </c>
      <c r="AC4" s="35">
        <f>'FS Desroches Daily'!AZ6</f>
        <v>29.999999999972715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26</v>
      </c>
      <c r="AG4" s="32">
        <f>'FS Desroches Daily'!BH6</f>
        <v>29.999999999972715</v>
      </c>
      <c r="AH4" s="32">
        <f>'FS Desroches Daily'!BJ6</f>
        <v>19.99999999998181</v>
      </c>
      <c r="AI4" s="32">
        <f>'FS Desroches Daily'!BL6</f>
        <v>20.000000000010232</v>
      </c>
      <c r="AJ4" s="32">
        <f>'FS Desroches Daily'!BN6</f>
        <v>39.999999999992042</v>
      </c>
      <c r="AK4" s="32">
        <f>'FS Desroches Daily'!BP6</f>
        <v>40.000000000020464</v>
      </c>
      <c r="AL4" s="32">
        <f>'FS Desroches Daily'!BR6</f>
        <v>26</v>
      </c>
      <c r="AM4" s="32">
        <f>'FS Desroches Daily'!BT6</f>
        <v>20.000000000010232</v>
      </c>
      <c r="AN4" s="32">
        <f>'FS Desroches Daily'!BV6</f>
        <v>39</v>
      </c>
      <c r="AO4" s="32">
        <f>'FS Desroches Daily'!BX6</f>
        <v>19.99999999998181</v>
      </c>
      <c r="AP4" s="32">
        <f>'FS Desroches Daily'!BZ6</f>
        <v>37</v>
      </c>
      <c r="AQ4" s="31">
        <f>'FS Desroches Daily'!CB6</f>
        <v>34.5</v>
      </c>
      <c r="AR4" s="31">
        <f>'FS Desroches Daily'!CD6</f>
        <v>7.3000000000010914</v>
      </c>
      <c r="AS4" s="31">
        <f>'FS Desroches Daily'!CF6</f>
        <v>5.1000000000003638</v>
      </c>
      <c r="AT4" s="31">
        <f>'FS Desroches Daily'!CH6</f>
        <v>39.19999999999709</v>
      </c>
      <c r="AU4" s="31">
        <f>'FS Desroches Daily'!CJ6</f>
        <v>298</v>
      </c>
      <c r="AV4" s="31">
        <f>'FS Desroches Daily'!CL6</f>
        <v>650.00000000009095</v>
      </c>
      <c r="AW4" s="31">
        <f>'FS Desroches Daily'!CM6</f>
        <v>67.399999999999636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2021</v>
      </c>
      <c r="E5" s="31">
        <f>'FS Desroches Daily'!D7</f>
        <v>1799.9999999998017</v>
      </c>
      <c r="F5" s="32">
        <f>'FS Desroches Daily'!F7</f>
        <v>2600.0000000001578</v>
      </c>
      <c r="G5" s="31">
        <f>'FS Desroches Daily'!H7</f>
        <v>2299.9999999999686</v>
      </c>
      <c r="H5" s="32">
        <f>'FS Desroches Daily'!J7</f>
        <v>1300.0000000000789</v>
      </c>
      <c r="I5" s="31">
        <f>'FS Desroches Daily'!L7</f>
        <v>1800.0000000002458</v>
      </c>
      <c r="J5" s="32">
        <f>'FS Desroches Daily'!N7</f>
        <v>999.99999999988984</v>
      </c>
      <c r="K5" s="13">
        <f>'FS Desroches Daily'!P7</f>
        <v>6</v>
      </c>
      <c r="L5" s="31">
        <f>'FS Desroches Daily'!R7</f>
        <v>3</v>
      </c>
      <c r="M5" s="31">
        <f>'FS Desroches Daily'!T7</f>
        <v>671.59999999997672</v>
      </c>
      <c r="N5" s="31">
        <f>'FS Desroches Daily'!V7</f>
        <v>252.70000000001164</v>
      </c>
      <c r="O5" s="31">
        <f>'FS Desroches Daily'!X8</f>
        <v>259.99999999999091</v>
      </c>
      <c r="P5" s="31">
        <f>'FS Desroches Daily'!Z7</f>
        <v>2400.0000000001796</v>
      </c>
      <c r="Q5" s="31">
        <f>'FS Desroches Daily'!AB7</f>
        <v>360.00000000001364</v>
      </c>
      <c r="R5" s="31">
        <f>'FS Desroches Daily'!AD7</f>
        <v>220.00000000002728</v>
      </c>
      <c r="S5" s="31">
        <f>'FS Desroches Daily'!AF7</f>
        <v>309.99999999994543</v>
      </c>
      <c r="T5" s="31">
        <f>'FS Desroches Daily'!AH7</f>
        <v>33</v>
      </c>
      <c r="U5" s="35">
        <f>'FS Desroches Daily'!AJ7</f>
        <v>529.99999999997272</v>
      </c>
      <c r="V5" s="35">
        <f>'FS Desroches Daily'!AL7</f>
        <v>189.99999999999773</v>
      </c>
      <c r="W5" s="35">
        <f>'FS Desroches Daily'!AN7</f>
        <v>209.99999999997954</v>
      </c>
      <c r="X5" s="35">
        <f>'FS Desroches Daily'!AP7</f>
        <v>99.999999999994316</v>
      </c>
      <c r="Y5" s="35">
        <f>'FS Desroches Daily'!AR7</f>
        <v>170.00000000001592</v>
      </c>
      <c r="Z5" s="35">
        <f>'FS Desroches Daily'!AT7</f>
        <v>149.99999999997726</v>
      </c>
      <c r="AA5" s="35">
        <f>'FS Desroches Daily'!AT7</f>
        <v>149.99999999997726</v>
      </c>
      <c r="AB5" s="35">
        <f>'FS Desroches Daily'!AV7</f>
        <v>100.00000000002274</v>
      </c>
      <c r="AC5" s="35">
        <f>'FS Desroches Daily'!AZ7</f>
        <v>50.000000000011369</v>
      </c>
      <c r="AD5" s="35">
        <f>'FS Desroches Daily'!BB7</f>
        <v>30.000000000029559</v>
      </c>
      <c r="AE5" s="35">
        <f>'FS Desroches Daily'!BD7</f>
        <v>30.000000000001137</v>
      </c>
      <c r="AF5" s="31">
        <f>'FS Desroches Daily'!BF7</f>
        <v>25</v>
      </c>
      <c r="AG5" s="32">
        <f>'FS Desroches Daily'!BH7</f>
        <v>40.000000000020464</v>
      </c>
      <c r="AH5" s="32">
        <f>'FS Desroches Daily'!BJ7</f>
        <v>19.99999999998181</v>
      </c>
      <c r="AI5" s="32">
        <f>'FS Desroches Daily'!BL7</f>
        <v>29.999999999972715</v>
      </c>
      <c r="AJ5" s="32">
        <f>'FS Desroches Daily'!BN7</f>
        <v>40.000000000020464</v>
      </c>
      <c r="AK5" s="32">
        <f>'FS Desroches Daily'!BP7</f>
        <v>50.000000000011369</v>
      </c>
      <c r="AL5" s="32">
        <f>'FS Desroches Daily'!BR7</f>
        <v>35</v>
      </c>
      <c r="AM5" s="32">
        <f>'FS Desroches Daily'!BT7</f>
        <v>39.999999999992042</v>
      </c>
      <c r="AN5" s="32">
        <f>'FS Desroches Daily'!BV7</f>
        <v>50</v>
      </c>
      <c r="AO5" s="32">
        <f>'FS Desroches Daily'!BX7</f>
        <v>20.000000000010232</v>
      </c>
      <c r="AP5" s="32">
        <f>'FS Desroches Daily'!BZ7</f>
        <v>45</v>
      </c>
      <c r="AQ5" s="31">
        <f>'FS Desroches Daily'!CB7</f>
        <v>37.700000000000728</v>
      </c>
      <c r="AR5" s="31">
        <f>'FS Desroches Daily'!CD7</f>
        <v>8.2999999999992724</v>
      </c>
      <c r="AS5" s="31">
        <f>'FS Desroches Daily'!CF7</f>
        <v>10.299999999999272</v>
      </c>
      <c r="AT5" s="31">
        <f>'FS Desroches Daily'!CH7</f>
        <v>35.900000000001455</v>
      </c>
      <c r="AU5" s="31">
        <f>'FS Desroches Daily'!CJ7</f>
        <v>272</v>
      </c>
      <c r="AV5" s="31">
        <f>'FS Desroches Daily'!CL7</f>
        <v>519.99999999998181</v>
      </c>
      <c r="AW5" s="31">
        <f>'FS Desroches Daily'!CM7</f>
        <v>60.600000000000364</v>
      </c>
      <c r="AX5" s="31">
        <f>IF(LPG!F12-LPG!F11&lt;0,"0",(LPG!F12-LPG!F11)*1.8315)</f>
        <v>9.1574999999999989</v>
      </c>
      <c r="AY5" s="31">
        <f>IF(LPG!H12-LPG!H11&lt;0,"0",(LPG!H12-LPG!H11)*1.8315)</f>
        <v>5.4944999999999995</v>
      </c>
      <c r="AZ5" s="31" t="str">
        <f>IF(LPG!J12-LPG!J13&lt;0,"0",(LPG!J12-LPG!J13)*1.8315)</f>
        <v>0</v>
      </c>
      <c r="BA5" s="31">
        <f>IF(LPG!M12-LPG!M11&lt;0,"0",(LPG!M12-LPG!M11)*1.8315)</f>
        <v>1.8314999999999999</v>
      </c>
      <c r="BB5" s="31">
        <f>IF(LPG!Q12-LPG!Q11&lt;0,"0",(LPG!Q12-LPG!Q11)*1.8315)</f>
        <v>3.6629999999999998</v>
      </c>
      <c r="BC5" s="13"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2021</v>
      </c>
      <c r="E6" s="31">
        <f>'FS Desroches Daily'!D8</f>
        <v>1900.0000000000127</v>
      </c>
      <c r="F6" s="32">
        <f>'FS Desroches Daily'!F8</f>
        <v>2699.9999999999245</v>
      </c>
      <c r="G6" s="31">
        <f>'FS Desroches Daily'!H8</f>
        <v>2199.9999999997576</v>
      </c>
      <c r="H6" s="32">
        <f>'FS Desroches Daily'!J8</f>
        <v>1199.9999999998679</v>
      </c>
      <c r="I6" s="31">
        <f>'FS Desroches Daily'!L8</f>
        <v>1900.0000000000127</v>
      </c>
      <c r="J6" s="32">
        <f>'FS Desroches Daily'!N8</f>
        <v>1100.000000000101</v>
      </c>
      <c r="K6" s="13">
        <f>'FS Desroches Daily'!P8</f>
        <v>5</v>
      </c>
      <c r="L6" s="31">
        <f>'FS Desroches Daily'!R8</f>
        <v>2</v>
      </c>
      <c r="M6" s="31">
        <f>'FS Desroches Daily'!T8</f>
        <v>600.80000000004657</v>
      </c>
      <c r="N6" s="31">
        <f>'FS Desroches Daily'!V8</f>
        <v>267.79999999998836</v>
      </c>
      <c r="O6" s="31">
        <f>'FS Desroches Daily'!X8</f>
        <v>259.99999999999091</v>
      </c>
      <c r="P6" s="31">
        <f>'FS Desroches Daily'!Z8</f>
        <v>2399.9999999997358</v>
      </c>
      <c r="Q6" s="31">
        <f>'FS Desroches Daily'!AB8</f>
        <v>319.99999999999318</v>
      </c>
      <c r="R6" s="31">
        <f>'FS Desroches Daily'!AD8</f>
        <v>239.99999999995225</v>
      </c>
      <c r="S6" s="31">
        <f>'FS Desroches Daily'!AF8</f>
        <v>380.00000000010914</v>
      </c>
      <c r="T6" s="31">
        <f>'FS Desroches Daily'!AH8</f>
        <v>37</v>
      </c>
      <c r="U6" s="35">
        <f>'FS Desroches Daily'!AJ8</f>
        <v>490.00000000000909</v>
      </c>
      <c r="V6" s="35">
        <f>'FS Desroches Daily'!AL8</f>
        <v>200.00000000001705</v>
      </c>
      <c r="W6" s="35">
        <f>'FS Desroches Daily'!AN8</f>
        <v>189.99999999999773</v>
      </c>
      <c r="X6" s="35">
        <f>'FS Desroches Daily'!AP8</f>
        <v>120.00000000000455</v>
      </c>
      <c r="Y6" s="35">
        <f>'FS Desroches Daily'!AR8</f>
        <v>169.99999999998749</v>
      </c>
      <c r="Z6" s="35">
        <f>'FS Desroches Daily'!AT8</f>
        <v>180.00000000000682</v>
      </c>
      <c r="AA6" s="35">
        <f>'FS Desroches Daily'!AT8</f>
        <v>180.00000000000682</v>
      </c>
      <c r="AB6" s="35">
        <f>'FS Desroches Daily'!AV8</f>
        <v>110.00000000001364</v>
      </c>
      <c r="AC6" s="35">
        <f>'FS Desroches Daily'!AZ8</f>
        <v>50.000000000011369</v>
      </c>
      <c r="AD6" s="35">
        <f>'FS Desroches Daily'!BB8</f>
        <v>19.99999999998181</v>
      </c>
      <c r="AE6" s="35">
        <f>'FS Desroches Daily'!BD8</f>
        <v>39.999999999992042</v>
      </c>
      <c r="AF6" s="31">
        <f>'FS Desroches Daily'!BF8</f>
        <v>31</v>
      </c>
      <c r="AG6" s="32">
        <f>'FS Desroches Daily'!BH8</f>
        <v>39.999999999992042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30.000000000001137</v>
      </c>
      <c r="AK6" s="32">
        <f>'FS Desroches Daily'!BP8</f>
        <v>39.99999999996362</v>
      </c>
      <c r="AL6" s="32">
        <f>'FS Desroches Daily'!BR8</f>
        <v>30</v>
      </c>
      <c r="AM6" s="32">
        <f>'FS Desroches Daily'!BT8</f>
        <v>20.000000000010232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41.099999999998545</v>
      </c>
      <c r="AR6" s="31">
        <f>'FS Desroches Daily'!CD8</f>
        <v>18.299999999999272</v>
      </c>
      <c r="AS6" s="31">
        <f>'FS Desroches Daily'!CF8</f>
        <v>0.1000000000003638</v>
      </c>
      <c r="AT6" s="31">
        <f>'FS Desroches Daily'!CH8</f>
        <v>21.900000000001455</v>
      </c>
      <c r="AU6" s="31">
        <f>'FS Desroches Daily'!CJ8</f>
        <v>259</v>
      </c>
      <c r="AV6" s="31">
        <f>'FS Desroches Daily'!CL8</f>
        <v>569.99999999993634</v>
      </c>
      <c r="AW6" s="31">
        <f>'FS Desroches Daily'!CM8</f>
        <v>64.700000000000728</v>
      </c>
      <c r="AX6" s="31">
        <f>IF(LPG!F13-LPG!F12&lt;0,"0",(LPG!F13-LPG!F12)*1.8315)</f>
        <v>9.1574999999999989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2021</v>
      </c>
      <c r="E7" s="31">
        <f>'FS Desroches Daily'!D9</f>
        <v>1800.0000000002458</v>
      </c>
      <c r="F7" s="32">
        <f>'FS Desroches Daily'!F9</f>
        <v>2399.9999999997358</v>
      </c>
      <c r="G7" s="31">
        <f>'FS Desroches Daily'!H9</f>
        <v>2299.9999999999686</v>
      </c>
      <c r="H7" s="32">
        <f>'FS Desroches Daily'!J9</f>
        <v>1300.0000000000789</v>
      </c>
      <c r="I7" s="31">
        <f>'FS Desroches Daily'!L9</f>
        <v>1900.0000000000127</v>
      </c>
      <c r="J7" s="32">
        <f>'FS Desroches Daily'!N9</f>
        <v>799.99999999991189</v>
      </c>
      <c r="K7" s="13">
        <f>'FS Desroches Daily'!P9</f>
        <v>5</v>
      </c>
      <c r="L7" s="31">
        <f>'FS Desroches Daily'!R9</f>
        <v>2</v>
      </c>
      <c r="M7" s="31">
        <f>'FS Desroches Daily'!T9</f>
        <v>742</v>
      </c>
      <c r="N7" s="31">
        <f>'FS Desroches Daily'!V9</f>
        <v>349.40000000002328</v>
      </c>
      <c r="O7" s="31">
        <f>'FS Desroches Daily'!X9</f>
        <v>250</v>
      </c>
      <c r="P7" s="31">
        <f>'FS Desroches Daily'!Z9</f>
        <v>2099.9999999999909</v>
      </c>
      <c r="Q7" s="31">
        <f>'FS Desroches Daily'!AB9</f>
        <v>189.99999999999773</v>
      </c>
      <c r="R7" s="31">
        <f>'FS Desroches Daily'!AD9</f>
        <v>210.00000000003638</v>
      </c>
      <c r="S7" s="31">
        <f>'FS Desroches Daily'!AF9</f>
        <v>289.99999999996362</v>
      </c>
      <c r="T7" s="31">
        <f>'FS Desroches Daily'!AH9</f>
        <v>32</v>
      </c>
      <c r="U7" s="35">
        <f>'FS Desroches Daily'!AJ9</f>
        <v>519.99999999998181</v>
      </c>
      <c r="V7" s="35">
        <f>'FS Desroches Daily'!AL9</f>
        <v>189.99999999999773</v>
      </c>
      <c r="W7" s="35">
        <f>'FS Desroches Daily'!AN9</f>
        <v>170.00000000001592</v>
      </c>
      <c r="X7" s="35">
        <f>'FS Desroches Daily'!AP9</f>
        <v>120.00000000000455</v>
      </c>
      <c r="Y7" s="35">
        <f>'FS Desroches Daily'!AR9</f>
        <v>159.99999999999659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89.999999999974989</v>
      </c>
      <c r="AC7" s="35">
        <f>'FS Desroches Daily'!AZ9</f>
        <v>60.000000000002274</v>
      </c>
      <c r="AD7" s="35">
        <f>'FS Desroches Daily'!BB9</f>
        <v>30.000000000029559</v>
      </c>
      <c r="AE7" s="35">
        <f>'FS Desroches Daily'!BD9</f>
        <v>30.000000000001137</v>
      </c>
      <c r="AF7" s="31">
        <f>'FS Desroches Daily'!BF9</f>
        <v>31</v>
      </c>
      <c r="AG7" s="32">
        <f>'FS Desroches Daily'!BH9</f>
        <v>39.999999999992042</v>
      </c>
      <c r="AH7" s="32">
        <f>'FS Desroches Daily'!BJ9</f>
        <v>29.999999999972715</v>
      </c>
      <c r="AI7" s="32">
        <f>'FS Desroches Daily'!BL9</f>
        <v>30.000000000001137</v>
      </c>
      <c r="AJ7" s="32">
        <f>'FS Desroches Daily'!BN9</f>
        <v>39.999999999992042</v>
      </c>
      <c r="AK7" s="32">
        <f>'FS Desroches Daily'!BP9</f>
        <v>50.000000000011369</v>
      </c>
      <c r="AL7" s="32">
        <f>'FS Desroches Daily'!BR9</f>
        <v>33</v>
      </c>
      <c r="AM7" s="32">
        <f>'FS Desroches Daily'!BT9</f>
        <v>39.999999999992042</v>
      </c>
      <c r="AN7" s="32">
        <f>'FS Desroches Daily'!BV9</f>
        <v>41</v>
      </c>
      <c r="AO7" s="32">
        <f>'FS Desroches Daily'!BX9</f>
        <v>19.99999999998181</v>
      </c>
      <c r="AP7" s="32">
        <f>'FS Desroches Daily'!BZ9</f>
        <v>58</v>
      </c>
      <c r="AQ7" s="31">
        <f>'FS Desroches Daily'!CB9</f>
        <v>31.5</v>
      </c>
      <c r="AR7" s="31">
        <f>'FS Desroches Daily'!CD9</f>
        <v>9.3000000000010914</v>
      </c>
      <c r="AS7" s="31">
        <f>'FS Desroches Daily'!CF9</f>
        <v>18</v>
      </c>
      <c r="AT7" s="31">
        <f>'FS Desroches Daily'!CH9</f>
        <v>29.19999999999709</v>
      </c>
      <c r="AU7" s="31">
        <f>'FS Desroches Daily'!CJ9</f>
        <v>265</v>
      </c>
      <c r="AV7" s="31">
        <f>'FS Desroches Daily'!CL9</f>
        <v>560.00000000005912</v>
      </c>
      <c r="AW7" s="31">
        <f>'FS Desroches Daily'!CM9</f>
        <v>66.099999999998545</v>
      </c>
      <c r="AX7" s="31">
        <f>IF(LPG!F14-LPG!F13&lt;0,"0",(LPG!F14-LPG!F13)*1.8315)</f>
        <v>9.1574999999999989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7.3259999999999996</v>
      </c>
      <c r="BC7" s="13">
        <f>'FS Desroches Daily'!CN9</f>
        <v>11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2021</v>
      </c>
      <c r="E8" s="31">
        <f>'FS Desroches Daily'!D10</f>
        <v>1900.0000000000127</v>
      </c>
      <c r="F8" s="32">
        <f>'FS Desroches Daily'!F10</f>
        <v>2600.0000000001578</v>
      </c>
      <c r="G8" s="31">
        <f>'FS Desroches Daily'!H10</f>
        <v>2400.0000000001796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900.0000000001229</v>
      </c>
      <c r="K8" s="13">
        <f>'FS Desroches Daily'!P10</f>
        <v>4</v>
      </c>
      <c r="L8" s="31">
        <f>'FS Desroches Daily'!R10</f>
        <v>2</v>
      </c>
      <c r="M8" s="31">
        <f>'FS Desroches Daily'!T10</f>
        <v>738.79999999993015</v>
      </c>
      <c r="N8" s="31">
        <f>'FS Desroches Daily'!V10</f>
        <v>275.79999999998836</v>
      </c>
      <c r="O8" s="31">
        <f>'FS Desroches Daily'!X10</f>
        <v>259.99999999999091</v>
      </c>
      <c r="P8" s="31">
        <f>'FS Desroches Daily'!Z10</f>
        <v>2400.0000000001796</v>
      </c>
      <c r="Q8" s="31">
        <f>'FS Desroches Daily'!AB10</f>
        <v>310.00000000000227</v>
      </c>
      <c r="R8" s="31">
        <f>'FS Desroches Daily'!AD10</f>
        <v>219.99999999997044</v>
      </c>
      <c r="S8" s="31">
        <f>'FS Desroches Daily'!AF10</f>
        <v>259.99999999999091</v>
      </c>
      <c r="T8" s="31">
        <f>'FS Desroches Daily'!AH10</f>
        <v>30</v>
      </c>
      <c r="U8" s="35">
        <f>'FS Desroches Daily'!AJ10</f>
        <v>580.00000000004093</v>
      </c>
      <c r="V8" s="35">
        <f>'FS Desroches Daily'!AL10</f>
        <v>169.99999999998749</v>
      </c>
      <c r="W8" s="35">
        <f>'FS Desroches Daily'!AN10</f>
        <v>169.99999999998749</v>
      </c>
      <c r="X8" s="35">
        <f>'FS Desroches Daily'!AP10</f>
        <v>90.000000000003411</v>
      </c>
      <c r="Y8" s="35">
        <f>'FS Desroches Daily'!AR10</f>
        <v>170.00000000001592</v>
      </c>
      <c r="Z8" s="35">
        <f>'FS Desroches Daily'!AT10</f>
        <v>229.99999999996135</v>
      </c>
      <c r="AA8" s="35">
        <f>'FS Desroches Daily'!AT10</f>
        <v>229.99999999996135</v>
      </c>
      <c r="AB8" s="35">
        <f>'FS Desroches Daily'!AV10</f>
        <v>150.00000000003411</v>
      </c>
      <c r="AC8" s="35">
        <f>'FS Desroches Daily'!AZ10</f>
        <v>50.000000000011369</v>
      </c>
      <c r="AD8" s="35">
        <f>'FS Desroches Daily'!BB10</f>
        <v>29.999999999972715</v>
      </c>
      <c r="AE8" s="35">
        <f>'FS Desroches Daily'!BD10</f>
        <v>90.000000000003411</v>
      </c>
      <c r="AF8" s="31">
        <f>'FS Desroches Daily'!BF10</f>
        <v>28</v>
      </c>
      <c r="AG8" s="32">
        <f>'FS Desroches Daily'!BH10</f>
        <v>30.000000000001137</v>
      </c>
      <c r="AH8" s="32">
        <f>'FS Desroches Daily'!BJ10</f>
        <v>30.000000000029559</v>
      </c>
      <c r="AI8" s="32">
        <f>'FS Desroches Daily'!BL10</f>
        <v>30.000000000001137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24</v>
      </c>
      <c r="AM8" s="32">
        <f>'FS Desroches Daily'!BT10</f>
        <v>30.000000000001137</v>
      </c>
      <c r="AN8" s="32">
        <f>'FS Desroches Daily'!BV10</f>
        <v>39</v>
      </c>
      <c r="AO8" s="32">
        <f>'FS Desroches Daily'!BX10</f>
        <v>30.000000000001137</v>
      </c>
      <c r="AP8" s="32">
        <f>'FS Desroches Daily'!BZ10</f>
        <v>52</v>
      </c>
      <c r="AQ8" s="31">
        <f>'FS Desroches Daily'!CB10</f>
        <v>37.299999999999272</v>
      </c>
      <c r="AR8" s="31">
        <f>'FS Desroches Daily'!CD10</f>
        <v>6.2999999999992724</v>
      </c>
      <c r="AS8" s="31">
        <f>'FS Desroches Daily'!CF10</f>
        <v>5</v>
      </c>
      <c r="AT8" s="31">
        <f>'FS Desroches Daily'!CH10</f>
        <v>30.80000000000291</v>
      </c>
      <c r="AU8" s="31">
        <f>'FS Desroches Daily'!CJ10</f>
        <v>200</v>
      </c>
      <c r="AV8" s="31">
        <f>'FS Desroches Daily'!CL10</f>
        <v>610.00000000001364</v>
      </c>
      <c r="AW8" s="31">
        <f>'FS Desroches Daily'!CM10</f>
        <v>58.200000000000728</v>
      </c>
      <c r="AX8" s="31">
        <f>IF(LPG!F16-LPG!F14&lt;0,"0",(LPG!F16-LPG!F14)*1.8315)</f>
        <v>16.483499999999999</v>
      </c>
      <c r="AY8" s="31">
        <f>IF(LPG!H16-LPG!H14&lt;0,"0",(LPG!H16-LPG!H14)*1.8315)</f>
        <v>12.820499999999999</v>
      </c>
      <c r="AZ8" s="31">
        <f>IF(LPG!J16-LPG!J14&lt;0,"0",(LPG!J16-LPG!J14)*1.8315)</f>
        <v>3.6629999999999998</v>
      </c>
      <c r="BA8" s="31">
        <f>IF(LPG!M16-LPG!M14&lt;0,"0",(LPG!M16-LPG!M14)*1.8315)</f>
        <v>1.8314999999999999</v>
      </c>
      <c r="BB8" s="31">
        <f>IF(LPG!Q15-LPG!Q14&lt;0,"0",(LPG!Q15-LPG!Q14)*1.8315)</f>
        <v>9.1574999999999989</v>
      </c>
      <c r="BC8" s="13">
        <f>'FS Desroches Daily'!CN10</f>
        <v>14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2021</v>
      </c>
      <c r="E9" s="31">
        <f>'FS Desroches Daily'!D11</f>
        <v>1799.9999999998017</v>
      </c>
      <c r="F9" s="32">
        <f>'FS Desroches Daily'!F11</f>
        <v>2600.0000000001578</v>
      </c>
      <c r="G9" s="31">
        <f>'FS Desroches Daily'!H11</f>
        <v>2399.9999999997358</v>
      </c>
      <c r="H9" s="32">
        <f>'FS Desroches Daily'!J11</f>
        <v>1200.0000000000898</v>
      </c>
      <c r="I9" s="31">
        <f>'FS Desroches Daily'!L11</f>
        <v>1799.9999999998017</v>
      </c>
      <c r="J9" s="32">
        <f>'FS Desroches Daily'!N11</f>
        <v>899.99999999990087</v>
      </c>
      <c r="K9" s="13">
        <f>'FS Desroches Daily'!P11</f>
        <v>4</v>
      </c>
      <c r="L9" s="31">
        <f>'FS Desroches Daily'!R11</f>
        <v>2</v>
      </c>
      <c r="M9" s="31">
        <f>'FS Desroches Daily'!T11</f>
        <v>54.099999999976717</v>
      </c>
      <c r="N9" s="31">
        <f>'FS Desroches Daily'!V11</f>
        <v>287.79999999998836</v>
      </c>
      <c r="O9" s="31">
        <f>'FS Desroches Daily'!X11</f>
        <v>269.99999999998181</v>
      </c>
      <c r="P9" s="31">
        <f>'FS Desroches Daily'!Z11</f>
        <v>2299.9999999999686</v>
      </c>
      <c r="Q9" s="31">
        <f>'FS Desroches Daily'!AB11</f>
        <v>180.00000000000682</v>
      </c>
      <c r="R9" s="31">
        <f>'FS Desroches Daily'!AD11</f>
        <v>290.00000000002046</v>
      </c>
      <c r="S9" s="31">
        <f>'FS Desroches Daily'!AF11</f>
        <v>340.00000000003183</v>
      </c>
      <c r="T9" s="31">
        <f>'FS Desroches Daily'!AH11</f>
        <v>27</v>
      </c>
      <c r="U9" s="35">
        <f>'FS Desroches Daily'!AJ11</f>
        <v>529.99999999997272</v>
      </c>
      <c r="V9" s="35">
        <f>'FS Desroches Daily'!AL11</f>
        <v>150.00000000000568</v>
      </c>
      <c r="W9" s="35">
        <f>'FS Desroches Daily'!AN11</f>
        <v>150.00000000000568</v>
      </c>
      <c r="X9" s="35">
        <f>'FS Desroches Daily'!AP11</f>
        <v>109.99999999998522</v>
      </c>
      <c r="Y9" s="35">
        <f>'FS Desroches Daily'!AR11</f>
        <v>150.00000000000568</v>
      </c>
      <c r="Z9" s="35">
        <f>'FS Desroches Daily'!AT11</f>
        <v>210.00000000003638</v>
      </c>
      <c r="AA9" s="35">
        <f>'FS Desroches Daily'!AT11</f>
        <v>210.00000000003638</v>
      </c>
      <c r="AB9" s="35">
        <f>'FS Desroches Daily'!AV11</f>
        <v>49.999999999954525</v>
      </c>
      <c r="AC9" s="35">
        <f>'FS Desroches Daily'!AZ11</f>
        <v>49.999999999954525</v>
      </c>
      <c r="AD9" s="35">
        <f>'FS Desroches Daily'!BB11</f>
        <v>19.99999999998181</v>
      </c>
      <c r="AE9" s="35">
        <f>'FS Desroches Daily'!BD11</f>
        <v>69.999999999993179</v>
      </c>
      <c r="AF9" s="31">
        <f>'FS Desroches Daily'!BF11</f>
        <v>43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40.000000000020464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23</v>
      </c>
      <c r="AM9" s="32">
        <f>'FS Desroches Daily'!BT11</f>
        <v>30.000000000001137</v>
      </c>
      <c r="AN9" s="32">
        <f>'FS Desroches Daily'!BV11</f>
        <v>39</v>
      </c>
      <c r="AO9" s="32">
        <f>'FS Desroches Daily'!BX11</f>
        <v>20.000000000010232</v>
      </c>
      <c r="AP9" s="32">
        <f>'FS Desroches Daily'!BZ11</f>
        <v>40</v>
      </c>
      <c r="AQ9" s="31">
        <f>'FS Desroches Daily'!CB11</f>
        <v>42.600000000002183</v>
      </c>
      <c r="AR9" s="31">
        <f>'FS Desroches Daily'!CD11</f>
        <v>15.100000000000364</v>
      </c>
      <c r="AS9" s="31">
        <f>'FS Desroches Daily'!CF11</f>
        <v>0</v>
      </c>
      <c r="AT9" s="31">
        <f>'FS Desroches Daily'!CH11</f>
        <v>37.400000000001455</v>
      </c>
      <c r="AU9" s="31">
        <f>'FS Desroches Daily'!CJ11</f>
        <v>326</v>
      </c>
      <c r="AV9" s="31">
        <f>'FS Desroches Daily'!CL11</f>
        <v>599.99999999990905</v>
      </c>
      <c r="AW9" s="31">
        <f>'FS Desroches Daily'!CM11</f>
        <v>76.299999999999272</v>
      </c>
      <c r="AX9" s="31">
        <f>IF(LPG!F17-LPG!F15&lt;0,"0",(LPG!F17-LPG!F15)*1.8315)</f>
        <v>18.314999999999998</v>
      </c>
      <c r="AY9" s="31">
        <f>IF(LPG!H17-LPG!H15&lt;0,"0",(LPG!H17-LPG!H15)*1.8315)</f>
        <v>9.1574999999999989</v>
      </c>
      <c r="AZ9" s="31">
        <f>IF(LPG!J17-LPG!J15&lt;0,"0",(LPG!J17-LPG!J15)*1.8315)</f>
        <v>1.8314999999999999</v>
      </c>
      <c r="BA9" s="31">
        <f>IF(LPG!M17-LPG!M15&lt;0,"0",(LPG!M17-LPG!M15)*1.8315)</f>
        <v>1.8314999999999999</v>
      </c>
      <c r="BB9" s="31">
        <f>IF(LPG!Q16-LPG!Q15&lt;0,"0",(LPG!Q16-LPG!Q15)*1.8315)</f>
        <v>7.3259999999999996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2021</v>
      </c>
      <c r="E10" s="31">
        <f>'FS Desroches Daily'!D12</f>
        <v>2000.0000000002237</v>
      </c>
      <c r="F10" s="32">
        <f>'FS Desroches Daily'!F12</f>
        <v>2699.9999999999245</v>
      </c>
      <c r="G10" s="31">
        <f>'FS Desroches Daily'!H12</f>
        <v>2400.0000000001796</v>
      </c>
      <c r="H10" s="32">
        <f>'FS Desroches Daily'!J12</f>
        <v>1200.0000000000898</v>
      </c>
      <c r="I10" s="31">
        <f>'FS Desroches Daily'!L12</f>
        <v>1900.0000000000127</v>
      </c>
      <c r="J10" s="32">
        <f>'FS Desroches Daily'!N12</f>
        <v>1100.000000000101</v>
      </c>
      <c r="K10" s="13">
        <f>'FS Desroches Daily'!P12</f>
        <v>1</v>
      </c>
      <c r="L10" s="31">
        <f>'FS Desroches Daily'!R12</f>
        <v>2</v>
      </c>
      <c r="M10" s="31">
        <f>'FS Desroches Daily'!T12</f>
        <v>999.70000000006985</v>
      </c>
      <c r="N10" s="31">
        <f>'FS Desroches Daily'!V12</f>
        <v>295.90000000002328</v>
      </c>
      <c r="O10" s="31">
        <f>'FS Desroches Daily'!X12</f>
        <v>250</v>
      </c>
      <c r="P10" s="31">
        <f>'FS Desroches Daily'!Z12</f>
        <v>2400.0000000001796</v>
      </c>
      <c r="Q10" s="31">
        <f>'FS Desroches Daily'!AB12</f>
        <v>279.99999999997272</v>
      </c>
      <c r="R10" s="31">
        <f>'FS Desroches Daily'!AD12</f>
        <v>339.99999999997499</v>
      </c>
      <c r="S10" s="31">
        <f>'FS Desroches Daily'!AF12</f>
        <v>389.99999999998636</v>
      </c>
      <c r="T10" s="31">
        <f>'FS Desroches Daily'!AH12</f>
        <v>35</v>
      </c>
      <c r="U10" s="35">
        <f>'FS Desroches Daily'!AJ12</f>
        <v>670.00000000007276</v>
      </c>
      <c r="V10" s="35">
        <f>'FS Desroches Daily'!AL12</f>
        <v>200.00000000001705</v>
      </c>
      <c r="W10" s="35">
        <f>'FS Desroches Daily'!AN12</f>
        <v>99.999999999994316</v>
      </c>
      <c r="X10" s="35">
        <f>'FS Desroches Daily'!AP12</f>
        <v>110.00000000001364</v>
      </c>
      <c r="Y10" s="35">
        <f>'FS Desroches Daily'!AR12</f>
        <v>189.99999999999773</v>
      </c>
      <c r="Z10" s="35">
        <f>'FS Desroches Daily'!AT12</f>
        <v>209.99999999997954</v>
      </c>
      <c r="AA10" s="35">
        <f>'FS Desroches Daily'!AT12</f>
        <v>209.99999999997954</v>
      </c>
      <c r="AB10" s="35">
        <f>'FS Desroches Daily'!AV12</f>
        <v>100.00000000002274</v>
      </c>
      <c r="AC10" s="35">
        <f>'FS Desroches Daily'!AZ12</f>
        <v>50.000000000011369</v>
      </c>
      <c r="AD10" s="35">
        <f>'FS Desroches Daily'!BB12</f>
        <v>30.000000000029559</v>
      </c>
      <c r="AE10" s="35">
        <f>'FS Desroches Daily'!BD12</f>
        <v>90.000000000003411</v>
      </c>
      <c r="AF10" s="31">
        <f>'FS Desroches Daily'!BF12</f>
        <v>29</v>
      </c>
      <c r="AG10" s="32">
        <f>'FS Desroches Daily'!BH12</f>
        <v>30.000000000001137</v>
      </c>
      <c r="AH10" s="32">
        <f>'FS Desroches Daily'!BJ12</f>
        <v>30.000000000029559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20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20.000000000010232</v>
      </c>
      <c r="AP10" s="32">
        <f>'FS Desroches Daily'!BZ12</f>
        <v>37</v>
      </c>
      <c r="AQ10" s="31">
        <f>'FS Desroches Daily'!CB12</f>
        <v>38</v>
      </c>
      <c r="AR10" s="31">
        <f>'FS Desroches Daily'!CD12</f>
        <v>8.7000000000007276</v>
      </c>
      <c r="AS10" s="31">
        <f>'FS Desroches Daily'!CF12</f>
        <v>0.6999999999998181</v>
      </c>
      <c r="AT10" s="31">
        <f>'FS Desroches Daily'!CH12</f>
        <v>30.599999999998545</v>
      </c>
      <c r="AU10" s="31">
        <f>'FS Desroches Daily'!CJ12</f>
        <v>268</v>
      </c>
      <c r="AV10" s="31">
        <f>'FS Desroches Daily'!CL12</f>
        <v>590.00000000003183</v>
      </c>
      <c r="AW10" s="31">
        <f>'FS Desroches Daily'!CM12</f>
        <v>73.900000000001455</v>
      </c>
      <c r="AX10" s="31">
        <f>IF(LPG!F18-LPG!F16&lt;0,"0",(LPG!F18-LPG!F16)*1.8315)</f>
        <v>18.314999999999998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2021</v>
      </c>
      <c r="E11" s="31">
        <f>'FS Desroches Daily'!D13</f>
        <v>2099.9999999999909</v>
      </c>
      <c r="F11" s="32">
        <f>'FS Desroches Daily'!F13</f>
        <v>2600.0000000001578</v>
      </c>
      <c r="G11" s="31">
        <f>'FS Desroches Daily'!H13</f>
        <v>2699.9999999999245</v>
      </c>
      <c r="H11" s="32">
        <f>'FS Desroches Daily'!J13</f>
        <v>1299.9999999998568</v>
      </c>
      <c r="I11" s="31">
        <f>'FS Desroches Daily'!L13</f>
        <v>1800.0000000002458</v>
      </c>
      <c r="J11" s="32">
        <f>'FS Desroches Daily'!N13</f>
        <v>999.99999999988984</v>
      </c>
      <c r="K11" s="13">
        <f>'FS Desroches Daily'!P13</f>
        <v>5</v>
      </c>
      <c r="L11" s="31">
        <f>'FS Desroches Daily'!R13</f>
        <v>3</v>
      </c>
      <c r="M11" s="31">
        <f>'FS Desroches Daily'!T13</f>
        <v>499.59999999997672</v>
      </c>
      <c r="N11" s="31">
        <f>'FS Desroches Daily'!V13</f>
        <v>119.79999999998836</v>
      </c>
      <c r="O11" s="31">
        <f>'FS Desroches Daily'!X13</f>
        <v>260.00000000004775</v>
      </c>
      <c r="P11" s="31">
        <f>'FS Desroches Daily'!Z13</f>
        <v>2399.9999999997358</v>
      </c>
      <c r="Q11" s="31">
        <f>'FS Desroches Daily'!AB13</f>
        <v>199.99999999998863</v>
      </c>
      <c r="R11" s="31">
        <f>'FS Desroches Daily'!AD13</f>
        <v>340.00000000003183</v>
      </c>
      <c r="S11" s="31">
        <f>'FS Desroches Daily'!AF13</f>
        <v>309.99999999994543</v>
      </c>
      <c r="T11" s="31">
        <f>'FS Desroches Daily'!AH13</f>
        <v>35</v>
      </c>
      <c r="U11" s="35">
        <f>'FS Desroches Daily'!AJ13</f>
        <v>849.99999999990905</v>
      </c>
      <c r="V11" s="35">
        <f>'FS Desroches Daily'!AL13</f>
        <v>139.99999999998636</v>
      </c>
      <c r="W11" s="35">
        <f>'FS Desroches Daily'!AN13</f>
        <v>99.999999999994316</v>
      </c>
      <c r="X11" s="35">
        <f>'FS Desroches Daily'!AP13</f>
        <v>79.999999999984084</v>
      </c>
      <c r="Y11" s="35">
        <f>'FS Desroches Daily'!AR13</f>
        <v>209.99999999997954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19.99999999998181</v>
      </c>
      <c r="AE11" s="35">
        <f>'FS Desroches Daily'!BD13</f>
        <v>140.00000000001478</v>
      </c>
      <c r="AF11" s="31">
        <f>'FS Desroches Daily'!BF13</f>
        <v>21</v>
      </c>
      <c r="AG11" s="32">
        <f>'FS Desroches Daily'!BH13</f>
        <v>50.000000000011369</v>
      </c>
      <c r="AH11" s="32">
        <f>'FS Desroches Daily'!BJ13</f>
        <v>39.99999999996362</v>
      </c>
      <c r="AI11" s="32">
        <f>'FS Desroches Daily'!BL13</f>
        <v>30.000000000001137</v>
      </c>
      <c r="AJ11" s="32">
        <f>'FS Desroches Daily'!BN13</f>
        <v>40.000000000020464</v>
      </c>
      <c r="AK11" s="32">
        <f>'FS Desroches Daily'!BP13</f>
        <v>40.000000000020464</v>
      </c>
      <c r="AL11" s="32">
        <f>'FS Desroches Daily'!BR13</f>
        <v>28</v>
      </c>
      <c r="AM11" s="32">
        <f>'FS Desroches Daily'!BT13</f>
        <v>30.000000000001137</v>
      </c>
      <c r="AN11" s="32">
        <f>'FS Desroches Daily'!BV13</f>
        <v>41</v>
      </c>
      <c r="AO11" s="32">
        <f>'FS Desroches Daily'!BX13</f>
        <v>30.000000000001137</v>
      </c>
      <c r="AP11" s="32">
        <f>'FS Desroches Daily'!BZ13</f>
        <v>41</v>
      </c>
      <c r="AQ11" s="31">
        <f>'FS Desroches Daily'!CB13</f>
        <v>32.19999999999709</v>
      </c>
      <c r="AR11" s="31">
        <f>'FS Desroches Daily'!CD13</f>
        <v>8.2999999999992724</v>
      </c>
      <c r="AS11" s="31">
        <f>'FS Desroches Daily'!CF13</f>
        <v>4.3000000000001819</v>
      </c>
      <c r="AT11" s="31">
        <f>'FS Desroches Daily'!CH13</f>
        <v>39.69999999999709</v>
      </c>
      <c r="AU11" s="31">
        <f>'FS Desroches Daily'!CJ13</f>
        <v>292</v>
      </c>
      <c r="AV11" s="31">
        <f>'FS Desroches Daily'!CL13</f>
        <v>670.00000000007276</v>
      </c>
      <c r="AW11" s="31">
        <f>'FS Desroches Daily'!CM13</f>
        <v>76.799999999999272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3.6629999999999998</v>
      </c>
      <c r="BA11" s="31">
        <f>IF(LPG!M19-LPG!M17&lt;0,"0",(LPG!M19-LPG!M17)*1.8315)</f>
        <v>3.6629999999999998</v>
      </c>
      <c r="BB11" s="31">
        <f>IF(LPG!Q18-LPG!Q17&lt;0,"0",(LPG!Q18-LPG!Q17)*1.8315)</f>
        <v>5.4944999999999995</v>
      </c>
      <c r="BC11" s="13">
        <f>'FS Desroches Daily'!CN13</f>
        <v>14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2021</v>
      </c>
      <c r="E12" s="31">
        <f>'FS Desroches Daily'!D14</f>
        <v>1999.9999999997797</v>
      </c>
      <c r="F12" s="32">
        <f>'FS Desroches Daily'!F14</f>
        <v>2599.9999999997135</v>
      </c>
      <c r="G12" s="31">
        <f>'FS Desroches Daily'!H14</f>
        <v>2400.0000000001796</v>
      </c>
      <c r="H12" s="32">
        <f>'FS Desroches Daily'!J14</f>
        <v>1200.0000000000898</v>
      </c>
      <c r="I12" s="31">
        <f>'FS Desroches Daily'!L14</f>
        <v>1799.9999999998017</v>
      </c>
      <c r="J12" s="32">
        <f>'FS Desroches Daily'!N14</f>
        <v>1000.0000000001119</v>
      </c>
      <c r="K12" s="13">
        <f>'FS Desroches Daily'!P14</f>
        <v>7</v>
      </c>
      <c r="L12" s="31">
        <f>'FS Desroches Daily'!R14</f>
        <v>2</v>
      </c>
      <c r="M12" s="31">
        <f>'FS Desroches Daily'!T14</f>
        <v>2100</v>
      </c>
      <c r="N12" s="31">
        <f>'FS Desroches Daily'!V14</f>
        <v>492.5</v>
      </c>
      <c r="O12" s="31">
        <f>'FS Desroches Daily'!X14</f>
        <v>269.99999999998181</v>
      </c>
      <c r="P12" s="31">
        <f>'FS Desroches Daily'!Z14</f>
        <v>2200.0000000002019</v>
      </c>
      <c r="Q12" s="31">
        <f>'FS Desroches Daily'!AB14</f>
        <v>320.00000000005002</v>
      </c>
      <c r="R12" s="31">
        <f>'FS Desroches Daily'!AD14</f>
        <v>279.99999999997272</v>
      </c>
      <c r="S12" s="31">
        <f>'FS Desroches Daily'!AF14</f>
        <v>320.00000000005002</v>
      </c>
      <c r="T12" s="31">
        <f>'FS Desroches Daily'!AH14</f>
        <v>35</v>
      </c>
      <c r="U12" s="35">
        <f>'FS Desroches Daily'!AJ14</f>
        <v>790.00000000007731</v>
      </c>
      <c r="V12" s="35">
        <f>'FS Desroches Daily'!AL14</f>
        <v>189.99999999999773</v>
      </c>
      <c r="W12" s="35">
        <f>'FS Desroches Daily'!AN14</f>
        <v>110.00000000001364</v>
      </c>
      <c r="X12" s="35">
        <f>'FS Desroches Daily'!AP14</f>
        <v>110.00000000001364</v>
      </c>
      <c r="Y12" s="35">
        <f>'FS Desroches Daily'!AR14</f>
        <v>180.00000000000682</v>
      </c>
      <c r="Z12" s="35">
        <f>'FS Desroches Daily'!AT14</f>
        <v>170.00000000001592</v>
      </c>
      <c r="AA12" s="35">
        <f>'FS Desroches Daily'!AT14</f>
        <v>170.00000000001592</v>
      </c>
      <c r="AB12" s="35">
        <f>'FS Desroches Daily'!AV14</f>
        <v>40.000000000020464</v>
      </c>
      <c r="AC12" s="35">
        <f>'FS Desroches Daily'!AZ14</f>
        <v>29.999999999972715</v>
      </c>
      <c r="AD12" s="35">
        <f>'FS Desroches Daily'!BB14</f>
        <v>19.99999999998181</v>
      </c>
      <c r="AE12" s="35">
        <f>'FS Desroches Daily'!BD14</f>
        <v>139.99999999998636</v>
      </c>
      <c r="AF12" s="31">
        <f>'FS Desroches Daily'!BF14</f>
        <v>30</v>
      </c>
      <c r="AG12" s="32">
        <f>'FS Desroches Daily'!BH14</f>
        <v>30.000000000001137</v>
      </c>
      <c r="AH12" s="32">
        <f>'FS Desroches Daily'!BJ14</f>
        <v>19.99999999998181</v>
      </c>
      <c r="AI12" s="32">
        <f>'FS Desroches Daily'!BL14</f>
        <v>19.99999999998181</v>
      </c>
      <c r="AJ12" s="32">
        <f>'FS Desroches Daily'!BN14</f>
        <v>39.999999999992042</v>
      </c>
      <c r="AK12" s="32">
        <f>'FS Desroches Daily'!BP14</f>
        <v>19.99999999998181</v>
      </c>
      <c r="AL12" s="32">
        <f>'FS Desroches Daily'!BR14</f>
        <v>21</v>
      </c>
      <c r="AM12" s="32">
        <f>'FS Desroches Daily'!BT14</f>
        <v>30.000000000001137</v>
      </c>
      <c r="AN12" s="32">
        <f>'FS Desroches Daily'!BV14</f>
        <v>35</v>
      </c>
      <c r="AO12" s="32">
        <f>'FS Desroches Daily'!BX14</f>
        <v>30.000000000001137</v>
      </c>
      <c r="AP12" s="32">
        <f>'FS Desroches Daily'!BZ14</f>
        <v>38</v>
      </c>
      <c r="AQ12" s="31">
        <f>'FS Desroches Daily'!CB14</f>
        <v>30.30000000000291</v>
      </c>
      <c r="AR12" s="31">
        <f>'FS Desroches Daily'!CD14</f>
        <v>10</v>
      </c>
      <c r="AS12" s="31">
        <f>'FS Desroches Daily'!CF14</f>
        <v>5</v>
      </c>
      <c r="AT12" s="31">
        <f>'FS Desroches Daily'!CH14</f>
        <v>40.30000000000291</v>
      </c>
      <c r="AU12" s="31">
        <f>'FS Desroches Daily'!CJ14</f>
        <v>275</v>
      </c>
      <c r="AV12" s="31">
        <f>'FS Desroches Daily'!CL14</f>
        <v>559.99999999994543</v>
      </c>
      <c r="AW12" s="31">
        <f>'FS Desroches Daily'!CM14</f>
        <v>78</v>
      </c>
      <c r="AX12" s="31">
        <f>IF(LPG!F19-LPG!F18&lt;0,"0",(LPG!F19-LPG!F18)*1.8315)</f>
        <v>9.1574999999999989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10.988999999999999</v>
      </c>
      <c r="BC12" s="13">
        <f>'FS Desroches Daily'!CN14</f>
        <v>13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2021</v>
      </c>
      <c r="E13" s="31">
        <f>'FS Desroches Daily'!D15</f>
        <v>2200.0000000002019</v>
      </c>
      <c r="F13" s="32">
        <f>'FS Desroches Daily'!F15</f>
        <v>2600.0000000001578</v>
      </c>
      <c r="G13" s="31">
        <f>'FS Desroches Daily'!H15</f>
        <v>2499.9999999999468</v>
      </c>
      <c r="H13" s="32">
        <f>'FS Desroches Daily'!J15</f>
        <v>1199.9999999998679</v>
      </c>
      <c r="I13" s="31">
        <f>'FS Desroches Daily'!L15</f>
        <v>1800.0000000002458</v>
      </c>
      <c r="J13" s="32">
        <f>'FS Desroches Daily'!N15</f>
        <v>999.99999999988984</v>
      </c>
      <c r="K13" s="13">
        <f>'FS Desroches Daily'!P15</f>
        <v>4</v>
      </c>
      <c r="L13" s="31">
        <f>'FS Desroches Daily'!R15</f>
        <v>2</v>
      </c>
      <c r="M13" s="31">
        <f>'FS Desroches Daily'!T15</f>
        <v>300</v>
      </c>
      <c r="N13" s="31">
        <f>'FS Desroches Daily'!V15</f>
        <v>307</v>
      </c>
      <c r="O13" s="31">
        <f>'FS Desroches Daily'!X15</f>
        <v>259.99999999999091</v>
      </c>
      <c r="P13" s="31">
        <f>'FS Desroches Daily'!Z15</f>
        <v>2399.9999999997358</v>
      </c>
      <c r="Q13" s="31">
        <f>'FS Desroches Daily'!AB15</f>
        <v>209.99999999997954</v>
      </c>
      <c r="R13" s="31">
        <f>'FS Desroches Daily'!AD15</f>
        <v>290.00000000002046</v>
      </c>
      <c r="S13" s="31">
        <f>'FS Desroches Daily'!AF15</f>
        <v>370.00000000000455</v>
      </c>
      <c r="T13" s="31">
        <f>'FS Desroches Daily'!AH15</f>
        <v>35</v>
      </c>
      <c r="U13" s="35">
        <f>'FS Desroches Daily'!AJ15</f>
        <v>799.99999999995453</v>
      </c>
      <c r="V13" s="35">
        <f>'FS Desroches Daily'!AL15</f>
        <v>170.00000000001592</v>
      </c>
      <c r="W13" s="35">
        <f>'FS Desroches Daily'!AN15</f>
        <v>99.999999999994316</v>
      </c>
      <c r="X13" s="35">
        <f>'FS Desroches Daily'!AP15</f>
        <v>109.99999999998522</v>
      </c>
      <c r="Y13" s="35">
        <f>'FS Desroches Daily'!AR15</f>
        <v>189.99999999999773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39.99999999996362</v>
      </c>
      <c r="AC13" s="35">
        <f>'FS Desroches Daily'!AZ15</f>
        <v>50.000000000011369</v>
      </c>
      <c r="AD13" s="35">
        <f>'FS Desroches Daily'!BB15</f>
        <v>20.000000000038654</v>
      </c>
      <c r="AE13" s="35">
        <f>'FS Desroches Daily'!BD15</f>
        <v>159.99999999999659</v>
      </c>
      <c r="AF13" s="31">
        <f>'FS Desroches Daily'!BF15</f>
        <v>32</v>
      </c>
      <c r="AG13" s="32">
        <f>'FS Desroches Daily'!BH15</f>
        <v>49.999999999982947</v>
      </c>
      <c r="AH13" s="32">
        <f>'FS Desroches Daily'!BJ15</f>
        <v>30.000000000029559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30.000000000029559</v>
      </c>
      <c r="AL13" s="32">
        <f>'FS Desroches Daily'!BR15</f>
        <v>22</v>
      </c>
      <c r="AM13" s="32">
        <f>'FS Desroches Daily'!BT15</f>
        <v>30.000000000001137</v>
      </c>
      <c r="AN13" s="32">
        <f>'FS Desroches Daily'!BV15</f>
        <v>43</v>
      </c>
      <c r="AO13" s="32">
        <f>'FS Desroches Daily'!BX15</f>
        <v>19.99999999998181</v>
      </c>
      <c r="AP13" s="32">
        <f>'FS Desroches Daily'!BZ15</f>
        <v>43</v>
      </c>
      <c r="AQ13" s="31">
        <f>'FS Desroches Daily'!CB15</f>
        <v>35.69999999999709</v>
      </c>
      <c r="AR13" s="31">
        <f>'FS Desroches Daily'!CD15</f>
        <v>7.5</v>
      </c>
      <c r="AS13" s="31">
        <f>'FS Desroches Daily'!CF15</f>
        <v>0</v>
      </c>
      <c r="AT13" s="31">
        <f>'FS Desroches Daily'!CH15</f>
        <v>38.30000000000291</v>
      </c>
      <c r="AU13" s="31">
        <f>'FS Desroches Daily'!CJ15</f>
        <v>276</v>
      </c>
      <c r="AV13" s="31">
        <f>'FS Desroches Daily'!CL15</f>
        <v>600.00000000002274</v>
      </c>
      <c r="AW13" s="31">
        <f>'FS Desroches Daily'!CM15</f>
        <v>61.299999999999272</v>
      </c>
      <c r="AX13" s="31" t="str">
        <f>IF(LPG!G21-LPG!F19&lt;0,"0",(LPG!G21-LPG!F19)*1.8315)</f>
        <v>0</v>
      </c>
      <c r="AY13" s="31">
        <f>IF(LPG!H20-LPG!H19&lt;0,"0",(LPG!H20-LPG!H19)*1.8315)</f>
        <v>7.3259999999999996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5.4944999999999995</v>
      </c>
      <c r="BC13" s="13">
        <f>'FS Desroches Daily'!CN15</f>
        <v>13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2021</v>
      </c>
      <c r="E14" s="31">
        <f>'FS Desroches Daily'!D16</f>
        <v>1999.9999999997797</v>
      </c>
      <c r="F14" s="32">
        <f>'FS Desroches Daily'!F16</f>
        <v>2499.9999999999468</v>
      </c>
      <c r="G14" s="31">
        <f>'FS Desroches Daily'!H16</f>
        <v>2399.9999999997358</v>
      </c>
      <c r="H14" s="32">
        <f>'FS Desroches Daily'!J16</f>
        <v>1300.0000000000789</v>
      </c>
      <c r="I14" s="31">
        <f>'FS Desroches Daily'!L16</f>
        <v>1799.9999999998017</v>
      </c>
      <c r="J14" s="32">
        <f>'FS Desroches Daily'!N16</f>
        <v>900.0000000001229</v>
      </c>
      <c r="K14" s="13">
        <f>'FS Desroches Daily'!P16</f>
        <v>4</v>
      </c>
      <c r="L14" s="31">
        <f>'FS Desroches Daily'!R16</f>
        <v>1</v>
      </c>
      <c r="M14" s="31">
        <f>'FS Desroches Daily'!T16</f>
        <v>900</v>
      </c>
      <c r="N14" s="31">
        <f>'FS Desroches Daily'!V16</f>
        <v>342.20000000001164</v>
      </c>
      <c r="O14" s="31">
        <f>'FS Desroches Daily'!X16</f>
        <v>250</v>
      </c>
      <c r="P14" s="31">
        <f>'FS Desroches Daily'!Z16</f>
        <v>2299.9999999999686</v>
      </c>
      <c r="Q14" s="31">
        <f>'FS Desroches Daily'!AB16</f>
        <v>300.00000000001137</v>
      </c>
      <c r="R14" s="31">
        <f>'FS Desroches Daily'!AD16</f>
        <v>180.00000000000682</v>
      </c>
      <c r="S14" s="31">
        <f>'FS Desroches Daily'!AF16</f>
        <v>299.99999999995453</v>
      </c>
      <c r="T14" s="31">
        <f>'FS Desroches Daily'!AH16</f>
        <v>35</v>
      </c>
      <c r="U14" s="35">
        <f>'FS Desroches Daily'!AJ16</f>
        <v>769.99999999998181</v>
      </c>
      <c r="V14" s="35">
        <f>'FS Desroches Daily'!AL16</f>
        <v>159.99999999999659</v>
      </c>
      <c r="W14" s="35">
        <f>'FS Desroches Daily'!AN16</f>
        <v>140.00000000001478</v>
      </c>
      <c r="X14" s="35">
        <f>'FS Desroches Daily'!AP16</f>
        <v>100.00000000002274</v>
      </c>
      <c r="Y14" s="35">
        <f>'FS Desroches Daily'!AR16</f>
        <v>170.00000000001592</v>
      </c>
      <c r="Z14" s="35">
        <f>'FS Desroches Daily'!AT16</f>
        <v>160.00000000002501</v>
      </c>
      <c r="AA14" s="35">
        <f>'FS Desroches Daily'!AT16</f>
        <v>160.00000000002501</v>
      </c>
      <c r="AB14" s="35">
        <f>'FS Desroches Daily'!AV16</f>
        <v>60.000000000002274</v>
      </c>
      <c r="AC14" s="35">
        <f>'FS Desroches Daily'!AZ16</f>
        <v>50.000000000011369</v>
      </c>
      <c r="AD14" s="35">
        <f>'FS Desroches Daily'!BB16</f>
        <v>29.999999999972715</v>
      </c>
      <c r="AE14" s="35">
        <f>'FS Desroches Daily'!BD16</f>
        <v>140.00000000001478</v>
      </c>
      <c r="AF14" s="31">
        <f>'FS Desroches Daily'!BF16</f>
        <v>30</v>
      </c>
      <c r="AG14" s="32">
        <f>'FS Desroches Daily'!BH16</f>
        <v>40.000000000020464</v>
      </c>
      <c r="AH14" s="32">
        <f>'FS Desroches Daily'!BJ16</f>
        <v>29.999999999972715</v>
      </c>
      <c r="AI14" s="32">
        <f>'FS Desroches Daily'!BL16</f>
        <v>30.000000000001137</v>
      </c>
      <c r="AJ14" s="32">
        <f>'FS Desroches Daily'!BN16</f>
        <v>39.999999999992042</v>
      </c>
      <c r="AK14" s="32">
        <f>'FS Desroches Daily'!BP16</f>
        <v>40.000000000020464</v>
      </c>
      <c r="AL14" s="32">
        <f>'FS Desroches Daily'!BR16</f>
        <v>27</v>
      </c>
      <c r="AM14" s="32">
        <f>'FS Desroches Daily'!BT16</f>
        <v>20.000000000010232</v>
      </c>
      <c r="AN14" s="32">
        <f>'FS Desroches Daily'!BV16</f>
        <v>36</v>
      </c>
      <c r="AO14" s="32">
        <f>'FS Desroches Daily'!BX16</f>
        <v>30.000000000001137</v>
      </c>
      <c r="AP14" s="32">
        <f>'FS Desroches Daily'!BZ16</f>
        <v>46</v>
      </c>
      <c r="AQ14" s="31">
        <f>'FS Desroches Daily'!CB16</f>
        <v>38.5</v>
      </c>
      <c r="AR14" s="31">
        <f>'FS Desroches Daily'!CD16</f>
        <v>10.299999999999272</v>
      </c>
      <c r="AS14" s="31">
        <f>'FS Desroches Daily'!CF16</f>
        <v>11.399999999999636</v>
      </c>
      <c r="AT14" s="31">
        <f>'FS Desroches Daily'!CH16</f>
        <v>29</v>
      </c>
      <c r="AU14" s="31">
        <f>'FS Desroches Daily'!CJ16</f>
        <v>263</v>
      </c>
      <c r="AV14" s="31">
        <f>'FS Desroches Daily'!CL16</f>
        <v>509.99999999999091</v>
      </c>
      <c r="AW14" s="31">
        <f>'FS Desroches Daily'!CM16</f>
        <v>71.700000000000728</v>
      </c>
      <c r="AX14" s="31">
        <f>IF(LPG!F21-LPG!G21&lt;0,"0",(LPG!F21-LPG!G21)*1.8315)</f>
        <v>9967.0229999999992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1.8314999999999999</v>
      </c>
      <c r="BB14" s="31">
        <f>IF(LPG!Q21-LPG!Q20&lt;0,"0",(LPG!Q21-LPG!Q20)*1.8315)</f>
        <v>5.4944999999999995</v>
      </c>
      <c r="BC14" s="13">
        <f>'FS Desroches Daily'!CN16</f>
        <v>13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2021</v>
      </c>
      <c r="E15" s="31">
        <f>'FS Desroches Daily'!D17</f>
        <v>2000.0000000002237</v>
      </c>
      <c r="F15" s="32">
        <f>'FS Desroches Daily'!F17</f>
        <v>2499.9999999999468</v>
      </c>
      <c r="G15" s="31">
        <f>'FS Desroches Daily'!H17</f>
        <v>2400.0000000001796</v>
      </c>
      <c r="H15" s="32">
        <f>'FS Desroches Daily'!J17</f>
        <v>1200.0000000000898</v>
      </c>
      <c r="I15" s="31">
        <f>'FS Desroches Daily'!L17</f>
        <v>1799.9999999998017</v>
      </c>
      <c r="J15" s="32">
        <f>'FS Desroches Daily'!N17</f>
        <v>899.99999999990087</v>
      </c>
      <c r="K15" s="13">
        <f>'FS Desroches Daily'!P17</f>
        <v>6</v>
      </c>
      <c r="L15" s="31">
        <f>'FS Desroches Daily'!R17</f>
        <v>2</v>
      </c>
      <c r="M15" s="31">
        <f>'FS Desroches Daily'!T17</f>
        <v>800</v>
      </c>
      <c r="N15" s="31">
        <f>'FS Desroches Daily'!V17</f>
        <v>284</v>
      </c>
      <c r="O15" s="31">
        <f>'FS Desroches Daily'!X17</f>
        <v>230.00000000001819</v>
      </c>
      <c r="P15" s="31">
        <f>'FS Desroches Daily'!Z17</f>
        <v>2200.0000000002019</v>
      </c>
      <c r="Q15" s="31">
        <f>'FS Desroches Daily'!AB17</f>
        <v>319.99999999999318</v>
      </c>
      <c r="R15" s="31">
        <f>'FS Desroches Daily'!AD17</f>
        <v>199.99999999998863</v>
      </c>
      <c r="S15" s="31">
        <f>'FS Desroches Daily'!AF17</f>
        <v>320.00000000005002</v>
      </c>
      <c r="T15" s="31">
        <f>'FS Desroches Daily'!AH17</f>
        <v>34</v>
      </c>
      <c r="U15" s="35">
        <f>'FS Desroches Daily'!AJ17</f>
        <v>740.00000000000909</v>
      </c>
      <c r="V15" s="35">
        <f>'FS Desroches Daily'!AL17</f>
        <v>139.99999999998636</v>
      </c>
      <c r="W15" s="35">
        <f>'FS Desroches Daily'!AN17</f>
        <v>139.99999999998636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179.99999999994998</v>
      </c>
      <c r="AA15" s="35">
        <f>'FS Desroches Daily'!AT17</f>
        <v>179.99999999994998</v>
      </c>
      <c r="AB15" s="35">
        <f>'FS Desroches Daily'!AV17</f>
        <v>60.000000000002274</v>
      </c>
      <c r="AC15" s="35">
        <f>'FS Desroches Daily'!AZ17</f>
        <v>60.000000000002274</v>
      </c>
      <c r="AD15" s="35">
        <f>'FS Desroches Daily'!BB17</f>
        <v>20.000000000038654</v>
      </c>
      <c r="AE15" s="35">
        <f>'FS Desroches Daily'!BD17</f>
        <v>129.99999999999545</v>
      </c>
      <c r="AF15" s="31">
        <f>'FS Desroches Daily'!BF17</f>
        <v>28</v>
      </c>
      <c r="AG15" s="32">
        <f>'FS Desroches Daily'!BH17</f>
        <v>49.999999999982947</v>
      </c>
      <c r="AH15" s="32">
        <f>'FS Desroches Daily'!BJ17</f>
        <v>30.000000000029559</v>
      </c>
      <c r="AI15" s="32">
        <f>'FS Desroches Daily'!BL17</f>
        <v>20.000000000010232</v>
      </c>
      <c r="AJ15" s="32">
        <f>'FS Desroches Daily'!BN17</f>
        <v>40.000000000020464</v>
      </c>
      <c r="AK15" s="32">
        <f>'FS Desroches Daily'!BP17</f>
        <v>29.999999999972715</v>
      </c>
      <c r="AL15" s="32">
        <f>'FS Desroches Daily'!BR17</f>
        <v>33</v>
      </c>
      <c r="AM15" s="32">
        <f>'FS Desroches Daily'!BT17</f>
        <v>30.000000000001137</v>
      </c>
      <c r="AN15" s="32">
        <f>'FS Desroches Daily'!BV17</f>
        <v>37</v>
      </c>
      <c r="AO15" s="32">
        <f>'FS Desroches Daily'!BX17</f>
        <v>20.000000000010232</v>
      </c>
      <c r="AP15" s="32">
        <f>'FS Desroches Daily'!BZ17</f>
        <v>46</v>
      </c>
      <c r="AQ15" s="31">
        <f>'FS Desroches Daily'!CB17</f>
        <v>30.5</v>
      </c>
      <c r="AR15" s="31">
        <f>'FS Desroches Daily'!CD17</f>
        <v>7.1000000000003638</v>
      </c>
      <c r="AS15" s="31">
        <f>'FS Desroches Daily'!CF17</f>
        <v>4.6000000000003638</v>
      </c>
      <c r="AT15" s="31">
        <f>'FS Desroches Daily'!CH17</f>
        <v>29.19999999999709</v>
      </c>
      <c r="AU15" s="31">
        <f>'FS Desroches Daily'!CJ17</f>
        <v>262</v>
      </c>
      <c r="AV15" s="31">
        <f>'FS Desroches Daily'!CL17</f>
        <v>610.00000000001364</v>
      </c>
      <c r="AW15" s="31">
        <f>'FS Desroches Daily'!CM17</f>
        <v>68</v>
      </c>
      <c r="AX15" s="31">
        <f>IF(LPG!F22-LPG!F21&lt;0,"0",(LPG!F22-LPG!F21)*1.8315)</f>
        <v>9.1574999999999989</v>
      </c>
      <c r="AY15" s="31">
        <f>IF(LPG!H22-LPG!H21&lt;0,"0",(LPG!H22-LPG!H21)*1.8315)</f>
        <v>5.4944999999999995</v>
      </c>
      <c r="AZ15" s="31">
        <f>IF(LPG!J22-LPG!J21&lt;0,"0",(LPG!J22-LPG!J21)*1.8315)</f>
        <v>1.8314999999999999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16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2021</v>
      </c>
      <c r="E16" s="31">
        <f>'FS Desroches Daily'!D18</f>
        <v>2299.9999999999686</v>
      </c>
      <c r="F16" s="32">
        <f>'FS Desroches Daily'!F18</f>
        <v>2299.9999999999686</v>
      </c>
      <c r="G16" s="31">
        <f>'FS Desroches Daily'!H18</f>
        <v>2600.0000000001578</v>
      </c>
      <c r="H16" s="32">
        <f>'FS Desroches Daily'!J18</f>
        <v>1199.9999999998679</v>
      </c>
      <c r="I16" s="31">
        <f>'FS Desroches Daily'!L18</f>
        <v>1900.0000000000127</v>
      </c>
      <c r="J16" s="32">
        <f>'FS Desroches Daily'!N18</f>
        <v>800.00000000013392</v>
      </c>
      <c r="K16" s="13">
        <f>'FS Desroches Daily'!P18</f>
        <v>4</v>
      </c>
      <c r="L16" s="31">
        <f>'FS Desroches Daily'!R18</f>
        <v>1</v>
      </c>
      <c r="M16" s="31">
        <f>'FS Desroches Daily'!T18</f>
        <v>800</v>
      </c>
      <c r="N16" s="31">
        <f>'FS Desroches Daily'!V18</f>
        <v>319.09999999997672</v>
      </c>
      <c r="O16" s="31">
        <f>'FS Desroches Daily'!X18</f>
        <v>240.00000000000909</v>
      </c>
      <c r="P16" s="31">
        <f>'FS Desroches Daily'!Z18</f>
        <v>1999.9999999997797</v>
      </c>
      <c r="Q16" s="31">
        <f>'FS Desroches Daily'!AB18</f>
        <v>189.99999999999773</v>
      </c>
      <c r="R16" s="31">
        <f>'FS Desroches Daily'!AD18</f>
        <v>230.00000000001819</v>
      </c>
      <c r="S16" s="31">
        <f>'FS Desroches Daily'!AF18</f>
        <v>289.99999999996362</v>
      </c>
      <c r="T16" s="31">
        <f>'FS Desroches Daily'!AH18</f>
        <v>32</v>
      </c>
      <c r="U16" s="35">
        <f>'FS Desroches Daily'!AJ18</f>
        <v>730.00000000001819</v>
      </c>
      <c r="V16" s="35">
        <f>'FS Desroches Daily'!AL18</f>
        <v>159.99999999999659</v>
      </c>
      <c r="W16" s="35">
        <f>'FS Desroches Daily'!AN18</f>
        <v>140.00000000001478</v>
      </c>
      <c r="X16" s="35">
        <f>'FS Desroches Daily'!AP18</f>
        <v>90.000000000003411</v>
      </c>
      <c r="Y16" s="35">
        <f>'FS Desroches Daily'!AR18</f>
        <v>150.00000000000568</v>
      </c>
      <c r="Z16" s="35">
        <f>'FS Desroches Daily'!AT18</f>
        <v>220.00000000002728</v>
      </c>
      <c r="AA16" s="35">
        <f>'FS Desroches Daily'!AT18</f>
        <v>220.00000000002728</v>
      </c>
      <c r="AB16" s="35">
        <f>'FS Desroches Daily'!AV18</f>
        <v>60.000000000002274</v>
      </c>
      <c r="AC16" s="35">
        <f>'FS Desroches Daily'!AZ18</f>
        <v>40.000000000020464</v>
      </c>
      <c r="AD16" s="35">
        <f>'FS Desroches Daily'!BB18</f>
        <v>39.99999999996362</v>
      </c>
      <c r="AE16" s="35">
        <f>'FS Desroches Daily'!BD18</f>
        <v>139.99999999998636</v>
      </c>
      <c r="AF16" s="31">
        <f>'FS Desroches Daily'!BF18</f>
        <v>31</v>
      </c>
      <c r="AG16" s="32">
        <f>'FS Desroches Daily'!BH18</f>
        <v>40.000000000020464</v>
      </c>
      <c r="AH16" s="32">
        <f>'FS Desroches Daily'!BJ18</f>
        <v>29.999999999972715</v>
      </c>
      <c r="AI16" s="32">
        <f>'FS Desroches Daily'!BL18</f>
        <v>30.000000000001137</v>
      </c>
      <c r="AJ16" s="32">
        <f>'FS Desroches Daily'!BN18</f>
        <v>30.000000000001137</v>
      </c>
      <c r="AK16" s="32">
        <f>'FS Desroches Daily'!BP18</f>
        <v>40.000000000020464</v>
      </c>
      <c r="AL16" s="32">
        <f>'FS Desroches Daily'!BR18</f>
        <v>28</v>
      </c>
      <c r="AM16" s="32">
        <f>'FS Desroches Daily'!BT18</f>
        <v>30.000000000001137</v>
      </c>
      <c r="AN16" s="32">
        <f>'FS Desroches Daily'!BV18</f>
        <v>33</v>
      </c>
      <c r="AO16" s="32">
        <f>'FS Desroches Daily'!BX18</f>
        <v>20.000000000010232</v>
      </c>
      <c r="AP16" s="32">
        <f>'FS Desroches Daily'!BZ18</f>
        <v>41</v>
      </c>
      <c r="AQ16" s="31">
        <f>'FS Desroches Daily'!CB18</f>
        <v>38.900000000001455</v>
      </c>
      <c r="AR16" s="31">
        <f>'FS Desroches Daily'!CD18</f>
        <v>7.1000000000003638</v>
      </c>
      <c r="AS16" s="31">
        <f>'FS Desroches Daily'!CF18</f>
        <v>1.5</v>
      </c>
      <c r="AT16" s="31">
        <f>'FS Desroches Daily'!CH18</f>
        <v>33.5</v>
      </c>
      <c r="AU16" s="31">
        <f>'FS Desroches Daily'!CJ18</f>
        <v>261</v>
      </c>
      <c r="AV16" s="31">
        <f>'FS Desroches Daily'!CL18</f>
        <v>610.00000000001364</v>
      </c>
      <c r="AW16" s="31">
        <f>'FS Desroches Daily'!CM18</f>
        <v>77</v>
      </c>
      <c r="AX16" s="31" t="str">
        <f>IF(LPG!F23-LPG!F22&lt;0,"0",(LPG!F23-LPG!F22)*1.8315)</f>
        <v>0</v>
      </c>
      <c r="AY16" s="31" t="str">
        <f>IF(LPG!H23-LPG!H22&lt;0,"0",(LPG!H23-LPG!H22)*1.8315)</f>
        <v>0</v>
      </c>
      <c r="AZ16" s="31" t="str">
        <f>IF(LPG!J23-LPG!J22&lt;0,"0",(LPG!J23-LPG!J22)*1.8315)</f>
        <v>0</v>
      </c>
      <c r="BA16" s="31" t="str">
        <f>IF(LPG!M23-LPG!M22&lt;0,"0",(LPG!M23-LPG!M22)*1.8315)</f>
        <v>0</v>
      </c>
      <c r="BB16" s="31" t="str">
        <f>IF(LPG!Q23-LPG!Q22&lt;0,"0",(LPG!Q23-LPG!Q22)*1.8315)</f>
        <v>0</v>
      </c>
      <c r="BC16" s="13">
        <f>'FS Desroches Daily'!CN18</f>
        <v>15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2021</v>
      </c>
      <c r="E17" s="31" t="str">
        <f>'FS Desroches Daily'!D19</f>
        <v>0</v>
      </c>
      <c r="F17" s="32" t="str">
        <f>'FS Desroches Daily'!F19</f>
        <v>0</v>
      </c>
      <c r="G17" s="31" t="str">
        <f>'FS Desroches Daily'!H19</f>
        <v>0</v>
      </c>
      <c r="H17" s="32" t="str">
        <f>'FS Desroches Daily'!J19</f>
        <v>0</v>
      </c>
      <c r="I17" s="31" t="str">
        <f>'FS Desroches Daily'!L19</f>
        <v>0</v>
      </c>
      <c r="J17" s="32" t="str">
        <f>'FS Desroches Daily'!N19</f>
        <v/>
      </c>
      <c r="K17" s="13" t="str">
        <f>'FS Desroches Daily'!P19</f>
        <v/>
      </c>
      <c r="L17" s="31" t="str">
        <f>'FS Desroches Daily'!R19</f>
        <v/>
      </c>
      <c r="M17" s="31" t="str">
        <f>'FS Desroches Daily'!T19</f>
        <v/>
      </c>
      <c r="N17" s="31" t="str">
        <f>'FS Desroches Daily'!V19</f>
        <v/>
      </c>
      <c r="O17" s="31" t="str">
        <f>'FS Desroches Daily'!X19</f>
        <v/>
      </c>
      <c r="P17" s="31" t="str">
        <f>'FS Desroches Daily'!Z19</f>
        <v/>
      </c>
      <c r="Q17" s="31" t="str">
        <f>'FS Desroches Daily'!AB19</f>
        <v/>
      </c>
      <c r="R17" s="31" t="str">
        <f>'FS Desroches Daily'!AD19</f>
        <v/>
      </c>
      <c r="S17" s="31" t="str">
        <f>'FS Desroches Daily'!AF19</f>
        <v/>
      </c>
      <c r="T17" s="31" t="str">
        <f>'FS Desroches Daily'!AH19</f>
        <v/>
      </c>
      <c r="U17" s="35" t="str">
        <f>'FS Desroches Daily'!AJ19</f>
        <v/>
      </c>
      <c r="V17" s="35" t="str">
        <f>'FS Desroches Daily'!AL19</f>
        <v/>
      </c>
      <c r="W17" s="35" t="str">
        <f>'FS Desroches Daily'!AN19</f>
        <v/>
      </c>
      <c r="X17" s="35" t="str">
        <f>'FS Desroches Daily'!AP19</f>
        <v/>
      </c>
      <c r="Y17" s="35" t="str">
        <f>'FS Desroches Daily'!AR19</f>
        <v/>
      </c>
      <c r="Z17" s="35">
        <f>'FS Desroches Daily'!AU20</f>
        <v>0</v>
      </c>
      <c r="AA17" s="35">
        <f>'FS Desroches Daily'!AU20</f>
        <v>0</v>
      </c>
      <c r="AB17" s="35" t="str">
        <f>'FS Desroches Daily'!AV19</f>
        <v/>
      </c>
      <c r="AC17" s="35" t="str">
        <f>'FS Desroches Daily'!AZ19</f>
        <v/>
      </c>
      <c r="AD17" s="35" t="str">
        <f>'FS Desroches Daily'!BB19</f>
        <v/>
      </c>
      <c r="AE17" s="35" t="str">
        <f>'FS Desroches Daily'!BD19</f>
        <v/>
      </c>
      <c r="AF17" s="31" t="str">
        <f>'FS Desroches Daily'!BF19</f>
        <v/>
      </c>
      <c r="AG17" s="32" t="str">
        <f>'FS Desroches Daily'!BH19</f>
        <v/>
      </c>
      <c r="AH17" s="32" t="str">
        <f>'FS Desroches Daily'!BJ19</f>
        <v/>
      </c>
      <c r="AI17" s="32" t="str">
        <f>'FS Desroches Daily'!BL19</f>
        <v/>
      </c>
      <c r="AJ17" s="32" t="str">
        <f>'FS Desroches Daily'!BN19</f>
        <v/>
      </c>
      <c r="AK17" s="32" t="str">
        <f>'FS Desroches Daily'!BP19</f>
        <v/>
      </c>
      <c r="AL17" s="32" t="str">
        <f>'FS Desroches Daily'!BR19</f>
        <v/>
      </c>
      <c r="AM17" s="32" t="str">
        <f>'FS Desroches Daily'!BT19</f>
        <v/>
      </c>
      <c r="AN17" s="32" t="str">
        <f>'FS Desroches Daily'!BV19</f>
        <v/>
      </c>
      <c r="AO17" s="32" t="str">
        <f>'FS Desroches Daily'!BX19</f>
        <v/>
      </c>
      <c r="AP17" s="32" t="str">
        <f>'FS Desroches Daily'!BZ19</f>
        <v/>
      </c>
      <c r="AQ17" s="31" t="str">
        <f>'FS Desroches Daily'!CB19</f>
        <v/>
      </c>
      <c r="AR17" s="31" t="str">
        <f>'FS Desroches Daily'!CD19</f>
        <v/>
      </c>
      <c r="AS17" s="31" t="str">
        <f>'FS Desroches Daily'!CF19</f>
        <v/>
      </c>
      <c r="AT17" s="31" t="str">
        <f>'FS Desroches Daily'!CH19</f>
        <v/>
      </c>
      <c r="AU17" s="31" t="str">
        <f>'FS Desroches Daily'!CJ19</f>
        <v/>
      </c>
      <c r="AV17" s="31" t="str">
        <f>'FS Desroches Daily'!CL19</f>
        <v/>
      </c>
      <c r="AW17" s="31" t="e">
        <f>'FS Desroches Daily'!CM19</f>
        <v>#VALUE!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29199.999999999887</v>
      </c>
      <c r="F33" s="17">
        <f t="shared" ref="F33:BC33" si="1">SUM(F2:F32)</f>
        <v>38199.999999999789</v>
      </c>
      <c r="G33" s="17">
        <f t="shared" si="1"/>
        <v>35900.000000000262</v>
      </c>
      <c r="H33" s="17">
        <f t="shared" si="1"/>
        <v>18199.999999999993</v>
      </c>
      <c r="I33" s="17">
        <f t="shared" si="1"/>
        <v>27499.999999999869</v>
      </c>
      <c r="J33" s="17">
        <f t="shared" si="1"/>
        <v>13800.000000000033</v>
      </c>
      <c r="K33" s="17">
        <f t="shared" si="1"/>
        <v>67</v>
      </c>
      <c r="L33" s="17">
        <f t="shared" si="1"/>
        <v>30</v>
      </c>
      <c r="M33" s="17">
        <f t="shared" si="1"/>
        <v>11164.599999999977</v>
      </c>
      <c r="N33" s="17">
        <f t="shared" si="1"/>
        <v>4315.9000000000233</v>
      </c>
      <c r="O33" s="17">
        <f t="shared" si="1"/>
        <v>3750.0000000000568</v>
      </c>
      <c r="P33" s="17">
        <f t="shared" si="1"/>
        <v>33799.999999999833</v>
      </c>
      <c r="Q33" s="17">
        <f t="shared" si="1"/>
        <v>3860.0000000000136</v>
      </c>
      <c r="R33" s="17">
        <f t="shared" si="1"/>
        <v>3629.9999999999955</v>
      </c>
      <c r="S33" s="17">
        <f t="shared" si="1"/>
        <v>4659.9999999999682</v>
      </c>
      <c r="T33" s="17">
        <f t="shared" si="1"/>
        <v>488</v>
      </c>
      <c r="U33" s="35">
        <f t="shared" si="1"/>
        <v>10149.999999999976</v>
      </c>
      <c r="V33" s="35">
        <f t="shared" si="1"/>
        <v>2530.0000000000009</v>
      </c>
      <c r="W33" s="35">
        <f t="shared" si="1"/>
        <v>2060.0000000000023</v>
      </c>
      <c r="X33" s="35">
        <f t="shared" si="1"/>
        <v>1560.0000000000023</v>
      </c>
      <c r="Y33" s="35">
        <f t="shared" si="1"/>
        <v>2480.0000000000182</v>
      </c>
      <c r="Z33" s="35">
        <f t="shared" si="1"/>
        <v>2660.000000000025</v>
      </c>
      <c r="AA33" s="35">
        <f t="shared" si="1"/>
        <v>2660.000000000025</v>
      </c>
      <c r="AB33" s="35">
        <f t="shared" si="1"/>
        <v>1050.0000000000114</v>
      </c>
      <c r="AC33" s="35">
        <f t="shared" si="1"/>
        <v>689.99999999999773</v>
      </c>
      <c r="AD33" s="35">
        <f t="shared" si="1"/>
        <v>360.00000000001364</v>
      </c>
      <c r="AE33" s="35">
        <f t="shared" si="1"/>
        <v>1269.9999999999818</v>
      </c>
      <c r="AF33" s="17">
        <f t="shared" si="1"/>
        <v>439</v>
      </c>
      <c r="AG33" s="32">
        <f t="shared" si="1"/>
        <v>580.00000000001251</v>
      </c>
      <c r="AH33" s="32">
        <f t="shared" si="1"/>
        <v>399.99999999997726</v>
      </c>
      <c r="AI33" s="32">
        <f t="shared" si="1"/>
        <v>420.00000000001592</v>
      </c>
      <c r="AJ33" s="32">
        <f t="shared" si="1"/>
        <v>550.00000000001137</v>
      </c>
      <c r="AK33" s="32">
        <f t="shared" si="1"/>
        <v>540.00000000002046</v>
      </c>
      <c r="AL33" s="32">
        <f t="shared" si="1"/>
        <v>396</v>
      </c>
      <c r="AM33" s="32">
        <f t="shared" si="1"/>
        <v>430.00000000000682</v>
      </c>
      <c r="AN33" s="32">
        <f t="shared" si="1"/>
        <v>589</v>
      </c>
      <c r="AO33" s="32">
        <f t="shared" si="1"/>
        <v>350.00000000002274</v>
      </c>
      <c r="AP33" s="32">
        <f t="shared" si="1"/>
        <v>643</v>
      </c>
      <c r="AQ33" s="17">
        <f t="shared" si="1"/>
        <v>524.09999999999854</v>
      </c>
      <c r="AR33" s="17">
        <f t="shared" si="1"/>
        <v>134.79999999999927</v>
      </c>
      <c r="AS33" s="17">
        <f t="shared" si="1"/>
        <v>71.5</v>
      </c>
      <c r="AT33" s="17">
        <f t="shared" si="1"/>
        <v>502.09999999999854</v>
      </c>
      <c r="AU33" s="17">
        <f t="shared" si="1"/>
        <v>4040</v>
      </c>
      <c r="AV33" s="17">
        <f t="shared" si="1"/>
        <v>8870.0000000000036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102.56400000000001</v>
      </c>
      <c r="BC33" s="17">
        <f t="shared" si="1"/>
        <v>133</v>
      </c>
    </row>
    <row r="35" spans="5:55" x14ac:dyDescent="0.25">
      <c r="E35" s="38">
        <f>E33/E37</f>
        <v>0.23094322909251883</v>
      </c>
      <c r="G35" s="29">
        <f>G33-M36</f>
        <v>20419.500000000262</v>
      </c>
      <c r="AE35" s="35">
        <f>SUM(U33:AE33)</f>
        <v>27470.000000000055</v>
      </c>
      <c r="AG35" s="32">
        <f>SUM(AG33:AP33)</f>
        <v>4898.0000000000673</v>
      </c>
    </row>
    <row r="36" spans="5:55" x14ac:dyDescent="0.25">
      <c r="G36" s="29">
        <f>G35-633*14</f>
        <v>11557.500000000262</v>
      </c>
      <c r="M36" s="29">
        <f>M33+N33</f>
        <v>15480.5</v>
      </c>
    </row>
    <row r="37" spans="5:55" x14ac:dyDescent="0.25">
      <c r="E37" s="17">
        <f>E33+F33+G33+H33+J33-633*14</f>
        <v>126437.99999999997</v>
      </c>
      <c r="G37" s="37">
        <f>M36/E37</f>
        <v>0.12243550198516272</v>
      </c>
      <c r="M37" s="35">
        <f>AE35</f>
        <v>27470.000000000055</v>
      </c>
    </row>
    <row r="38" spans="5:55" x14ac:dyDescent="0.25">
      <c r="L38" s="27">
        <f>M38/E37</f>
        <v>3.8738353975862228E-2</v>
      </c>
      <c r="M38" s="29">
        <f>AG35</f>
        <v>4898.0000000000673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I1" zoomScale="80" zoomScaleNormal="80" workbookViewId="0">
      <pane ySplit="1" topLeftCell="A2" activePane="bottomLeft" state="frozen"/>
      <selection pane="bottomLeft" activeCell="CO19" sqref="CO1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44377</v>
      </c>
      <c r="B3" s="68"/>
      <c r="C3" s="58">
        <v>2.2972000000000001</v>
      </c>
      <c r="D3" s="64">
        <v>0</v>
      </c>
      <c r="E3" s="58">
        <v>3.2707000000000002</v>
      </c>
      <c r="F3" s="64"/>
      <c r="G3" s="58">
        <v>3.3277999999999999</v>
      </c>
      <c r="H3" s="64"/>
      <c r="I3" s="58">
        <v>1.6416999999999999</v>
      </c>
      <c r="J3" s="64"/>
      <c r="K3" s="58">
        <v>2.6516999999999999</v>
      </c>
      <c r="L3" s="64"/>
      <c r="M3" s="58">
        <v>1.4611000000000001</v>
      </c>
      <c r="N3" s="64"/>
      <c r="O3" s="58">
        <v>14415</v>
      </c>
      <c r="P3" s="67"/>
      <c r="Q3" s="58">
        <v>1034</v>
      </c>
      <c r="R3" s="67"/>
      <c r="S3" s="58">
        <v>995235.4</v>
      </c>
      <c r="T3" s="67"/>
      <c r="U3" s="58">
        <v>418434.1</v>
      </c>
      <c r="V3" s="67"/>
      <c r="W3" s="58">
        <v>398.96</v>
      </c>
      <c r="X3" s="65"/>
      <c r="Y3" s="58">
        <v>2.8588</v>
      </c>
      <c r="Z3" s="65"/>
      <c r="AA3" s="58">
        <v>397.01</v>
      </c>
      <c r="AB3" s="65"/>
      <c r="AC3" s="58">
        <v>371.35</v>
      </c>
      <c r="AD3" s="65"/>
      <c r="AE3" s="58">
        <v>567.47</v>
      </c>
      <c r="AF3" s="65"/>
      <c r="AG3" s="58">
        <v>4581</v>
      </c>
      <c r="AH3" s="67"/>
      <c r="AI3" s="58">
        <v>615.86</v>
      </c>
      <c r="AJ3" s="65"/>
      <c r="AK3" s="58">
        <v>205.23</v>
      </c>
      <c r="AL3" s="65"/>
      <c r="AM3" s="58">
        <v>195.52</v>
      </c>
      <c r="AN3" s="65"/>
      <c r="AO3" s="58">
        <v>189.73</v>
      </c>
      <c r="AP3" s="65"/>
      <c r="AQ3" s="58">
        <v>247.51</v>
      </c>
      <c r="AR3" s="65"/>
      <c r="AS3" s="58">
        <v>373.15</v>
      </c>
      <c r="AT3" s="65"/>
      <c r="AU3" s="58">
        <v>285.70999999999998</v>
      </c>
      <c r="AV3" s="65"/>
      <c r="AW3" s="58">
        <v>320.38</v>
      </c>
      <c r="AX3" s="65"/>
      <c r="AY3" s="58">
        <v>361.66</v>
      </c>
      <c r="AZ3" s="65"/>
      <c r="BA3" s="58">
        <v>381.28</v>
      </c>
      <c r="BB3" s="65"/>
      <c r="BC3" s="58">
        <v>241.93</v>
      </c>
      <c r="BD3" s="65"/>
      <c r="BE3" s="59">
        <v>40460</v>
      </c>
      <c r="BF3" s="67"/>
      <c r="BG3" s="60">
        <v>234.28</v>
      </c>
      <c r="BH3" s="65"/>
      <c r="BI3" s="60">
        <v>293.25</v>
      </c>
      <c r="BJ3" s="65"/>
      <c r="BK3" s="60">
        <v>237.04</v>
      </c>
      <c r="BL3" s="65"/>
      <c r="BM3" s="60">
        <v>223.94</v>
      </c>
      <c r="BN3" s="65"/>
      <c r="BO3" s="60">
        <v>287.75</v>
      </c>
      <c r="BP3" s="65"/>
      <c r="BQ3" s="60">
        <v>45344</v>
      </c>
      <c r="BR3" s="65"/>
      <c r="BS3" s="60">
        <v>200.84</v>
      </c>
      <c r="BT3" s="65"/>
      <c r="BU3" s="60">
        <v>40798</v>
      </c>
      <c r="BV3" s="65"/>
      <c r="BW3" s="60">
        <v>232.01</v>
      </c>
      <c r="BX3" s="65"/>
      <c r="BY3" s="60">
        <v>60477</v>
      </c>
      <c r="BZ3" s="67"/>
      <c r="CA3" s="60">
        <v>32040.400000000001</v>
      </c>
      <c r="CB3" s="67"/>
      <c r="CC3" s="60">
        <v>12190.2</v>
      </c>
      <c r="CD3" s="67"/>
      <c r="CE3" s="60">
        <v>6424</v>
      </c>
      <c r="CF3" s="67"/>
      <c r="CG3" s="60">
        <v>59652.4</v>
      </c>
      <c r="CH3" s="67"/>
      <c r="CI3" s="60">
        <v>949584</v>
      </c>
      <c r="CJ3" s="67"/>
      <c r="CK3" s="60">
        <v>765.96</v>
      </c>
      <c r="CL3" s="64"/>
      <c r="CM3" s="65"/>
      <c r="CN3" s="62">
        <v>10</v>
      </c>
      <c r="CO3" s="62">
        <v>25</v>
      </c>
      <c r="CP3" s="68">
        <v>9741.7999999999993</v>
      </c>
      <c r="CQ3" s="68"/>
      <c r="CR3" s="68">
        <v>14248</v>
      </c>
      <c r="CS3" s="68"/>
      <c r="CT3" s="75">
        <v>6490</v>
      </c>
      <c r="CU3" s="68"/>
      <c r="CV3" s="68">
        <v>15410</v>
      </c>
      <c r="CW3" s="75"/>
      <c r="CX3" s="76"/>
    </row>
    <row r="4" spans="1:102" ht="25.5" customHeight="1" thickBot="1" x14ac:dyDescent="0.45">
      <c r="A4" s="63">
        <v>44378</v>
      </c>
      <c r="B4" s="68"/>
      <c r="C4" s="58">
        <v>2.2989000000000002</v>
      </c>
      <c r="D4" s="64">
        <f t="shared" ref="D4:D34" si="0">IF((C4-C3&lt;0), "0",(C4-C3)*1000000)</f>
        <v>1700.0000000000348</v>
      </c>
      <c r="E4" s="58">
        <v>3.2730000000000001</v>
      </c>
      <c r="F4" s="64">
        <f t="shared" ref="F4:F34" si="1">IF((E4-E3&lt;0), "0",(E4-E3)*1000000)</f>
        <v>2299.9999999999686</v>
      </c>
      <c r="G4" s="58">
        <v>3.33</v>
      </c>
      <c r="H4" s="64">
        <f t="shared" ref="H4:H34" si="2">IF((G4-G3&lt;0), "0",(G4-G3)*1000000)</f>
        <v>2200.0000000002019</v>
      </c>
      <c r="I4" s="58">
        <v>1.6427</v>
      </c>
      <c r="J4" s="64">
        <f t="shared" ref="J4:J34" si="3">IF((I4-I3&lt;0), "0",(I4-I3)*1000000)</f>
        <v>1000.0000000001119</v>
      </c>
      <c r="K4" s="58">
        <v>2.6533000000000002</v>
      </c>
      <c r="L4" s="64">
        <f t="shared" ref="L4:L34" si="4">IF((K4-K3&lt;0), "0",(K4-K3)*1000000)</f>
        <v>1600.0000000002678</v>
      </c>
      <c r="M4" s="58">
        <v>1.4618</v>
      </c>
      <c r="N4" s="64">
        <f t="shared" ref="N4:N34" si="5">IF((M4-M3&lt;0), "",(M4-M3)*1000000)</f>
        <v>699.99999999992292</v>
      </c>
      <c r="O4" s="58">
        <v>14417</v>
      </c>
      <c r="P4" s="67">
        <f>IF((O4-O3&lt;0), "",O4-O3)</f>
        <v>2</v>
      </c>
      <c r="Q4" s="58">
        <v>1036</v>
      </c>
      <c r="R4" s="67">
        <f t="shared" ref="R4:R34" si="6">IF((Q4-Q3&lt;0), "",Q4-Q3)</f>
        <v>2</v>
      </c>
      <c r="S4" s="58">
        <v>995838.6</v>
      </c>
      <c r="T4" s="67">
        <f t="shared" ref="T4:T34" si="7">IF((S4-S3&lt;0), "",S4-S3)</f>
        <v>603.19999999995343</v>
      </c>
      <c r="U4" s="58">
        <v>418679.9</v>
      </c>
      <c r="V4" s="67">
        <f t="shared" ref="V4:V34" si="8">IF((U4-U3&lt;0), "",U4-U3)</f>
        <v>245.80000000004657</v>
      </c>
      <c r="W4" s="58">
        <v>399.16</v>
      </c>
      <c r="X4" s="65">
        <f t="shared" ref="X4:X34" si="9">IF((W4-W3&lt;0), "",(W4-W3)*1000)</f>
        <v>200.00000000004547</v>
      </c>
      <c r="Y4" s="58">
        <v>2.8603999999999998</v>
      </c>
      <c r="Z4" s="65">
        <f t="shared" ref="Z4:Z34" si="10">IF((Y4-Y3&lt;0), "",(Y4-Y3)*1000000)</f>
        <v>1599.9999999998238</v>
      </c>
      <c r="AA4" s="58">
        <v>397.18</v>
      </c>
      <c r="AB4" s="65">
        <f t="shared" ref="AB4:AB34" si="11">IF((AA4-AA3&lt;0), "",(AA4-AA3)*1000)</f>
        <v>170.00000000001592</v>
      </c>
      <c r="AC4" s="58">
        <v>371.52</v>
      </c>
      <c r="AD4" s="65">
        <f t="shared" ref="AD4:AD34" si="12">IF((AC4-AC3&lt;0), "",(AC4-AC3)*1000)</f>
        <v>169.99999999995907</v>
      </c>
      <c r="AE4" s="58">
        <v>567.66999999999996</v>
      </c>
      <c r="AF4" s="65">
        <f t="shared" ref="AF4:AF34" si="13">IF((AE4-AE3&lt;0), "",(AE4-AE3)*1000)</f>
        <v>199.99999999993179</v>
      </c>
      <c r="AG4" s="58">
        <v>4604</v>
      </c>
      <c r="AH4" s="67">
        <f t="shared" ref="AH4:AH34" si="14">IF((AG4-AG3&lt;0), "",AG4-AG3)</f>
        <v>23</v>
      </c>
      <c r="AI4" s="58">
        <v>616.48</v>
      </c>
      <c r="AJ4" s="65">
        <f t="shared" ref="AJ4:AP34" si="15">IF((AI4-AI3&lt;0), "",(AI4-AI3)*1000)</f>
        <v>620.00000000000455</v>
      </c>
      <c r="AK4" s="58">
        <v>205.35</v>
      </c>
      <c r="AL4" s="65">
        <f t="shared" si="15"/>
        <v>120.00000000000455</v>
      </c>
      <c r="AM4" s="58">
        <v>195.61</v>
      </c>
      <c r="AN4" s="65">
        <f t="shared" si="15"/>
        <v>90.000000000003411</v>
      </c>
      <c r="AO4" s="58">
        <v>189.81</v>
      </c>
      <c r="AP4" s="65">
        <f t="shared" si="15"/>
        <v>80.000000000012506</v>
      </c>
      <c r="AQ4" s="58">
        <v>247.55</v>
      </c>
      <c r="AR4" s="65">
        <f t="shared" ref="AR4:AR34" si="16">IF((AQ4-AQ3&lt;0), "",(AQ4-AQ3)*1000)</f>
        <v>40.000000000020464</v>
      </c>
      <c r="AS4" s="58">
        <v>373.24</v>
      </c>
      <c r="AT4" s="65">
        <f t="shared" ref="AT4:AT34" si="17">IF((AS4-AS3&lt;0), "",(AS4-AS3)*1000)</f>
        <v>90.000000000031832</v>
      </c>
      <c r="AU4" s="58">
        <v>285.74</v>
      </c>
      <c r="AV4" s="65">
        <f t="shared" ref="AV4:AV34" si="18">IF((AU4-AU3&lt;0), "",(AU4-AU3)*1000)</f>
        <v>30.000000000029559</v>
      </c>
      <c r="AW4" s="58">
        <v>320.41000000000003</v>
      </c>
      <c r="AX4" s="65">
        <f t="shared" ref="AX4:AX34" si="19">IF((AW4-AW3&lt;0), "",(AW4-AW3)*1000)</f>
        <v>30.000000000029559</v>
      </c>
      <c r="AY4" s="58">
        <v>361.69</v>
      </c>
      <c r="AZ4" s="65">
        <f t="shared" ref="AZ4:AZ34" si="20">IF((AY4-AY3&lt;0), "",(AY4-AY3)*1000)</f>
        <v>29.999999999972715</v>
      </c>
      <c r="BA4" s="58">
        <v>381.29</v>
      </c>
      <c r="BB4" s="65">
        <f t="shared" ref="BB4:BB34" si="21">IF((BA4-BA3&lt;0), "",(BA4-BA3)*1000)</f>
        <v>10.000000000047748</v>
      </c>
      <c r="BC4" s="58">
        <v>241.94</v>
      </c>
      <c r="BD4" s="65">
        <f t="shared" ref="BD4:BD34" si="22">IF((BC4-BC3&lt;0), "",(BC4-BC3)*1000)</f>
        <v>9.9999999999909051</v>
      </c>
      <c r="BE4" s="59">
        <v>40485</v>
      </c>
      <c r="BF4" s="67">
        <f>IF((BE4-BE3&lt;0), "",BE4-BE3)</f>
        <v>25</v>
      </c>
      <c r="BG4" s="60">
        <v>234.31</v>
      </c>
      <c r="BH4" s="65">
        <f t="shared" ref="BH4:BH34" si="23">IF((BG4-BG3&lt;0), "",(BG4-BG3)*1000)</f>
        <v>30.000000000001137</v>
      </c>
      <c r="BI4" s="60">
        <v>293.27</v>
      </c>
      <c r="BJ4" s="65">
        <f>IF((BI4-BI3&lt;0), "",(BI4-BI3)*1000)</f>
        <v>19.99999999998181</v>
      </c>
      <c r="BK4" s="60">
        <v>237.07</v>
      </c>
      <c r="BL4" s="65">
        <f t="shared" ref="BL4:BL34" si="24">IF((BK4-BK3&lt;0), "",(BK4-BK3)*1000)</f>
        <v>30.000000000001137</v>
      </c>
      <c r="BM4" s="60">
        <v>223.97</v>
      </c>
      <c r="BN4" s="65">
        <f t="shared" ref="BN4:BN33" si="25">IF((BM4-BM3&lt;0), "",(BM4-BM3)*1000)</f>
        <v>30.000000000001137</v>
      </c>
      <c r="BO4" s="60">
        <v>287.79000000000002</v>
      </c>
      <c r="BP4" s="65">
        <f t="shared" ref="BP4:BP34" si="26">IF((BO4-BO3&lt;0), "",(BO4-BO3)*1000)</f>
        <v>40.000000000020464</v>
      </c>
      <c r="BQ4" s="60">
        <v>45365</v>
      </c>
      <c r="BR4" s="65">
        <f t="shared" ref="BR4:BR34" si="27">IF((BQ4-BQ3&lt;0), "",BQ4-BQ3)</f>
        <v>21</v>
      </c>
      <c r="BS4" s="60">
        <v>200.87</v>
      </c>
      <c r="BT4" s="65">
        <f t="shared" ref="BT4" si="28">IF((BS4-BS3&lt;0), "",(BS4-BS3)*1000)</f>
        <v>30.000000000001137</v>
      </c>
      <c r="BU4" s="60">
        <v>40838</v>
      </c>
      <c r="BV4" s="65">
        <f t="shared" ref="BV4:BV35" si="29">IF((BU4-BU3&lt;0), "",BU4-BU3)</f>
        <v>40</v>
      </c>
      <c r="BW4" s="60">
        <v>232.03</v>
      </c>
      <c r="BX4" s="65">
        <f t="shared" ref="BX4:BX34" si="30">IF((BW4-BW3&lt;0), "",(BW4-BW3)*1000)</f>
        <v>20.000000000010232</v>
      </c>
      <c r="BY4" s="60">
        <v>60520</v>
      </c>
      <c r="BZ4" s="67">
        <f t="shared" ref="BZ4:BZ34" si="31">IF((BY4-BY3&lt;0), "",BY4-BY3)</f>
        <v>43</v>
      </c>
      <c r="CA4" s="60">
        <v>32060.799999999999</v>
      </c>
      <c r="CB4" s="67">
        <f t="shared" ref="CB4:CB33" si="32">IF((CA4-CA3&lt;0), "",CA4-CA3)</f>
        <v>20.399999999997817</v>
      </c>
      <c r="CC4" s="60">
        <v>12194.4</v>
      </c>
      <c r="CD4" s="67">
        <f t="shared" ref="CD4:CD34" si="33">IF((CC4-CC3&lt;0), "",CC4-CC3)</f>
        <v>4.1999999999989086</v>
      </c>
      <c r="CE4" s="60">
        <v>6429.4</v>
      </c>
      <c r="CF4" s="67">
        <f t="shared" ref="CF4:CF33" si="34">IF((CE4-CE3&lt;0), "",CE4-CE3)</f>
        <v>5.3999999999996362</v>
      </c>
      <c r="CG4" s="60">
        <v>59683.1</v>
      </c>
      <c r="CH4" s="67">
        <f t="shared" ref="CH4:CH34" si="35">IF((CG4-CG3&lt;0), "",CG4-CG3)</f>
        <v>30.69999999999709</v>
      </c>
      <c r="CI4" s="60">
        <v>949813</v>
      </c>
      <c r="CJ4" s="67">
        <f t="shared" ref="CJ4:CJ34" si="36">IF((CI4-CI3&lt;0), "",CI4-CI3)</f>
        <v>229</v>
      </c>
      <c r="CK4" s="60">
        <v>766.5</v>
      </c>
      <c r="CL4" s="64">
        <f t="shared" ref="CL4:CL34" si="37">IF((CK4-CK3&lt;0), "",(CK4-CK3)*1000)</f>
        <v>539.99999999996362</v>
      </c>
      <c r="CM4" s="65">
        <f>CQ4+CS4</f>
        <v>52.800000000001091</v>
      </c>
      <c r="CN4" s="62">
        <v>10</v>
      </c>
      <c r="CO4" s="62">
        <v>25</v>
      </c>
      <c r="CP4" s="68">
        <v>9780.6</v>
      </c>
      <c r="CQ4" s="67">
        <f t="shared" ref="CQ4:CW34" si="38">IF((CP4-CP3&lt;0), "",CP4-CP3)</f>
        <v>38.800000000001091</v>
      </c>
      <c r="CR4" s="68">
        <v>14262</v>
      </c>
      <c r="CS4" s="67">
        <f t="shared" si="38"/>
        <v>14</v>
      </c>
      <c r="CT4" s="75">
        <v>6498</v>
      </c>
      <c r="CU4" s="67">
        <f t="shared" si="38"/>
        <v>8</v>
      </c>
      <c r="CV4" s="68">
        <v>15427</v>
      </c>
      <c r="CW4" s="67">
        <f t="shared" si="38"/>
        <v>17</v>
      </c>
    </row>
    <row r="5" spans="1:102" ht="25.5" customHeight="1" thickBot="1" x14ac:dyDescent="0.45">
      <c r="A5" s="63">
        <v>44379</v>
      </c>
      <c r="B5" s="44"/>
      <c r="C5" s="58">
        <v>2.3007</v>
      </c>
      <c r="D5" s="64">
        <f t="shared" si="0"/>
        <v>1799.9999999998017</v>
      </c>
      <c r="E5" s="58">
        <v>3.2755000000000001</v>
      </c>
      <c r="F5" s="64">
        <f t="shared" si="1"/>
        <v>2499.9999999999468</v>
      </c>
      <c r="G5" s="58">
        <v>3.3323</v>
      </c>
      <c r="H5" s="64">
        <f t="shared" si="2"/>
        <v>2299.9999999999686</v>
      </c>
      <c r="I5" s="58">
        <v>1.6438999999999999</v>
      </c>
      <c r="J5" s="64">
        <f t="shared" si="3"/>
        <v>1199.9999999998679</v>
      </c>
      <c r="K5" s="58">
        <v>2.6551999999999998</v>
      </c>
      <c r="L5" s="64">
        <f t="shared" si="4"/>
        <v>1899.9999999995687</v>
      </c>
      <c r="M5" s="58">
        <v>1.4626999999999999</v>
      </c>
      <c r="N5" s="64">
        <f t="shared" si="5"/>
        <v>899.99999999990087</v>
      </c>
      <c r="O5" s="58">
        <v>14423</v>
      </c>
      <c r="P5" s="67">
        <f>IF((O5-O4&lt;0), "",O5-O4)</f>
        <v>6</v>
      </c>
      <c r="Q5" s="58">
        <v>1038</v>
      </c>
      <c r="R5" s="67">
        <f t="shared" si="6"/>
        <v>2</v>
      </c>
      <c r="S5" s="58">
        <v>996446</v>
      </c>
      <c r="T5" s="67">
        <f t="shared" si="7"/>
        <v>607.40000000002328</v>
      </c>
      <c r="U5" s="58">
        <v>418891.4</v>
      </c>
      <c r="V5" s="67">
        <f t="shared" si="8"/>
        <v>211.5</v>
      </c>
      <c r="W5" s="58">
        <v>399.43</v>
      </c>
      <c r="X5" s="65">
        <f t="shared" si="9"/>
        <v>269.99999999998181</v>
      </c>
      <c r="Y5" s="58">
        <v>2.8626999999999998</v>
      </c>
      <c r="Z5" s="65">
        <f t="shared" si="10"/>
        <v>2299.9999999999686</v>
      </c>
      <c r="AA5" s="58">
        <v>397.5</v>
      </c>
      <c r="AB5" s="65">
        <f t="shared" si="11"/>
        <v>319.99999999999318</v>
      </c>
      <c r="AC5" s="58">
        <v>371.73</v>
      </c>
      <c r="AD5" s="65">
        <f t="shared" si="12"/>
        <v>210.00000000003638</v>
      </c>
      <c r="AE5" s="58">
        <v>567.94000000000005</v>
      </c>
      <c r="AF5" s="65">
        <f t="shared" si="13"/>
        <v>270.0000000000955</v>
      </c>
      <c r="AG5" s="58">
        <v>4637</v>
      </c>
      <c r="AH5" s="67">
        <f t="shared" si="14"/>
        <v>33</v>
      </c>
      <c r="AI5" s="58">
        <v>617.22</v>
      </c>
      <c r="AJ5" s="65">
        <f t="shared" si="15"/>
        <v>740.00000000000909</v>
      </c>
      <c r="AK5" s="58">
        <v>205.51</v>
      </c>
      <c r="AL5" s="65">
        <f t="shared" si="15"/>
        <v>159.99999999999659</v>
      </c>
      <c r="AM5" s="58">
        <v>195.72</v>
      </c>
      <c r="AN5" s="65">
        <f t="shared" si="15"/>
        <v>109.99999999998522</v>
      </c>
      <c r="AO5" s="58">
        <v>189.92</v>
      </c>
      <c r="AP5" s="65">
        <f t="shared" si="15"/>
        <v>109.99999999998522</v>
      </c>
      <c r="AQ5" s="58">
        <v>247.7</v>
      </c>
      <c r="AR5" s="65">
        <f t="shared" si="16"/>
        <v>149.99999999997726</v>
      </c>
      <c r="AS5" s="58">
        <v>373.38</v>
      </c>
      <c r="AT5" s="65">
        <f t="shared" si="17"/>
        <v>139.99999999998636</v>
      </c>
      <c r="AU5" s="58">
        <v>285.77999999999997</v>
      </c>
      <c r="AV5" s="65">
        <f t="shared" si="18"/>
        <v>39.99999999996362</v>
      </c>
      <c r="AW5" s="58">
        <v>320.45</v>
      </c>
      <c r="AX5" s="65">
        <f t="shared" si="19"/>
        <v>39.99999999996362</v>
      </c>
      <c r="AY5" s="58">
        <v>361.73</v>
      </c>
      <c r="AZ5" s="65">
        <f t="shared" si="20"/>
        <v>40.000000000020464</v>
      </c>
      <c r="BA5" s="58">
        <v>381.32</v>
      </c>
      <c r="BB5" s="65">
        <f t="shared" si="21"/>
        <v>29.999999999972715</v>
      </c>
      <c r="BC5" s="58">
        <v>241.98</v>
      </c>
      <c r="BD5" s="65">
        <f t="shared" si="22"/>
        <v>39.999999999992042</v>
      </c>
      <c r="BE5" s="59">
        <v>40514</v>
      </c>
      <c r="BF5" s="67">
        <f t="shared" ref="BF5:BF34" si="39">IF((BE5-BE4&lt;0), "",BE5-BE4)</f>
        <v>29</v>
      </c>
      <c r="BG5" s="60">
        <v>234.36</v>
      </c>
      <c r="BH5" s="65">
        <f t="shared" si="23"/>
        <v>50.000000000011369</v>
      </c>
      <c r="BI5" s="60">
        <v>293.29000000000002</v>
      </c>
      <c r="BJ5" s="65">
        <f t="shared" ref="BJ5:BJ34" si="40">IF((BI5-BI4&lt;0), "",(BI5-BI4)*1000)</f>
        <v>20.000000000038654</v>
      </c>
      <c r="BK5" s="60">
        <v>237.09</v>
      </c>
      <c r="BL5" s="65">
        <f t="shared" si="24"/>
        <v>20.000000000010232</v>
      </c>
      <c r="BM5" s="60">
        <v>224</v>
      </c>
      <c r="BN5" s="65">
        <f t="shared" si="25"/>
        <v>30.000000000001137</v>
      </c>
      <c r="BO5" s="60">
        <v>287.82</v>
      </c>
      <c r="BP5" s="65">
        <f t="shared" si="26"/>
        <v>29.999999999972715</v>
      </c>
      <c r="BQ5" s="60">
        <v>45390</v>
      </c>
      <c r="BR5" s="65">
        <f t="shared" si="27"/>
        <v>25</v>
      </c>
      <c r="BS5" s="60">
        <v>200.89</v>
      </c>
      <c r="BT5" s="65">
        <f>IF((BS5-BS4&lt;0), "",(BS5-BS4)*1000)</f>
        <v>19.99999999998181</v>
      </c>
      <c r="BU5" s="60">
        <v>40876</v>
      </c>
      <c r="BV5" s="65">
        <f t="shared" si="29"/>
        <v>38</v>
      </c>
      <c r="BW5" s="60">
        <v>232.05</v>
      </c>
      <c r="BX5" s="65">
        <f t="shared" si="30"/>
        <v>20.000000000010232</v>
      </c>
      <c r="BY5" s="60">
        <v>60552</v>
      </c>
      <c r="BZ5" s="67">
        <f t="shared" si="31"/>
        <v>32</v>
      </c>
      <c r="CA5" s="60">
        <v>32095.7</v>
      </c>
      <c r="CB5" s="67">
        <f t="shared" si="32"/>
        <v>34.900000000001455</v>
      </c>
      <c r="CC5" s="60">
        <v>12201.4</v>
      </c>
      <c r="CD5" s="67">
        <f t="shared" si="33"/>
        <v>7</v>
      </c>
      <c r="CE5" s="60">
        <v>6429.5</v>
      </c>
      <c r="CF5" s="67">
        <f t="shared" si="34"/>
        <v>0.1000000000003638</v>
      </c>
      <c r="CG5" s="60">
        <v>59719.5</v>
      </c>
      <c r="CH5" s="67">
        <f t="shared" si="35"/>
        <v>36.400000000001455</v>
      </c>
      <c r="CI5" s="60">
        <v>950107</v>
      </c>
      <c r="CJ5" s="67">
        <f t="shared" si="36"/>
        <v>294</v>
      </c>
      <c r="CK5" s="60">
        <v>767.17</v>
      </c>
      <c r="CL5" s="64">
        <f t="shared" si="37"/>
        <v>669.99999999995907</v>
      </c>
      <c r="CM5" s="65">
        <f t="shared" ref="CM5:CM34" si="41">CQ5+CS5</f>
        <v>67.399999999999636</v>
      </c>
      <c r="CN5" s="62">
        <v>10</v>
      </c>
      <c r="CO5" s="62">
        <v>25</v>
      </c>
      <c r="CP5" s="68">
        <v>9829</v>
      </c>
      <c r="CQ5" s="67">
        <f t="shared" si="38"/>
        <v>48.399999999999636</v>
      </c>
      <c r="CR5" s="68">
        <v>14281</v>
      </c>
      <c r="CS5" s="67">
        <f t="shared" si="38"/>
        <v>19</v>
      </c>
      <c r="CT5" s="75">
        <v>6510</v>
      </c>
      <c r="CU5" s="67">
        <f t="shared" si="38"/>
        <v>12</v>
      </c>
      <c r="CV5" s="68">
        <v>15447</v>
      </c>
      <c r="CW5" s="67">
        <f t="shared" si="38"/>
        <v>20</v>
      </c>
    </row>
    <row r="6" spans="1:102" ht="24.75" customHeight="1" thickBot="1" x14ac:dyDescent="0.45">
      <c r="A6" s="63">
        <v>44380</v>
      </c>
      <c r="B6" s="44"/>
      <c r="C6" s="58">
        <v>2.3026</v>
      </c>
      <c r="D6" s="64">
        <f t="shared" si="0"/>
        <v>1900.0000000000127</v>
      </c>
      <c r="E6" s="58">
        <v>3.2782</v>
      </c>
      <c r="F6" s="64">
        <f t="shared" si="1"/>
        <v>2699.9999999999245</v>
      </c>
      <c r="G6" s="58">
        <v>3.3347000000000002</v>
      </c>
      <c r="H6" s="64">
        <f t="shared" si="2"/>
        <v>2400.0000000001796</v>
      </c>
      <c r="I6" s="58">
        <v>1.6451</v>
      </c>
      <c r="J6" s="64">
        <f t="shared" si="3"/>
        <v>1200.0000000000898</v>
      </c>
      <c r="K6" s="58">
        <v>2.6570999999999998</v>
      </c>
      <c r="L6" s="64">
        <f t="shared" si="4"/>
        <v>1900.0000000000127</v>
      </c>
      <c r="M6" s="58">
        <v>1.4635</v>
      </c>
      <c r="N6" s="64">
        <f t="shared" si="5"/>
        <v>800.00000000013392</v>
      </c>
      <c r="O6" s="58">
        <v>14427</v>
      </c>
      <c r="P6" s="67">
        <f>IF((O6-O5&lt;0), "",O6-O5)</f>
        <v>4</v>
      </c>
      <c r="Q6" s="58">
        <v>1040</v>
      </c>
      <c r="R6" s="67">
        <f t="shared" si="6"/>
        <v>2</v>
      </c>
      <c r="S6" s="58">
        <v>997193.4</v>
      </c>
      <c r="T6" s="67">
        <f t="shared" si="7"/>
        <v>747.40000000002328</v>
      </c>
      <c r="U6" s="58">
        <v>419156</v>
      </c>
      <c r="V6" s="67">
        <f t="shared" si="8"/>
        <v>264.59999999997672</v>
      </c>
      <c r="W6" s="58">
        <v>399.67</v>
      </c>
      <c r="X6" s="65">
        <f t="shared" si="9"/>
        <v>240.00000000000909</v>
      </c>
      <c r="Y6" s="58">
        <v>2.8651</v>
      </c>
      <c r="Z6" s="65">
        <f t="shared" si="10"/>
        <v>2400.0000000001796</v>
      </c>
      <c r="AA6" s="58">
        <v>397.69</v>
      </c>
      <c r="AB6" s="65">
        <f t="shared" si="11"/>
        <v>189.99999999999773</v>
      </c>
      <c r="AC6" s="58">
        <v>371.94</v>
      </c>
      <c r="AD6" s="65">
        <f t="shared" si="12"/>
        <v>209.99999999997954</v>
      </c>
      <c r="AE6" s="58">
        <v>568.25</v>
      </c>
      <c r="AF6" s="65">
        <f t="shared" si="13"/>
        <v>309.99999999994543</v>
      </c>
      <c r="AG6" s="58">
        <v>4669</v>
      </c>
      <c r="AH6" s="67">
        <f t="shared" si="14"/>
        <v>32</v>
      </c>
      <c r="AI6" s="58">
        <v>618.01</v>
      </c>
      <c r="AJ6" s="65">
        <f t="shared" si="15"/>
        <v>789.99999999996362</v>
      </c>
      <c r="AK6" s="58">
        <v>205.7</v>
      </c>
      <c r="AL6" s="65">
        <f t="shared" si="15"/>
        <v>189.99999999999773</v>
      </c>
      <c r="AM6" s="58">
        <v>195.86</v>
      </c>
      <c r="AN6" s="65">
        <f t="shared" si="15"/>
        <v>140.00000000001478</v>
      </c>
      <c r="AO6" s="58">
        <v>190.06</v>
      </c>
      <c r="AP6" s="65">
        <f t="shared" si="15"/>
        <v>140.00000000001478</v>
      </c>
      <c r="AQ6" s="58">
        <v>247.92</v>
      </c>
      <c r="AR6" s="65">
        <f t="shared" si="16"/>
        <v>219.99999999999886</v>
      </c>
      <c r="AS6" s="58">
        <v>373.49</v>
      </c>
      <c r="AT6" s="65">
        <f t="shared" si="17"/>
        <v>110.00000000001364</v>
      </c>
      <c r="AU6" s="58">
        <v>285.83999999999997</v>
      </c>
      <c r="AV6" s="65">
        <f t="shared" si="18"/>
        <v>60.000000000002274</v>
      </c>
      <c r="AW6" s="58">
        <v>320.48</v>
      </c>
      <c r="AX6" s="65">
        <f t="shared" si="19"/>
        <v>30.000000000029559</v>
      </c>
      <c r="AY6" s="58">
        <v>361.76</v>
      </c>
      <c r="AZ6" s="65">
        <f t="shared" si="20"/>
        <v>29.999999999972715</v>
      </c>
      <c r="BA6" s="58">
        <v>381.33</v>
      </c>
      <c r="BB6" s="65">
        <f t="shared" si="21"/>
        <v>9.9999999999909051</v>
      </c>
      <c r="BC6" s="58">
        <v>242</v>
      </c>
      <c r="BD6" s="65">
        <f t="shared" si="22"/>
        <v>20.000000000010232</v>
      </c>
      <c r="BE6" s="59">
        <v>40540</v>
      </c>
      <c r="BF6" s="67">
        <f t="shared" si="39"/>
        <v>26</v>
      </c>
      <c r="BG6" s="60">
        <v>234.39</v>
      </c>
      <c r="BH6" s="65">
        <f t="shared" si="23"/>
        <v>29.999999999972715</v>
      </c>
      <c r="BI6" s="60">
        <v>293.31</v>
      </c>
      <c r="BJ6" s="65">
        <f t="shared" si="40"/>
        <v>19.99999999998181</v>
      </c>
      <c r="BK6" s="60">
        <v>237.11</v>
      </c>
      <c r="BL6" s="65">
        <f t="shared" si="24"/>
        <v>20.000000000010232</v>
      </c>
      <c r="BM6" s="60">
        <v>224.04</v>
      </c>
      <c r="BN6" s="65">
        <f t="shared" si="25"/>
        <v>39.999999999992042</v>
      </c>
      <c r="BO6" s="60">
        <v>287.86</v>
      </c>
      <c r="BP6" s="65">
        <f t="shared" si="26"/>
        <v>40.000000000020464</v>
      </c>
      <c r="BQ6" s="60">
        <v>45416</v>
      </c>
      <c r="BR6" s="65">
        <f t="shared" si="27"/>
        <v>26</v>
      </c>
      <c r="BS6" s="60">
        <v>200.91</v>
      </c>
      <c r="BT6" s="65">
        <f t="shared" ref="BT6:BT35" si="42">IF((BS6-BS5&lt;0), "",(BS6-BS5)*1000)</f>
        <v>20.000000000010232</v>
      </c>
      <c r="BU6" s="60">
        <v>40915</v>
      </c>
      <c r="BV6" s="65">
        <f t="shared" si="29"/>
        <v>39</v>
      </c>
      <c r="BW6" s="60">
        <v>232.07</v>
      </c>
      <c r="BX6" s="65">
        <f t="shared" si="30"/>
        <v>19.99999999998181</v>
      </c>
      <c r="BY6" s="60">
        <v>60589</v>
      </c>
      <c r="BZ6" s="67">
        <f t="shared" si="31"/>
        <v>37</v>
      </c>
      <c r="CA6" s="60">
        <v>32130.2</v>
      </c>
      <c r="CB6" s="67">
        <f t="shared" si="32"/>
        <v>34.5</v>
      </c>
      <c r="CC6" s="60">
        <v>12208.7</v>
      </c>
      <c r="CD6" s="67">
        <f t="shared" si="33"/>
        <v>7.3000000000010914</v>
      </c>
      <c r="CE6" s="60">
        <v>6434.6</v>
      </c>
      <c r="CF6" s="67">
        <f t="shared" si="34"/>
        <v>5.1000000000003638</v>
      </c>
      <c r="CG6" s="60">
        <v>59758.7</v>
      </c>
      <c r="CH6" s="67">
        <f t="shared" si="35"/>
        <v>39.19999999999709</v>
      </c>
      <c r="CI6" s="60">
        <v>950405</v>
      </c>
      <c r="CJ6" s="67">
        <f t="shared" si="36"/>
        <v>298</v>
      </c>
      <c r="CK6" s="60">
        <v>767.82</v>
      </c>
      <c r="CL6" s="64">
        <f t="shared" si="37"/>
        <v>650.00000000009095</v>
      </c>
      <c r="CM6" s="65">
        <f t="shared" si="41"/>
        <v>67.399999999999636</v>
      </c>
      <c r="CN6" s="62">
        <v>8</v>
      </c>
      <c r="CO6" s="62">
        <v>20</v>
      </c>
      <c r="CP6" s="68">
        <v>9875.4</v>
      </c>
      <c r="CQ6" s="67">
        <f t="shared" si="38"/>
        <v>46.399999999999636</v>
      </c>
      <c r="CR6" s="68">
        <v>14302</v>
      </c>
      <c r="CS6" s="67">
        <f t="shared" si="38"/>
        <v>21</v>
      </c>
      <c r="CT6" s="75">
        <v>6522</v>
      </c>
      <c r="CU6" s="67">
        <f t="shared" si="38"/>
        <v>12</v>
      </c>
      <c r="CV6" s="68">
        <v>15474</v>
      </c>
      <c r="CW6" s="67">
        <f t="shared" si="38"/>
        <v>27</v>
      </c>
    </row>
    <row r="7" spans="1:102" ht="25.5" customHeight="1" thickBot="1" x14ac:dyDescent="0.45">
      <c r="A7" s="63">
        <v>44381</v>
      </c>
      <c r="B7" s="44"/>
      <c r="C7" s="58">
        <v>2.3043999999999998</v>
      </c>
      <c r="D7" s="64">
        <f t="shared" si="0"/>
        <v>1799.9999999998017</v>
      </c>
      <c r="E7" s="58">
        <v>3.2808000000000002</v>
      </c>
      <c r="F7" s="64">
        <f t="shared" si="1"/>
        <v>2600.0000000001578</v>
      </c>
      <c r="G7" s="58">
        <v>3.3370000000000002</v>
      </c>
      <c r="H7" s="64">
        <f t="shared" si="2"/>
        <v>2299.9999999999686</v>
      </c>
      <c r="I7" s="58">
        <v>1.6464000000000001</v>
      </c>
      <c r="J7" s="64">
        <f t="shared" si="3"/>
        <v>1300.0000000000789</v>
      </c>
      <c r="K7" s="58">
        <v>2.6589</v>
      </c>
      <c r="L7" s="64">
        <f t="shared" si="4"/>
        <v>1800.0000000002458</v>
      </c>
      <c r="M7" s="58">
        <v>1.4644999999999999</v>
      </c>
      <c r="N7" s="64">
        <f t="shared" si="5"/>
        <v>999.99999999988984</v>
      </c>
      <c r="O7" s="58">
        <v>14433</v>
      </c>
      <c r="P7" s="67">
        <f t="shared" ref="P7:P10" si="43">IF((O7-O6&lt;0), "",O7-O6)</f>
        <v>6</v>
      </c>
      <c r="Q7" s="58">
        <v>1043</v>
      </c>
      <c r="R7" s="67">
        <f t="shared" si="6"/>
        <v>3</v>
      </c>
      <c r="S7" s="58">
        <v>997865</v>
      </c>
      <c r="T7" s="67">
        <f t="shared" si="7"/>
        <v>671.59999999997672</v>
      </c>
      <c r="U7" s="58">
        <v>419408.7</v>
      </c>
      <c r="V7" s="67">
        <f t="shared" si="8"/>
        <v>252.70000000001164</v>
      </c>
      <c r="W7" s="58">
        <v>399.92</v>
      </c>
      <c r="X7" s="65">
        <f t="shared" si="9"/>
        <v>250</v>
      </c>
      <c r="Y7" s="58">
        <v>2.8675000000000002</v>
      </c>
      <c r="Z7" s="65">
        <f t="shared" si="10"/>
        <v>2400.0000000001796</v>
      </c>
      <c r="AA7" s="58">
        <v>398.05</v>
      </c>
      <c r="AB7" s="65">
        <f t="shared" si="11"/>
        <v>360.00000000001364</v>
      </c>
      <c r="AC7" s="58">
        <v>372.16</v>
      </c>
      <c r="AD7" s="65">
        <f t="shared" si="12"/>
        <v>220.00000000002728</v>
      </c>
      <c r="AE7" s="58">
        <v>568.55999999999995</v>
      </c>
      <c r="AF7" s="65">
        <f t="shared" si="13"/>
        <v>309.99999999994543</v>
      </c>
      <c r="AG7" s="58">
        <v>4702</v>
      </c>
      <c r="AH7" s="67">
        <f t="shared" si="14"/>
        <v>33</v>
      </c>
      <c r="AI7" s="58">
        <v>618.54</v>
      </c>
      <c r="AJ7" s="65">
        <f t="shared" si="15"/>
        <v>529.99999999997272</v>
      </c>
      <c r="AK7" s="58">
        <v>205.89</v>
      </c>
      <c r="AL7" s="65">
        <f t="shared" si="15"/>
        <v>189.99999999999773</v>
      </c>
      <c r="AM7" s="58">
        <v>196.07</v>
      </c>
      <c r="AN7" s="65">
        <f t="shared" si="15"/>
        <v>209.99999999997954</v>
      </c>
      <c r="AO7" s="58">
        <v>190.16</v>
      </c>
      <c r="AP7" s="65">
        <f t="shared" si="15"/>
        <v>99.999999999994316</v>
      </c>
      <c r="AQ7" s="58">
        <v>248.09</v>
      </c>
      <c r="AR7" s="65">
        <f t="shared" si="16"/>
        <v>170.00000000001592</v>
      </c>
      <c r="AS7" s="58">
        <v>373.64</v>
      </c>
      <c r="AT7" s="65">
        <f t="shared" si="17"/>
        <v>149.99999999997726</v>
      </c>
      <c r="AU7" s="58">
        <v>285.94</v>
      </c>
      <c r="AV7" s="65">
        <f t="shared" si="18"/>
        <v>100.00000000002274</v>
      </c>
      <c r="AW7" s="58">
        <v>320.52999999999997</v>
      </c>
      <c r="AX7" s="65">
        <f t="shared" si="19"/>
        <v>49.999999999954525</v>
      </c>
      <c r="AY7" s="58">
        <v>361.81</v>
      </c>
      <c r="AZ7" s="65">
        <f t="shared" si="20"/>
        <v>50.000000000011369</v>
      </c>
      <c r="BA7" s="58">
        <v>381.36</v>
      </c>
      <c r="BB7" s="65">
        <f t="shared" si="21"/>
        <v>30.000000000029559</v>
      </c>
      <c r="BC7" s="58">
        <v>242.03</v>
      </c>
      <c r="BD7" s="65">
        <f t="shared" si="22"/>
        <v>30.000000000001137</v>
      </c>
      <c r="BE7" s="59">
        <v>40565</v>
      </c>
      <c r="BF7" s="67">
        <f t="shared" si="39"/>
        <v>25</v>
      </c>
      <c r="BG7" s="60">
        <v>234.43</v>
      </c>
      <c r="BH7" s="65">
        <f t="shared" si="23"/>
        <v>40.000000000020464</v>
      </c>
      <c r="BI7" s="60">
        <v>293.33</v>
      </c>
      <c r="BJ7" s="65">
        <f t="shared" si="40"/>
        <v>19.99999999998181</v>
      </c>
      <c r="BK7" s="60">
        <v>237.14</v>
      </c>
      <c r="BL7" s="65">
        <f t="shared" si="24"/>
        <v>29.999999999972715</v>
      </c>
      <c r="BM7" s="60">
        <v>224.08</v>
      </c>
      <c r="BN7" s="65">
        <f t="shared" si="25"/>
        <v>40.000000000020464</v>
      </c>
      <c r="BO7" s="60">
        <v>287.91000000000003</v>
      </c>
      <c r="BP7" s="65">
        <f t="shared" si="26"/>
        <v>50.000000000011369</v>
      </c>
      <c r="BQ7" s="60">
        <v>45451</v>
      </c>
      <c r="BR7" s="65">
        <f t="shared" si="27"/>
        <v>35</v>
      </c>
      <c r="BS7" s="60">
        <v>200.95</v>
      </c>
      <c r="BT7" s="65">
        <f t="shared" si="42"/>
        <v>39.999999999992042</v>
      </c>
      <c r="BU7" s="60">
        <v>40965</v>
      </c>
      <c r="BV7" s="65">
        <f t="shared" si="29"/>
        <v>50</v>
      </c>
      <c r="BW7" s="60">
        <v>232.09</v>
      </c>
      <c r="BX7" s="65">
        <f t="shared" si="30"/>
        <v>20.000000000010232</v>
      </c>
      <c r="BY7" s="60">
        <v>60634</v>
      </c>
      <c r="BZ7" s="67">
        <f t="shared" si="31"/>
        <v>45</v>
      </c>
      <c r="CA7" s="60">
        <v>32167.9</v>
      </c>
      <c r="CB7" s="67">
        <f t="shared" si="32"/>
        <v>37.700000000000728</v>
      </c>
      <c r="CC7" s="60">
        <v>12217</v>
      </c>
      <c r="CD7" s="67">
        <f t="shared" si="33"/>
        <v>8.2999999999992724</v>
      </c>
      <c r="CE7" s="60">
        <v>6444.9</v>
      </c>
      <c r="CF7" s="67">
        <f t="shared" si="34"/>
        <v>10.299999999999272</v>
      </c>
      <c r="CG7" s="60">
        <v>59794.6</v>
      </c>
      <c r="CH7" s="67">
        <f t="shared" si="35"/>
        <v>35.900000000001455</v>
      </c>
      <c r="CI7" s="60">
        <v>950677</v>
      </c>
      <c r="CJ7" s="67">
        <f t="shared" si="36"/>
        <v>272</v>
      </c>
      <c r="CK7" s="60">
        <v>768.34</v>
      </c>
      <c r="CL7" s="64">
        <f t="shared" si="37"/>
        <v>519.99999999998181</v>
      </c>
      <c r="CM7" s="65">
        <f t="shared" si="41"/>
        <v>60.600000000000364</v>
      </c>
      <c r="CN7" s="62">
        <v>8</v>
      </c>
      <c r="CO7" s="62">
        <v>20</v>
      </c>
      <c r="CP7" s="68">
        <v>9919</v>
      </c>
      <c r="CQ7" s="67">
        <f t="shared" si="38"/>
        <v>43.600000000000364</v>
      </c>
      <c r="CR7" s="68">
        <v>14319</v>
      </c>
      <c r="CS7" s="67">
        <f t="shared" si="38"/>
        <v>17</v>
      </c>
      <c r="CT7" s="75">
        <v>6534</v>
      </c>
      <c r="CU7" s="67">
        <f t="shared" si="38"/>
        <v>12</v>
      </c>
      <c r="CV7" s="68">
        <v>15513</v>
      </c>
      <c r="CW7" s="67">
        <f t="shared" si="38"/>
        <v>39</v>
      </c>
    </row>
    <row r="8" spans="1:102" ht="25.5" customHeight="1" thickBot="1" x14ac:dyDescent="0.45">
      <c r="A8" s="63">
        <v>44382</v>
      </c>
      <c r="B8" s="44"/>
      <c r="C8" s="58">
        <v>2.3062999999999998</v>
      </c>
      <c r="D8" s="64">
        <f t="shared" si="0"/>
        <v>1900.0000000000127</v>
      </c>
      <c r="E8" s="58">
        <v>3.2835000000000001</v>
      </c>
      <c r="F8" s="64">
        <f t="shared" si="1"/>
        <v>2699.9999999999245</v>
      </c>
      <c r="G8" s="58">
        <v>3.3391999999999999</v>
      </c>
      <c r="H8" s="64">
        <f t="shared" si="2"/>
        <v>2199.9999999997576</v>
      </c>
      <c r="I8" s="58">
        <v>1.6476</v>
      </c>
      <c r="J8" s="64">
        <f t="shared" si="3"/>
        <v>1199.9999999998679</v>
      </c>
      <c r="K8" s="58">
        <v>2.6608000000000001</v>
      </c>
      <c r="L8" s="64">
        <f t="shared" si="4"/>
        <v>1900.0000000000127</v>
      </c>
      <c r="M8" s="58">
        <v>1.4656</v>
      </c>
      <c r="N8" s="64">
        <f t="shared" si="5"/>
        <v>1100.000000000101</v>
      </c>
      <c r="O8" s="58">
        <v>14438</v>
      </c>
      <c r="P8" s="67">
        <f t="shared" si="43"/>
        <v>5</v>
      </c>
      <c r="Q8" s="58">
        <v>1045</v>
      </c>
      <c r="R8" s="67">
        <f t="shared" si="6"/>
        <v>2</v>
      </c>
      <c r="S8" s="58">
        <v>998465.8</v>
      </c>
      <c r="T8" s="67">
        <f t="shared" si="7"/>
        <v>600.80000000004657</v>
      </c>
      <c r="U8" s="58">
        <v>419676.5</v>
      </c>
      <c r="V8" s="67">
        <f t="shared" si="8"/>
        <v>267.79999999998836</v>
      </c>
      <c r="W8" s="58">
        <v>400.18</v>
      </c>
      <c r="X8" s="65">
        <f t="shared" si="9"/>
        <v>259.99999999999091</v>
      </c>
      <c r="Y8" s="58">
        <v>2.8698999999999999</v>
      </c>
      <c r="Z8" s="65">
        <f t="shared" si="10"/>
        <v>2399.9999999997358</v>
      </c>
      <c r="AA8" s="58">
        <v>398.37</v>
      </c>
      <c r="AB8" s="65">
        <f t="shared" si="11"/>
        <v>319.99999999999318</v>
      </c>
      <c r="AC8" s="58">
        <v>372.4</v>
      </c>
      <c r="AD8" s="65">
        <f t="shared" si="12"/>
        <v>239.99999999995225</v>
      </c>
      <c r="AE8" s="58">
        <v>568.94000000000005</v>
      </c>
      <c r="AF8" s="65">
        <f t="shared" si="13"/>
        <v>380.00000000010914</v>
      </c>
      <c r="AG8" s="58">
        <v>4739</v>
      </c>
      <c r="AH8" s="67">
        <f t="shared" si="14"/>
        <v>37</v>
      </c>
      <c r="AI8" s="58">
        <v>619.03</v>
      </c>
      <c r="AJ8" s="65">
        <f t="shared" si="15"/>
        <v>490.00000000000909</v>
      </c>
      <c r="AK8" s="58">
        <v>206.09</v>
      </c>
      <c r="AL8" s="65">
        <f t="shared" si="15"/>
        <v>200.00000000001705</v>
      </c>
      <c r="AM8" s="58">
        <v>196.26</v>
      </c>
      <c r="AN8" s="65">
        <f t="shared" si="15"/>
        <v>189.99999999999773</v>
      </c>
      <c r="AO8" s="58">
        <v>190.28</v>
      </c>
      <c r="AP8" s="65">
        <f t="shared" si="15"/>
        <v>120.00000000000455</v>
      </c>
      <c r="AQ8" s="58">
        <v>248.26</v>
      </c>
      <c r="AR8" s="65">
        <f t="shared" si="16"/>
        <v>169.99999999998749</v>
      </c>
      <c r="AS8" s="58">
        <v>373.82</v>
      </c>
      <c r="AT8" s="65">
        <f t="shared" si="17"/>
        <v>180.00000000000682</v>
      </c>
      <c r="AU8" s="58">
        <v>286.05</v>
      </c>
      <c r="AV8" s="65">
        <f t="shared" si="18"/>
        <v>110.00000000001364</v>
      </c>
      <c r="AW8" s="58">
        <v>320.57</v>
      </c>
      <c r="AX8" s="65">
        <f t="shared" si="19"/>
        <v>40.000000000020464</v>
      </c>
      <c r="AY8" s="58">
        <v>361.86</v>
      </c>
      <c r="AZ8" s="65">
        <f t="shared" si="20"/>
        <v>50.000000000011369</v>
      </c>
      <c r="BA8" s="58">
        <v>381.38</v>
      </c>
      <c r="BB8" s="65">
        <f t="shared" si="21"/>
        <v>19.99999999998181</v>
      </c>
      <c r="BC8" s="58">
        <v>242.07</v>
      </c>
      <c r="BD8" s="65">
        <f t="shared" si="22"/>
        <v>39.999999999992042</v>
      </c>
      <c r="BE8" s="59">
        <v>40596</v>
      </c>
      <c r="BF8" s="67">
        <f t="shared" si="39"/>
        <v>31</v>
      </c>
      <c r="BG8" s="60">
        <v>234.47</v>
      </c>
      <c r="BH8" s="65">
        <f t="shared" si="23"/>
        <v>39.999999999992042</v>
      </c>
      <c r="BI8" s="60">
        <v>293.36</v>
      </c>
      <c r="BJ8" s="65">
        <f t="shared" si="40"/>
        <v>30.000000000029559</v>
      </c>
      <c r="BK8" s="60">
        <v>237.17</v>
      </c>
      <c r="BL8" s="65">
        <f t="shared" si="24"/>
        <v>30.000000000001137</v>
      </c>
      <c r="BM8" s="60">
        <v>224.11</v>
      </c>
      <c r="BN8" s="65">
        <f t="shared" si="25"/>
        <v>30.000000000001137</v>
      </c>
      <c r="BO8" s="60">
        <v>287.95</v>
      </c>
      <c r="BP8" s="65">
        <f t="shared" si="26"/>
        <v>39.99999999996362</v>
      </c>
      <c r="BQ8" s="60">
        <v>45481</v>
      </c>
      <c r="BR8" s="65">
        <f t="shared" si="27"/>
        <v>30</v>
      </c>
      <c r="BS8" s="60">
        <v>200.97</v>
      </c>
      <c r="BT8" s="65">
        <f t="shared" si="42"/>
        <v>20.000000000010232</v>
      </c>
      <c r="BU8" s="60">
        <v>41004</v>
      </c>
      <c r="BV8" s="65">
        <f t="shared" si="29"/>
        <v>39</v>
      </c>
      <c r="BW8" s="60">
        <v>232.12</v>
      </c>
      <c r="BX8" s="65">
        <f t="shared" si="30"/>
        <v>30.000000000001137</v>
      </c>
      <c r="BY8" s="60">
        <v>60678</v>
      </c>
      <c r="BZ8" s="67">
        <f t="shared" si="31"/>
        <v>44</v>
      </c>
      <c r="CA8" s="60">
        <v>32209</v>
      </c>
      <c r="CB8" s="67">
        <f t="shared" si="32"/>
        <v>41.099999999998545</v>
      </c>
      <c r="CC8" s="60">
        <v>12235.3</v>
      </c>
      <c r="CD8" s="67">
        <f t="shared" si="33"/>
        <v>18.299999999999272</v>
      </c>
      <c r="CE8" s="60">
        <v>6445</v>
      </c>
      <c r="CF8" s="67">
        <f t="shared" si="34"/>
        <v>0.1000000000003638</v>
      </c>
      <c r="CG8" s="60">
        <v>59816.5</v>
      </c>
      <c r="CH8" s="67">
        <f t="shared" si="35"/>
        <v>21.900000000001455</v>
      </c>
      <c r="CI8" s="60">
        <v>950936</v>
      </c>
      <c r="CJ8" s="67">
        <f t="shared" si="36"/>
        <v>259</v>
      </c>
      <c r="CK8" s="60">
        <v>768.91</v>
      </c>
      <c r="CL8" s="64">
        <f t="shared" si="37"/>
        <v>569.99999999993634</v>
      </c>
      <c r="CM8" s="65">
        <f t="shared" si="41"/>
        <v>64.700000000000728</v>
      </c>
      <c r="CN8" s="62">
        <v>0</v>
      </c>
      <c r="CO8" s="62">
        <v>0</v>
      </c>
      <c r="CP8" s="68">
        <v>9957.7000000000007</v>
      </c>
      <c r="CQ8" s="67">
        <f t="shared" si="38"/>
        <v>38.700000000000728</v>
      </c>
      <c r="CR8" s="68">
        <v>14345</v>
      </c>
      <c r="CS8" s="67">
        <f t="shared" si="38"/>
        <v>26</v>
      </c>
      <c r="CT8" s="75">
        <v>6547</v>
      </c>
      <c r="CU8" s="67">
        <f t="shared" si="38"/>
        <v>13</v>
      </c>
      <c r="CV8" s="68">
        <v>15535</v>
      </c>
      <c r="CW8" s="67">
        <f t="shared" si="38"/>
        <v>22</v>
      </c>
    </row>
    <row r="9" spans="1:102" ht="25.5" customHeight="1" thickBot="1" x14ac:dyDescent="0.45">
      <c r="A9" s="63">
        <v>44383</v>
      </c>
      <c r="B9" s="44"/>
      <c r="C9" s="58">
        <v>2.3081</v>
      </c>
      <c r="D9" s="64">
        <f t="shared" si="0"/>
        <v>1800.0000000002458</v>
      </c>
      <c r="E9" s="58">
        <v>3.2858999999999998</v>
      </c>
      <c r="F9" s="64">
        <f t="shared" si="1"/>
        <v>2399.9999999997358</v>
      </c>
      <c r="G9" s="58">
        <v>3.3414999999999999</v>
      </c>
      <c r="H9" s="64">
        <f t="shared" si="2"/>
        <v>2299.9999999999686</v>
      </c>
      <c r="I9" s="58">
        <v>1.6489</v>
      </c>
      <c r="J9" s="64">
        <f t="shared" si="3"/>
        <v>1300.0000000000789</v>
      </c>
      <c r="K9" s="58">
        <v>2.6627000000000001</v>
      </c>
      <c r="L9" s="64">
        <f t="shared" si="4"/>
        <v>1900.0000000000127</v>
      </c>
      <c r="M9" s="58">
        <v>1.4663999999999999</v>
      </c>
      <c r="N9" s="64">
        <f t="shared" si="5"/>
        <v>799.99999999991189</v>
      </c>
      <c r="O9" s="58">
        <v>14443</v>
      </c>
      <c r="P9" s="67">
        <f t="shared" si="43"/>
        <v>5</v>
      </c>
      <c r="Q9" s="58">
        <v>1047</v>
      </c>
      <c r="R9" s="67">
        <f t="shared" si="6"/>
        <v>2</v>
      </c>
      <c r="S9" s="58">
        <v>999207.8</v>
      </c>
      <c r="T9" s="67">
        <f t="shared" si="7"/>
        <v>742</v>
      </c>
      <c r="U9" s="58">
        <v>420025.9</v>
      </c>
      <c r="V9" s="67">
        <f t="shared" si="8"/>
        <v>349.40000000002328</v>
      </c>
      <c r="W9" s="58">
        <v>400.43</v>
      </c>
      <c r="X9" s="65">
        <f t="shared" si="9"/>
        <v>250</v>
      </c>
      <c r="Y9" s="58">
        <v>2.8719999999999999</v>
      </c>
      <c r="Z9" s="65">
        <f t="shared" si="10"/>
        <v>2099.9999999999909</v>
      </c>
      <c r="AA9" s="58">
        <v>398.56</v>
      </c>
      <c r="AB9" s="65">
        <f t="shared" si="11"/>
        <v>189.99999999999773</v>
      </c>
      <c r="AC9" s="58">
        <v>372.61</v>
      </c>
      <c r="AD9" s="65">
        <f t="shared" si="12"/>
        <v>210.00000000003638</v>
      </c>
      <c r="AE9" s="58">
        <v>569.23</v>
      </c>
      <c r="AF9" s="65">
        <f t="shared" si="13"/>
        <v>289.99999999996362</v>
      </c>
      <c r="AG9" s="58">
        <v>4771</v>
      </c>
      <c r="AH9" s="67">
        <f t="shared" si="14"/>
        <v>32</v>
      </c>
      <c r="AI9" s="58">
        <v>619.54999999999995</v>
      </c>
      <c r="AJ9" s="65">
        <f t="shared" si="15"/>
        <v>519.99999999998181</v>
      </c>
      <c r="AK9" s="58">
        <v>206.28</v>
      </c>
      <c r="AL9" s="65">
        <f t="shared" si="15"/>
        <v>189.99999999999773</v>
      </c>
      <c r="AM9" s="58">
        <v>196.43</v>
      </c>
      <c r="AN9" s="65">
        <f t="shared" si="15"/>
        <v>170.00000000001592</v>
      </c>
      <c r="AO9" s="58">
        <v>190.4</v>
      </c>
      <c r="AP9" s="65">
        <f t="shared" si="15"/>
        <v>120.00000000000455</v>
      </c>
      <c r="AQ9" s="58">
        <v>248.42</v>
      </c>
      <c r="AR9" s="65">
        <f t="shared" si="16"/>
        <v>159.99999999999659</v>
      </c>
      <c r="AS9" s="58">
        <v>374.05</v>
      </c>
      <c r="AT9" s="65">
        <f t="shared" si="17"/>
        <v>230.00000000001819</v>
      </c>
      <c r="AU9" s="58">
        <v>286.14</v>
      </c>
      <c r="AV9" s="65">
        <f t="shared" si="18"/>
        <v>89.999999999974989</v>
      </c>
      <c r="AW9" s="58">
        <v>320.62</v>
      </c>
      <c r="AX9" s="65">
        <f t="shared" si="19"/>
        <v>50.000000000011369</v>
      </c>
      <c r="AY9" s="58">
        <v>361.92</v>
      </c>
      <c r="AZ9" s="65">
        <f t="shared" si="20"/>
        <v>60.000000000002274</v>
      </c>
      <c r="BA9" s="58">
        <v>381.41</v>
      </c>
      <c r="BB9" s="65">
        <f t="shared" si="21"/>
        <v>30.000000000029559</v>
      </c>
      <c r="BC9" s="58">
        <v>242.1</v>
      </c>
      <c r="BD9" s="65">
        <f t="shared" si="22"/>
        <v>30.000000000001137</v>
      </c>
      <c r="BE9" s="59">
        <v>40627</v>
      </c>
      <c r="BF9" s="67">
        <f t="shared" si="39"/>
        <v>31</v>
      </c>
      <c r="BG9" s="60">
        <v>234.51</v>
      </c>
      <c r="BH9" s="65">
        <f t="shared" si="23"/>
        <v>39.999999999992042</v>
      </c>
      <c r="BI9" s="60">
        <v>293.39</v>
      </c>
      <c r="BJ9" s="65">
        <f t="shared" si="40"/>
        <v>29.999999999972715</v>
      </c>
      <c r="BK9" s="60">
        <v>237.2</v>
      </c>
      <c r="BL9" s="65">
        <f t="shared" si="24"/>
        <v>30.000000000001137</v>
      </c>
      <c r="BM9" s="60">
        <v>224.15</v>
      </c>
      <c r="BN9" s="65">
        <f t="shared" si="25"/>
        <v>39.999999999992042</v>
      </c>
      <c r="BO9" s="60">
        <v>288</v>
      </c>
      <c r="BP9" s="65">
        <f t="shared" si="26"/>
        <v>50.000000000011369</v>
      </c>
      <c r="BQ9" s="60">
        <v>45514</v>
      </c>
      <c r="BR9" s="65">
        <f t="shared" si="27"/>
        <v>33</v>
      </c>
      <c r="BS9" s="60">
        <v>201.01</v>
      </c>
      <c r="BT9" s="65">
        <f t="shared" si="42"/>
        <v>39.999999999992042</v>
      </c>
      <c r="BU9" s="60">
        <v>41045</v>
      </c>
      <c r="BV9" s="65">
        <f t="shared" si="29"/>
        <v>41</v>
      </c>
      <c r="BW9" s="60">
        <v>232.14</v>
      </c>
      <c r="BX9" s="65">
        <f t="shared" si="30"/>
        <v>19.99999999998181</v>
      </c>
      <c r="BY9" s="60">
        <v>60736</v>
      </c>
      <c r="BZ9" s="67">
        <f t="shared" si="31"/>
        <v>58</v>
      </c>
      <c r="CA9" s="60">
        <v>32240.5</v>
      </c>
      <c r="CB9" s="67">
        <f t="shared" si="32"/>
        <v>31.5</v>
      </c>
      <c r="CC9" s="60">
        <v>12244.6</v>
      </c>
      <c r="CD9" s="67">
        <f t="shared" si="33"/>
        <v>9.3000000000010914</v>
      </c>
      <c r="CE9" s="60">
        <v>6463</v>
      </c>
      <c r="CF9" s="67">
        <f t="shared" si="34"/>
        <v>18</v>
      </c>
      <c r="CG9" s="60">
        <v>59845.7</v>
      </c>
      <c r="CH9" s="67">
        <f t="shared" si="35"/>
        <v>29.19999999999709</v>
      </c>
      <c r="CI9" s="60">
        <v>951201</v>
      </c>
      <c r="CJ9" s="67">
        <f t="shared" si="36"/>
        <v>265</v>
      </c>
      <c r="CK9" s="60">
        <v>769.47</v>
      </c>
      <c r="CL9" s="64">
        <f t="shared" si="37"/>
        <v>560.00000000005912</v>
      </c>
      <c r="CM9" s="65">
        <f t="shared" si="41"/>
        <v>66.099999999998545</v>
      </c>
      <c r="CN9" s="62">
        <v>11</v>
      </c>
      <c r="CO9" s="62">
        <v>27</v>
      </c>
      <c r="CP9" s="68">
        <v>10000.799999999999</v>
      </c>
      <c r="CQ9" s="67">
        <f t="shared" si="38"/>
        <v>43.099999999998545</v>
      </c>
      <c r="CR9" s="68">
        <v>14368</v>
      </c>
      <c r="CS9" s="67">
        <f t="shared" si="38"/>
        <v>23</v>
      </c>
      <c r="CT9" s="75">
        <v>6558</v>
      </c>
      <c r="CU9" s="67">
        <f t="shared" si="38"/>
        <v>11</v>
      </c>
      <c r="CV9" s="68">
        <v>15553</v>
      </c>
      <c r="CW9" s="67">
        <f t="shared" si="38"/>
        <v>18</v>
      </c>
    </row>
    <row r="10" spans="1:102" ht="25.5" customHeight="1" thickBot="1" x14ac:dyDescent="0.45">
      <c r="A10" s="63">
        <v>44384</v>
      </c>
      <c r="B10" s="44"/>
      <c r="C10" s="58">
        <v>2.31</v>
      </c>
      <c r="D10" s="64">
        <f t="shared" si="0"/>
        <v>1900.0000000000127</v>
      </c>
      <c r="E10" s="58">
        <v>3.2885</v>
      </c>
      <c r="F10" s="64">
        <f t="shared" si="1"/>
        <v>2600.0000000001578</v>
      </c>
      <c r="G10" s="58">
        <v>3.3439000000000001</v>
      </c>
      <c r="H10" s="64">
        <f t="shared" si="2"/>
        <v>2400.0000000001796</v>
      </c>
      <c r="I10" s="58">
        <v>1.6500999999999999</v>
      </c>
      <c r="J10" s="64">
        <f t="shared" si="3"/>
        <v>1199.9999999998679</v>
      </c>
      <c r="K10" s="58">
        <v>2.6646000000000001</v>
      </c>
      <c r="L10" s="64">
        <f t="shared" si="4"/>
        <v>1900.0000000000127</v>
      </c>
      <c r="M10" s="58">
        <v>1.4673</v>
      </c>
      <c r="N10" s="64">
        <f t="shared" si="5"/>
        <v>900.0000000001229</v>
      </c>
      <c r="O10" s="58">
        <v>14447</v>
      </c>
      <c r="P10" s="67">
        <f t="shared" si="43"/>
        <v>4</v>
      </c>
      <c r="Q10" s="58">
        <v>1049</v>
      </c>
      <c r="R10" s="67">
        <f t="shared" si="6"/>
        <v>2</v>
      </c>
      <c r="S10" s="58">
        <v>999946.6</v>
      </c>
      <c r="T10" s="67">
        <f t="shared" si="7"/>
        <v>738.79999999993015</v>
      </c>
      <c r="U10" s="58">
        <v>420301.7</v>
      </c>
      <c r="V10" s="67">
        <f t="shared" si="8"/>
        <v>275.79999999998836</v>
      </c>
      <c r="W10" s="58">
        <v>400.69</v>
      </c>
      <c r="X10" s="65">
        <f t="shared" si="9"/>
        <v>259.99999999999091</v>
      </c>
      <c r="Y10" s="58">
        <v>2.8744000000000001</v>
      </c>
      <c r="Z10" s="65">
        <f t="shared" si="10"/>
        <v>2400.0000000001796</v>
      </c>
      <c r="AA10" s="58">
        <v>398.87</v>
      </c>
      <c r="AB10" s="65">
        <f t="shared" si="11"/>
        <v>310.00000000000227</v>
      </c>
      <c r="AC10" s="58">
        <v>372.83</v>
      </c>
      <c r="AD10" s="65">
        <f t="shared" si="12"/>
        <v>219.99999999997044</v>
      </c>
      <c r="AE10" s="58">
        <v>569.49</v>
      </c>
      <c r="AF10" s="65">
        <f t="shared" si="13"/>
        <v>259.99999999999091</v>
      </c>
      <c r="AG10" s="58">
        <v>4801</v>
      </c>
      <c r="AH10" s="67">
        <f t="shared" si="14"/>
        <v>30</v>
      </c>
      <c r="AI10" s="58">
        <v>620.13</v>
      </c>
      <c r="AJ10" s="65">
        <f t="shared" si="15"/>
        <v>580.00000000004093</v>
      </c>
      <c r="AK10" s="58">
        <v>206.45</v>
      </c>
      <c r="AL10" s="65">
        <f t="shared" si="15"/>
        <v>169.99999999998749</v>
      </c>
      <c r="AM10" s="58">
        <v>196.6</v>
      </c>
      <c r="AN10" s="65">
        <f t="shared" si="15"/>
        <v>169.99999999998749</v>
      </c>
      <c r="AO10" s="58">
        <v>190.49</v>
      </c>
      <c r="AP10" s="65">
        <f t="shared" si="15"/>
        <v>90.000000000003411</v>
      </c>
      <c r="AQ10" s="58">
        <v>248.59</v>
      </c>
      <c r="AR10" s="65">
        <f t="shared" si="16"/>
        <v>170.00000000001592</v>
      </c>
      <c r="AS10" s="58">
        <v>374.28</v>
      </c>
      <c r="AT10" s="65">
        <f t="shared" si="17"/>
        <v>229.99999999996135</v>
      </c>
      <c r="AU10" s="58">
        <v>286.29000000000002</v>
      </c>
      <c r="AV10" s="65">
        <f t="shared" si="18"/>
        <v>150.00000000003411</v>
      </c>
      <c r="AW10" s="58">
        <v>320.66000000000003</v>
      </c>
      <c r="AX10" s="65">
        <f t="shared" si="19"/>
        <v>40.000000000020464</v>
      </c>
      <c r="AY10" s="58">
        <v>361.97</v>
      </c>
      <c r="AZ10" s="65">
        <f t="shared" si="20"/>
        <v>50.000000000011369</v>
      </c>
      <c r="BA10" s="58">
        <v>381.44</v>
      </c>
      <c r="BB10" s="65">
        <f t="shared" si="21"/>
        <v>29.999999999972715</v>
      </c>
      <c r="BC10" s="58">
        <v>242.19</v>
      </c>
      <c r="BD10" s="65">
        <f t="shared" si="22"/>
        <v>90.000000000003411</v>
      </c>
      <c r="BE10" s="59">
        <v>40655</v>
      </c>
      <c r="BF10" s="67">
        <f t="shared" si="39"/>
        <v>28</v>
      </c>
      <c r="BG10" s="60">
        <v>234.54</v>
      </c>
      <c r="BH10" s="65">
        <f t="shared" si="23"/>
        <v>30.000000000001137</v>
      </c>
      <c r="BI10" s="60">
        <v>293.42</v>
      </c>
      <c r="BJ10" s="65">
        <f t="shared" si="40"/>
        <v>30.000000000029559</v>
      </c>
      <c r="BK10" s="60">
        <v>237.23</v>
      </c>
      <c r="BL10" s="65">
        <f t="shared" si="24"/>
        <v>30.000000000001137</v>
      </c>
      <c r="BM10" s="60">
        <v>224.19</v>
      </c>
      <c r="BN10" s="65">
        <f t="shared" si="25"/>
        <v>39.999999999992042</v>
      </c>
      <c r="BO10" s="60">
        <v>288.02999999999997</v>
      </c>
      <c r="BP10" s="65">
        <f t="shared" si="26"/>
        <v>29.999999999972715</v>
      </c>
      <c r="BQ10" s="60">
        <v>45538</v>
      </c>
      <c r="BR10" s="65">
        <f t="shared" si="27"/>
        <v>24</v>
      </c>
      <c r="BS10" s="60">
        <v>201.04</v>
      </c>
      <c r="BT10" s="65">
        <f t="shared" si="42"/>
        <v>30.000000000001137</v>
      </c>
      <c r="BU10" s="60">
        <v>41084</v>
      </c>
      <c r="BV10" s="65">
        <f t="shared" si="29"/>
        <v>39</v>
      </c>
      <c r="BW10" s="60">
        <v>232.17</v>
      </c>
      <c r="BX10" s="65">
        <f t="shared" si="30"/>
        <v>30.000000000001137</v>
      </c>
      <c r="BY10" s="60">
        <v>60788</v>
      </c>
      <c r="BZ10" s="67">
        <f t="shared" si="31"/>
        <v>52</v>
      </c>
      <c r="CA10" s="60">
        <v>32277.8</v>
      </c>
      <c r="CB10" s="67">
        <f t="shared" si="32"/>
        <v>37.299999999999272</v>
      </c>
      <c r="CC10" s="60">
        <v>12250.9</v>
      </c>
      <c r="CD10" s="67">
        <f t="shared" si="33"/>
        <v>6.2999999999992724</v>
      </c>
      <c r="CE10" s="60">
        <v>6468</v>
      </c>
      <c r="CF10" s="67">
        <f t="shared" si="34"/>
        <v>5</v>
      </c>
      <c r="CG10" s="60">
        <v>59876.5</v>
      </c>
      <c r="CH10" s="67">
        <f t="shared" si="35"/>
        <v>30.80000000000291</v>
      </c>
      <c r="CI10" s="60">
        <v>951401</v>
      </c>
      <c r="CJ10" s="67">
        <f t="shared" si="36"/>
        <v>200</v>
      </c>
      <c r="CK10" s="60">
        <v>770.08</v>
      </c>
      <c r="CL10" s="64">
        <f t="shared" si="37"/>
        <v>610.00000000001364</v>
      </c>
      <c r="CM10" s="65">
        <f t="shared" si="41"/>
        <v>58.200000000000728</v>
      </c>
      <c r="CN10" s="62">
        <v>14</v>
      </c>
      <c r="CO10" s="62">
        <v>31</v>
      </c>
      <c r="CP10" s="68">
        <v>10041</v>
      </c>
      <c r="CQ10" s="67">
        <f>IF((CP10-CP9&lt;0), "",CP10-CP9)</f>
        <v>40.200000000000728</v>
      </c>
      <c r="CR10" s="68">
        <v>14386</v>
      </c>
      <c r="CS10" s="67">
        <f t="shared" si="38"/>
        <v>18</v>
      </c>
      <c r="CT10" s="75">
        <v>6570</v>
      </c>
      <c r="CU10" s="67">
        <f t="shared" si="38"/>
        <v>12</v>
      </c>
      <c r="CV10" s="68">
        <v>15575</v>
      </c>
      <c r="CW10" s="67">
        <f t="shared" si="38"/>
        <v>22</v>
      </c>
    </row>
    <row r="11" spans="1:102" ht="25.5" customHeight="1" thickBot="1" x14ac:dyDescent="0.45">
      <c r="A11" s="63">
        <v>44385</v>
      </c>
      <c r="B11" s="44"/>
      <c r="C11" s="58">
        <v>2.3117999999999999</v>
      </c>
      <c r="D11" s="64">
        <f t="shared" si="0"/>
        <v>1799.9999999998017</v>
      </c>
      <c r="E11" s="58">
        <v>3.2911000000000001</v>
      </c>
      <c r="F11" s="64">
        <f t="shared" si="1"/>
        <v>2600.0000000001578</v>
      </c>
      <c r="G11" s="58">
        <v>3.3462999999999998</v>
      </c>
      <c r="H11" s="64">
        <f t="shared" si="2"/>
        <v>2399.9999999997358</v>
      </c>
      <c r="I11" s="58">
        <v>1.6513</v>
      </c>
      <c r="J11" s="64">
        <f t="shared" si="3"/>
        <v>1200.0000000000898</v>
      </c>
      <c r="K11" s="58">
        <v>2.6663999999999999</v>
      </c>
      <c r="L11" s="64">
        <f t="shared" si="4"/>
        <v>1799.9999999998017</v>
      </c>
      <c r="M11" s="58">
        <v>1.4681999999999999</v>
      </c>
      <c r="N11" s="64">
        <f t="shared" si="5"/>
        <v>899.99999999990087</v>
      </c>
      <c r="O11" s="58">
        <v>14451</v>
      </c>
      <c r="P11" s="67">
        <f t="shared" ref="P11:P34" si="44">IF((O11-O10&lt;0), "",O11-O10)</f>
        <v>4</v>
      </c>
      <c r="Q11" s="58">
        <v>1051</v>
      </c>
      <c r="R11" s="67">
        <f t="shared" si="6"/>
        <v>2</v>
      </c>
      <c r="S11" s="58">
        <v>1000000.7</v>
      </c>
      <c r="T11" s="67">
        <f t="shared" si="7"/>
        <v>54.099999999976717</v>
      </c>
      <c r="U11" s="58">
        <v>420589.5</v>
      </c>
      <c r="V11" s="67">
        <f t="shared" si="8"/>
        <v>287.79999999998836</v>
      </c>
      <c r="W11" s="58">
        <v>400.96</v>
      </c>
      <c r="X11" s="65">
        <f t="shared" si="9"/>
        <v>269.99999999998181</v>
      </c>
      <c r="Y11" s="58">
        <v>2.8767</v>
      </c>
      <c r="Z11" s="65">
        <f t="shared" si="10"/>
        <v>2299.9999999999686</v>
      </c>
      <c r="AA11" s="58">
        <v>399.05</v>
      </c>
      <c r="AB11" s="65">
        <f t="shared" si="11"/>
        <v>180.00000000000682</v>
      </c>
      <c r="AC11" s="58">
        <v>373.12</v>
      </c>
      <c r="AD11" s="65">
        <f t="shared" si="12"/>
        <v>290.00000000002046</v>
      </c>
      <c r="AE11" s="58">
        <v>569.83000000000004</v>
      </c>
      <c r="AF11" s="65">
        <f t="shared" si="13"/>
        <v>340.00000000003183</v>
      </c>
      <c r="AG11" s="58">
        <v>4828</v>
      </c>
      <c r="AH11" s="67">
        <f t="shared" si="14"/>
        <v>27</v>
      </c>
      <c r="AI11" s="58">
        <v>620.66</v>
      </c>
      <c r="AJ11" s="65">
        <f t="shared" si="15"/>
        <v>529.99999999997272</v>
      </c>
      <c r="AK11" s="58">
        <v>206.6</v>
      </c>
      <c r="AL11" s="65">
        <f t="shared" si="15"/>
        <v>150.00000000000568</v>
      </c>
      <c r="AM11" s="58">
        <v>196.75</v>
      </c>
      <c r="AN11" s="65">
        <f t="shared" si="15"/>
        <v>150.00000000000568</v>
      </c>
      <c r="AO11" s="58">
        <v>190.6</v>
      </c>
      <c r="AP11" s="65">
        <f t="shared" si="15"/>
        <v>109.99999999998522</v>
      </c>
      <c r="AQ11" s="58">
        <v>248.74</v>
      </c>
      <c r="AR11" s="65">
        <f t="shared" si="16"/>
        <v>150.00000000000568</v>
      </c>
      <c r="AS11" s="58">
        <v>374.49</v>
      </c>
      <c r="AT11" s="65">
        <f t="shared" si="17"/>
        <v>210.00000000003638</v>
      </c>
      <c r="AU11" s="58">
        <v>286.33999999999997</v>
      </c>
      <c r="AV11" s="65">
        <f t="shared" si="18"/>
        <v>49.999999999954525</v>
      </c>
      <c r="AW11" s="58">
        <v>320.70999999999998</v>
      </c>
      <c r="AX11" s="65">
        <f t="shared" si="19"/>
        <v>49.999999999954525</v>
      </c>
      <c r="AY11" s="58">
        <v>362.02</v>
      </c>
      <c r="AZ11" s="65">
        <f t="shared" si="20"/>
        <v>49.999999999954525</v>
      </c>
      <c r="BA11" s="58">
        <v>381.46</v>
      </c>
      <c r="BB11" s="65">
        <f t="shared" si="21"/>
        <v>19.99999999998181</v>
      </c>
      <c r="BC11" s="58">
        <v>242.26</v>
      </c>
      <c r="BD11" s="65">
        <f>IF((BC11-BC10&lt;0), "",(BC11-BC10)*1000)</f>
        <v>69.999999999993179</v>
      </c>
      <c r="BE11" s="59">
        <v>40698</v>
      </c>
      <c r="BF11" s="67">
        <f t="shared" si="39"/>
        <v>43</v>
      </c>
      <c r="BG11" s="60">
        <v>234.57</v>
      </c>
      <c r="BH11" s="65">
        <f t="shared" si="23"/>
        <v>30.000000000001137</v>
      </c>
      <c r="BI11" s="60">
        <v>293.44</v>
      </c>
      <c r="BJ11" s="65">
        <f t="shared" si="40"/>
        <v>19.99999999998181</v>
      </c>
      <c r="BK11" s="60">
        <v>237.27</v>
      </c>
      <c r="BL11" s="65">
        <f t="shared" si="24"/>
        <v>40.000000000020464</v>
      </c>
      <c r="BM11" s="60">
        <v>224.23</v>
      </c>
      <c r="BN11" s="65">
        <f t="shared" si="25"/>
        <v>39.999999999992042</v>
      </c>
      <c r="BO11" s="60">
        <v>288.06</v>
      </c>
      <c r="BP11" s="65">
        <f t="shared" si="26"/>
        <v>30.000000000029559</v>
      </c>
      <c r="BQ11" s="60">
        <v>45561</v>
      </c>
      <c r="BR11" s="65">
        <f t="shared" si="27"/>
        <v>23</v>
      </c>
      <c r="BS11" s="60">
        <v>201.07</v>
      </c>
      <c r="BT11" s="65">
        <f t="shared" si="42"/>
        <v>30.000000000001137</v>
      </c>
      <c r="BU11" s="60">
        <v>41123</v>
      </c>
      <c r="BV11" s="65">
        <f t="shared" si="29"/>
        <v>39</v>
      </c>
      <c r="BW11" s="60">
        <v>232.19</v>
      </c>
      <c r="BX11" s="65">
        <f t="shared" si="30"/>
        <v>20.000000000010232</v>
      </c>
      <c r="BY11" s="60">
        <v>60828</v>
      </c>
      <c r="BZ11" s="67">
        <f t="shared" si="31"/>
        <v>40</v>
      </c>
      <c r="CA11" s="60">
        <v>32320.400000000001</v>
      </c>
      <c r="CB11" s="67">
        <f t="shared" si="32"/>
        <v>42.600000000002183</v>
      </c>
      <c r="CC11" s="60">
        <v>12266</v>
      </c>
      <c r="CD11" s="67">
        <f t="shared" si="33"/>
        <v>15.100000000000364</v>
      </c>
      <c r="CE11" s="60">
        <v>6468</v>
      </c>
      <c r="CF11" s="67">
        <f t="shared" si="34"/>
        <v>0</v>
      </c>
      <c r="CG11" s="60">
        <v>59913.9</v>
      </c>
      <c r="CH11" s="67">
        <f t="shared" si="35"/>
        <v>37.400000000001455</v>
      </c>
      <c r="CI11" s="60">
        <v>951727</v>
      </c>
      <c r="CJ11" s="67">
        <f t="shared" si="36"/>
        <v>326</v>
      </c>
      <c r="CK11" s="60">
        <v>770.68</v>
      </c>
      <c r="CL11" s="64">
        <f t="shared" si="37"/>
        <v>599.99999999990905</v>
      </c>
      <c r="CM11" s="65">
        <f t="shared" si="41"/>
        <v>76.299999999999272</v>
      </c>
      <c r="CN11" s="62">
        <v>12</v>
      </c>
      <c r="CO11" s="62">
        <v>29</v>
      </c>
      <c r="CP11" s="68">
        <v>10089.299999999999</v>
      </c>
      <c r="CQ11" s="67">
        <f>IF((CP11-CP10&lt;0), "",CP11-CP10)</f>
        <v>48.299999999999272</v>
      </c>
      <c r="CR11" s="68">
        <v>14414</v>
      </c>
      <c r="CS11" s="67">
        <f t="shared" si="38"/>
        <v>28</v>
      </c>
      <c r="CT11" s="75">
        <v>6583</v>
      </c>
      <c r="CU11" s="67">
        <f t="shared" si="38"/>
        <v>13</v>
      </c>
      <c r="CV11" s="68">
        <v>15591</v>
      </c>
      <c r="CW11" s="67">
        <f t="shared" si="38"/>
        <v>16</v>
      </c>
    </row>
    <row r="12" spans="1:102" ht="25.5" customHeight="1" thickBot="1" x14ac:dyDescent="0.45">
      <c r="A12" s="63">
        <v>44386</v>
      </c>
      <c r="B12" s="44"/>
      <c r="C12" s="58">
        <v>2.3138000000000001</v>
      </c>
      <c r="D12" s="64">
        <f t="shared" si="0"/>
        <v>2000.0000000002237</v>
      </c>
      <c r="E12" s="58">
        <v>3.2938000000000001</v>
      </c>
      <c r="F12" s="64">
        <f t="shared" si="1"/>
        <v>2699.9999999999245</v>
      </c>
      <c r="G12" s="58">
        <v>3.3487</v>
      </c>
      <c r="H12" s="64">
        <f t="shared" si="2"/>
        <v>2400.0000000001796</v>
      </c>
      <c r="I12" s="58">
        <v>1.6525000000000001</v>
      </c>
      <c r="J12" s="64">
        <f t="shared" si="3"/>
        <v>1200.0000000000898</v>
      </c>
      <c r="K12" s="58">
        <v>2.6682999999999999</v>
      </c>
      <c r="L12" s="64">
        <f t="shared" si="4"/>
        <v>1900.0000000000127</v>
      </c>
      <c r="M12" s="58">
        <v>1.4693000000000001</v>
      </c>
      <c r="N12" s="64">
        <f t="shared" si="5"/>
        <v>1100.000000000101</v>
      </c>
      <c r="O12" s="58">
        <v>14452</v>
      </c>
      <c r="P12" s="67">
        <f t="shared" si="44"/>
        <v>1</v>
      </c>
      <c r="Q12" s="58">
        <v>1053</v>
      </c>
      <c r="R12" s="67">
        <f t="shared" si="6"/>
        <v>2</v>
      </c>
      <c r="S12" s="58">
        <v>1001000.4</v>
      </c>
      <c r="T12" s="67">
        <f t="shared" si="7"/>
        <v>999.70000000006985</v>
      </c>
      <c r="U12" s="58">
        <v>420885.4</v>
      </c>
      <c r="V12" s="67">
        <f t="shared" si="8"/>
        <v>295.90000000002328</v>
      </c>
      <c r="W12" s="58">
        <v>401.21</v>
      </c>
      <c r="X12" s="65">
        <f t="shared" si="9"/>
        <v>250</v>
      </c>
      <c r="Y12" s="58">
        <v>2.8791000000000002</v>
      </c>
      <c r="Z12" s="65">
        <f t="shared" si="10"/>
        <v>2400.0000000001796</v>
      </c>
      <c r="AA12" s="58">
        <v>399.33</v>
      </c>
      <c r="AB12" s="65">
        <f t="shared" si="11"/>
        <v>279.99999999997272</v>
      </c>
      <c r="AC12" s="58">
        <v>373.46</v>
      </c>
      <c r="AD12" s="65">
        <f t="shared" si="12"/>
        <v>339.99999999997499</v>
      </c>
      <c r="AE12" s="58">
        <v>570.22</v>
      </c>
      <c r="AF12" s="65">
        <f t="shared" si="13"/>
        <v>389.99999999998636</v>
      </c>
      <c r="AG12" s="58">
        <v>4863</v>
      </c>
      <c r="AH12" s="67">
        <f t="shared" si="14"/>
        <v>35</v>
      </c>
      <c r="AI12" s="58">
        <v>621.33000000000004</v>
      </c>
      <c r="AJ12" s="65">
        <f t="shared" si="15"/>
        <v>670.00000000007276</v>
      </c>
      <c r="AK12" s="58">
        <v>206.8</v>
      </c>
      <c r="AL12" s="65">
        <f t="shared" si="15"/>
        <v>200.00000000001705</v>
      </c>
      <c r="AM12" s="58">
        <v>196.85</v>
      </c>
      <c r="AN12" s="65">
        <f t="shared" si="15"/>
        <v>99.999999999994316</v>
      </c>
      <c r="AO12" s="58">
        <v>190.71</v>
      </c>
      <c r="AP12" s="65">
        <f t="shared" si="15"/>
        <v>110.00000000001364</v>
      </c>
      <c r="AQ12" s="58">
        <v>248.93</v>
      </c>
      <c r="AR12" s="65">
        <f t="shared" si="16"/>
        <v>189.99999999999773</v>
      </c>
      <c r="AS12" s="58">
        <v>374.7</v>
      </c>
      <c r="AT12" s="65">
        <f t="shared" si="17"/>
        <v>209.99999999997954</v>
      </c>
      <c r="AU12" s="58">
        <v>286.44</v>
      </c>
      <c r="AV12" s="65">
        <f t="shared" si="18"/>
        <v>100.00000000002274</v>
      </c>
      <c r="AW12" s="58">
        <v>320.76</v>
      </c>
      <c r="AX12" s="65">
        <f t="shared" si="19"/>
        <v>50.000000000011369</v>
      </c>
      <c r="AY12" s="58">
        <v>362.07</v>
      </c>
      <c r="AZ12" s="65">
        <f t="shared" si="20"/>
        <v>50.000000000011369</v>
      </c>
      <c r="BA12" s="58">
        <v>381.49</v>
      </c>
      <c r="BB12" s="65">
        <f t="shared" si="21"/>
        <v>30.000000000029559</v>
      </c>
      <c r="BC12" s="58">
        <v>242.35</v>
      </c>
      <c r="BD12" s="65">
        <f t="shared" si="22"/>
        <v>90.000000000003411</v>
      </c>
      <c r="BE12" s="59">
        <v>40727</v>
      </c>
      <c r="BF12" s="67">
        <f t="shared" si="39"/>
        <v>29</v>
      </c>
      <c r="BG12" s="60">
        <v>234.6</v>
      </c>
      <c r="BH12" s="65">
        <f t="shared" si="23"/>
        <v>30.000000000001137</v>
      </c>
      <c r="BI12" s="60">
        <v>293.47000000000003</v>
      </c>
      <c r="BJ12" s="65">
        <f t="shared" si="40"/>
        <v>30.000000000029559</v>
      </c>
      <c r="BK12" s="60">
        <v>237.3</v>
      </c>
      <c r="BL12" s="65">
        <f t="shared" si="24"/>
        <v>30.000000000001137</v>
      </c>
      <c r="BM12" s="60">
        <v>224.26</v>
      </c>
      <c r="BN12" s="65">
        <f t="shared" si="25"/>
        <v>30.000000000001137</v>
      </c>
      <c r="BO12" s="60">
        <v>288.08999999999997</v>
      </c>
      <c r="BP12" s="65">
        <f t="shared" si="26"/>
        <v>29.999999999972715</v>
      </c>
      <c r="BQ12" s="60">
        <v>45581</v>
      </c>
      <c r="BR12" s="65">
        <f t="shared" si="27"/>
        <v>20</v>
      </c>
      <c r="BS12" s="60">
        <v>201.1</v>
      </c>
      <c r="BT12" s="65">
        <f t="shared" si="42"/>
        <v>30.000000000001137</v>
      </c>
      <c r="BU12" s="60">
        <v>41162</v>
      </c>
      <c r="BV12" s="65">
        <f t="shared" si="29"/>
        <v>39</v>
      </c>
      <c r="BW12" s="60">
        <v>232.21</v>
      </c>
      <c r="BX12" s="65">
        <f t="shared" si="30"/>
        <v>20.000000000010232</v>
      </c>
      <c r="BY12" s="60">
        <v>60865</v>
      </c>
      <c r="BZ12" s="67">
        <f t="shared" si="31"/>
        <v>37</v>
      </c>
      <c r="CA12" s="60">
        <v>32358.400000000001</v>
      </c>
      <c r="CB12" s="67">
        <f t="shared" si="32"/>
        <v>38</v>
      </c>
      <c r="CC12" s="60">
        <v>12274.7</v>
      </c>
      <c r="CD12" s="67">
        <f t="shared" si="33"/>
        <v>8.7000000000007276</v>
      </c>
      <c r="CE12" s="60">
        <v>6468.7</v>
      </c>
      <c r="CF12" s="67">
        <f t="shared" si="34"/>
        <v>0.6999999999998181</v>
      </c>
      <c r="CG12" s="60">
        <v>59944.5</v>
      </c>
      <c r="CH12" s="67">
        <f t="shared" si="35"/>
        <v>30.599999999998545</v>
      </c>
      <c r="CI12" s="60">
        <v>951995</v>
      </c>
      <c r="CJ12" s="67">
        <f t="shared" si="36"/>
        <v>268</v>
      </c>
      <c r="CK12" s="60">
        <v>771.27</v>
      </c>
      <c r="CL12" s="64">
        <f t="shared" si="37"/>
        <v>590.00000000003183</v>
      </c>
      <c r="CM12" s="65">
        <f t="shared" si="41"/>
        <v>73.900000000001455</v>
      </c>
      <c r="CN12" s="62">
        <v>12</v>
      </c>
      <c r="CO12" s="62">
        <v>29</v>
      </c>
      <c r="CP12" s="68">
        <v>10143.200000000001</v>
      </c>
      <c r="CQ12" s="67">
        <f>IF((CP12-CP11&lt;0), "",CP12-CP11)</f>
        <v>53.900000000001455</v>
      </c>
      <c r="CR12" s="68">
        <v>14434</v>
      </c>
      <c r="CS12" s="67">
        <f t="shared" si="38"/>
        <v>20</v>
      </c>
      <c r="CT12" s="75">
        <v>6594</v>
      </c>
      <c r="CU12" s="67">
        <f t="shared" si="38"/>
        <v>11</v>
      </c>
      <c r="CV12" s="68">
        <v>15624</v>
      </c>
      <c r="CW12" s="67">
        <f t="shared" si="38"/>
        <v>33</v>
      </c>
    </row>
    <row r="13" spans="1:102" ht="25.5" customHeight="1" thickBot="1" x14ac:dyDescent="0.45">
      <c r="A13" s="63">
        <v>44387</v>
      </c>
      <c r="B13" s="44"/>
      <c r="C13" s="58">
        <v>2.3159000000000001</v>
      </c>
      <c r="D13" s="64">
        <f t="shared" si="0"/>
        <v>2099.9999999999909</v>
      </c>
      <c r="E13" s="58">
        <v>3.2964000000000002</v>
      </c>
      <c r="F13" s="64">
        <f t="shared" si="1"/>
        <v>2600.0000000001578</v>
      </c>
      <c r="G13" s="58">
        <v>3.3513999999999999</v>
      </c>
      <c r="H13" s="64">
        <f t="shared" si="2"/>
        <v>2699.9999999999245</v>
      </c>
      <c r="I13" s="58">
        <v>1.6537999999999999</v>
      </c>
      <c r="J13" s="64">
        <f t="shared" si="3"/>
        <v>1299.9999999998568</v>
      </c>
      <c r="K13" s="58">
        <v>2.6701000000000001</v>
      </c>
      <c r="L13" s="64">
        <f t="shared" si="4"/>
        <v>1800.0000000002458</v>
      </c>
      <c r="M13" s="58">
        <v>1.4702999999999999</v>
      </c>
      <c r="N13" s="64">
        <f t="shared" si="5"/>
        <v>999.99999999988984</v>
      </c>
      <c r="O13" s="58">
        <v>14457</v>
      </c>
      <c r="P13" s="67">
        <f t="shared" si="44"/>
        <v>5</v>
      </c>
      <c r="Q13" s="58">
        <v>1056</v>
      </c>
      <c r="R13" s="67">
        <f t="shared" si="6"/>
        <v>3</v>
      </c>
      <c r="S13" s="58">
        <v>1001500</v>
      </c>
      <c r="T13" s="67">
        <f t="shared" si="7"/>
        <v>499.59999999997672</v>
      </c>
      <c r="U13" s="58">
        <v>421005.2</v>
      </c>
      <c r="V13" s="67">
        <f t="shared" si="8"/>
        <v>119.79999999998836</v>
      </c>
      <c r="W13" s="58">
        <v>401.47</v>
      </c>
      <c r="X13" s="65">
        <f t="shared" si="9"/>
        <v>260.00000000004775</v>
      </c>
      <c r="Y13" s="58">
        <v>2.8815</v>
      </c>
      <c r="Z13" s="65">
        <f t="shared" si="10"/>
        <v>2399.9999999997358</v>
      </c>
      <c r="AA13" s="58">
        <v>399.53</v>
      </c>
      <c r="AB13" s="65">
        <f t="shared" si="11"/>
        <v>199.99999999998863</v>
      </c>
      <c r="AC13" s="58">
        <v>373.8</v>
      </c>
      <c r="AD13" s="65">
        <f t="shared" si="12"/>
        <v>340.00000000003183</v>
      </c>
      <c r="AE13" s="58">
        <v>570.53</v>
      </c>
      <c r="AF13" s="65">
        <f t="shared" si="13"/>
        <v>309.99999999994543</v>
      </c>
      <c r="AG13" s="58">
        <v>4898</v>
      </c>
      <c r="AH13" s="67">
        <f t="shared" si="14"/>
        <v>35</v>
      </c>
      <c r="AI13" s="58">
        <v>622.17999999999995</v>
      </c>
      <c r="AJ13" s="65">
        <f t="shared" si="15"/>
        <v>849.99999999990905</v>
      </c>
      <c r="AK13" s="58">
        <v>206.94</v>
      </c>
      <c r="AL13" s="65">
        <f t="shared" si="15"/>
        <v>139.99999999998636</v>
      </c>
      <c r="AM13" s="58">
        <v>196.95</v>
      </c>
      <c r="AN13" s="65">
        <f t="shared" si="15"/>
        <v>99.999999999994316</v>
      </c>
      <c r="AO13" s="58">
        <v>190.79</v>
      </c>
      <c r="AP13" s="65">
        <f t="shared" si="15"/>
        <v>79.999999999984084</v>
      </c>
      <c r="AQ13" s="58">
        <v>249.14</v>
      </c>
      <c r="AR13" s="65">
        <f t="shared" si="16"/>
        <v>209.99999999997954</v>
      </c>
      <c r="AS13" s="58">
        <v>374.88</v>
      </c>
      <c r="AT13" s="65">
        <f t="shared" si="17"/>
        <v>180.00000000000682</v>
      </c>
      <c r="AU13" s="58">
        <v>286.5</v>
      </c>
      <c r="AV13" s="65">
        <f t="shared" si="18"/>
        <v>60.000000000002274</v>
      </c>
      <c r="AW13" s="58">
        <v>320.8</v>
      </c>
      <c r="AX13" s="65">
        <f t="shared" si="19"/>
        <v>40.000000000020464</v>
      </c>
      <c r="AY13" s="58">
        <v>362.12</v>
      </c>
      <c r="AZ13" s="65">
        <f t="shared" si="20"/>
        <v>50.000000000011369</v>
      </c>
      <c r="BA13" s="58">
        <v>381.51</v>
      </c>
      <c r="BB13" s="65">
        <f t="shared" si="21"/>
        <v>19.99999999998181</v>
      </c>
      <c r="BC13" s="58">
        <v>242.49</v>
      </c>
      <c r="BD13" s="65">
        <f t="shared" si="22"/>
        <v>140.00000000001478</v>
      </c>
      <c r="BE13" s="59">
        <v>40748</v>
      </c>
      <c r="BF13" s="67">
        <f t="shared" si="39"/>
        <v>21</v>
      </c>
      <c r="BG13" s="60">
        <v>234.65</v>
      </c>
      <c r="BH13" s="65">
        <f t="shared" si="23"/>
        <v>50.000000000011369</v>
      </c>
      <c r="BI13" s="60">
        <v>293.51</v>
      </c>
      <c r="BJ13" s="65">
        <f t="shared" si="40"/>
        <v>39.99999999996362</v>
      </c>
      <c r="BK13" s="60">
        <v>237.33</v>
      </c>
      <c r="BL13" s="65">
        <f t="shared" si="24"/>
        <v>30.000000000001137</v>
      </c>
      <c r="BM13" s="60">
        <v>224.3</v>
      </c>
      <c r="BN13" s="65">
        <f t="shared" si="25"/>
        <v>40.000000000020464</v>
      </c>
      <c r="BO13" s="60">
        <v>288.13</v>
      </c>
      <c r="BP13" s="65">
        <f t="shared" si="26"/>
        <v>40.000000000020464</v>
      </c>
      <c r="BQ13" s="60">
        <v>45609</v>
      </c>
      <c r="BR13" s="65">
        <f t="shared" si="27"/>
        <v>28</v>
      </c>
      <c r="BS13" s="60">
        <v>201.13</v>
      </c>
      <c r="BT13" s="65">
        <f t="shared" si="42"/>
        <v>30.000000000001137</v>
      </c>
      <c r="BU13" s="60">
        <v>41203</v>
      </c>
      <c r="BV13" s="65">
        <f t="shared" si="29"/>
        <v>41</v>
      </c>
      <c r="BW13" s="60">
        <v>232.24</v>
      </c>
      <c r="BX13" s="65">
        <f t="shared" si="30"/>
        <v>30.000000000001137</v>
      </c>
      <c r="BY13" s="60">
        <v>60906</v>
      </c>
      <c r="BZ13" s="67">
        <f t="shared" si="31"/>
        <v>41</v>
      </c>
      <c r="CA13" s="60">
        <v>32390.6</v>
      </c>
      <c r="CB13" s="67">
        <f t="shared" si="32"/>
        <v>32.19999999999709</v>
      </c>
      <c r="CC13" s="60">
        <v>12283</v>
      </c>
      <c r="CD13" s="67">
        <f t="shared" si="33"/>
        <v>8.2999999999992724</v>
      </c>
      <c r="CE13" s="60">
        <v>6473</v>
      </c>
      <c r="CF13" s="67">
        <f t="shared" si="34"/>
        <v>4.3000000000001819</v>
      </c>
      <c r="CG13" s="60">
        <v>59984.2</v>
      </c>
      <c r="CH13" s="67">
        <f t="shared" si="35"/>
        <v>39.69999999999709</v>
      </c>
      <c r="CI13" s="60">
        <v>952287</v>
      </c>
      <c r="CJ13" s="67">
        <f t="shared" si="36"/>
        <v>292</v>
      </c>
      <c r="CK13" s="60">
        <v>771.94</v>
      </c>
      <c r="CL13" s="64">
        <f t="shared" si="37"/>
        <v>670.00000000007276</v>
      </c>
      <c r="CM13" s="65">
        <f t="shared" si="41"/>
        <v>76.799999999999272</v>
      </c>
      <c r="CN13" s="62">
        <v>14</v>
      </c>
      <c r="CO13" s="62">
        <v>46</v>
      </c>
      <c r="CP13" s="68">
        <v>10204</v>
      </c>
      <c r="CQ13" s="67">
        <f>IF((CP13-CP12&lt;0), "",CP13-CP12)</f>
        <v>60.799999999999272</v>
      </c>
      <c r="CR13" s="68">
        <v>14450</v>
      </c>
      <c r="CS13" s="67">
        <f t="shared" si="38"/>
        <v>16</v>
      </c>
      <c r="CT13" s="75">
        <v>6607</v>
      </c>
      <c r="CU13" s="67">
        <f t="shared" si="38"/>
        <v>13</v>
      </c>
      <c r="CV13" s="68">
        <v>15664</v>
      </c>
      <c r="CW13" s="67">
        <f t="shared" si="38"/>
        <v>40</v>
      </c>
    </row>
    <row r="14" spans="1:102" ht="25.5" customHeight="1" thickBot="1" x14ac:dyDescent="0.45">
      <c r="A14" s="63">
        <v>44388</v>
      </c>
      <c r="B14" s="44"/>
      <c r="C14" s="58">
        <v>2.3178999999999998</v>
      </c>
      <c r="D14" s="64">
        <f t="shared" si="0"/>
        <v>1999.9999999997797</v>
      </c>
      <c r="E14" s="58">
        <v>3.2989999999999999</v>
      </c>
      <c r="F14" s="64">
        <f t="shared" si="1"/>
        <v>2599.9999999997135</v>
      </c>
      <c r="G14" s="58">
        <v>3.3538000000000001</v>
      </c>
      <c r="H14" s="64">
        <f t="shared" si="2"/>
        <v>2400.0000000001796</v>
      </c>
      <c r="I14" s="58">
        <v>1.655</v>
      </c>
      <c r="J14" s="64">
        <f t="shared" si="3"/>
        <v>1200.0000000000898</v>
      </c>
      <c r="K14" s="58">
        <v>2.6718999999999999</v>
      </c>
      <c r="L14" s="64">
        <f t="shared" si="4"/>
        <v>1799.9999999998017</v>
      </c>
      <c r="M14" s="58">
        <v>1.4713000000000001</v>
      </c>
      <c r="N14" s="64">
        <f t="shared" si="5"/>
        <v>1000.0000000001119</v>
      </c>
      <c r="O14" s="58">
        <v>14464</v>
      </c>
      <c r="P14" s="67">
        <f t="shared" si="44"/>
        <v>7</v>
      </c>
      <c r="Q14" s="58">
        <v>1058</v>
      </c>
      <c r="R14" s="67">
        <f t="shared" si="6"/>
        <v>2</v>
      </c>
      <c r="S14" s="79">
        <v>1003600</v>
      </c>
      <c r="T14" s="67">
        <f t="shared" si="7"/>
        <v>2100</v>
      </c>
      <c r="U14" s="58">
        <v>421497.7</v>
      </c>
      <c r="V14" s="67">
        <f t="shared" si="8"/>
        <v>492.5</v>
      </c>
      <c r="W14" s="58">
        <v>401.74</v>
      </c>
      <c r="X14" s="65">
        <f t="shared" si="9"/>
        <v>269.99999999998181</v>
      </c>
      <c r="Y14" s="58">
        <v>2.8837000000000002</v>
      </c>
      <c r="Z14" s="65">
        <f t="shared" si="10"/>
        <v>2200.0000000002019</v>
      </c>
      <c r="AA14" s="58">
        <v>399.85</v>
      </c>
      <c r="AB14" s="65">
        <f t="shared" si="11"/>
        <v>320.00000000005002</v>
      </c>
      <c r="AC14" s="58">
        <v>374.08</v>
      </c>
      <c r="AD14" s="65">
        <f t="shared" si="12"/>
        <v>279.99999999997272</v>
      </c>
      <c r="AE14" s="58">
        <v>570.85</v>
      </c>
      <c r="AF14" s="65">
        <f t="shared" si="13"/>
        <v>320.00000000005002</v>
      </c>
      <c r="AG14" s="58">
        <v>4933</v>
      </c>
      <c r="AH14" s="67">
        <f t="shared" si="14"/>
        <v>35</v>
      </c>
      <c r="AI14" s="58">
        <v>622.97</v>
      </c>
      <c r="AJ14" s="65">
        <f t="shared" si="15"/>
        <v>790.00000000007731</v>
      </c>
      <c r="AK14" s="58">
        <v>207.13</v>
      </c>
      <c r="AL14" s="65">
        <f t="shared" si="15"/>
        <v>189.99999999999773</v>
      </c>
      <c r="AM14" s="58">
        <v>197.06</v>
      </c>
      <c r="AN14" s="65">
        <f t="shared" si="15"/>
        <v>110.00000000001364</v>
      </c>
      <c r="AO14" s="58">
        <v>190.9</v>
      </c>
      <c r="AP14" s="65">
        <f t="shared" si="15"/>
        <v>110.00000000001364</v>
      </c>
      <c r="AQ14" s="58">
        <v>249.32</v>
      </c>
      <c r="AR14" s="65">
        <f t="shared" si="16"/>
        <v>180.00000000000682</v>
      </c>
      <c r="AS14" s="58">
        <v>375.05</v>
      </c>
      <c r="AT14" s="65">
        <f t="shared" si="17"/>
        <v>170.00000000001592</v>
      </c>
      <c r="AU14" s="58">
        <v>286.54000000000002</v>
      </c>
      <c r="AV14" s="65">
        <f t="shared" si="18"/>
        <v>40.000000000020464</v>
      </c>
      <c r="AW14" s="58">
        <v>320.83</v>
      </c>
      <c r="AX14" s="65">
        <f t="shared" si="19"/>
        <v>29.999999999972715</v>
      </c>
      <c r="AY14" s="58">
        <v>362.15</v>
      </c>
      <c r="AZ14" s="65">
        <f t="shared" si="20"/>
        <v>29.999999999972715</v>
      </c>
      <c r="BA14" s="58">
        <v>381.53</v>
      </c>
      <c r="BB14" s="65">
        <f t="shared" si="21"/>
        <v>19.99999999998181</v>
      </c>
      <c r="BC14" s="58">
        <v>242.63</v>
      </c>
      <c r="BD14" s="65">
        <f t="shared" si="22"/>
        <v>139.99999999998636</v>
      </c>
      <c r="BE14" s="59">
        <v>40778</v>
      </c>
      <c r="BF14" s="67">
        <f t="shared" si="39"/>
        <v>30</v>
      </c>
      <c r="BG14" s="60">
        <v>234.68</v>
      </c>
      <c r="BH14" s="65">
        <f t="shared" si="23"/>
        <v>30.000000000001137</v>
      </c>
      <c r="BI14" s="60">
        <v>293.52999999999997</v>
      </c>
      <c r="BJ14" s="65">
        <f t="shared" si="40"/>
        <v>19.99999999998181</v>
      </c>
      <c r="BK14" s="60">
        <v>237.35</v>
      </c>
      <c r="BL14" s="65">
        <f t="shared" si="24"/>
        <v>19.99999999998181</v>
      </c>
      <c r="BM14" s="60">
        <v>224.34</v>
      </c>
      <c r="BN14" s="65">
        <f t="shared" si="25"/>
        <v>39.999999999992042</v>
      </c>
      <c r="BO14" s="60">
        <v>288.14999999999998</v>
      </c>
      <c r="BP14" s="65">
        <f t="shared" si="26"/>
        <v>19.99999999998181</v>
      </c>
      <c r="BQ14" s="60">
        <v>45630</v>
      </c>
      <c r="BR14" s="65">
        <f t="shared" si="27"/>
        <v>21</v>
      </c>
      <c r="BS14" s="60">
        <v>201.16</v>
      </c>
      <c r="BT14" s="65">
        <f t="shared" si="42"/>
        <v>30.000000000001137</v>
      </c>
      <c r="BU14" s="60">
        <v>41238</v>
      </c>
      <c r="BV14" s="65">
        <f t="shared" si="29"/>
        <v>35</v>
      </c>
      <c r="BW14" s="60">
        <v>232.27</v>
      </c>
      <c r="BX14" s="65">
        <f t="shared" si="30"/>
        <v>30.000000000001137</v>
      </c>
      <c r="BY14" s="60">
        <v>60944</v>
      </c>
      <c r="BZ14" s="67">
        <f t="shared" si="31"/>
        <v>38</v>
      </c>
      <c r="CA14" s="60">
        <v>32420.9</v>
      </c>
      <c r="CB14" s="67">
        <f t="shared" si="32"/>
        <v>30.30000000000291</v>
      </c>
      <c r="CC14" s="60">
        <v>12293</v>
      </c>
      <c r="CD14" s="67">
        <f t="shared" si="33"/>
        <v>10</v>
      </c>
      <c r="CE14" s="60">
        <v>6478</v>
      </c>
      <c r="CF14" s="67">
        <f t="shared" si="34"/>
        <v>5</v>
      </c>
      <c r="CG14" s="60">
        <v>60024.5</v>
      </c>
      <c r="CH14" s="67">
        <f t="shared" si="35"/>
        <v>40.30000000000291</v>
      </c>
      <c r="CI14" s="60">
        <v>952562</v>
      </c>
      <c r="CJ14" s="67">
        <f t="shared" si="36"/>
        <v>275</v>
      </c>
      <c r="CK14" s="60">
        <v>772.5</v>
      </c>
      <c r="CL14" s="64">
        <f t="shared" si="37"/>
        <v>559.99999999994543</v>
      </c>
      <c r="CM14" s="65">
        <f t="shared" si="41"/>
        <v>78</v>
      </c>
      <c r="CN14" s="62">
        <v>13</v>
      </c>
      <c r="CO14" s="62">
        <v>45</v>
      </c>
      <c r="CP14" s="68">
        <v>10252</v>
      </c>
      <c r="CQ14" s="67">
        <f t="shared" si="38"/>
        <v>48</v>
      </c>
      <c r="CR14" s="68">
        <v>14480</v>
      </c>
      <c r="CS14" s="67">
        <f t="shared" si="38"/>
        <v>30</v>
      </c>
      <c r="CT14" s="75">
        <v>6617</v>
      </c>
      <c r="CU14" s="67">
        <f t="shared" si="38"/>
        <v>10</v>
      </c>
      <c r="CV14" s="68">
        <v>15696</v>
      </c>
      <c r="CW14" s="67">
        <f t="shared" si="38"/>
        <v>32</v>
      </c>
    </row>
    <row r="15" spans="1:102" ht="25.5" customHeight="1" thickBot="1" x14ac:dyDescent="0.45">
      <c r="A15" s="63">
        <v>44389</v>
      </c>
      <c r="B15" s="44"/>
      <c r="C15" s="58">
        <v>2.3201000000000001</v>
      </c>
      <c r="D15" s="64">
        <f t="shared" si="0"/>
        <v>2200.0000000002019</v>
      </c>
      <c r="E15" s="58">
        <v>3.3016000000000001</v>
      </c>
      <c r="F15" s="64">
        <f t="shared" si="1"/>
        <v>2600.0000000001578</v>
      </c>
      <c r="G15" s="58">
        <v>3.3563000000000001</v>
      </c>
      <c r="H15" s="64">
        <f t="shared" si="2"/>
        <v>2499.9999999999468</v>
      </c>
      <c r="I15" s="58">
        <v>1.6561999999999999</v>
      </c>
      <c r="J15" s="64">
        <f t="shared" si="3"/>
        <v>1199.9999999998679</v>
      </c>
      <c r="K15" s="58">
        <v>2.6737000000000002</v>
      </c>
      <c r="L15" s="64">
        <f t="shared" si="4"/>
        <v>1800.0000000002458</v>
      </c>
      <c r="M15" s="58">
        <v>1.4722999999999999</v>
      </c>
      <c r="N15" s="64">
        <f t="shared" si="5"/>
        <v>999.99999999988984</v>
      </c>
      <c r="O15" s="58">
        <v>14468</v>
      </c>
      <c r="P15" s="67">
        <f t="shared" si="44"/>
        <v>4</v>
      </c>
      <c r="Q15" s="58">
        <v>1060</v>
      </c>
      <c r="R15" s="67">
        <f t="shared" si="6"/>
        <v>2</v>
      </c>
      <c r="S15" s="58">
        <v>1003900</v>
      </c>
      <c r="T15" s="67">
        <f t="shared" si="7"/>
        <v>300</v>
      </c>
      <c r="U15" s="58">
        <v>421804.7</v>
      </c>
      <c r="V15" s="67">
        <f t="shared" si="8"/>
        <v>307</v>
      </c>
      <c r="W15" s="58">
        <v>402</v>
      </c>
      <c r="X15" s="65">
        <f t="shared" si="9"/>
        <v>259.99999999999091</v>
      </c>
      <c r="Y15" s="58">
        <v>2.8860999999999999</v>
      </c>
      <c r="Z15" s="65">
        <f t="shared" si="10"/>
        <v>2399.9999999997358</v>
      </c>
      <c r="AA15" s="58">
        <v>400.06</v>
      </c>
      <c r="AB15" s="65">
        <f t="shared" si="11"/>
        <v>209.99999999997954</v>
      </c>
      <c r="AC15" s="58">
        <v>374.37</v>
      </c>
      <c r="AD15" s="65">
        <f t="shared" si="12"/>
        <v>290.00000000002046</v>
      </c>
      <c r="AE15" s="58">
        <v>571.22</v>
      </c>
      <c r="AF15" s="65">
        <f t="shared" si="13"/>
        <v>370.00000000000455</v>
      </c>
      <c r="AG15" s="58">
        <v>4968</v>
      </c>
      <c r="AH15" s="67">
        <f t="shared" si="14"/>
        <v>35</v>
      </c>
      <c r="AI15" s="58">
        <v>623.77</v>
      </c>
      <c r="AJ15" s="65">
        <f t="shared" si="15"/>
        <v>799.99999999995453</v>
      </c>
      <c r="AK15" s="58">
        <v>207.3</v>
      </c>
      <c r="AL15" s="65">
        <f t="shared" si="15"/>
        <v>170.00000000001592</v>
      </c>
      <c r="AM15" s="58">
        <v>197.16</v>
      </c>
      <c r="AN15" s="65">
        <f t="shared" si="15"/>
        <v>99.999999999994316</v>
      </c>
      <c r="AO15" s="58">
        <v>191.01</v>
      </c>
      <c r="AP15" s="65">
        <f t="shared" si="15"/>
        <v>109.99999999998522</v>
      </c>
      <c r="AQ15" s="58">
        <v>249.51</v>
      </c>
      <c r="AR15" s="65">
        <f t="shared" si="16"/>
        <v>189.99999999999773</v>
      </c>
      <c r="AS15" s="58">
        <v>375.25</v>
      </c>
      <c r="AT15" s="65">
        <f t="shared" si="17"/>
        <v>199.99999999998863</v>
      </c>
      <c r="AU15" s="58">
        <v>286.58</v>
      </c>
      <c r="AV15" s="65">
        <f t="shared" si="18"/>
        <v>39.99999999996362</v>
      </c>
      <c r="AW15" s="58">
        <v>320.87</v>
      </c>
      <c r="AX15" s="65">
        <f t="shared" si="19"/>
        <v>40.000000000020464</v>
      </c>
      <c r="AY15" s="58">
        <v>362.2</v>
      </c>
      <c r="AZ15" s="65">
        <f t="shared" si="20"/>
        <v>50.000000000011369</v>
      </c>
      <c r="BA15" s="58">
        <v>381.55</v>
      </c>
      <c r="BB15" s="65">
        <f t="shared" si="21"/>
        <v>20.000000000038654</v>
      </c>
      <c r="BC15" s="58">
        <v>242.79</v>
      </c>
      <c r="BD15" s="65">
        <f t="shared" si="22"/>
        <v>159.99999999999659</v>
      </c>
      <c r="BE15" s="59">
        <v>40810</v>
      </c>
      <c r="BF15" s="67">
        <f t="shared" si="39"/>
        <v>32</v>
      </c>
      <c r="BG15" s="60">
        <v>234.73</v>
      </c>
      <c r="BH15" s="65">
        <f t="shared" si="23"/>
        <v>49.999999999982947</v>
      </c>
      <c r="BI15" s="60">
        <v>293.56</v>
      </c>
      <c r="BJ15" s="65">
        <f t="shared" si="40"/>
        <v>30.000000000029559</v>
      </c>
      <c r="BK15" s="60">
        <v>237.38</v>
      </c>
      <c r="BL15" s="65">
        <f t="shared" si="24"/>
        <v>30.000000000001137</v>
      </c>
      <c r="BM15" s="60">
        <v>224.38</v>
      </c>
      <c r="BN15" s="65">
        <f t="shared" si="25"/>
        <v>39.999999999992042</v>
      </c>
      <c r="BO15" s="60">
        <v>288.18</v>
      </c>
      <c r="BP15" s="65">
        <f t="shared" si="26"/>
        <v>30.000000000029559</v>
      </c>
      <c r="BQ15" s="60">
        <v>45652</v>
      </c>
      <c r="BR15" s="65">
        <f t="shared" si="27"/>
        <v>22</v>
      </c>
      <c r="BS15" s="60">
        <v>201.19</v>
      </c>
      <c r="BT15" s="65">
        <f t="shared" si="42"/>
        <v>30.000000000001137</v>
      </c>
      <c r="BU15" s="60">
        <v>41281</v>
      </c>
      <c r="BV15" s="65">
        <f t="shared" si="29"/>
        <v>43</v>
      </c>
      <c r="BW15" s="60">
        <v>232.29</v>
      </c>
      <c r="BX15" s="65">
        <f t="shared" si="30"/>
        <v>19.99999999998181</v>
      </c>
      <c r="BY15" s="60">
        <v>60987</v>
      </c>
      <c r="BZ15" s="67">
        <f t="shared" si="31"/>
        <v>43</v>
      </c>
      <c r="CA15" s="60">
        <v>32456.6</v>
      </c>
      <c r="CB15" s="67">
        <f t="shared" si="32"/>
        <v>35.69999999999709</v>
      </c>
      <c r="CC15" s="60">
        <v>12300.5</v>
      </c>
      <c r="CD15" s="67">
        <f t="shared" si="33"/>
        <v>7.5</v>
      </c>
      <c r="CE15" s="60">
        <v>6478</v>
      </c>
      <c r="CF15" s="67">
        <f t="shared" si="34"/>
        <v>0</v>
      </c>
      <c r="CG15" s="60">
        <v>60062.8</v>
      </c>
      <c r="CH15" s="67">
        <f t="shared" si="35"/>
        <v>38.30000000000291</v>
      </c>
      <c r="CI15" s="60">
        <v>952838</v>
      </c>
      <c r="CJ15" s="67">
        <f t="shared" si="36"/>
        <v>276</v>
      </c>
      <c r="CK15" s="60">
        <v>773.1</v>
      </c>
      <c r="CL15" s="64">
        <f t="shared" si="37"/>
        <v>600.00000000002274</v>
      </c>
      <c r="CM15" s="65">
        <f t="shared" si="41"/>
        <v>61.299999999999272</v>
      </c>
      <c r="CN15" s="62">
        <v>13</v>
      </c>
      <c r="CO15" s="62">
        <v>45</v>
      </c>
      <c r="CP15" s="68">
        <v>10294.299999999999</v>
      </c>
      <c r="CQ15" s="67">
        <f t="shared" si="38"/>
        <v>42.299999999999272</v>
      </c>
      <c r="CR15" s="68">
        <v>14499</v>
      </c>
      <c r="CS15" s="67">
        <f t="shared" si="38"/>
        <v>19</v>
      </c>
      <c r="CT15" s="75">
        <v>6629</v>
      </c>
      <c r="CU15" s="67">
        <f t="shared" si="38"/>
        <v>12</v>
      </c>
      <c r="CV15" s="68">
        <v>15715</v>
      </c>
      <c r="CW15" s="67">
        <f t="shared" si="38"/>
        <v>19</v>
      </c>
    </row>
    <row r="16" spans="1:102" ht="25.5" customHeight="1" thickBot="1" x14ac:dyDescent="0.45">
      <c r="A16" s="63">
        <v>44390</v>
      </c>
      <c r="B16" s="44"/>
      <c r="C16" s="58">
        <v>2.3220999999999998</v>
      </c>
      <c r="D16" s="64">
        <f t="shared" si="0"/>
        <v>1999.9999999997797</v>
      </c>
      <c r="E16" s="58">
        <v>3.3041</v>
      </c>
      <c r="F16" s="64">
        <f t="shared" si="1"/>
        <v>2499.9999999999468</v>
      </c>
      <c r="G16" s="58">
        <v>3.3586999999999998</v>
      </c>
      <c r="H16" s="64">
        <f t="shared" si="2"/>
        <v>2399.9999999997358</v>
      </c>
      <c r="I16" s="58">
        <v>1.6575</v>
      </c>
      <c r="J16" s="64">
        <f t="shared" si="3"/>
        <v>1300.0000000000789</v>
      </c>
      <c r="K16" s="58">
        <v>2.6755</v>
      </c>
      <c r="L16" s="64">
        <f t="shared" si="4"/>
        <v>1799.9999999998017</v>
      </c>
      <c r="M16" s="58">
        <v>1.4732000000000001</v>
      </c>
      <c r="N16" s="64">
        <f t="shared" si="5"/>
        <v>900.0000000001229</v>
      </c>
      <c r="O16" s="58">
        <v>14472</v>
      </c>
      <c r="P16" s="67">
        <f t="shared" si="44"/>
        <v>4</v>
      </c>
      <c r="Q16" s="58">
        <v>1061</v>
      </c>
      <c r="R16" s="67">
        <f t="shared" si="6"/>
        <v>1</v>
      </c>
      <c r="S16" s="58">
        <v>1004800</v>
      </c>
      <c r="T16" s="67">
        <f t="shared" si="7"/>
        <v>900</v>
      </c>
      <c r="U16" s="58">
        <v>422146.9</v>
      </c>
      <c r="V16" s="67">
        <f t="shared" si="8"/>
        <v>342.20000000001164</v>
      </c>
      <c r="W16" s="58">
        <v>402.25</v>
      </c>
      <c r="X16" s="65">
        <f t="shared" si="9"/>
        <v>250</v>
      </c>
      <c r="Y16" s="58">
        <v>2.8883999999999999</v>
      </c>
      <c r="Z16" s="65">
        <f t="shared" si="10"/>
        <v>2299.9999999999686</v>
      </c>
      <c r="AA16" s="58">
        <v>400.36</v>
      </c>
      <c r="AB16" s="65">
        <f t="shared" si="11"/>
        <v>300.00000000001137</v>
      </c>
      <c r="AC16" s="58">
        <v>374.55</v>
      </c>
      <c r="AD16" s="65">
        <f t="shared" si="12"/>
        <v>180.00000000000682</v>
      </c>
      <c r="AE16" s="58">
        <v>571.52</v>
      </c>
      <c r="AF16" s="65">
        <f t="shared" si="13"/>
        <v>299.99999999995453</v>
      </c>
      <c r="AG16" s="58">
        <v>5003</v>
      </c>
      <c r="AH16" s="67">
        <f t="shared" si="14"/>
        <v>35</v>
      </c>
      <c r="AI16" s="58">
        <v>624.54</v>
      </c>
      <c r="AJ16" s="65">
        <f t="shared" si="15"/>
        <v>769.99999999998181</v>
      </c>
      <c r="AK16" s="58">
        <v>207.46</v>
      </c>
      <c r="AL16" s="65">
        <f t="shared" si="15"/>
        <v>159.99999999999659</v>
      </c>
      <c r="AM16" s="58">
        <v>197.3</v>
      </c>
      <c r="AN16" s="65">
        <f t="shared" si="15"/>
        <v>140.00000000001478</v>
      </c>
      <c r="AO16" s="58">
        <v>191.11</v>
      </c>
      <c r="AP16" s="65">
        <f t="shared" si="15"/>
        <v>100.00000000002274</v>
      </c>
      <c r="AQ16" s="58">
        <v>249.68</v>
      </c>
      <c r="AR16" s="65">
        <f t="shared" si="16"/>
        <v>170.00000000001592</v>
      </c>
      <c r="AS16" s="58">
        <v>375.41</v>
      </c>
      <c r="AT16" s="65">
        <f t="shared" si="17"/>
        <v>160.00000000002501</v>
      </c>
      <c r="AU16" s="58">
        <v>286.64</v>
      </c>
      <c r="AV16" s="65">
        <f t="shared" si="18"/>
        <v>60.000000000002274</v>
      </c>
      <c r="AW16" s="58">
        <v>320.91000000000003</v>
      </c>
      <c r="AX16" s="65">
        <f t="shared" si="19"/>
        <v>40.000000000020464</v>
      </c>
      <c r="AY16" s="58">
        <v>362.25</v>
      </c>
      <c r="AZ16" s="65">
        <f t="shared" si="20"/>
        <v>50.000000000011369</v>
      </c>
      <c r="BA16" s="58">
        <v>381.58</v>
      </c>
      <c r="BB16" s="65">
        <f t="shared" si="21"/>
        <v>29.999999999972715</v>
      </c>
      <c r="BC16" s="58">
        <v>242.93</v>
      </c>
      <c r="BD16" s="65">
        <f t="shared" si="22"/>
        <v>140.00000000001478</v>
      </c>
      <c r="BE16" s="59">
        <v>40840</v>
      </c>
      <c r="BF16" s="67">
        <f t="shared" si="39"/>
        <v>30</v>
      </c>
      <c r="BG16" s="60">
        <v>234.77</v>
      </c>
      <c r="BH16" s="65">
        <f t="shared" si="23"/>
        <v>40.000000000020464</v>
      </c>
      <c r="BI16" s="60">
        <v>293.58999999999997</v>
      </c>
      <c r="BJ16" s="65">
        <f t="shared" si="40"/>
        <v>29.999999999972715</v>
      </c>
      <c r="BK16" s="60">
        <v>237.41</v>
      </c>
      <c r="BL16" s="65">
        <f t="shared" si="24"/>
        <v>30.000000000001137</v>
      </c>
      <c r="BM16" s="60">
        <v>224.42</v>
      </c>
      <c r="BN16" s="65">
        <f t="shared" si="25"/>
        <v>39.999999999992042</v>
      </c>
      <c r="BO16" s="60">
        <v>288.22000000000003</v>
      </c>
      <c r="BP16" s="65">
        <f t="shared" si="26"/>
        <v>40.000000000020464</v>
      </c>
      <c r="BQ16" s="60">
        <v>45679</v>
      </c>
      <c r="BR16" s="65">
        <f t="shared" si="27"/>
        <v>27</v>
      </c>
      <c r="BS16" s="60">
        <v>201.21</v>
      </c>
      <c r="BT16" s="65">
        <f t="shared" si="42"/>
        <v>20.000000000010232</v>
      </c>
      <c r="BU16" s="60">
        <v>41317</v>
      </c>
      <c r="BV16" s="65">
        <f t="shared" si="29"/>
        <v>36</v>
      </c>
      <c r="BW16" s="60">
        <v>232.32</v>
      </c>
      <c r="BX16" s="65">
        <f t="shared" si="30"/>
        <v>30.000000000001137</v>
      </c>
      <c r="BY16" s="60">
        <v>61033</v>
      </c>
      <c r="BZ16" s="67">
        <f t="shared" si="31"/>
        <v>46</v>
      </c>
      <c r="CA16" s="60">
        <v>32495.1</v>
      </c>
      <c r="CB16" s="67">
        <f t="shared" si="32"/>
        <v>38.5</v>
      </c>
      <c r="CC16" s="60">
        <v>12310.8</v>
      </c>
      <c r="CD16" s="67">
        <f t="shared" si="33"/>
        <v>10.299999999999272</v>
      </c>
      <c r="CE16" s="60">
        <v>6489.4</v>
      </c>
      <c r="CF16" s="67">
        <f t="shared" si="34"/>
        <v>11.399999999999636</v>
      </c>
      <c r="CG16" s="60">
        <v>60091.8</v>
      </c>
      <c r="CH16" s="67">
        <f t="shared" si="35"/>
        <v>29</v>
      </c>
      <c r="CI16" s="60">
        <v>953101</v>
      </c>
      <c r="CJ16" s="67">
        <f t="shared" si="36"/>
        <v>263</v>
      </c>
      <c r="CK16" s="60">
        <v>773.61</v>
      </c>
      <c r="CL16" s="64">
        <f t="shared" si="37"/>
        <v>509.99999999999091</v>
      </c>
      <c r="CM16" s="65">
        <f t="shared" si="41"/>
        <v>71.700000000000728</v>
      </c>
      <c r="CN16" s="62">
        <v>13</v>
      </c>
      <c r="CO16" s="62">
        <v>50</v>
      </c>
      <c r="CP16" s="68">
        <v>10348</v>
      </c>
      <c r="CQ16" s="67">
        <f t="shared" si="38"/>
        <v>53.700000000000728</v>
      </c>
      <c r="CR16" s="68">
        <v>14517</v>
      </c>
      <c r="CS16" s="67">
        <f t="shared" si="38"/>
        <v>18</v>
      </c>
      <c r="CT16" s="75">
        <v>6643</v>
      </c>
      <c r="CU16" s="67">
        <f t="shared" si="38"/>
        <v>14</v>
      </c>
      <c r="CV16" s="68">
        <v>15729</v>
      </c>
      <c r="CW16" s="67">
        <f t="shared" si="38"/>
        <v>14</v>
      </c>
    </row>
    <row r="17" spans="1:101" ht="25.5" customHeight="1" thickBot="1" x14ac:dyDescent="0.45">
      <c r="A17" s="63">
        <v>44391</v>
      </c>
      <c r="B17" s="44"/>
      <c r="C17" s="58">
        <v>2.3241000000000001</v>
      </c>
      <c r="D17" s="64">
        <f t="shared" si="0"/>
        <v>2000.0000000002237</v>
      </c>
      <c r="E17" s="58">
        <v>3.3066</v>
      </c>
      <c r="F17" s="64">
        <f t="shared" si="1"/>
        <v>2499.9999999999468</v>
      </c>
      <c r="G17" s="58">
        <v>3.3611</v>
      </c>
      <c r="H17" s="64">
        <f t="shared" si="2"/>
        <v>2400.0000000001796</v>
      </c>
      <c r="I17" s="58">
        <v>1.6587000000000001</v>
      </c>
      <c r="J17" s="64">
        <f t="shared" si="3"/>
        <v>1200.0000000000898</v>
      </c>
      <c r="K17" s="58">
        <v>2.6772999999999998</v>
      </c>
      <c r="L17" s="64">
        <f t="shared" si="4"/>
        <v>1799.9999999998017</v>
      </c>
      <c r="M17" s="58">
        <v>1.4741</v>
      </c>
      <c r="N17" s="64">
        <f t="shared" si="5"/>
        <v>899.99999999990087</v>
      </c>
      <c r="O17" s="58">
        <v>14478</v>
      </c>
      <c r="P17" s="67">
        <f t="shared" si="44"/>
        <v>6</v>
      </c>
      <c r="Q17" s="58">
        <v>1063</v>
      </c>
      <c r="R17" s="67">
        <f t="shared" si="6"/>
        <v>2</v>
      </c>
      <c r="S17" s="58">
        <v>1005600</v>
      </c>
      <c r="T17" s="67">
        <f t="shared" si="7"/>
        <v>800</v>
      </c>
      <c r="U17" s="58">
        <v>422430.9</v>
      </c>
      <c r="V17" s="67">
        <f t="shared" si="8"/>
        <v>284</v>
      </c>
      <c r="W17" s="58">
        <v>402.48</v>
      </c>
      <c r="X17" s="65">
        <f t="shared" si="9"/>
        <v>230.00000000001819</v>
      </c>
      <c r="Y17" s="58">
        <v>2.8906000000000001</v>
      </c>
      <c r="Z17" s="65">
        <f t="shared" si="10"/>
        <v>2200.0000000002019</v>
      </c>
      <c r="AA17" s="58">
        <v>400.68</v>
      </c>
      <c r="AB17" s="65">
        <f t="shared" si="11"/>
        <v>319.99999999999318</v>
      </c>
      <c r="AC17" s="58">
        <v>374.75</v>
      </c>
      <c r="AD17" s="65">
        <f t="shared" si="12"/>
        <v>199.99999999998863</v>
      </c>
      <c r="AE17" s="58">
        <v>571.84</v>
      </c>
      <c r="AF17" s="65">
        <f t="shared" si="13"/>
        <v>320.00000000005002</v>
      </c>
      <c r="AG17" s="58">
        <v>5037</v>
      </c>
      <c r="AH17" s="67">
        <f t="shared" si="14"/>
        <v>34</v>
      </c>
      <c r="AI17" s="58">
        <v>625.28</v>
      </c>
      <c r="AJ17" s="65">
        <f t="shared" si="15"/>
        <v>740.00000000000909</v>
      </c>
      <c r="AK17" s="58">
        <v>207.6</v>
      </c>
      <c r="AL17" s="65">
        <f t="shared" si="15"/>
        <v>139.99999999998636</v>
      </c>
      <c r="AM17" s="58">
        <v>197.44</v>
      </c>
      <c r="AN17" s="65">
        <f t="shared" si="15"/>
        <v>139.99999999998636</v>
      </c>
      <c r="AO17" s="58">
        <v>191.2</v>
      </c>
      <c r="AP17" s="65">
        <f t="shared" si="15"/>
        <v>89.999999999974989</v>
      </c>
      <c r="AQ17" s="58">
        <v>249.84</v>
      </c>
      <c r="AR17" s="65">
        <f t="shared" si="16"/>
        <v>159.99999999999659</v>
      </c>
      <c r="AS17" s="58">
        <v>375.59</v>
      </c>
      <c r="AT17" s="65">
        <f t="shared" si="17"/>
        <v>179.99999999994998</v>
      </c>
      <c r="AU17" s="58">
        <v>286.7</v>
      </c>
      <c r="AV17" s="65">
        <f t="shared" si="18"/>
        <v>60.000000000002274</v>
      </c>
      <c r="AW17" s="58">
        <v>320.97000000000003</v>
      </c>
      <c r="AX17" s="65">
        <f t="shared" si="19"/>
        <v>60.000000000002274</v>
      </c>
      <c r="AY17" s="58">
        <v>362.31</v>
      </c>
      <c r="AZ17" s="65">
        <f t="shared" si="20"/>
        <v>60.000000000002274</v>
      </c>
      <c r="BA17" s="58">
        <v>381.6</v>
      </c>
      <c r="BB17" s="65">
        <f t="shared" si="21"/>
        <v>20.000000000038654</v>
      </c>
      <c r="BC17" s="58">
        <v>243.06</v>
      </c>
      <c r="BD17" s="65">
        <f t="shared" si="22"/>
        <v>129.99999999999545</v>
      </c>
      <c r="BE17" s="59">
        <v>40868</v>
      </c>
      <c r="BF17" s="67">
        <f t="shared" si="39"/>
        <v>28</v>
      </c>
      <c r="BG17" s="60">
        <v>234.82</v>
      </c>
      <c r="BH17" s="65">
        <f t="shared" si="23"/>
        <v>49.999999999982947</v>
      </c>
      <c r="BI17" s="60">
        <v>293.62</v>
      </c>
      <c r="BJ17" s="65">
        <f t="shared" si="40"/>
        <v>30.000000000029559</v>
      </c>
      <c r="BK17" s="60">
        <v>237.43</v>
      </c>
      <c r="BL17" s="65">
        <f t="shared" si="24"/>
        <v>20.000000000010232</v>
      </c>
      <c r="BM17" s="60">
        <v>224.46</v>
      </c>
      <c r="BN17" s="65">
        <f t="shared" si="25"/>
        <v>40.000000000020464</v>
      </c>
      <c r="BO17" s="60">
        <v>288.25</v>
      </c>
      <c r="BP17" s="65">
        <f t="shared" si="26"/>
        <v>29.999999999972715</v>
      </c>
      <c r="BQ17" s="60">
        <v>45712</v>
      </c>
      <c r="BR17" s="65">
        <f t="shared" si="27"/>
        <v>33</v>
      </c>
      <c r="BS17" s="60">
        <v>201.24</v>
      </c>
      <c r="BT17" s="65">
        <f t="shared" si="42"/>
        <v>30.000000000001137</v>
      </c>
      <c r="BU17" s="60">
        <v>41354</v>
      </c>
      <c r="BV17" s="65">
        <f t="shared" si="29"/>
        <v>37</v>
      </c>
      <c r="BW17" s="60">
        <v>232.34</v>
      </c>
      <c r="BX17" s="65">
        <f t="shared" si="30"/>
        <v>20.000000000010232</v>
      </c>
      <c r="BY17" s="60">
        <v>61079</v>
      </c>
      <c r="BZ17" s="67">
        <f t="shared" si="31"/>
        <v>46</v>
      </c>
      <c r="CA17" s="60">
        <v>32525.599999999999</v>
      </c>
      <c r="CB17" s="67">
        <f t="shared" si="32"/>
        <v>30.5</v>
      </c>
      <c r="CC17" s="60">
        <v>12317.9</v>
      </c>
      <c r="CD17" s="67">
        <f t="shared" si="33"/>
        <v>7.1000000000003638</v>
      </c>
      <c r="CE17" s="60">
        <v>6494</v>
      </c>
      <c r="CF17" s="67">
        <f t="shared" si="34"/>
        <v>4.6000000000003638</v>
      </c>
      <c r="CG17" s="60">
        <v>60121</v>
      </c>
      <c r="CH17" s="67">
        <f t="shared" si="35"/>
        <v>29.19999999999709</v>
      </c>
      <c r="CI17" s="60">
        <v>953363</v>
      </c>
      <c r="CJ17" s="67">
        <f t="shared" si="36"/>
        <v>262</v>
      </c>
      <c r="CK17" s="60">
        <v>774.22</v>
      </c>
      <c r="CL17" s="64">
        <f t="shared" si="37"/>
        <v>610.00000000001364</v>
      </c>
      <c r="CM17" s="65">
        <f t="shared" si="41"/>
        <v>68</v>
      </c>
      <c r="CN17" s="62">
        <v>16</v>
      </c>
      <c r="CO17" s="62">
        <v>59</v>
      </c>
      <c r="CP17" s="68">
        <v>10397</v>
      </c>
      <c r="CQ17" s="67">
        <f t="shared" si="38"/>
        <v>49</v>
      </c>
      <c r="CR17" s="68">
        <v>14536</v>
      </c>
      <c r="CS17" s="67">
        <f t="shared" si="38"/>
        <v>19</v>
      </c>
      <c r="CT17" s="75">
        <v>6654</v>
      </c>
      <c r="CU17" s="67">
        <f t="shared" si="38"/>
        <v>11</v>
      </c>
      <c r="CV17" s="68">
        <v>15757</v>
      </c>
      <c r="CW17" s="67">
        <f t="shared" si="38"/>
        <v>28</v>
      </c>
    </row>
    <row r="18" spans="1:101" ht="25.5" customHeight="1" thickBot="1" x14ac:dyDescent="0.45">
      <c r="A18" s="63">
        <v>44392</v>
      </c>
      <c r="B18" s="44"/>
      <c r="C18" s="58">
        <v>2.3264</v>
      </c>
      <c r="D18" s="64">
        <f t="shared" si="0"/>
        <v>2299.9999999999686</v>
      </c>
      <c r="E18" s="58">
        <v>3.3089</v>
      </c>
      <c r="F18" s="64">
        <f t="shared" si="1"/>
        <v>2299.9999999999686</v>
      </c>
      <c r="G18" s="58">
        <v>3.3637000000000001</v>
      </c>
      <c r="H18" s="64">
        <f t="shared" si="2"/>
        <v>2600.0000000001578</v>
      </c>
      <c r="I18" s="58">
        <v>1.6598999999999999</v>
      </c>
      <c r="J18" s="64">
        <f t="shared" si="3"/>
        <v>1199.9999999998679</v>
      </c>
      <c r="K18" s="58">
        <v>2.6791999999999998</v>
      </c>
      <c r="L18" s="64">
        <f t="shared" si="4"/>
        <v>1900.0000000000127</v>
      </c>
      <c r="M18" s="58">
        <v>1.4749000000000001</v>
      </c>
      <c r="N18" s="64">
        <f t="shared" si="5"/>
        <v>800.00000000013392</v>
      </c>
      <c r="O18" s="58">
        <v>14482</v>
      </c>
      <c r="P18" s="67">
        <f t="shared" si="44"/>
        <v>4</v>
      </c>
      <c r="Q18" s="58">
        <v>1064</v>
      </c>
      <c r="R18" s="67">
        <f t="shared" si="6"/>
        <v>1</v>
      </c>
      <c r="S18" s="58">
        <v>1006400</v>
      </c>
      <c r="T18" s="67">
        <f t="shared" si="7"/>
        <v>800</v>
      </c>
      <c r="U18" s="58">
        <v>422750</v>
      </c>
      <c r="V18" s="67">
        <f t="shared" si="8"/>
        <v>319.09999999997672</v>
      </c>
      <c r="W18" s="58">
        <v>402.72</v>
      </c>
      <c r="X18" s="65">
        <f t="shared" si="9"/>
        <v>240.00000000000909</v>
      </c>
      <c r="Y18" s="58">
        <v>2.8925999999999998</v>
      </c>
      <c r="Z18" s="65">
        <f t="shared" si="10"/>
        <v>1999.9999999997797</v>
      </c>
      <c r="AA18" s="58">
        <v>400.87</v>
      </c>
      <c r="AB18" s="65">
        <f t="shared" si="11"/>
        <v>189.99999999999773</v>
      </c>
      <c r="AC18" s="58">
        <v>374.98</v>
      </c>
      <c r="AD18" s="65">
        <f t="shared" si="12"/>
        <v>230.00000000001819</v>
      </c>
      <c r="AE18" s="58">
        <v>572.13</v>
      </c>
      <c r="AF18" s="65">
        <f t="shared" si="13"/>
        <v>289.99999999996362</v>
      </c>
      <c r="AG18" s="58">
        <v>5069</v>
      </c>
      <c r="AH18" s="67">
        <f t="shared" si="14"/>
        <v>32</v>
      </c>
      <c r="AI18" s="58">
        <v>626.01</v>
      </c>
      <c r="AJ18" s="65">
        <f t="shared" si="15"/>
        <v>730.00000000001819</v>
      </c>
      <c r="AK18" s="58">
        <v>207.76</v>
      </c>
      <c r="AL18" s="65">
        <f t="shared" si="15"/>
        <v>159.99999999999659</v>
      </c>
      <c r="AM18" s="58">
        <v>197.58</v>
      </c>
      <c r="AN18" s="65">
        <f t="shared" si="15"/>
        <v>140.00000000001478</v>
      </c>
      <c r="AO18" s="58">
        <v>191.29</v>
      </c>
      <c r="AP18" s="65">
        <f t="shared" si="15"/>
        <v>90.000000000003411</v>
      </c>
      <c r="AQ18" s="58">
        <v>249.99</v>
      </c>
      <c r="AR18" s="65">
        <f t="shared" si="16"/>
        <v>150.00000000000568</v>
      </c>
      <c r="AS18" s="58">
        <v>375.81</v>
      </c>
      <c r="AT18" s="65">
        <f t="shared" si="17"/>
        <v>220.00000000002728</v>
      </c>
      <c r="AU18" s="58">
        <v>286.76</v>
      </c>
      <c r="AV18" s="65">
        <f t="shared" si="18"/>
        <v>60.000000000002274</v>
      </c>
      <c r="AW18" s="58">
        <v>321.2</v>
      </c>
      <c r="AX18" s="65">
        <f t="shared" si="19"/>
        <v>229.99999999996135</v>
      </c>
      <c r="AY18" s="58">
        <v>362.35</v>
      </c>
      <c r="AZ18" s="65">
        <f t="shared" si="20"/>
        <v>40.000000000020464</v>
      </c>
      <c r="BA18" s="58">
        <v>381.64</v>
      </c>
      <c r="BB18" s="65">
        <f t="shared" si="21"/>
        <v>39.99999999996362</v>
      </c>
      <c r="BC18" s="58">
        <v>243.2</v>
      </c>
      <c r="BD18" s="65">
        <f t="shared" si="22"/>
        <v>139.99999999998636</v>
      </c>
      <c r="BE18" s="59">
        <v>40899</v>
      </c>
      <c r="BF18" s="67">
        <f t="shared" si="39"/>
        <v>31</v>
      </c>
      <c r="BG18" s="60">
        <v>234.86</v>
      </c>
      <c r="BH18" s="65">
        <f t="shared" si="23"/>
        <v>40.000000000020464</v>
      </c>
      <c r="BI18" s="60">
        <v>293.64999999999998</v>
      </c>
      <c r="BJ18" s="65">
        <f t="shared" si="40"/>
        <v>29.999999999972715</v>
      </c>
      <c r="BK18" s="60">
        <v>237.46</v>
      </c>
      <c r="BL18" s="65">
        <f t="shared" si="24"/>
        <v>30.000000000001137</v>
      </c>
      <c r="BM18" s="60">
        <v>224.49</v>
      </c>
      <c r="BN18" s="65">
        <f t="shared" si="25"/>
        <v>30.000000000001137</v>
      </c>
      <c r="BO18" s="60">
        <v>288.29000000000002</v>
      </c>
      <c r="BP18" s="65">
        <f t="shared" si="26"/>
        <v>40.000000000020464</v>
      </c>
      <c r="BQ18" s="60">
        <v>45740</v>
      </c>
      <c r="BR18" s="65">
        <f t="shared" si="27"/>
        <v>28</v>
      </c>
      <c r="BS18" s="60">
        <v>201.27</v>
      </c>
      <c r="BT18" s="65">
        <f t="shared" si="42"/>
        <v>30.000000000001137</v>
      </c>
      <c r="BU18" s="60">
        <v>41387</v>
      </c>
      <c r="BV18" s="65">
        <f t="shared" si="29"/>
        <v>33</v>
      </c>
      <c r="BW18" s="60">
        <v>232.36</v>
      </c>
      <c r="BX18" s="65">
        <f t="shared" si="30"/>
        <v>20.000000000010232</v>
      </c>
      <c r="BY18" s="60">
        <v>61120</v>
      </c>
      <c r="BZ18" s="67">
        <f t="shared" si="31"/>
        <v>41</v>
      </c>
      <c r="CA18" s="60">
        <v>32564.5</v>
      </c>
      <c r="CB18" s="67">
        <f t="shared" si="32"/>
        <v>38.900000000001455</v>
      </c>
      <c r="CC18" s="60">
        <v>12325</v>
      </c>
      <c r="CD18" s="67">
        <f t="shared" si="33"/>
        <v>7.1000000000003638</v>
      </c>
      <c r="CE18" s="60">
        <v>6495.5</v>
      </c>
      <c r="CF18" s="67">
        <f t="shared" si="34"/>
        <v>1.5</v>
      </c>
      <c r="CG18" s="60">
        <v>60154.5</v>
      </c>
      <c r="CH18" s="67">
        <f t="shared" si="35"/>
        <v>33.5</v>
      </c>
      <c r="CI18" s="60">
        <v>953624</v>
      </c>
      <c r="CJ18" s="67">
        <f t="shared" si="36"/>
        <v>261</v>
      </c>
      <c r="CK18" s="60">
        <v>774.83</v>
      </c>
      <c r="CL18" s="64">
        <f t="shared" si="37"/>
        <v>610.00000000001364</v>
      </c>
      <c r="CM18" s="65">
        <f t="shared" si="41"/>
        <v>77</v>
      </c>
      <c r="CN18" s="62">
        <v>15</v>
      </c>
      <c r="CO18" s="62">
        <v>58</v>
      </c>
      <c r="CP18" s="68">
        <v>10450</v>
      </c>
      <c r="CQ18" s="67">
        <f t="shared" si="38"/>
        <v>53</v>
      </c>
      <c r="CR18" s="68">
        <v>14560</v>
      </c>
      <c r="CS18" s="67">
        <f t="shared" si="38"/>
        <v>24</v>
      </c>
      <c r="CT18" s="75">
        <v>6666</v>
      </c>
      <c r="CU18" s="67">
        <f t="shared" si="38"/>
        <v>12</v>
      </c>
      <c r="CV18" s="68">
        <v>15776</v>
      </c>
      <c r="CW18" s="67">
        <f t="shared" si="38"/>
        <v>19</v>
      </c>
    </row>
    <row r="19" spans="1:101" ht="25.5" customHeight="1" thickBot="1" x14ac:dyDescent="0.45">
      <c r="A19" s="63">
        <v>44393</v>
      </c>
      <c r="B19" s="44"/>
      <c r="C19" s="58"/>
      <c r="D19" s="64" t="str">
        <f t="shared" si="0"/>
        <v>0</v>
      </c>
      <c r="E19" s="58"/>
      <c r="F19" s="64" t="str">
        <f t="shared" si="1"/>
        <v>0</v>
      </c>
      <c r="G19" s="58"/>
      <c r="H19" s="64" t="str">
        <f t="shared" si="2"/>
        <v>0</v>
      </c>
      <c r="I19" s="58"/>
      <c r="J19" s="64" t="str">
        <f t="shared" si="3"/>
        <v>0</v>
      </c>
      <c r="K19" s="58"/>
      <c r="L19" s="64" t="str">
        <f t="shared" si="4"/>
        <v>0</v>
      </c>
      <c r="M19" s="58"/>
      <c r="N19" s="64" t="str">
        <f t="shared" si="5"/>
        <v/>
      </c>
      <c r="O19" s="58"/>
      <c r="P19" s="67" t="str">
        <f t="shared" si="44"/>
        <v/>
      </c>
      <c r="Q19" s="58"/>
      <c r="R19" s="67" t="str">
        <f t="shared" si="6"/>
        <v/>
      </c>
      <c r="S19" s="58"/>
      <c r="T19" s="67" t="str">
        <f t="shared" si="7"/>
        <v/>
      </c>
      <c r="U19" s="58"/>
      <c r="V19" s="67" t="str">
        <f t="shared" si="8"/>
        <v/>
      </c>
      <c r="W19" s="58"/>
      <c r="X19" s="65" t="str">
        <f t="shared" si="9"/>
        <v/>
      </c>
      <c r="Y19" s="58"/>
      <c r="Z19" s="65" t="str">
        <f t="shared" si="10"/>
        <v/>
      </c>
      <c r="AA19" s="58"/>
      <c r="AB19" s="65" t="str">
        <f t="shared" si="11"/>
        <v/>
      </c>
      <c r="AC19" s="58"/>
      <c r="AD19" s="65" t="str">
        <f t="shared" si="12"/>
        <v/>
      </c>
      <c r="AE19" s="58"/>
      <c r="AF19" s="65" t="str">
        <f t="shared" si="13"/>
        <v/>
      </c>
      <c r="AG19" s="58"/>
      <c r="AH19" s="67" t="str">
        <f t="shared" si="14"/>
        <v/>
      </c>
      <c r="AI19" s="58"/>
      <c r="AJ19" s="65" t="str">
        <f t="shared" si="15"/>
        <v/>
      </c>
      <c r="AK19" s="58"/>
      <c r="AL19" s="65" t="str">
        <f t="shared" si="15"/>
        <v/>
      </c>
      <c r="AM19" s="58"/>
      <c r="AN19" s="65" t="str">
        <f t="shared" si="15"/>
        <v/>
      </c>
      <c r="AO19" s="58"/>
      <c r="AP19" s="65" t="str">
        <f t="shared" si="15"/>
        <v/>
      </c>
      <c r="AQ19" s="58"/>
      <c r="AR19" s="65" t="str">
        <f t="shared" si="16"/>
        <v/>
      </c>
      <c r="AS19" s="58"/>
      <c r="AT19" s="65" t="str">
        <f t="shared" si="17"/>
        <v/>
      </c>
      <c r="AU19" s="58"/>
      <c r="AV19" s="65" t="str">
        <f t="shared" si="18"/>
        <v/>
      </c>
      <c r="AW19" s="58"/>
      <c r="AX19" s="65" t="str">
        <f t="shared" si="19"/>
        <v/>
      </c>
      <c r="AY19" s="58"/>
      <c r="AZ19" s="65" t="str">
        <f t="shared" si="20"/>
        <v/>
      </c>
      <c r="BA19" s="58"/>
      <c r="BB19" s="65" t="str">
        <f t="shared" si="21"/>
        <v/>
      </c>
      <c r="BC19" s="58"/>
      <c r="BD19" s="65" t="str">
        <f t="shared" si="22"/>
        <v/>
      </c>
      <c r="BE19" s="59"/>
      <c r="BF19" s="67" t="str">
        <f t="shared" si="39"/>
        <v/>
      </c>
      <c r="BG19" s="60"/>
      <c r="BH19" s="65" t="str">
        <f t="shared" si="23"/>
        <v/>
      </c>
      <c r="BI19" s="60"/>
      <c r="BJ19" s="65" t="str">
        <f t="shared" si="40"/>
        <v/>
      </c>
      <c r="BK19" s="60"/>
      <c r="BL19" s="65" t="str">
        <f t="shared" si="24"/>
        <v/>
      </c>
      <c r="BM19" s="60"/>
      <c r="BN19" s="65" t="str">
        <f t="shared" si="25"/>
        <v/>
      </c>
      <c r="BO19" s="60"/>
      <c r="BP19" s="65" t="str">
        <f t="shared" si="26"/>
        <v/>
      </c>
      <c r="BQ19" s="60"/>
      <c r="BR19" s="65" t="str">
        <f t="shared" si="27"/>
        <v/>
      </c>
      <c r="BS19" s="60"/>
      <c r="BT19" s="65" t="str">
        <f t="shared" si="42"/>
        <v/>
      </c>
      <c r="BU19" s="60"/>
      <c r="BV19" s="65" t="str">
        <f t="shared" si="29"/>
        <v/>
      </c>
      <c r="BW19" s="60"/>
      <c r="BX19" s="65" t="str">
        <f t="shared" si="30"/>
        <v/>
      </c>
      <c r="BY19" s="60"/>
      <c r="BZ19" s="67" t="str">
        <f t="shared" si="31"/>
        <v/>
      </c>
      <c r="CA19" s="60"/>
      <c r="CB19" s="67" t="str">
        <f t="shared" si="32"/>
        <v/>
      </c>
      <c r="CC19" s="60"/>
      <c r="CD19" s="67" t="str">
        <f t="shared" si="33"/>
        <v/>
      </c>
      <c r="CE19" s="60"/>
      <c r="CF19" s="67" t="str">
        <f t="shared" si="34"/>
        <v/>
      </c>
      <c r="CG19" s="60"/>
      <c r="CH19" s="67" t="str">
        <f t="shared" si="35"/>
        <v/>
      </c>
      <c r="CI19" s="60"/>
      <c r="CJ19" s="67" t="str">
        <f t="shared" si="36"/>
        <v/>
      </c>
      <c r="CK19" s="60"/>
      <c r="CL19" s="64" t="str">
        <f t="shared" si="37"/>
        <v/>
      </c>
      <c r="CM19" s="65" t="e">
        <f t="shared" si="41"/>
        <v>#VALUE!</v>
      </c>
      <c r="CN19" s="62">
        <v>0</v>
      </c>
      <c r="CO19" s="62">
        <v>0</v>
      </c>
      <c r="CP19" s="68"/>
      <c r="CQ19" s="67" t="str">
        <f t="shared" si="38"/>
        <v/>
      </c>
      <c r="CR19" s="68"/>
      <c r="CS19" s="67" t="str">
        <f t="shared" si="38"/>
        <v/>
      </c>
      <c r="CT19" s="75"/>
      <c r="CU19" s="67" t="str">
        <f t="shared" si="38"/>
        <v/>
      </c>
      <c r="CV19" s="68"/>
      <c r="CW19" s="67" t="str">
        <f t="shared" si="38"/>
        <v/>
      </c>
    </row>
    <row r="20" spans="1:101" ht="25.5" customHeight="1" thickBot="1" x14ac:dyDescent="0.45">
      <c r="A20" s="63">
        <v>44394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44395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44396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44397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44398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44399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44400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44401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44402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44403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44404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44405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44406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44407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44408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2" zoomScaleNormal="100" workbookViewId="0">
      <selection activeCell="D23" sqref="D2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44012</v>
      </c>
      <c r="B7" s="40">
        <v>0</v>
      </c>
      <c r="C7" s="40">
        <v>10</v>
      </c>
      <c r="D7" s="40">
        <v>25</v>
      </c>
      <c r="E7" s="41">
        <v>85</v>
      </c>
      <c r="F7" s="41">
        <v>5376</v>
      </c>
      <c r="G7" s="41">
        <v>40</v>
      </c>
      <c r="H7" s="41">
        <v>1539</v>
      </c>
      <c r="I7" s="41">
        <v>85</v>
      </c>
      <c r="J7" s="41">
        <v>360</v>
      </c>
      <c r="K7" s="42">
        <v>85</v>
      </c>
      <c r="L7" s="42">
        <v>80</v>
      </c>
      <c r="M7" s="42">
        <v>1349</v>
      </c>
      <c r="N7" s="39">
        <v>85</v>
      </c>
      <c r="O7" s="39">
        <v>65</v>
      </c>
      <c r="P7" s="39">
        <v>85</v>
      </c>
      <c r="Q7" s="39">
        <v>3884</v>
      </c>
      <c r="R7" s="78">
        <v>70</v>
      </c>
      <c r="S7" s="78">
        <v>198</v>
      </c>
    </row>
    <row r="8" spans="1:20" x14ac:dyDescent="0.25">
      <c r="A8" s="73">
        <v>44013</v>
      </c>
      <c r="B8" s="40">
        <v>0</v>
      </c>
      <c r="C8" s="40">
        <v>10</v>
      </c>
      <c r="D8" s="40">
        <v>25</v>
      </c>
      <c r="E8" s="41">
        <v>85</v>
      </c>
      <c r="F8" s="41">
        <v>5379</v>
      </c>
      <c r="G8" s="41">
        <v>30</v>
      </c>
      <c r="H8" s="41">
        <v>1540</v>
      </c>
      <c r="I8" s="41">
        <v>85</v>
      </c>
      <c r="J8" s="41">
        <v>360</v>
      </c>
      <c r="K8" s="42">
        <v>85</v>
      </c>
      <c r="L8" s="42">
        <v>80</v>
      </c>
      <c r="M8" s="42">
        <v>1349</v>
      </c>
      <c r="N8" s="39">
        <v>85</v>
      </c>
      <c r="O8" s="39">
        <v>60</v>
      </c>
      <c r="P8" s="39">
        <v>85</v>
      </c>
      <c r="Q8" s="39">
        <v>3886</v>
      </c>
      <c r="R8" s="78">
        <v>70</v>
      </c>
      <c r="S8" s="78">
        <v>198</v>
      </c>
      <c r="T8">
        <f>S8-S7</f>
        <v>0</v>
      </c>
    </row>
    <row r="9" spans="1:20" x14ac:dyDescent="0.25">
      <c r="A9" s="73">
        <v>44014</v>
      </c>
      <c r="B9" s="40">
        <v>0</v>
      </c>
      <c r="C9" s="40">
        <v>10</v>
      </c>
      <c r="D9" s="40">
        <v>25</v>
      </c>
      <c r="E9" s="41">
        <v>85</v>
      </c>
      <c r="F9" s="41">
        <v>5384</v>
      </c>
      <c r="G9" s="41">
        <v>25</v>
      </c>
      <c r="H9" s="41">
        <v>1543</v>
      </c>
      <c r="I9" s="41">
        <v>85</v>
      </c>
      <c r="J9" s="41">
        <v>360</v>
      </c>
      <c r="K9" s="42">
        <v>85</v>
      </c>
      <c r="L9" s="42">
        <v>80</v>
      </c>
      <c r="M9" s="42">
        <v>1350</v>
      </c>
      <c r="N9" s="39">
        <v>85</v>
      </c>
      <c r="O9" s="39">
        <v>55</v>
      </c>
      <c r="P9" s="39">
        <v>85</v>
      </c>
      <c r="Q9" s="39">
        <v>3890</v>
      </c>
      <c r="R9" s="78">
        <v>70</v>
      </c>
      <c r="S9" s="78">
        <v>198</v>
      </c>
      <c r="T9">
        <f t="shared" ref="T9:T39" si="0">S9-S8</f>
        <v>0</v>
      </c>
    </row>
    <row r="10" spans="1:20" x14ac:dyDescent="0.25">
      <c r="A10" s="73">
        <v>44015</v>
      </c>
      <c r="B10" s="40">
        <v>0</v>
      </c>
      <c r="C10" s="40">
        <v>8</v>
      </c>
      <c r="D10" s="40">
        <v>20</v>
      </c>
      <c r="E10" s="41">
        <v>85</v>
      </c>
      <c r="F10" s="41">
        <v>5388</v>
      </c>
      <c r="G10" s="41">
        <v>17</v>
      </c>
      <c r="H10" s="41">
        <v>1545</v>
      </c>
      <c r="I10" s="41">
        <v>85</v>
      </c>
      <c r="J10" s="41">
        <v>361</v>
      </c>
      <c r="K10" s="42">
        <v>85</v>
      </c>
      <c r="L10" s="42">
        <v>80</v>
      </c>
      <c r="M10" s="42">
        <v>1350</v>
      </c>
      <c r="N10" s="39">
        <v>85</v>
      </c>
      <c r="O10" s="39">
        <v>50</v>
      </c>
      <c r="P10" s="39">
        <v>85</v>
      </c>
      <c r="Q10" s="39">
        <v>3894</v>
      </c>
      <c r="R10" s="78">
        <v>70</v>
      </c>
      <c r="S10" s="78">
        <v>198</v>
      </c>
      <c r="T10">
        <f t="shared" si="0"/>
        <v>0</v>
      </c>
    </row>
    <row r="11" spans="1:20" x14ac:dyDescent="0.25">
      <c r="A11" s="73">
        <v>44016</v>
      </c>
      <c r="B11" s="40">
        <v>0</v>
      </c>
      <c r="C11" s="40">
        <v>8</v>
      </c>
      <c r="D11" s="40">
        <v>20</v>
      </c>
      <c r="E11" s="41">
        <v>85</v>
      </c>
      <c r="F11" s="41">
        <v>5393</v>
      </c>
      <c r="G11" s="41">
        <v>9</v>
      </c>
      <c r="H11" s="41">
        <v>1547</v>
      </c>
      <c r="I11" s="41">
        <v>85</v>
      </c>
      <c r="J11" s="41">
        <v>362</v>
      </c>
      <c r="K11" s="42">
        <v>85</v>
      </c>
      <c r="L11" s="42">
        <v>75</v>
      </c>
      <c r="M11" s="42">
        <v>1352</v>
      </c>
      <c r="N11" s="39">
        <v>85</v>
      </c>
      <c r="O11" s="39">
        <v>48</v>
      </c>
      <c r="P11" s="39">
        <v>85</v>
      </c>
      <c r="Q11" s="39">
        <v>3898</v>
      </c>
      <c r="R11" s="78">
        <v>70</v>
      </c>
      <c r="S11" s="78">
        <v>198</v>
      </c>
      <c r="T11">
        <f t="shared" si="0"/>
        <v>0</v>
      </c>
    </row>
    <row r="12" spans="1:20" x14ac:dyDescent="0.25">
      <c r="A12" s="73">
        <v>44017</v>
      </c>
      <c r="B12" s="40">
        <v>0</v>
      </c>
      <c r="C12" s="40">
        <v>8</v>
      </c>
      <c r="D12" s="40">
        <v>20</v>
      </c>
      <c r="E12" s="41">
        <v>85</v>
      </c>
      <c r="F12" s="41">
        <v>5398</v>
      </c>
      <c r="G12" s="41">
        <v>0</v>
      </c>
      <c r="H12" s="41">
        <v>1550</v>
      </c>
      <c r="I12" s="41">
        <v>85</v>
      </c>
      <c r="J12" s="41">
        <v>363</v>
      </c>
      <c r="K12" s="42">
        <v>85</v>
      </c>
      <c r="L12" s="42">
        <v>74</v>
      </c>
      <c r="M12" s="42">
        <v>1353</v>
      </c>
      <c r="N12" s="39">
        <v>85</v>
      </c>
      <c r="O12" s="39">
        <v>45</v>
      </c>
      <c r="P12" s="39">
        <v>85</v>
      </c>
      <c r="Q12" s="39">
        <v>3900</v>
      </c>
      <c r="R12" s="78">
        <v>70</v>
      </c>
      <c r="S12" s="78">
        <v>198</v>
      </c>
      <c r="T12">
        <f t="shared" si="0"/>
        <v>0</v>
      </c>
    </row>
    <row r="13" spans="1:20" x14ac:dyDescent="0.25">
      <c r="A13" s="73">
        <v>44018</v>
      </c>
      <c r="B13" s="40">
        <v>0</v>
      </c>
      <c r="C13" s="40">
        <v>11</v>
      </c>
      <c r="D13" s="40">
        <v>27</v>
      </c>
      <c r="E13" s="41">
        <v>85</v>
      </c>
      <c r="F13" s="41">
        <v>5403</v>
      </c>
      <c r="G13" s="41">
        <v>0</v>
      </c>
      <c r="H13" s="41">
        <v>1553</v>
      </c>
      <c r="I13" s="41">
        <v>83</v>
      </c>
      <c r="J13" s="41">
        <v>365</v>
      </c>
      <c r="K13" s="42">
        <v>85</v>
      </c>
      <c r="L13" s="42">
        <v>74</v>
      </c>
      <c r="M13" s="42">
        <v>1353</v>
      </c>
      <c r="N13" s="39">
        <v>85</v>
      </c>
      <c r="O13" s="39">
        <v>40</v>
      </c>
      <c r="P13" s="39">
        <v>85</v>
      </c>
      <c r="Q13" s="39">
        <v>3905</v>
      </c>
      <c r="R13" s="78">
        <v>70</v>
      </c>
      <c r="S13" s="78">
        <v>198</v>
      </c>
      <c r="T13">
        <f t="shared" si="0"/>
        <v>0</v>
      </c>
    </row>
    <row r="14" spans="1:20" x14ac:dyDescent="0.25">
      <c r="A14" s="73">
        <v>44019</v>
      </c>
      <c r="B14" s="40">
        <v>0</v>
      </c>
      <c r="C14" s="40">
        <v>14</v>
      </c>
      <c r="D14" s="40">
        <v>31</v>
      </c>
      <c r="E14" s="41">
        <v>85</v>
      </c>
      <c r="F14" s="41">
        <v>5408</v>
      </c>
      <c r="G14" s="41">
        <v>0</v>
      </c>
      <c r="H14" s="41">
        <v>1556</v>
      </c>
      <c r="I14" s="41">
        <v>73</v>
      </c>
      <c r="J14" s="41">
        <v>365</v>
      </c>
      <c r="K14" s="42">
        <v>85</v>
      </c>
      <c r="L14" s="42">
        <v>70</v>
      </c>
      <c r="M14" s="42">
        <v>1355</v>
      </c>
      <c r="N14" s="39">
        <v>85</v>
      </c>
      <c r="O14" s="39">
        <v>35</v>
      </c>
      <c r="P14" s="39">
        <v>85</v>
      </c>
      <c r="Q14" s="39">
        <v>3909</v>
      </c>
      <c r="R14" s="78">
        <v>70</v>
      </c>
      <c r="S14" s="78">
        <v>198</v>
      </c>
      <c r="T14">
        <f t="shared" si="0"/>
        <v>0</v>
      </c>
    </row>
    <row r="15" spans="1:20" x14ac:dyDescent="0.25">
      <c r="A15" s="73">
        <v>44020</v>
      </c>
      <c r="B15" s="40">
        <v>0</v>
      </c>
      <c r="C15" s="40">
        <v>12</v>
      </c>
      <c r="D15" s="40">
        <v>29</v>
      </c>
      <c r="E15" s="41">
        <v>85</v>
      </c>
      <c r="F15" s="41">
        <v>5412</v>
      </c>
      <c r="G15" s="41">
        <v>0</v>
      </c>
      <c r="H15" s="41">
        <v>1561</v>
      </c>
      <c r="I15" s="41">
        <v>65</v>
      </c>
      <c r="J15" s="41">
        <v>366</v>
      </c>
      <c r="K15" s="42">
        <v>85</v>
      </c>
      <c r="L15" s="42">
        <v>70</v>
      </c>
      <c r="M15" s="42">
        <v>1355</v>
      </c>
      <c r="N15" s="39">
        <v>85</v>
      </c>
      <c r="O15" s="39">
        <v>30</v>
      </c>
      <c r="P15" s="39">
        <v>85</v>
      </c>
      <c r="Q15" s="39">
        <v>3914</v>
      </c>
      <c r="R15" s="78">
        <v>70</v>
      </c>
      <c r="S15" s="78">
        <v>198</v>
      </c>
      <c r="T15">
        <f t="shared" si="0"/>
        <v>0</v>
      </c>
    </row>
    <row r="16" spans="1:20" x14ac:dyDescent="0.25">
      <c r="A16" s="73">
        <v>44021</v>
      </c>
      <c r="B16" s="40">
        <v>0</v>
      </c>
      <c r="C16" s="40">
        <v>12</v>
      </c>
      <c r="D16" s="40">
        <v>29</v>
      </c>
      <c r="E16" s="41">
        <v>85</v>
      </c>
      <c r="F16" s="41">
        <v>5417</v>
      </c>
      <c r="G16" s="41">
        <v>0</v>
      </c>
      <c r="H16" s="41">
        <v>1563</v>
      </c>
      <c r="I16" s="41">
        <v>50</v>
      </c>
      <c r="J16" s="41">
        <v>367</v>
      </c>
      <c r="K16" s="42">
        <v>85</v>
      </c>
      <c r="L16" s="42">
        <v>70</v>
      </c>
      <c r="M16" s="42">
        <v>1356</v>
      </c>
      <c r="N16" s="39">
        <v>85</v>
      </c>
      <c r="O16" s="39">
        <v>20</v>
      </c>
      <c r="P16" s="39">
        <v>85</v>
      </c>
      <c r="Q16" s="39">
        <v>3918</v>
      </c>
      <c r="R16" s="78">
        <v>70</v>
      </c>
      <c r="S16" s="78">
        <v>198</v>
      </c>
      <c r="T16">
        <f t="shared" si="0"/>
        <v>0</v>
      </c>
    </row>
    <row r="17" spans="1:20" x14ac:dyDescent="0.25">
      <c r="A17" s="73">
        <v>44022</v>
      </c>
      <c r="B17" s="40">
        <v>0</v>
      </c>
      <c r="C17" s="40">
        <v>14</v>
      </c>
      <c r="D17" s="40">
        <v>46</v>
      </c>
      <c r="E17" s="41">
        <v>85</v>
      </c>
      <c r="F17" s="41">
        <v>5422</v>
      </c>
      <c r="G17" s="41">
        <v>0</v>
      </c>
      <c r="H17" s="41">
        <v>1566</v>
      </c>
      <c r="I17" s="41">
        <v>45</v>
      </c>
      <c r="J17" s="41">
        <v>367</v>
      </c>
      <c r="K17" s="42">
        <v>85</v>
      </c>
      <c r="L17" s="42">
        <v>70</v>
      </c>
      <c r="M17" s="42">
        <v>1356</v>
      </c>
      <c r="N17" s="39">
        <v>85</v>
      </c>
      <c r="O17" s="39">
        <v>20</v>
      </c>
      <c r="P17" s="39">
        <v>85</v>
      </c>
      <c r="Q17" s="39">
        <v>3923</v>
      </c>
      <c r="R17" s="78">
        <v>70</v>
      </c>
      <c r="S17" s="78">
        <v>198</v>
      </c>
      <c r="T17">
        <f t="shared" si="0"/>
        <v>0</v>
      </c>
    </row>
    <row r="18" spans="1:20" x14ac:dyDescent="0.25">
      <c r="A18" s="73">
        <v>44023</v>
      </c>
      <c r="B18" s="40">
        <v>0</v>
      </c>
      <c r="C18" s="40">
        <v>13</v>
      </c>
      <c r="D18" s="40">
        <v>45</v>
      </c>
      <c r="E18" s="41">
        <v>85</v>
      </c>
      <c r="F18" s="41">
        <v>5427</v>
      </c>
      <c r="G18" s="41">
        <v>0</v>
      </c>
      <c r="H18" s="41">
        <v>1568</v>
      </c>
      <c r="I18" s="41">
        <v>30</v>
      </c>
      <c r="J18" s="41">
        <v>369</v>
      </c>
      <c r="K18" s="42">
        <v>85</v>
      </c>
      <c r="L18" s="42">
        <v>70</v>
      </c>
      <c r="M18" s="42">
        <v>1358</v>
      </c>
      <c r="N18" s="39">
        <v>85</v>
      </c>
      <c r="O18" s="39">
        <v>15</v>
      </c>
      <c r="P18" s="39">
        <v>85</v>
      </c>
      <c r="Q18" s="39">
        <v>3926</v>
      </c>
      <c r="R18" s="78">
        <v>70</v>
      </c>
      <c r="S18" s="78">
        <v>198</v>
      </c>
      <c r="T18">
        <f t="shared" si="0"/>
        <v>0</v>
      </c>
    </row>
    <row r="19" spans="1:20" x14ac:dyDescent="0.25">
      <c r="A19" s="73">
        <v>44024</v>
      </c>
      <c r="B19" s="40">
        <v>0</v>
      </c>
      <c r="C19" s="40">
        <v>13</v>
      </c>
      <c r="D19" s="40">
        <v>45</v>
      </c>
      <c r="E19" s="41">
        <v>85</v>
      </c>
      <c r="F19" s="41">
        <v>5432</v>
      </c>
      <c r="G19" s="41">
        <v>0</v>
      </c>
      <c r="H19" s="41">
        <v>1571</v>
      </c>
      <c r="I19" s="41">
        <v>20</v>
      </c>
      <c r="J19" s="41">
        <v>369</v>
      </c>
      <c r="K19" s="42">
        <v>85</v>
      </c>
      <c r="L19" s="42">
        <v>70</v>
      </c>
      <c r="M19" s="42">
        <v>1358</v>
      </c>
      <c r="N19" s="39">
        <v>85</v>
      </c>
      <c r="O19" s="39">
        <v>10</v>
      </c>
      <c r="P19" s="39">
        <v>85</v>
      </c>
      <c r="Q19" s="39">
        <v>3929</v>
      </c>
      <c r="R19" s="78">
        <v>70</v>
      </c>
      <c r="S19" s="78">
        <v>198</v>
      </c>
      <c r="T19">
        <f t="shared" si="0"/>
        <v>0</v>
      </c>
    </row>
    <row r="20" spans="1:20" x14ac:dyDescent="0.25">
      <c r="A20" s="73">
        <v>44025</v>
      </c>
      <c r="B20" s="40">
        <v>0</v>
      </c>
      <c r="C20" s="40">
        <v>13</v>
      </c>
      <c r="D20" s="40">
        <v>50</v>
      </c>
      <c r="E20" s="41">
        <v>85</v>
      </c>
      <c r="F20" s="41">
        <v>5437</v>
      </c>
      <c r="G20" s="41">
        <v>0</v>
      </c>
      <c r="H20" s="41">
        <v>1575</v>
      </c>
      <c r="I20" s="41">
        <v>7</v>
      </c>
      <c r="J20" s="41">
        <v>370</v>
      </c>
      <c r="K20" s="42">
        <v>85</v>
      </c>
      <c r="L20" s="42">
        <v>65</v>
      </c>
      <c r="M20" s="42">
        <v>1360</v>
      </c>
      <c r="N20" s="39">
        <v>85</v>
      </c>
      <c r="O20" s="39">
        <v>10</v>
      </c>
      <c r="P20" s="39">
        <v>85</v>
      </c>
      <c r="Q20" s="39">
        <v>3932</v>
      </c>
      <c r="R20" s="78">
        <v>70</v>
      </c>
      <c r="S20" s="78">
        <v>198</v>
      </c>
      <c r="T20">
        <f t="shared" si="0"/>
        <v>0</v>
      </c>
    </row>
    <row r="21" spans="1:20" x14ac:dyDescent="0.25">
      <c r="A21" s="73">
        <v>44026</v>
      </c>
      <c r="B21" s="40">
        <v>0</v>
      </c>
      <c r="C21" s="40">
        <v>16</v>
      </c>
      <c r="D21" s="40">
        <v>59</v>
      </c>
      <c r="E21" s="41">
        <v>85</v>
      </c>
      <c r="F21" s="41">
        <v>5442</v>
      </c>
      <c r="G21" s="41">
        <v>0</v>
      </c>
      <c r="H21" s="41">
        <v>1577</v>
      </c>
      <c r="I21" s="41">
        <v>7</v>
      </c>
      <c r="J21" s="41">
        <v>371</v>
      </c>
      <c r="K21" s="42">
        <v>85</v>
      </c>
      <c r="L21" s="42">
        <v>65</v>
      </c>
      <c r="M21" s="42">
        <v>1361</v>
      </c>
      <c r="N21" s="39">
        <v>85</v>
      </c>
      <c r="O21" s="39">
        <v>5</v>
      </c>
      <c r="P21" s="39">
        <v>85</v>
      </c>
      <c r="Q21" s="39">
        <v>3935</v>
      </c>
      <c r="R21" s="78">
        <v>70</v>
      </c>
      <c r="S21" s="78">
        <v>198</v>
      </c>
      <c r="T21">
        <f t="shared" si="0"/>
        <v>0</v>
      </c>
    </row>
    <row r="22" spans="1:20" x14ac:dyDescent="0.25">
      <c r="A22" s="73">
        <v>44027</v>
      </c>
      <c r="B22" s="40">
        <v>0</v>
      </c>
      <c r="C22" s="40">
        <v>15</v>
      </c>
      <c r="D22" s="40">
        <v>58</v>
      </c>
      <c r="E22" s="41">
        <v>75</v>
      </c>
      <c r="F22" s="41">
        <v>5447</v>
      </c>
      <c r="G22" s="41">
        <v>0</v>
      </c>
      <c r="H22" s="41">
        <v>1580</v>
      </c>
      <c r="I22" s="41">
        <v>7</v>
      </c>
      <c r="J22" s="41">
        <v>372</v>
      </c>
      <c r="K22" s="42">
        <v>85</v>
      </c>
      <c r="L22" s="42">
        <v>60</v>
      </c>
      <c r="M22" s="42">
        <v>1361</v>
      </c>
      <c r="N22" s="39">
        <v>85</v>
      </c>
      <c r="O22" s="39">
        <v>5</v>
      </c>
      <c r="P22" s="39">
        <v>85</v>
      </c>
      <c r="Q22" s="39">
        <v>3939</v>
      </c>
      <c r="R22" s="78">
        <v>70</v>
      </c>
      <c r="S22" s="78">
        <v>198</v>
      </c>
      <c r="T22">
        <f t="shared" si="0"/>
        <v>0</v>
      </c>
    </row>
    <row r="23" spans="1:20" x14ac:dyDescent="0.25">
      <c r="A23" s="73">
        <v>44028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-198</v>
      </c>
    </row>
    <row r="24" spans="1:20" x14ac:dyDescent="0.25">
      <c r="A24" s="73">
        <v>44029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44030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44031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44032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44033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44034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44035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2021-07-16T18:53:33Z</dcterms:modified>
</cp:coreProperties>
</file>