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1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<sst xmlns="http://schemas.openxmlformats.org/spreadsheetml/2006/main" count="296" uniqueCount="138">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</sst>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4640.0000000001019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17.399999999999999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4649.9999999997281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30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 t="e">
        <f>Submetering!E22+Submetering!F22+Submetering!G22+Submetering!H22-Submetering!AV22</f>
        <v>#VALUE!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abSelected="1"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>
        <f>'FS Desroches Daily'!BF21</f>
        <v>30</v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1399.9999999998458</v>
      </c>
      <c r="F20" s="36">
        <f>'FS Desroches Daily'!F22</f>
        <v>900.0000000001229</v>
      </c>
      <c r="G20" s="35">
        <f>'FS Desroches Daily'!H22</f>
        <v>1500.0000000000568</v>
      </c>
      <c r="H20" s="36">
        <f>'FS Desroches Daily'!J22</f>
        <v>1200.0000000000898</v>
      </c>
      <c r="I20" s="35">
        <f>'FS Desroches Daily'!L22</f>
        <v>2199.9999999999795</v>
      </c>
      <c r="J20" s="36">
        <f>'FS Desroches Daily'!N22</f>
        <v>999.99999999988984</v>
      </c>
      <c r="K20" s="13">
        <f>'FS Desroches Daily'!P22</f>
        <v>0</v>
      </c>
      <c r="L20" s="35">
        <f>'FS Desroches Daily'!R22</f>
        <v>6</v>
      </c>
      <c r="M20" s="35">
        <f>'FS Desroches Daily'!T22</f>
        <v>85</v>
      </c>
      <c r="N20" s="35">
        <f>'FS Desroches Daily'!V22</f>
        <v>52</v>
      </c>
      <c r="O20" s="35">
        <f>'FS Desroches Daily'!X22</f>
        <v>180.00000000000682</v>
      </c>
      <c r="P20" s="35">
        <f>'FS Desroches Daily'!Z22</f>
        <v>500.00000000016701</v>
      </c>
      <c r="Q20" s="35">
        <f>'FS Desroches Daily'!AB22</f>
        <v>110.00000000001364</v>
      </c>
      <c r="R20" s="35">
        <f>'FS Desroches Daily'!AD22</f>
        <v>300.00000000001137</v>
      </c>
      <c r="S20" s="35">
        <f>'FS Desroches Daily'!AF22</f>
        <v>519.99999999998181</v>
      </c>
      <c r="T20" s="35">
        <f>'FS Desroches Daily'!AH22</f>
        <v>0.90000000000009095</v>
      </c>
      <c r="U20" s="39">
        <f>'FS Desroches Daily'!AJ22</f>
        <v>279.99999999997272</v>
      </c>
      <c r="V20" s="39">
        <f>'FS Desroches Daily'!AL22</f>
        <v>0.15999999999999659</v>
      </c>
      <c r="W20" s="39">
        <f>'FS Desroches Daily'!AN22</f>
        <v>0.13999999999998636</v>
      </c>
      <c r="X20" s="39">
        <f>'FS Desroches Daily'!AP22</f>
        <v>9.9999999999994316E-2</v>
      </c>
      <c r="Y20" s="39">
        <f>'FS Desroches Daily'!AR22</f>
        <v>110.00000000001364</v>
      </c>
      <c r="Z20" s="39">
        <f>'FS Desroches Daily'!AT22</f>
        <v>90.000000000031832</v>
      </c>
      <c r="AA20" s="39">
        <f>'FS Desroches Daily'!AT22</f>
        <v>90.000000000031832</v>
      </c>
      <c r="AB20" s="39">
        <f>'FS Desroches Daily'!AV22</f>
        <v>100.00000000002274</v>
      </c>
      <c r="AC20" s="39">
        <f>'FS Desroches Daily'!AZ22</f>
        <v>40.000000000020464</v>
      </c>
      <c r="AD20" s="39">
        <f>'FS Desroches Daily'!BB22</f>
        <v>79.999999999984084</v>
      </c>
      <c r="AE20" s="39">
        <f>'FS Desroches Daily'!BD22</f>
        <v>0</v>
      </c>
      <c r="AF20" s="35">
        <f>'FS Desroches Daily'!BF22</f>
        <v>30</v>
      </c>
      <c r="AG20" s="36">
        <f>'FS Desroches Daily'!BH22</f>
        <v>10.000000000019327</v>
      </c>
      <c r="AH20" s="36">
        <f>'FS Desroches Daily'!BJ22</f>
        <v>29.999999999972715</v>
      </c>
      <c r="AI20" s="36">
        <f>'FS Desroches Daily'!BL22</f>
        <v>19.99999999998181</v>
      </c>
      <c r="AJ20" s="36">
        <f>'FS Desroches Daily'!BN22</f>
        <v>39.999999999992042</v>
      </c>
      <c r="AK20" s="36">
        <f>'FS Desroches Daily'!BP22</f>
        <v>30.000000000029559</v>
      </c>
      <c r="AL20" s="36">
        <f>'FS Desroches Daily'!BR22</f>
        <v>12</v>
      </c>
      <c r="AM20" s="36">
        <f>'FS Desroches Daily'!BT22</f>
        <v>20.000000000010232</v>
      </c>
      <c r="AN20" s="36">
        <f>'FS Desroches Daily'!BV22</f>
        <v>15</v>
      </c>
      <c r="AO20" s="36">
        <f>'FS Desroches Daily'!BX22</f>
        <v>20.000000000010232</v>
      </c>
      <c r="AP20" s="36">
        <f>'FS Desroches Daily'!BZ22</f>
        <v>29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65.80000000000291</v>
      </c>
      <c r="AU20" s="35">
        <f>'FS Desroches Daily'!CJ22</f>
        <v>198</v>
      </c>
      <c r="AV20" s="35">
        <f>'FS Desroches Daily'!CL22</f>
        <v>360.00000000001364</v>
      </c>
      <c r="AW20" s="35">
        <f>'FS Desroches Daily'!CM22</f>
        <v>17.399999999999999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1400.0000000000678</v>
      </c>
      <c r="F21" s="36">
        <f>'FS Desroches Daily'!F23</f>
        <v>799.99999999991189</v>
      </c>
      <c r="G21" s="35">
        <f>'FS Desroches Daily'!H23</f>
        <v>1799.9999999998017</v>
      </c>
      <c r="H21" s="36">
        <f>'FS Desroches Daily'!J23</f>
        <v>1099.9999999998788</v>
      </c>
      <c r="I21" s="35">
        <f>'FS Desroches Daily'!L23</f>
        <v>2099.9999999999909</v>
      </c>
      <c r="J21" s="36">
        <f>'FS Desroches Daily'!N23</f>
        <v>1000.0000000001119</v>
      </c>
      <c r="K21" s="13">
        <f>'FS Desroches Daily'!P23</f>
        <v>0</v>
      </c>
      <c r="L21" s="35">
        <f>'FS Desroches Daily'!R23</f>
        <v>3</v>
      </c>
      <c r="M21" s="35">
        <f>'FS Desroches Daily'!T23</f>
        <v>92</v>
      </c>
      <c r="N21" s="35">
        <f>'FS Desroches Daily'!V23</f>
        <v>57</v>
      </c>
      <c r="O21" s="35">
        <f>'FS Desroches Daily'!X23</f>
        <v>199.99999999998863</v>
      </c>
      <c r="P21" s="35">
        <f>'FS Desroches Daily'!Z23</f>
        <v>599.99999999993395</v>
      </c>
      <c r="Q21" s="35">
        <f>'FS Desroches Daily'!AB23</f>
        <v>89.999999999974989</v>
      </c>
      <c r="R21" s="35">
        <f>'FS Desroches Daily'!AD23</f>
        <v>259.99999999999091</v>
      </c>
      <c r="S21" s="35">
        <f>'FS Desroches Daily'!AF23</f>
        <v>500</v>
      </c>
      <c r="T21" s="35">
        <f>'FS Desroches Daily'!AH23</f>
        <v>1.0999999999999091</v>
      </c>
      <c r="U21" s="39">
        <f>'FS Desroches Daily'!AJ23</f>
        <v>300.00000000001137</v>
      </c>
      <c r="V21" s="39">
        <f>'FS Desroches Daily'!AL23</f>
        <v>0</v>
      </c>
      <c r="W21" s="39">
        <f>'FS Desroches Daily'!AN23</f>
        <v>0.12000000000000455</v>
      </c>
      <c r="X21" s="39">
        <f>'FS Desroches Daily'!AP23</f>
        <v>0.10999999999998522</v>
      </c>
      <c r="Y21" s="39">
        <f>'FS Desroches Daily'!AR23</f>
        <v>99.999999999994316</v>
      </c>
      <c r="Z21" s="39">
        <f>'FS Desroches Daily'!AT23</f>
        <v>79.999999999984084</v>
      </c>
      <c r="AA21" s="39">
        <f>'FS Desroches Daily'!AT23</f>
        <v>79.999999999984084</v>
      </c>
      <c r="AB21" s="39">
        <f>'FS Desroches Daily'!AV23</f>
        <v>89.999999999974989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19.99999999998181</v>
      </c>
      <c r="AF21" s="35">
        <f>'FS Desroches Daily'!BF23</f>
        <v>31</v>
      </c>
      <c r="AG21" s="36">
        <f>'FS Desroches Daily'!BH23</f>
        <v>19.99999999998181</v>
      </c>
      <c r="AH21" s="36">
        <f>'FS Desroches Daily'!BJ23</f>
        <v>19.99999999998181</v>
      </c>
      <c r="AI21" s="36">
        <f>'FS Desroches Daily'!BL23</f>
        <v>20.000000000010232</v>
      </c>
      <c r="AJ21" s="36">
        <f>'FS Desroches Daily'!BN23</f>
        <v>20.000000000010232</v>
      </c>
      <c r="AK21" s="36">
        <f>'FS Desroches Daily'!BP23</f>
        <v>29.999999999972715</v>
      </c>
      <c r="AL21" s="36">
        <f>'FS Desroches Daily'!BR23</f>
        <v>11</v>
      </c>
      <c r="AM21" s="36">
        <f>'FS Desroches Daily'!BT23</f>
        <v>9.9999999999909051</v>
      </c>
      <c r="AN21" s="36">
        <f>'FS Desroches Daily'!BV23</f>
        <v>14</v>
      </c>
      <c r="AO21" s="36">
        <f>'FS Desroches Daily'!BX23</f>
        <v>19.99999999998181</v>
      </c>
      <c r="AP21" s="36">
        <f>'FS Desroches Daily'!BZ23</f>
        <v>16</v>
      </c>
      <c r="AQ21" s="35">
        <f>'FS Desroches Daily'!CB23</f>
        <v>0</v>
      </c>
      <c r="AR21" s="35" t="str">
        <f>'FS Desroches Daily'!CD23</f>
        <v/>
      </c>
      <c r="AS21" s="35">
        <f>'FS Desroches Daily'!CF23</f>
        <v>0</v>
      </c>
      <c r="AT21" s="35">
        <f>'FS Desroches Daily'!CH23</f>
        <v>60.899999999994179</v>
      </c>
      <c r="AU21" s="35">
        <f>'FS Desroches Daily'!CJ23</f>
        <v>219</v>
      </c>
      <c r="AV21" s="35">
        <f>'FS Desroches Daily'!CL23</f>
        <v>449.99999999993179</v>
      </c>
      <c r="AW21" s="35">
        <f>'FS Desroches Daily'!CM23</f>
        <v>30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 t="str">
        <f>'FS Desroches Daily'!D24</f>
        <v>0</v>
      </c>
      <c r="F22" s="36" t="str">
        <f>'FS Desroches Daily'!F24</f>
        <v>0</v>
      </c>
      <c r="G22" s="35" t="str">
        <f>'FS Desroches Daily'!H24</f>
        <v>0</v>
      </c>
      <c r="H22" s="36" t="str">
        <f>'FS Desroches Daily'!J24</f>
        <v>0</v>
      </c>
      <c r="I22" s="35" t="str">
        <f>'FS Desroches Daily'!L24</f>
        <v>0</v>
      </c>
      <c r="J22" s="36" t="str">
        <f>'FS Desroches Daily'!N24</f>
        <v/>
      </c>
      <c r="K22" s="13" t="str">
        <f>'FS Desroches Daily'!P24</f>
        <v/>
      </c>
      <c r="L22" s="35" t="str">
        <f>'FS Desroches Daily'!R24</f>
        <v/>
      </c>
      <c r="M22" s="35" t="str">
        <f>'FS Desroches Daily'!T24</f>
        <v/>
      </c>
      <c r="N22" s="35" t="str">
        <f>'FS Desroches Daily'!V24</f>
        <v/>
      </c>
      <c r="O22" s="35" t="str">
        <f>'FS Desroches Daily'!X24</f>
        <v/>
      </c>
      <c r="P22" s="35" t="str">
        <f>'FS Desroches Daily'!Z24</f>
        <v/>
      </c>
      <c r="Q22" s="35" t="str">
        <f>'FS Desroches Daily'!AB24</f>
        <v/>
      </c>
      <c r="R22" s="35" t="str">
        <f>'FS Desroches Daily'!AD24</f>
        <v/>
      </c>
      <c r="S22" s="35" t="str">
        <f>'FS Desroches Daily'!AF24</f>
        <v/>
      </c>
      <c r="T22" s="35" t="str">
        <f>'FS Desroches Daily'!AH24</f>
        <v/>
      </c>
      <c r="U22" s="39" t="str">
        <f>'FS Desroches Daily'!AJ24</f>
        <v/>
      </c>
      <c r="V22" s="39" t="str">
        <f>'FS Desroches Daily'!AL24</f>
        <v/>
      </c>
      <c r="W22" s="39" t="str">
        <f>'FS Desroches Daily'!AN24</f>
        <v/>
      </c>
      <c r="X22" s="39" t="str">
        <f>'FS Desroches Daily'!AP24</f>
        <v/>
      </c>
      <c r="Y22" s="39" t="str">
        <f>'FS Desroches Daily'!AR24</f>
        <v/>
      </c>
      <c r="Z22" s="39" t="str">
        <f>'FS Desroches Daily'!AT24</f>
        <v/>
      </c>
      <c r="AA22" s="39" t="str">
        <f>'FS Desroches Daily'!AT24</f>
        <v/>
      </c>
      <c r="AB22" s="39" t="str">
        <f>'FS Desroches Daily'!AV24</f>
        <v/>
      </c>
      <c r="AC22" s="39" t="str">
        <f>'FS Desroches Daily'!AZ24</f>
        <v/>
      </c>
      <c r="AD22" s="39" t="str">
        <f>'FS Desroches Daily'!BB24</f>
        <v/>
      </c>
      <c r="AE22" s="39" t="str">
        <f>'FS Desroches Daily'!BD24</f>
        <v/>
      </c>
      <c r="AF22" s="35" t="str">
        <f>'FS Desroches Daily'!BF24</f>
        <v/>
      </c>
      <c r="AG22" s="36" t="str">
        <f>'FS Desroches Daily'!BH24</f>
        <v/>
      </c>
      <c r="AH22" s="36" t="str">
        <f>'FS Desroches Daily'!BJ24</f>
        <v/>
      </c>
      <c r="AI22" s="36" t="str">
        <f>'FS Desroches Daily'!BL24</f>
        <v/>
      </c>
      <c r="AJ22" s="36" t="str">
        <f>'FS Desroches Daily'!BN24</f>
        <v/>
      </c>
      <c r="AK22" s="36" t="str">
        <f>'FS Desroches Daily'!BP24</f>
        <v/>
      </c>
      <c r="AL22" s="36" t="str">
        <f>'FS Desroches Daily'!BR24</f>
        <v/>
      </c>
      <c r="AM22" s="36" t="str">
        <f>'FS Desroches Daily'!BT24</f>
        <v/>
      </c>
      <c r="AN22" s="36" t="str">
        <f>'FS Desroches Daily'!BV24</f>
        <v/>
      </c>
      <c r="AO22" s="36" t="str">
        <f>'FS Desroches Daily'!BX24</f>
        <v/>
      </c>
      <c r="AP22" s="36" t="str">
        <f>'FS Desroches Daily'!BZ24</f>
        <v/>
      </c>
      <c r="AQ22" s="35" t="str">
        <f>'FS Desroches Daily'!CB24</f>
        <v/>
      </c>
      <c r="AR22" s="35" t="str">
        <f>'FS Desroches Daily'!CD24</f>
        <v/>
      </c>
      <c r="AS22" s="35" t="str">
        <f>'FS Desroches Daily'!CF24</f>
        <v/>
      </c>
      <c r="AT22" s="35" t="str">
        <f>'FS Desroches Daily'!CH24</f>
        <v/>
      </c>
      <c r="AU22" s="35" t="str">
        <f>'FS Desroches Daily'!CJ24</f>
        <v/>
      </c>
      <c r="AV22" s="35" t="str">
        <f>'FS Desroches Daily'!CL24</f>
        <v/>
      </c>
      <c r="AW22" s="35">
        <f>'FS Desroches Daily'!CM24</f>
        <v>0</v>
      </c>
      <c r="AX22" s="35" t="str">
        <f>IF(LPG!F29-LPG!F28&lt;0,"0",(LPG!F29-LPG!F28)*1.8315)</f>
        <v>0</v>
      </c>
      <c r="AY22" s="35" t="str">
        <f>IF(LPG!H29-LPG!H28&lt;0,"0",(LPG!H29-LPG!H28)*1.8315)</f>
        <v>0</v>
      </c>
      <c r="AZ22" s="35" t="str">
        <f>IF(LPG!J29-LPG!J28&lt;0,"0",(LPG!J29-LPG!J28)*1.8315)</f>
        <v>0</v>
      </c>
      <c r="BA22" s="35" t="str">
        <f>IF(LPG!M29-LPG!M28&lt;0,"0",(LPG!M29-LPG!M28)*1.8315)</f>
        <v>0</v>
      </c>
      <c r="BB22" s="35" t="str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32300.000000000007</v>
      </c>
      <c r="F33" s="17">
        <f t="shared" ref="F33:BC33" si="1">SUM(F2:F32)</f>
        <v>19200.000000000109</v>
      </c>
      <c r="G33" s="17">
        <f t="shared" si="1"/>
        <v>36000.000000000044</v>
      </c>
      <c r="H33" s="17">
        <f t="shared" si="1"/>
        <v>25199.999999999894</v>
      </c>
      <c r="I33" s="17">
        <f t="shared" si="1"/>
        <v>45799.999999999825</v>
      </c>
      <c r="J33" s="17">
        <f t="shared" si="1"/>
        <v>23000.000000000131</v>
      </c>
      <c r="K33" s="17">
        <f t="shared" si="1"/>
        <v>5</v>
      </c>
      <c r="L33" s="17">
        <f t="shared" si="1"/>
        <v>108</v>
      </c>
      <c r="M33" s="17">
        <f t="shared" si="1"/>
        <v>3958</v>
      </c>
      <c r="N33" s="17">
        <f t="shared" si="1"/>
        <v>2343</v>
      </c>
      <c r="O33" s="17">
        <f t="shared" si="1"/>
        <v>4350.0000000000236</v>
      </c>
      <c r="P33" s="17">
        <f t="shared" si="1"/>
        <v>12399.999999999971</v>
      </c>
      <c r="Q33" s="17">
        <f t="shared" si="1"/>
        <v>2329.9999999999841</v>
      </c>
      <c r="R33" s="17">
        <f t="shared" si="1"/>
        <v>6419.99999999996</v>
      </c>
      <c r="S33" s="17">
        <f t="shared" si="1"/>
        <v>12120.000000000004</v>
      </c>
      <c r="T33" s="17">
        <f t="shared" si="1"/>
        <v>19.700000000000045</v>
      </c>
      <c r="U33" s="39">
        <f t="shared" si="1"/>
        <v>5920.0000000000164</v>
      </c>
      <c r="V33" s="39">
        <f t="shared" si="1"/>
        <v>3.5400000000000205</v>
      </c>
      <c r="W33" s="39">
        <f t="shared" si="1"/>
        <v>2.9699999999999989</v>
      </c>
      <c r="X33" s="39">
        <f t="shared" si="1"/>
        <v>2.8199999999999932</v>
      </c>
      <c r="Y33" s="39">
        <f t="shared" si="1"/>
        <v>2659.9999999999973</v>
      </c>
      <c r="Z33" s="39">
        <f t="shared" si="1"/>
        <v>2331.8599999999933</v>
      </c>
      <c r="AA33" s="39">
        <f t="shared" si="1"/>
        <v>2331.8599999999933</v>
      </c>
      <c r="AB33" s="39">
        <f t="shared" si="1"/>
        <v>1769.9999999999818</v>
      </c>
      <c r="AC33" s="39">
        <f t="shared" si="1"/>
        <v>1610.0000000000136</v>
      </c>
      <c r="AD33" s="39">
        <f t="shared" si="1"/>
        <v>1839.999999999975</v>
      </c>
      <c r="AE33" s="39">
        <f t="shared" si="1"/>
        <v>229.99999999998977</v>
      </c>
      <c r="AF33" s="17">
        <f t="shared" si="1"/>
        <v>642</v>
      </c>
      <c r="AG33" s="36">
        <f t="shared" si="1"/>
        <v>599.99999999999432</v>
      </c>
      <c r="AH33" s="36">
        <f t="shared" si="1"/>
        <v>729.99999999996135</v>
      </c>
      <c r="AI33" s="36">
        <f t="shared" si="1"/>
        <v>680.00000000000682</v>
      </c>
      <c r="AJ33" s="36">
        <f t="shared" si="1"/>
        <v>930.00000000000682</v>
      </c>
      <c r="AK33" s="36">
        <f t="shared" si="1"/>
        <v>1019.9999999999818</v>
      </c>
      <c r="AL33" s="36">
        <f t="shared" si="1"/>
        <v>443</v>
      </c>
      <c r="AM33" s="36">
        <f t="shared" si="1"/>
        <v>460.00000000000796</v>
      </c>
      <c r="AN33" s="36">
        <f t="shared" si="1"/>
        <v>496</v>
      </c>
      <c r="AO33" s="36">
        <f t="shared" si="1"/>
        <v>719.99999999999886</v>
      </c>
      <c r="AP33" s="36">
        <f t="shared" si="1"/>
        <v>821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1124.5</v>
      </c>
      <c r="AU33" s="17">
        <f t="shared" si="1"/>
        <v>4731</v>
      </c>
      <c r="AV33" s="17">
        <f t="shared" si="1"/>
        <v>8399.9999999999782</v>
      </c>
      <c r="AW33" s="17">
        <f t="shared" si="1"/>
        <v>550.5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139.19399999999996</v>
      </c>
      <c r="BC33" s="17">
        <f t="shared" si="1"/>
        <v>0</v>
      </c>
    </row>
    <row r="35" spans="5:55" x14ac:dyDescent="0.25">
      <c r="E35" s="42">
        <f>E33/E37</f>
        <v>0.25465554486825687</v>
      </c>
      <c r="G35" s="33">
        <f>G33-M36</f>
        <v>29699.000000000044</v>
      </c>
      <c r="AE35" s="39">
        <f>SUM(U33:AE33)</f>
        <v>18703.049999999959</v>
      </c>
      <c r="AG35" s="36">
        <f>SUM(AG33:AP33)</f>
        <v>6899.9999999999582</v>
      </c>
    </row>
    <row r="36" spans="5:55" x14ac:dyDescent="0.25">
      <c r="G36" s="33">
        <f>G35-633*14</f>
        <v>20837.000000000044</v>
      </c>
      <c r="M36" s="33">
        <f>M33+N33</f>
        <v>6301</v>
      </c>
    </row>
    <row r="37" spans="5:55" x14ac:dyDescent="0.25">
      <c r="E37" s="17">
        <f>E33+F33+G33+H33+J33-633*14</f>
        <v>126838.00000000017</v>
      </c>
      <c r="G37" s="41">
        <f>M36/E37</f>
        <v>4.9677541430801428E-2</v>
      </c>
      <c r="M37" s="39">
        <f>AE35</f>
        <v>18703.049999999959</v>
      </c>
    </row>
    <row r="38" spans="5:55" x14ac:dyDescent="0.25">
      <c r="L38" s="31">
        <f>M38/E37</f>
        <v>5.4400100916128832E-2</v>
      </c>
      <c r="M38" s="33">
        <f>AG35</f>
        <v>6899.9999999999582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opLeftCell="BQ1" zoomScale="70" zoomScaleNormal="70" workbookViewId="0">
      <pane ySplit="1" topLeftCell="A2" activePane="bottomLeft" state="frozen"/>
      <selection pane="bottomLeft" activeCell="BZ22" sqref="BZ22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>
        <v>27525</v>
      </c>
      <c r="BF21" s="72">
        <f t="shared" si="15"/>
        <v>30</v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>
        <v>1.6498999999999999</v>
      </c>
      <c r="D22" s="71">
        <f t="shared" si="3"/>
        <v>1399.9999999998458</v>
      </c>
      <c r="E22" s="64">
        <v>2.6732</v>
      </c>
      <c r="F22" s="71">
        <f t="shared" si="4"/>
        <v>900.0000000001229</v>
      </c>
      <c r="G22" s="64">
        <v>2.4780000000000002</v>
      </c>
      <c r="H22" s="71">
        <f t="shared" si="5"/>
        <v>1500.0000000000568</v>
      </c>
      <c r="I22" s="64">
        <v>1.1806000000000001</v>
      </c>
      <c r="J22" s="71">
        <f t="shared" si="43"/>
        <v>1200.0000000000898</v>
      </c>
      <c r="K22" s="64">
        <v>1.8070999999999999</v>
      </c>
      <c r="L22" s="71">
        <f t="shared" si="0"/>
        <v>2199.9999999999795</v>
      </c>
      <c r="M22" s="64">
        <v>1.1577999999999999</v>
      </c>
      <c r="N22" s="71">
        <f t="shared" si="6"/>
        <v>999.99999999988984</v>
      </c>
      <c r="O22" s="64">
        <v>12541</v>
      </c>
      <c r="P22" s="72">
        <f t="shared" si="7"/>
        <v>0</v>
      </c>
      <c r="Q22" s="64">
        <v>5216</v>
      </c>
      <c r="R22" s="72">
        <f t="shared" si="8"/>
        <v>6</v>
      </c>
      <c r="S22" s="64">
        <v>823197</v>
      </c>
      <c r="T22" s="72">
        <f t="shared" si="44"/>
        <v>85</v>
      </c>
      <c r="U22" s="64">
        <v>333145</v>
      </c>
      <c r="V22" s="72">
        <f t="shared" si="10"/>
        <v>52</v>
      </c>
      <c r="W22" s="64">
        <v>324.44</v>
      </c>
      <c r="X22" s="72">
        <f t="shared" si="23"/>
        <v>180.00000000000682</v>
      </c>
      <c r="Y22" s="64">
        <v>2.3664000000000001</v>
      </c>
      <c r="Z22" s="72">
        <f t="shared" si="24"/>
        <v>500.00000000016701</v>
      </c>
      <c r="AA22" s="64">
        <v>322.72000000000003</v>
      </c>
      <c r="AB22" s="72">
        <f t="shared" si="25"/>
        <v>110.00000000001364</v>
      </c>
      <c r="AC22" s="64">
        <v>295.83</v>
      </c>
      <c r="AD22" s="72">
        <f t="shared" si="26"/>
        <v>300.00000000001137</v>
      </c>
      <c r="AE22" s="64">
        <v>460.88</v>
      </c>
      <c r="AF22" s="72">
        <f t="shared" si="27"/>
        <v>519.99999999998181</v>
      </c>
      <c r="AG22" s="64">
        <v>1182.7</v>
      </c>
      <c r="AH22" s="72">
        <f t="shared" si="11"/>
        <v>0.90000000000009095</v>
      </c>
      <c r="AI22" s="64">
        <v>406.14</v>
      </c>
      <c r="AJ22" s="72">
        <f t="shared" si="28"/>
        <v>279.99999999997272</v>
      </c>
      <c r="AK22" s="64">
        <v>143.77000000000001</v>
      </c>
      <c r="AL22" s="72">
        <f t="shared" si="12"/>
        <v>0.15999999999999659</v>
      </c>
      <c r="AM22" s="64">
        <v>145.29</v>
      </c>
      <c r="AN22" s="72">
        <f t="shared" si="13"/>
        <v>0.13999999999998636</v>
      </c>
      <c r="AO22" s="64">
        <v>141.87</v>
      </c>
      <c r="AP22" s="72">
        <f t="shared" si="14"/>
        <v>9.9999999999994316E-2</v>
      </c>
      <c r="AQ22" s="64">
        <v>213.4</v>
      </c>
      <c r="AR22" s="72">
        <f t="shared" si="29"/>
        <v>110.00000000001364</v>
      </c>
      <c r="AS22" s="64">
        <v>339.92</v>
      </c>
      <c r="AT22" s="72">
        <f t="shared" si="30"/>
        <v>90.000000000031832</v>
      </c>
      <c r="AU22" s="64">
        <v>262.05</v>
      </c>
      <c r="AV22" s="72">
        <f t="shared" si="31"/>
        <v>100.00000000002274</v>
      </c>
      <c r="AW22" s="64">
        <v>289.64</v>
      </c>
      <c r="AX22" s="72">
        <f t="shared" si="32"/>
        <v>99.999999999965894</v>
      </c>
      <c r="AY22" s="64">
        <v>340.67</v>
      </c>
      <c r="AZ22" s="72">
        <f t="shared" si="33"/>
        <v>40.000000000020464</v>
      </c>
      <c r="BA22" s="64">
        <v>360.87</v>
      </c>
      <c r="BB22" s="72">
        <f t="shared" si="34"/>
        <v>79.999999999984084</v>
      </c>
      <c r="BC22" s="64">
        <v>203.05</v>
      </c>
      <c r="BD22" s="72">
        <f t="shared" si="35"/>
        <v>0</v>
      </c>
      <c r="BE22" s="66">
        <v>27555</v>
      </c>
      <c r="BF22" s="72">
        <f t="shared" si="15"/>
        <v>30</v>
      </c>
      <c r="BG22" s="67">
        <v>223.08</v>
      </c>
      <c r="BH22" s="72">
        <f t="shared" si="36"/>
        <v>10.000000000019327</v>
      </c>
      <c r="BI22" s="67">
        <v>280.63</v>
      </c>
      <c r="BJ22" s="72">
        <f t="shared" si="37"/>
        <v>29.999999999972715</v>
      </c>
      <c r="BK22" s="67">
        <v>228.64</v>
      </c>
      <c r="BL22" s="72">
        <f t="shared" si="38"/>
        <v>19.99999999998181</v>
      </c>
      <c r="BM22" s="67">
        <v>211.53</v>
      </c>
      <c r="BN22" s="72">
        <f t="shared" si="39"/>
        <v>39.999999999992042</v>
      </c>
      <c r="BO22" s="67">
        <v>275.68</v>
      </c>
      <c r="BP22" s="72">
        <f t="shared" si="40"/>
        <v>30.000000000029559</v>
      </c>
      <c r="BQ22" s="67">
        <v>37745</v>
      </c>
      <c r="BR22" s="72">
        <f t="shared" si="16"/>
        <v>12</v>
      </c>
      <c r="BS22" s="67">
        <v>192.08</v>
      </c>
      <c r="BT22" s="72">
        <f t="shared" si="41"/>
        <v>20.000000000010232</v>
      </c>
      <c r="BU22" s="67">
        <v>28739</v>
      </c>
      <c r="BV22" s="72">
        <f t="shared" si="1"/>
        <v>15</v>
      </c>
      <c r="BW22" s="67">
        <v>221.96</v>
      </c>
      <c r="BX22" s="72">
        <f t="shared" si="42"/>
        <v>20.000000000010232</v>
      </c>
      <c r="BY22" s="67">
        <v>47046</v>
      </c>
      <c r="BZ22" s="72">
        <f t="shared" si="17"/>
        <v>29</v>
      </c>
      <c r="CA22" s="67">
        <v>27497.9</v>
      </c>
      <c r="CB22" s="72">
        <f t="shared" si="18"/>
        <v>0</v>
      </c>
      <c r="CC22" s="67">
        <v>11250.2</v>
      </c>
      <c r="CD22" s="72">
        <f>IF((CC23-CC21&lt;0), "",CC23-CC21)</f>
        <v>0</v>
      </c>
      <c r="CE22" s="67">
        <v>5472</v>
      </c>
      <c r="CF22" s="72">
        <f t="shared" si="20"/>
        <v>0</v>
      </c>
      <c r="CG22" s="67">
        <v>42655.3</v>
      </c>
      <c r="CH22" s="72">
        <f t="shared" si="21"/>
        <v>65.80000000000291</v>
      </c>
      <c r="CI22" s="67">
        <v>847375</v>
      </c>
      <c r="CJ22" s="72">
        <f t="shared" si="2"/>
        <v>198</v>
      </c>
      <c r="CK22" s="67">
        <v>550.59</v>
      </c>
      <c r="CL22" s="71">
        <f t="shared" si="22"/>
        <v>360.00000000001364</v>
      </c>
      <c r="CM22" s="72">
        <v>17.399999999999999</v>
      </c>
      <c r="CN22" s="69">
        <v>0</v>
      </c>
      <c r="CO22" s="69">
        <v>0</v>
      </c>
    </row>
    <row r="23" spans="1:93" ht="25.5" customHeight="1" thickBot="1" x14ac:dyDescent="0.45">
      <c r="A23" s="70">
        <v>43941</v>
      </c>
      <c r="B23" s="48"/>
      <c r="C23" s="64">
        <v>1.6513</v>
      </c>
      <c r="D23" s="71">
        <f t="shared" si="3"/>
        <v>1400.0000000000678</v>
      </c>
      <c r="E23" s="64">
        <v>2.6739999999999999</v>
      </c>
      <c r="F23" s="71">
        <f t="shared" si="4"/>
        <v>799.99999999991189</v>
      </c>
      <c r="G23" s="64">
        <v>2.4798</v>
      </c>
      <c r="H23" s="71">
        <f t="shared" si="5"/>
        <v>1799.9999999998017</v>
      </c>
      <c r="I23" s="64">
        <v>1.1817</v>
      </c>
      <c r="J23" s="71">
        <f t="shared" si="43"/>
        <v>1099.9999999998788</v>
      </c>
      <c r="K23" s="64">
        <v>1.8091999999999999</v>
      </c>
      <c r="L23" s="71">
        <f t="shared" si="0"/>
        <v>2099.9999999999909</v>
      </c>
      <c r="M23" s="64">
        <v>1.1588000000000001</v>
      </c>
      <c r="N23" s="71">
        <f t="shared" si="6"/>
        <v>1000.0000000001119</v>
      </c>
      <c r="O23" s="64">
        <v>12541</v>
      </c>
      <c r="P23" s="72">
        <f t="shared" si="7"/>
        <v>0</v>
      </c>
      <c r="Q23" s="64">
        <v>5219</v>
      </c>
      <c r="R23" s="72">
        <f t="shared" si="8"/>
        <v>3</v>
      </c>
      <c r="S23" s="64">
        <v>823289</v>
      </c>
      <c r="T23" s="72">
        <f t="shared" si="44"/>
        <v>92</v>
      </c>
      <c r="U23" s="64">
        <v>333202</v>
      </c>
      <c r="V23" s="72">
        <f t="shared" si="10"/>
        <v>57</v>
      </c>
      <c r="W23" s="64">
        <v>324.64</v>
      </c>
      <c r="X23" s="72">
        <f t="shared" si="23"/>
        <v>199.99999999998863</v>
      </c>
      <c r="Y23" s="64">
        <v>2.367</v>
      </c>
      <c r="Z23" s="72">
        <f t="shared" si="24"/>
        <v>599.99999999993395</v>
      </c>
      <c r="AA23" s="64">
        <v>322.81</v>
      </c>
      <c r="AB23" s="72">
        <f t="shared" si="25"/>
        <v>89.999999999974989</v>
      </c>
      <c r="AC23" s="64">
        <v>296.08999999999997</v>
      </c>
      <c r="AD23" s="72">
        <f t="shared" si="26"/>
        <v>259.99999999999091</v>
      </c>
      <c r="AE23" s="64">
        <v>461.38</v>
      </c>
      <c r="AF23" s="72">
        <f t="shared" si="27"/>
        <v>500</v>
      </c>
      <c r="AG23" s="64">
        <v>1183.8</v>
      </c>
      <c r="AH23" s="72">
        <f t="shared" si="11"/>
        <v>1.0999999999999091</v>
      </c>
      <c r="AI23" s="64">
        <v>406.44</v>
      </c>
      <c r="AJ23" s="72">
        <f t="shared" si="28"/>
        <v>300.00000000001137</v>
      </c>
      <c r="AK23" s="64">
        <v>143.94</v>
      </c>
      <c r="AL23" s="72"/>
      <c r="AM23" s="64">
        <v>145.41</v>
      </c>
      <c r="AN23" s="72">
        <f t="shared" si="13"/>
        <v>0.12000000000000455</v>
      </c>
      <c r="AO23" s="64">
        <v>141.97999999999999</v>
      </c>
      <c r="AP23" s="72">
        <f t="shared" si="14"/>
        <v>0.10999999999998522</v>
      </c>
      <c r="AQ23" s="64">
        <v>213.5</v>
      </c>
      <c r="AR23" s="72">
        <f t="shared" si="29"/>
        <v>99.999999999994316</v>
      </c>
      <c r="AS23" s="64">
        <v>340</v>
      </c>
      <c r="AT23" s="72">
        <f t="shared" si="30"/>
        <v>79.999999999984084</v>
      </c>
      <c r="AU23" s="64">
        <v>262.14</v>
      </c>
      <c r="AV23" s="72">
        <f t="shared" si="31"/>
        <v>89.999999999974989</v>
      </c>
      <c r="AW23" s="64">
        <v>289.73</v>
      </c>
      <c r="AX23" s="72">
        <f t="shared" si="32"/>
        <v>90.000000000031832</v>
      </c>
      <c r="AY23" s="64">
        <v>340.72</v>
      </c>
      <c r="AZ23" s="72">
        <f t="shared" si="33"/>
        <v>50.000000000011369</v>
      </c>
      <c r="BA23" s="64">
        <v>360.94</v>
      </c>
      <c r="BB23" s="72">
        <f t="shared" si="34"/>
        <v>69.999999999993179</v>
      </c>
      <c r="BC23" s="64">
        <v>203.07</v>
      </c>
      <c r="BD23" s="72">
        <f t="shared" si="35"/>
        <v>19.99999999998181</v>
      </c>
      <c r="BE23" s="66">
        <v>27586</v>
      </c>
      <c r="BF23" s="72">
        <f t="shared" si="15"/>
        <v>31</v>
      </c>
      <c r="BG23" s="67">
        <v>223.1</v>
      </c>
      <c r="BH23" s="72">
        <f t="shared" si="36"/>
        <v>19.99999999998181</v>
      </c>
      <c r="BI23" s="67">
        <v>280.64999999999998</v>
      </c>
      <c r="BJ23" s="72">
        <f t="shared" si="37"/>
        <v>19.99999999998181</v>
      </c>
      <c r="BK23" s="67">
        <v>228.66</v>
      </c>
      <c r="BL23" s="72">
        <f t="shared" si="38"/>
        <v>20.000000000010232</v>
      </c>
      <c r="BM23" s="67">
        <v>211.55</v>
      </c>
      <c r="BN23" s="72">
        <f t="shared" si="39"/>
        <v>20.000000000010232</v>
      </c>
      <c r="BO23" s="67">
        <v>275.70999999999998</v>
      </c>
      <c r="BP23" s="72">
        <f t="shared" si="40"/>
        <v>29.999999999972715</v>
      </c>
      <c r="BQ23" s="67">
        <v>37756</v>
      </c>
      <c r="BR23" s="72">
        <f t="shared" si="16"/>
        <v>11</v>
      </c>
      <c r="BS23" s="67">
        <v>192.09</v>
      </c>
      <c r="BT23" s="72">
        <f t="shared" si="41"/>
        <v>9.9999999999909051</v>
      </c>
      <c r="BU23" s="67">
        <v>28753</v>
      </c>
      <c r="BV23" s="72">
        <f t="shared" si="1"/>
        <v>14</v>
      </c>
      <c r="BW23" s="67">
        <v>221.98</v>
      </c>
      <c r="BX23" s="72">
        <f t="shared" si="42"/>
        <v>19.99999999998181</v>
      </c>
      <c r="BY23" s="67">
        <v>47062</v>
      </c>
      <c r="BZ23" s="72">
        <f t="shared" si="17"/>
        <v>16</v>
      </c>
      <c r="CA23" s="67">
        <v>27497.9</v>
      </c>
      <c r="CB23" s="72">
        <f t="shared" si="18"/>
        <v>0</v>
      </c>
      <c r="CC23" s="67">
        <v>11250.2</v>
      </c>
      <c r="CD23" s="72" t="str">
        <f t="shared" ref="CD23:CD24" si="45">IF((CC24-CC22&lt;0), "",CC24-CC22)</f>
        <v/>
      </c>
      <c r="CE23" s="67">
        <v>5472</v>
      </c>
      <c r="CF23" s="72">
        <f t="shared" si="20"/>
        <v>0</v>
      </c>
      <c r="CG23" s="67">
        <v>42716.2</v>
      </c>
      <c r="CH23" s="72">
        <f t="shared" si="21"/>
        <v>60.899999999994179</v>
      </c>
      <c r="CI23" s="67">
        <v>847594</v>
      </c>
      <c r="CJ23" s="72">
        <f t="shared" si="2"/>
        <v>219</v>
      </c>
      <c r="CK23" s="67">
        <v>551.04</v>
      </c>
      <c r="CL23" s="71">
        <f t="shared" si="22"/>
        <v>449.99999999993179</v>
      </c>
      <c r="CM23" s="72">
        <v>30</v>
      </c>
      <c r="CN23" s="69">
        <v>0</v>
      </c>
      <c r="CO23" s="69">
        <v>0</v>
      </c>
    </row>
    <row r="24" spans="1:93" ht="25.5" customHeight="1" thickBot="1" x14ac:dyDescent="0.45">
      <c r="A24" s="70">
        <v>43942</v>
      </c>
      <c r="B24" s="48"/>
      <c r="C24" s="64"/>
      <c r="D24" s="71" t="str">
        <f t="shared" si="3"/>
        <v>0</v>
      </c>
      <c r="E24" s="64"/>
      <c r="F24" s="71" t="str">
        <f t="shared" si="4"/>
        <v>0</v>
      </c>
      <c r="G24" s="64"/>
      <c r="H24" s="71" t="str">
        <f t="shared" si="5"/>
        <v>0</v>
      </c>
      <c r="I24" s="64"/>
      <c r="J24" s="71" t="str">
        <f t="shared" si="43"/>
        <v>0</v>
      </c>
      <c r="K24" s="64"/>
      <c r="L24" s="71" t="str">
        <f t="shared" si="0"/>
        <v>0</v>
      </c>
      <c r="M24" s="64"/>
      <c r="N24" s="71" t="str">
        <f t="shared" si="6"/>
        <v/>
      </c>
      <c r="O24" s="64"/>
      <c r="P24" s="72" t="str">
        <f t="shared" si="7"/>
        <v/>
      </c>
      <c r="Q24" s="64"/>
      <c r="R24" s="72" t="str">
        <f t="shared" si="8"/>
        <v/>
      </c>
      <c r="S24" s="64"/>
      <c r="T24" s="72" t="str">
        <f t="shared" si="44"/>
        <v/>
      </c>
      <c r="U24" s="64"/>
      <c r="V24" s="72" t="str">
        <f t="shared" si="10"/>
        <v/>
      </c>
      <c r="W24" s="64"/>
      <c r="X24" s="72" t="str">
        <f t="shared" si="23"/>
        <v/>
      </c>
      <c r="Y24" s="64"/>
      <c r="Z24" s="72" t="str">
        <f t="shared" si="24"/>
        <v/>
      </c>
      <c r="AA24" s="64"/>
      <c r="AB24" s="72" t="str">
        <f t="shared" si="25"/>
        <v/>
      </c>
      <c r="AC24" s="64"/>
      <c r="AD24" s="72" t="str">
        <f t="shared" si="26"/>
        <v/>
      </c>
      <c r="AE24" s="64"/>
      <c r="AF24" s="72" t="str">
        <f t="shared" si="27"/>
        <v/>
      </c>
      <c r="AG24" s="64"/>
      <c r="AH24" s="72" t="str">
        <f t="shared" si="11"/>
        <v/>
      </c>
      <c r="AI24" s="64"/>
      <c r="AJ24" s="72" t="str">
        <f t="shared" si="28"/>
        <v/>
      </c>
      <c r="AK24" s="64"/>
      <c r="AL24" s="72" t="str">
        <f t="shared" si="12"/>
        <v/>
      </c>
      <c r="AM24" s="64"/>
      <c r="AN24" s="72" t="str">
        <f t="shared" si="13"/>
        <v/>
      </c>
      <c r="AO24" s="64"/>
      <c r="AP24" s="72" t="str">
        <f t="shared" si="14"/>
        <v/>
      </c>
      <c r="AQ24" s="64"/>
      <c r="AR24" s="72" t="str">
        <f t="shared" si="29"/>
        <v/>
      </c>
      <c r="AS24" s="64"/>
      <c r="AT24" s="72" t="str">
        <f t="shared" si="30"/>
        <v/>
      </c>
      <c r="AU24" s="64"/>
      <c r="AV24" s="72" t="str">
        <f t="shared" si="31"/>
        <v/>
      </c>
      <c r="AW24" s="64"/>
      <c r="AX24" s="72" t="str">
        <f t="shared" si="32"/>
        <v/>
      </c>
      <c r="AY24" s="64"/>
      <c r="AZ24" s="72" t="str">
        <f t="shared" si="33"/>
        <v/>
      </c>
      <c r="BA24" s="64"/>
      <c r="BB24" s="72" t="str">
        <f t="shared" si="34"/>
        <v/>
      </c>
      <c r="BC24" s="64"/>
      <c r="BD24" s="72" t="str">
        <f t="shared" si="35"/>
        <v/>
      </c>
      <c r="BE24" s="66"/>
      <c r="BF24" s="72" t="str">
        <f t="shared" si="15"/>
        <v/>
      </c>
      <c r="BG24" s="67"/>
      <c r="BH24" s="72" t="str">
        <f t="shared" si="36"/>
        <v/>
      </c>
      <c r="BI24" s="67"/>
      <c r="BJ24" s="72" t="str">
        <f t="shared" si="37"/>
        <v/>
      </c>
      <c r="BK24" s="67"/>
      <c r="BL24" s="72" t="str">
        <f t="shared" si="38"/>
        <v/>
      </c>
      <c r="BM24" s="67"/>
      <c r="BN24" s="72" t="str">
        <f t="shared" si="39"/>
        <v/>
      </c>
      <c r="BO24" s="67"/>
      <c r="BP24" s="72" t="str">
        <f t="shared" si="40"/>
        <v/>
      </c>
      <c r="BQ24" s="67"/>
      <c r="BR24" s="72" t="str">
        <f t="shared" si="16"/>
        <v/>
      </c>
      <c r="BS24" s="67"/>
      <c r="BT24" s="72" t="str">
        <f t="shared" si="41"/>
        <v/>
      </c>
      <c r="BU24" s="67"/>
      <c r="BV24" s="72" t="str">
        <f t="shared" si="1"/>
        <v/>
      </c>
      <c r="BW24" s="67"/>
      <c r="BX24" s="72" t="str">
        <f t="shared" si="42"/>
        <v/>
      </c>
      <c r="BY24" s="67"/>
      <c r="BZ24" s="72" t="str">
        <f t="shared" si="17"/>
        <v/>
      </c>
      <c r="CA24" s="67"/>
      <c r="CB24" s="72" t="str">
        <f t="shared" si="18"/>
        <v/>
      </c>
      <c r="CC24" s="67"/>
      <c r="CD24" s="72" t="str">
        <f t="shared" si="45"/>
        <v/>
      </c>
      <c r="CE24" s="67"/>
      <c r="CF24" s="72" t="str">
        <f t="shared" si="20"/>
        <v/>
      </c>
      <c r="CG24" s="67"/>
      <c r="CH24" s="72" t="str">
        <f t="shared" si="21"/>
        <v/>
      </c>
      <c r="CI24" s="67"/>
      <c r="CJ24" s="72" t="str">
        <f t="shared" si="2"/>
        <v/>
      </c>
      <c r="CK24" s="67"/>
      <c r="CL24" s="71" t="str">
        <f t="shared" si="22"/>
        <v/>
      </c>
      <c r="CM24" s="72"/>
      <c r="CN24" s="69"/>
      <c r="CO24" s="69"/>
    </row>
    <row r="25" spans="1:93" ht="25.5" customHeight="1" thickBot="1" x14ac:dyDescent="0.45">
      <c r="A25" s="70">
        <v>43943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108</v>
      </c>
      <c r="AX35" s="72">
        <f t="shared" si="32"/>
        <v>0</v>
      </c>
      <c r="BF35" s="76">
        <f>SUM(BF4:BF33)</f>
        <v>642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P30" sqref="P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>
        <v>0</v>
      </c>
      <c r="C27" s="44">
        <v>0</v>
      </c>
      <c r="D27" s="44">
        <v>0</v>
      </c>
      <c r="E27" s="45">
        <v>15</v>
      </c>
      <c r="F27" s="45">
        <v>4775</v>
      </c>
      <c r="G27" s="45">
        <v>0</v>
      </c>
      <c r="H27" s="45">
        <v>1374</v>
      </c>
      <c r="I27" s="45">
        <v>85</v>
      </c>
      <c r="J27" s="45">
        <v>273</v>
      </c>
      <c r="K27" s="46">
        <v>85</v>
      </c>
      <c r="L27" s="46">
        <v>45</v>
      </c>
      <c r="M27" s="46">
        <v>1152</v>
      </c>
      <c r="N27" s="43">
        <v>85</v>
      </c>
      <c r="O27" s="43">
        <v>0</v>
      </c>
      <c r="P27" s="43">
        <v>44</v>
      </c>
      <c r="Q27" s="43">
        <v>2337</v>
      </c>
    </row>
    <row r="28" spans="1:17" x14ac:dyDescent="0.25">
      <c r="A28" s="27">
        <v>43941</v>
      </c>
      <c r="B28" s="44">
        <v>0</v>
      </c>
      <c r="C28" s="44">
        <v>0</v>
      </c>
      <c r="D28" s="44">
        <v>0</v>
      </c>
      <c r="E28" s="45">
        <v>15</v>
      </c>
      <c r="F28" s="45">
        <v>4775</v>
      </c>
      <c r="G28" s="45">
        <v>0</v>
      </c>
      <c r="H28" s="45">
        <v>1374</v>
      </c>
      <c r="I28" s="45">
        <v>85</v>
      </c>
      <c r="J28" s="45">
        <v>273</v>
      </c>
      <c r="K28" s="46">
        <v>85</v>
      </c>
      <c r="L28" s="46">
        <v>45</v>
      </c>
      <c r="M28" s="46">
        <v>1152</v>
      </c>
      <c r="N28" s="43">
        <v>85</v>
      </c>
      <c r="O28" s="43">
        <v>0</v>
      </c>
      <c r="P28" s="43">
        <v>39</v>
      </c>
      <c r="Q28" s="43">
        <v>2341</v>
      </c>
    </row>
    <row r="29" spans="1:17" x14ac:dyDescent="0.25">
      <c r="A29" s="27">
        <v>43942</v>
      </c>
      <c r="B29" s="44">
        <v>0</v>
      </c>
      <c r="C29" s="44">
        <v>0</v>
      </c>
      <c r="D29" s="44">
        <v>0</v>
      </c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43943</v>
      </c>
      <c r="B30" s="44">
        <v>0</v>
      </c>
      <c r="C30" s="44">
        <v>0</v>
      </c>
      <c r="D30" s="44">
        <v>0</v>
      </c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>
        <v>0</v>
      </c>
      <c r="C31" s="44">
        <v>0</v>
      </c>
      <c r="D31" s="44">
        <v>0</v>
      </c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>
        <v>0</v>
      </c>
      <c r="C32" s="44">
        <v>0</v>
      </c>
      <c r="D32" s="44">
        <v>0</v>
      </c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>
        <v>0</v>
      </c>
      <c r="C33" s="44">
        <v>0</v>
      </c>
      <c r="D33" s="44">
        <v>0</v>
      </c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>
        <v>0</v>
      </c>
      <c r="C34" s="44">
        <v>0</v>
      </c>
      <c r="D34" s="44">
        <v>0</v>
      </c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>
        <v>0</v>
      </c>
      <c r="C35" s="44">
        <v>0</v>
      </c>
      <c r="D35" s="44">
        <v>0</v>
      </c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>
        <v>0</v>
      </c>
      <c r="C36" s="44">
        <v>0</v>
      </c>
      <c r="D36" s="44">
        <v>0</v>
      </c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>
        <v>0</v>
      </c>
      <c r="C37" s="44">
        <v>0</v>
      </c>
      <c r="D37" s="44">
        <v>0</v>
      </c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>
        <v>0</v>
      </c>
      <c r="C38" s="44">
        <v>0</v>
      </c>
      <c r="D38" s="44">
        <v>0</v>
      </c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>
        <v>0</v>
      </c>
      <c r="C39" s="44">
        <v>0</v>
      </c>
      <c r="D39" s="44">
        <v>0</v>
      </c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2020-04-21T10:26:12Z</dcterms:modified>
</cp:coreProperties>
</file>