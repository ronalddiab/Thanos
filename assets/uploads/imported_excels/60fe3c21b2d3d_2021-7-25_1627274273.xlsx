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8" i="9" l="1"/>
  <c r="R29" i="9"/>
  <c r="R30" i="9"/>
  <c r="R31" i="9"/>
  <c r="R32" i="9"/>
  <c r="Q28" i="9"/>
  <c r="Q29" i="9"/>
  <c r="Q30" i="9"/>
  <c r="Q31" i="9"/>
  <c r="Q32" i="9"/>
  <c r="P28" i="9"/>
  <c r="P29" i="9"/>
  <c r="P30" i="9"/>
  <c r="P31" i="9"/>
  <c r="P32" i="9"/>
  <c r="O28" i="9"/>
  <c r="O29" i="9"/>
  <c r="O30" i="9"/>
  <c r="O31" i="9"/>
  <c r="O32" i="9"/>
  <c r="N28" i="9"/>
  <c r="N29" i="9"/>
  <c r="N30" i="9"/>
  <c r="N31" i="9"/>
  <c r="M28" i="9"/>
  <c r="M29" i="9"/>
  <c r="M30" i="9"/>
  <c r="M31" i="9"/>
  <c r="M32" i="9"/>
  <c r="L28" i="9"/>
  <c r="L29" i="9"/>
  <c r="L30" i="9"/>
  <c r="L31" i="9"/>
  <c r="L32" i="9"/>
  <c r="K28" i="9"/>
  <c r="K29" i="9"/>
  <c r="K30" i="9"/>
  <c r="K31" i="9"/>
  <c r="K32" i="9"/>
  <c r="J28" i="9"/>
  <c r="J29" i="9"/>
  <c r="J30" i="9"/>
  <c r="J31" i="9"/>
  <c r="J32" i="9"/>
  <c r="I28" i="9"/>
  <c r="I29" i="9"/>
  <c r="I30" i="9"/>
  <c r="I31" i="9"/>
  <c r="I32" i="9"/>
  <c r="H30" i="9"/>
  <c r="H31" i="9"/>
  <c r="H32" i="9"/>
  <c r="G28" i="9"/>
  <c r="G29" i="9"/>
  <c r="G30" i="9"/>
  <c r="G31" i="9"/>
  <c r="G32" i="9"/>
  <c r="F28" i="9"/>
  <c r="F29" i="9"/>
  <c r="F30" i="9"/>
  <c r="F31" i="9"/>
  <c r="F32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AB36" i="7"/>
  <c r="AB37" i="7"/>
  <c r="AC31" i="7" l="1"/>
  <c r="Q26" i="9" s="1"/>
  <c r="AC32" i="7"/>
  <c r="Q27" i="9" s="1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AG33" i="7" s="1"/>
  <c r="S33" i="7"/>
  <c r="T33" i="7"/>
  <c r="H28" i="9" s="1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2" i="7" l="1"/>
  <c r="R27" i="9"/>
  <c r="G27" i="5" s="1"/>
  <c r="AW31" i="7"/>
  <c r="R26" i="9"/>
  <c r="G26" i="5" s="1"/>
  <c r="R25" i="9"/>
  <c r="G25" i="5" s="1"/>
  <c r="R24" i="9"/>
  <c r="G24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<sst xmlns="http://schemas.openxmlformats.org/spreadsheetml/2006/main" count="128" uniqueCount="49">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</sst>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Submetering!R23</f>
        <v>1040.98775</v>
      </c>
      <c r="H23" s="11">
        <v>0.52800000000000002</v>
      </c>
      <c r="I23" s="12">
        <f>Hotel!B28</f>
        <v>161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Submetering!R24</f>
        <v>1188.6187399999999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Submetering!R25</f>
        <v>969.06496000000004</v>
      </c>
      <c r="H25" s="11">
        <v>0.52800000000000002</v>
      </c>
      <c r="I25" s="12">
        <f>Hotel!B30</f>
        <v>90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Submetering!R26</f>
        <v>1131.8375899999999</v>
      </c>
      <c r="H26" s="11">
        <v>0.52800000000000002</v>
      </c>
      <c r="I26" s="12">
        <f>Hotel!B31</f>
        <v>94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Hotel!AV28*0.00378541*100</f>
        <v>1040.98775</v>
      </c>
      <c r="S23" s="4">
        <f>Hotel!B28</f>
        <v>161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Hotel!AV29*0.00378541*100</f>
        <v>1188.6187399999999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Hotel!AV30*0.00378541*100</f>
        <v>969.06496000000004</v>
      </c>
      <c r="S25" s="4">
        <f>Hotel!B30</f>
        <v>90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Hotel!AV31*0.00378541*100</f>
        <v>1131.8375899999999</v>
      </c>
      <c r="S26" s="4">
        <f>Hotel!B31</f>
        <v>94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P32" sqref="AP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16"/>
        <v>11870</v>
      </c>
      <c r="R28" s="37">
        <f t="shared" si="17"/>
        <v>15980</v>
      </c>
      <c r="S28" s="37">
        <f t="shared" si="15"/>
        <v>4040</v>
      </c>
      <c r="T28" s="37">
        <f t="shared" si="18"/>
        <v>1800</v>
      </c>
      <c r="U28" s="37">
        <f t="shared" si="19"/>
        <v>4680</v>
      </c>
      <c r="V28" s="37">
        <f t="shared" si="20"/>
        <v>3650</v>
      </c>
      <c r="W28" s="37">
        <f t="shared" si="21"/>
        <v>2410</v>
      </c>
      <c r="X28" s="37">
        <f t="shared" si="22"/>
        <v>4140</v>
      </c>
      <c r="Y28" s="37">
        <f t="shared" si="23"/>
        <v>5980</v>
      </c>
      <c r="Z28" s="37">
        <f t="shared" si="24"/>
        <v>3050</v>
      </c>
      <c r="AA28" s="37">
        <f t="shared" si="25"/>
        <v>3530</v>
      </c>
      <c r="AB28" s="37">
        <f t="shared" si="26"/>
        <v>8100</v>
      </c>
      <c r="AC28" s="37">
        <f t="shared" si="27"/>
        <v>8240</v>
      </c>
      <c r="AD28" s="35">
        <f t="shared" si="28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29"/>
        <v>387.34999999999997</v>
      </c>
      <c r="AU28" s="47">
        <v>84750</v>
      </c>
      <c r="AV28" s="37">
        <f>IF((AU28-AU27&lt;0),"0",AU28-AU27)</f>
        <v>2750</v>
      </c>
      <c r="AW28" s="35">
        <f t="shared" si="30"/>
        <v>5.5</v>
      </c>
    </row>
    <row r="29" spans="1:49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16"/>
        <v>8520</v>
      </c>
      <c r="R29" s="37">
        <f t="shared" si="17"/>
        <v>13560</v>
      </c>
      <c r="S29" s="37">
        <f t="shared" si="15"/>
        <v>3230</v>
      </c>
      <c r="T29" s="37">
        <f t="shared" si="18"/>
        <v>1760</v>
      </c>
      <c r="U29" s="37">
        <f t="shared" si="19"/>
        <v>4580</v>
      </c>
      <c r="V29" s="37">
        <f t="shared" si="20"/>
        <v>3480</v>
      </c>
      <c r="W29" s="37">
        <f t="shared" si="21"/>
        <v>2300</v>
      </c>
      <c r="X29" s="37">
        <f t="shared" si="22"/>
        <v>4240</v>
      </c>
      <c r="Y29" s="37">
        <f t="shared" si="23"/>
        <v>5160</v>
      </c>
      <c r="Z29" s="37">
        <f t="shared" si="24"/>
        <v>2860</v>
      </c>
      <c r="AA29" s="37">
        <f t="shared" si="25"/>
        <v>3350</v>
      </c>
      <c r="AB29" s="37">
        <f t="shared" si="26"/>
        <v>7740</v>
      </c>
      <c r="AC29" s="37">
        <f t="shared" si="27"/>
        <v>8680</v>
      </c>
      <c r="AD29" s="35">
        <f t="shared" si="28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29"/>
        <v>347.3</v>
      </c>
      <c r="AU29" s="47">
        <v>87890</v>
      </c>
      <c r="AV29" s="37">
        <f t="shared" ref="AV29:AV35" si="34">IF((AU29-AU28&lt;0),"0",AU29-AU28)</f>
        <v>3140</v>
      </c>
      <c r="AW29" s="35">
        <f t="shared" si="30"/>
        <v>6.28</v>
      </c>
    </row>
    <row r="30" spans="1:49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16"/>
        <v>1190</v>
      </c>
      <c r="R30" s="37">
        <f t="shared" si="17"/>
        <v>14410</v>
      </c>
      <c r="S30" s="37">
        <f t="shared" si="15"/>
        <v>3950</v>
      </c>
      <c r="T30" s="37">
        <f t="shared" si="18"/>
        <v>1730</v>
      </c>
      <c r="U30" s="37">
        <f t="shared" si="19"/>
        <v>4480</v>
      </c>
      <c r="V30" s="37">
        <f t="shared" si="20"/>
        <v>3480</v>
      </c>
      <c r="W30" s="37">
        <f t="shared" si="21"/>
        <v>2340</v>
      </c>
      <c r="X30" s="37">
        <f t="shared" si="22"/>
        <v>4090</v>
      </c>
      <c r="Y30" s="37">
        <f t="shared" si="23"/>
        <v>4970</v>
      </c>
      <c r="Z30" s="37">
        <f t="shared" si="24"/>
        <v>2770</v>
      </c>
      <c r="AA30" s="37">
        <f t="shared" si="25"/>
        <v>3270</v>
      </c>
      <c r="AB30" s="37">
        <f t="shared" si="26"/>
        <v>7440</v>
      </c>
      <c r="AC30" s="37">
        <f t="shared" si="27"/>
        <v>9400</v>
      </c>
      <c r="AD30" s="35">
        <f t="shared" si="28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29"/>
        <v>317.59999999999997</v>
      </c>
      <c r="AU30" s="47">
        <v>90450</v>
      </c>
      <c r="AV30" s="37">
        <f t="shared" si="34"/>
        <v>2560</v>
      </c>
      <c r="AW30" s="35">
        <f t="shared" si="30"/>
        <v>5.12</v>
      </c>
    </row>
    <row r="31" spans="1:49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17"/>
        <v>14600</v>
      </c>
      <c r="S31" s="37">
        <f t="shared" si="15"/>
        <v>4010</v>
      </c>
      <c r="T31" s="37">
        <f t="shared" si="18"/>
        <v>1690</v>
      </c>
      <c r="U31" s="37">
        <f t="shared" si="19"/>
        <v>4330</v>
      </c>
      <c r="V31" s="37">
        <f t="shared" si="20"/>
        <v>3510</v>
      </c>
      <c r="W31" s="37">
        <f t="shared" si="21"/>
        <v>2360</v>
      </c>
      <c r="X31" s="37">
        <f t="shared" si="22"/>
        <v>3680</v>
      </c>
      <c r="Y31" s="37">
        <f t="shared" si="23"/>
        <v>5560</v>
      </c>
      <c r="Z31" s="37">
        <f t="shared" si="24"/>
        <v>2620</v>
      </c>
      <c r="AA31" s="37">
        <f t="shared" si="25"/>
        <v>3080</v>
      </c>
      <c r="AB31" s="37">
        <f t="shared" si="26"/>
        <v>7210</v>
      </c>
      <c r="AC31" s="37">
        <f t="shared" si="27"/>
        <v>8800</v>
      </c>
      <c r="AD31" s="35">
        <f t="shared" si="28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29"/>
        <v>312.3</v>
      </c>
      <c r="AU31" s="47">
        <v>93440</v>
      </c>
      <c r="AV31" s="37">
        <f t="shared" si="34"/>
        <v>2990</v>
      </c>
      <c r="AW31" s="35">
        <f t="shared" si="30"/>
        <v>5.98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83580</v>
      </c>
      <c r="R38" s="38">
        <f t="shared" ref="R38:AD38" si="62">SUM(R7:R37)</f>
        <v>355840</v>
      </c>
      <c r="S38" s="38">
        <f t="shared" si="62"/>
        <v>93530</v>
      </c>
      <c r="T38" s="38">
        <f t="shared" si="62"/>
        <v>42830</v>
      </c>
      <c r="U38" s="38">
        <f t="shared" si="62"/>
        <v>111110</v>
      </c>
      <c r="V38" s="38">
        <f t="shared" si="62"/>
        <v>86210</v>
      </c>
      <c r="W38" s="38">
        <f t="shared" si="62"/>
        <v>58360</v>
      </c>
      <c r="X38" s="38">
        <f t="shared" si="62"/>
        <v>97470</v>
      </c>
      <c r="Y38" s="38">
        <f t="shared" si="62"/>
        <v>133380</v>
      </c>
      <c r="Z38" s="38">
        <f t="shared" si="62"/>
        <v>66910</v>
      </c>
      <c r="AA38" s="38">
        <f t="shared" si="62"/>
        <v>80840</v>
      </c>
      <c r="AB38" s="38">
        <f t="shared" si="62"/>
        <v>181070</v>
      </c>
      <c r="AC38" s="38">
        <f t="shared" si="62"/>
        <v>224080</v>
      </c>
      <c r="AD38" s="38">
        <f t="shared" si="62"/>
        <v>1615210</v>
      </c>
      <c r="AF38" s="35">
        <f>SUM(AF7:AF37)</f>
        <v>417.90000000000009</v>
      </c>
      <c r="AG38" s="35">
        <f t="shared" ref="AG38:AS38" si="63">SUM(AG7:AG37)</f>
        <v>1779.2000000000003</v>
      </c>
      <c r="AH38" s="35">
        <f t="shared" si="63"/>
        <v>467.65</v>
      </c>
      <c r="AI38" s="35">
        <f t="shared" si="63"/>
        <v>214.15</v>
      </c>
      <c r="AJ38" s="35">
        <f t="shared" si="63"/>
        <v>555.54999999999984</v>
      </c>
      <c r="AK38" s="35">
        <f t="shared" si="63"/>
        <v>431.04999999999995</v>
      </c>
      <c r="AL38" s="35">
        <f t="shared" si="63"/>
        <v>291.79999999999995</v>
      </c>
      <c r="AM38" s="35">
        <f t="shared" si="63"/>
        <v>487.34999999999991</v>
      </c>
      <c r="AN38" s="35">
        <f t="shared" si="63"/>
        <v>666.9</v>
      </c>
      <c r="AO38" s="35">
        <f t="shared" si="63"/>
        <v>334.55</v>
      </c>
      <c r="AP38" s="35">
        <f t="shared" si="63"/>
        <v>404.2</v>
      </c>
      <c r="AQ38" s="35">
        <f t="shared" si="63"/>
        <v>905.35</v>
      </c>
      <c r="AR38" s="35">
        <f t="shared" si="63"/>
        <v>1120.4000000000003</v>
      </c>
      <c r="AS38" s="35">
        <f t="shared" si="63"/>
        <v>8076.0500000000011</v>
      </c>
      <c r="AT38" s="35"/>
      <c r="AU38" s="48"/>
      <c r="AV38" s="35">
        <f>SUM(AV7:AV34)</f>
        <v>71712</v>
      </c>
      <c r="AW38" s="34">
        <f>SUM(AW7:AW37)</f>
        <v>131.82600000000002</v>
      </c>
    </row>
    <row r="39" spans="1:49" x14ac:dyDescent="0.25">
      <c r="D39">
        <v>5.0000000000000001E-3</v>
      </c>
      <c r="AV39" s="36">
        <f>AV38*0.00378541*1000</f>
        <v>271459.32191999996</v>
      </c>
    </row>
    <row r="40" spans="1:49" x14ac:dyDescent="0.25">
      <c r="D40">
        <v>2E-3</v>
      </c>
      <c r="AV40">
        <f>AV39/31</f>
        <v>8756.7523199999978</v>
      </c>
    </row>
    <row r="41" spans="1:49" x14ac:dyDescent="0.25">
      <c r="AV41">
        <f>AV38*0.00378541</f>
        <v>271.45932191999998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2021-07-26T04:37:29Z</dcterms:modified>
</cp:coreProperties>
</file>